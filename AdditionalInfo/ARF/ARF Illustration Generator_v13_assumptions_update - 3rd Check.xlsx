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https://allianzms.sharepoint.com/teams/IE0055-4609431/Shared Documents/03_Products/01_UL with Guarantees/06_Allianz_Vantage_ARF/5_Admin_Systems/Specific Examples/Sample PID &amp; Welcome Kit - Specific Example 2/"/>
    </mc:Choice>
  </mc:AlternateContent>
  <xr:revisionPtr revIDLastSave="9" documentId="8_{E0B9120E-2471-4562-BC10-47B852DADAB9}" xr6:coauthVersionLast="47" xr6:coauthVersionMax="47" xr10:uidLastSave="{81B50D1A-EE5A-48D1-B5C8-55106E81C481}"/>
  <bookViews>
    <workbookView xWindow="-120" yWindow="-120" windowWidth="29040" windowHeight="15720" firstSheet="2" activeTab="3" xr2:uid="{00000000-000D-0000-FFFF-FFFF00000000}"/>
  </bookViews>
  <sheets>
    <sheet name="Version Control" sheetId="20" r:id="rId1"/>
    <sheet name="Overview" sheetId="19" r:id="rId2"/>
    <sheet name="Parameters" sheetId="12" r:id="rId3"/>
    <sheet name="ARF Projections" sheetId="17" r:id="rId4"/>
    <sheet name="Inputs for PointOfIssue Doc" sheetId="13" r:id="rId5"/>
    <sheet name="Reliances &amp; Limitations" sheetId="18" r:id="rId6"/>
  </sheets>
  <definedNames>
    <definedName name="_Order1" hidden="1">255</definedName>
    <definedName name="adj_allocation_rate">'ARF Projections'!#REF!</definedName>
    <definedName name="adj_upfront_commission">'ARF Projections'!$C$72</definedName>
    <definedName name="Altered_Initial_Commission_Indicator">'ARF Projections'!$C$71</definedName>
    <definedName name="anscount" hidden="1">1</definedName>
    <definedName name="Commission_Uplift_Factor">'ARF Projections'!$C$63</definedName>
    <definedName name="Current_Age">'ARF Projections'!$C$43</definedName>
    <definedName name="Custom_Reg_Inc_Perc_annual">'ARF Projections'!$C$51</definedName>
    <definedName name="Custom_Regular_Income_Perc_Monthly">'ARF Projections'!$D$51</definedName>
    <definedName name="Default_IncomeRate_table">Parameters!$C$73:$E$75</definedName>
    <definedName name="External_Fund_Charge_Monthly">'ARF Projections'!$D$60</definedName>
    <definedName name="Fund_Charge_Monthly">'ARF Projections'!$D$61</definedName>
    <definedName name="Fund_Rates_Table">Parameters!$C$54:$G$67</definedName>
    <definedName name="Fund_Zero_Year">'ARF Projections'!$C$67</definedName>
    <definedName name="Fund_Zero_Year_2">'ARF Projections'!$C$686</definedName>
    <definedName name="Growth_Rate_1">'ARF Projections'!$C$45</definedName>
    <definedName name="Growth_Rate_1_Monthly">'ARF Projections'!$D$45</definedName>
    <definedName name="Growth_Rate_2">'ARF Projections'!$C$46</definedName>
    <definedName name="Growth_Rate_2_Monthly">'ARF Projections'!$D$46</definedName>
    <definedName name="Gtee_Charge_Monthly">'ARF Projections'!$D$62</definedName>
    <definedName name="Gtee_Flag">'ARF Projections'!$C$48</definedName>
    <definedName name="Income_Escalation_Rate_Annual">'ARF Projections'!$C$54</definedName>
    <definedName name="Income_Escalation_Rate_Monthly">'ARF Projections'!$D$54</definedName>
    <definedName name="Income_Type">'ARF Projections'!$C$49</definedName>
    <definedName name="Initial_income__Perc_used">'ARF Projections'!$C$52</definedName>
    <definedName name="Minimum_Fund_Value">'ARF Projections'!$C$66</definedName>
    <definedName name="new_allocation_rate">'ARF Projections'!$C$75</definedName>
    <definedName name="new_upfront_commission">'ARF Projections'!$C$74</definedName>
    <definedName name="Ongoing_Commission_Monthly">'ARF Projections'!$D$65</definedName>
    <definedName name="Product_Code">'ARF Projections'!$C$39</definedName>
    <definedName name="Product_Parameters">Parameters!$D$5:$P$25</definedName>
    <definedName name="Rate_Of_Return_Monthly">'ARF Projections'!$D$47</definedName>
    <definedName name="RateOfReturn_Max">'ARF Projections'!$C$44</definedName>
    <definedName name="Regular_Income_Amount">'ARF Projections'!$C$53</definedName>
    <definedName name="Regular_Income_Start_Age">'ARF Projections'!$C$55</definedName>
    <definedName name="Regular_Income_Start_Month">'ARF Projections'!$C$56</definedName>
    <definedName name="SinglePrem">'ARF Projections'!$C$42</definedName>
    <definedName name="special_deal_indicator">'ARF Projections'!$C$68</definedName>
    <definedName name="special_deal_level">'ARF Projections'!$C$69</definedName>
    <definedName name="Start_Date">'ARF Projections'!$C$40</definedName>
    <definedName name="SurrederPenalty_Table">Parameters!$C$26:$E$27</definedName>
    <definedName name="Surrender_Penalty_flag">'ARF Projections'!$C$58</definedName>
    <definedName name="Surrender_Penalty_table">Parameters!$C$26:$E$27</definedName>
    <definedName name="upfront_commission">'ARF Projections'!$C$64</definedName>
    <definedName name="Weighted_Guarantee_Charge">'ARF Projections'!$T$43</definedName>
    <definedName name="Weighted_RateOfReturn_Annual">'ARF Projections'!$T$40</definedName>
    <definedName name="Year_of_Income_Reduction">'ARF Projections'!$B$70</definedName>
    <definedName name="Year_Of_Income_Reduction_2">'ARF Projections'!$C$687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6" i="17" l="1"/>
  <c r="H47" i="12"/>
  <c r="H48" i="12"/>
  <c r="P44" i="17" l="1"/>
  <c r="Q44" i="17"/>
  <c r="R44" i="17"/>
  <c r="P41" i="17"/>
  <c r="Q41" i="17"/>
  <c r="R41" i="17"/>
  <c r="H46" i="12"/>
  <c r="D29" i="13"/>
  <c r="E72" i="17" l="1"/>
  <c r="E24" i="13"/>
  <c r="H40" i="12" l="1"/>
  <c r="H41" i="12"/>
  <c r="H42" i="12"/>
  <c r="H43" i="12"/>
  <c r="H44" i="12"/>
  <c r="H45" i="12"/>
  <c r="H49" i="12"/>
  <c r="G36" i="12"/>
  <c r="F36" i="12"/>
  <c r="E36" i="12"/>
  <c r="D36" i="12"/>
  <c r="E64" i="12" l="1"/>
  <c r="E65" i="12"/>
  <c r="E66" i="12"/>
  <c r="E62" i="12"/>
  <c r="E57" i="12"/>
  <c r="E59" i="12"/>
  <c r="E60" i="12"/>
  <c r="E61" i="12"/>
  <c r="E56" i="12"/>
  <c r="E58" i="12"/>
  <c r="E63" i="12"/>
  <c r="E67" i="12"/>
  <c r="E55" i="12"/>
  <c r="AM693" i="17"/>
  <c r="AM694" i="17"/>
  <c r="AM695" i="17"/>
  <c r="AM696" i="17"/>
  <c r="AM697" i="17"/>
  <c r="AM698" i="17"/>
  <c r="AM699" i="17"/>
  <c r="AM700" i="17"/>
  <c r="AM701" i="17"/>
  <c r="AM702" i="17"/>
  <c r="AM703" i="17"/>
  <c r="AM704" i="17"/>
  <c r="AM705" i="17"/>
  <c r="AM706" i="17"/>
  <c r="AM707" i="17"/>
  <c r="AM708" i="17"/>
  <c r="AM709" i="17"/>
  <c r="AM710" i="17"/>
  <c r="AM711" i="17"/>
  <c r="AM712" i="17"/>
  <c r="AM713" i="17"/>
  <c r="AM714" i="17"/>
  <c r="AM715" i="17"/>
  <c r="AM716" i="17"/>
  <c r="AM717" i="17"/>
  <c r="AM718" i="17"/>
  <c r="AM719" i="17"/>
  <c r="AM720" i="17"/>
  <c r="AM721" i="17"/>
  <c r="AM722" i="17"/>
  <c r="AM723" i="17"/>
  <c r="AM724" i="17"/>
  <c r="AM725" i="17"/>
  <c r="AM726" i="17"/>
  <c r="AM727" i="17"/>
  <c r="AM728" i="17"/>
  <c r="AM729" i="17"/>
  <c r="AM730" i="17"/>
  <c r="AM731" i="17"/>
  <c r="AM732" i="17"/>
  <c r="AM733" i="17"/>
  <c r="AM734" i="17"/>
  <c r="AM735" i="17"/>
  <c r="AM736" i="17"/>
  <c r="AM737" i="17"/>
  <c r="AM738" i="17"/>
  <c r="AM739" i="17"/>
  <c r="AM740" i="17"/>
  <c r="AM741" i="17"/>
  <c r="AM742" i="17"/>
  <c r="AM743" i="17"/>
  <c r="AM744" i="17"/>
  <c r="AM745" i="17"/>
  <c r="AM746" i="17"/>
  <c r="AM747" i="17"/>
  <c r="AM748" i="17"/>
  <c r="AM749" i="17"/>
  <c r="AM750" i="17"/>
  <c r="AM751" i="17"/>
  <c r="AM752" i="17"/>
  <c r="AM753" i="17"/>
  <c r="AM754" i="17"/>
  <c r="AM755" i="17"/>
  <c r="AM756" i="17"/>
  <c r="AM757" i="17"/>
  <c r="AM758" i="17"/>
  <c r="AM759" i="17"/>
  <c r="AM760" i="17"/>
  <c r="AM761" i="17"/>
  <c r="AM762" i="17"/>
  <c r="AM763" i="17"/>
  <c r="AM764" i="17"/>
  <c r="AM765" i="17"/>
  <c r="AM766" i="17"/>
  <c r="AM767" i="17"/>
  <c r="AM768" i="17"/>
  <c r="AM769" i="17"/>
  <c r="AM770" i="17"/>
  <c r="AM771" i="17"/>
  <c r="AM772" i="17"/>
  <c r="AM773" i="17"/>
  <c r="AM774" i="17"/>
  <c r="AM775" i="17"/>
  <c r="AM776" i="17"/>
  <c r="AM777" i="17"/>
  <c r="AM778" i="17"/>
  <c r="AM779" i="17"/>
  <c r="AM780" i="17"/>
  <c r="AM781" i="17"/>
  <c r="AM782" i="17"/>
  <c r="AM783" i="17"/>
  <c r="AM784" i="17"/>
  <c r="AM785" i="17"/>
  <c r="AM786" i="17"/>
  <c r="AM787" i="17"/>
  <c r="AM788" i="17"/>
  <c r="AM789" i="17"/>
  <c r="AM790" i="17"/>
  <c r="AM791" i="17"/>
  <c r="AM792" i="17"/>
  <c r="AM793" i="17"/>
  <c r="AM794" i="17"/>
  <c r="AM795" i="17"/>
  <c r="AM796" i="17"/>
  <c r="AM797" i="17"/>
  <c r="AM798" i="17"/>
  <c r="AM799" i="17"/>
  <c r="AM800" i="17"/>
  <c r="AM801" i="17"/>
  <c r="AM802" i="17"/>
  <c r="AM803" i="17"/>
  <c r="AM804" i="17"/>
  <c r="AM805" i="17"/>
  <c r="AM806" i="17"/>
  <c r="AM807" i="17"/>
  <c r="AM808" i="17"/>
  <c r="AM809" i="17"/>
  <c r="AM810" i="17"/>
  <c r="AM811" i="17"/>
  <c r="AM812" i="17"/>
  <c r="AM813" i="17"/>
  <c r="AM814" i="17"/>
  <c r="AM815" i="17"/>
  <c r="AM816" i="17"/>
  <c r="AM817" i="17"/>
  <c r="AM818" i="17"/>
  <c r="AM819" i="17"/>
  <c r="AM820" i="17"/>
  <c r="AM821" i="17"/>
  <c r="AM822" i="17"/>
  <c r="AM823" i="17"/>
  <c r="AM824" i="17"/>
  <c r="AM825" i="17"/>
  <c r="AM826" i="17"/>
  <c r="AM827" i="17"/>
  <c r="AM828" i="17"/>
  <c r="AM829" i="17"/>
  <c r="AM830" i="17"/>
  <c r="AM831" i="17"/>
  <c r="AM832" i="17"/>
  <c r="AM833" i="17"/>
  <c r="AM834" i="17"/>
  <c r="AM835" i="17"/>
  <c r="AM836" i="17"/>
  <c r="AM837" i="17"/>
  <c r="AM838" i="17"/>
  <c r="AM839" i="17"/>
  <c r="AM840" i="17"/>
  <c r="AM841" i="17"/>
  <c r="AM842" i="17"/>
  <c r="AM843" i="17"/>
  <c r="AM844" i="17"/>
  <c r="AM845" i="17"/>
  <c r="AM846" i="17"/>
  <c r="AM847" i="17"/>
  <c r="AM848" i="17"/>
  <c r="AM849" i="17"/>
  <c r="AM850" i="17"/>
  <c r="AM851" i="17"/>
  <c r="AM852" i="17"/>
  <c r="AM853" i="17"/>
  <c r="AM854" i="17"/>
  <c r="AM855" i="17"/>
  <c r="AM856" i="17"/>
  <c r="AM857" i="17"/>
  <c r="AM858" i="17"/>
  <c r="AM859" i="17"/>
  <c r="AM860" i="17"/>
  <c r="AM861" i="17"/>
  <c r="AM862" i="17"/>
  <c r="AM863" i="17"/>
  <c r="AM864" i="17"/>
  <c r="AM865" i="17"/>
  <c r="AM866" i="17"/>
  <c r="AM867" i="17"/>
  <c r="AM868" i="17"/>
  <c r="AM869" i="17"/>
  <c r="AM870" i="17"/>
  <c r="AM871" i="17"/>
  <c r="AM872" i="17"/>
  <c r="AM873" i="17"/>
  <c r="AM874" i="17"/>
  <c r="AM875" i="17"/>
  <c r="AM876" i="17"/>
  <c r="AM877" i="17"/>
  <c r="AM878" i="17"/>
  <c r="AM879" i="17"/>
  <c r="AM880" i="17"/>
  <c r="AM881" i="17"/>
  <c r="AM882" i="17"/>
  <c r="AM883" i="17"/>
  <c r="AM884" i="17"/>
  <c r="AM885" i="17"/>
  <c r="AM886" i="17"/>
  <c r="AM887" i="17"/>
  <c r="AM888" i="17"/>
  <c r="AM889" i="17"/>
  <c r="AM890" i="17"/>
  <c r="AM891" i="17"/>
  <c r="AM892" i="17"/>
  <c r="AM893" i="17"/>
  <c r="AM894" i="17"/>
  <c r="AM895" i="17"/>
  <c r="AM896" i="17"/>
  <c r="AM897" i="17"/>
  <c r="AM898" i="17"/>
  <c r="AM899" i="17"/>
  <c r="AM900" i="17"/>
  <c r="AM901" i="17"/>
  <c r="AM902" i="17"/>
  <c r="AM903" i="17"/>
  <c r="AM904" i="17"/>
  <c r="AM905" i="17"/>
  <c r="AM906" i="17"/>
  <c r="AM907" i="17"/>
  <c r="AM908" i="17"/>
  <c r="AM909" i="17"/>
  <c r="AM910" i="17"/>
  <c r="AM911" i="17"/>
  <c r="AM912" i="17"/>
  <c r="AM913" i="17"/>
  <c r="AM914" i="17"/>
  <c r="AM915" i="17"/>
  <c r="AM916" i="17"/>
  <c r="AM917" i="17"/>
  <c r="AM918" i="17"/>
  <c r="AM919" i="17"/>
  <c r="AM920" i="17"/>
  <c r="AM921" i="17"/>
  <c r="AM922" i="17"/>
  <c r="AM923" i="17"/>
  <c r="AM924" i="17"/>
  <c r="AM925" i="17"/>
  <c r="AM926" i="17"/>
  <c r="AM927" i="17"/>
  <c r="AM928" i="17"/>
  <c r="AM929" i="17"/>
  <c r="AM930" i="17"/>
  <c r="AM931" i="17"/>
  <c r="AM932" i="17"/>
  <c r="AM933" i="17"/>
  <c r="AM934" i="17"/>
  <c r="AM935" i="17"/>
  <c r="AM936" i="17"/>
  <c r="AM937" i="17"/>
  <c r="AM938" i="17"/>
  <c r="AM939" i="17"/>
  <c r="AM940" i="17"/>
  <c r="AM941" i="17"/>
  <c r="AM942" i="17"/>
  <c r="AM943" i="17"/>
  <c r="AM944" i="17"/>
  <c r="AM945" i="17"/>
  <c r="AM946" i="17"/>
  <c r="AM947" i="17"/>
  <c r="AM948" i="17"/>
  <c r="AM949" i="17"/>
  <c r="AM950" i="17"/>
  <c r="AM951" i="17"/>
  <c r="AM952" i="17"/>
  <c r="AM953" i="17"/>
  <c r="AM954" i="17"/>
  <c r="AM955" i="17"/>
  <c r="AM956" i="17"/>
  <c r="AM957" i="17"/>
  <c r="AM958" i="17"/>
  <c r="AM959" i="17"/>
  <c r="AM960" i="17"/>
  <c r="AM961" i="17"/>
  <c r="AM962" i="17"/>
  <c r="AM963" i="17"/>
  <c r="AM964" i="17"/>
  <c r="AM965" i="17"/>
  <c r="AM966" i="17"/>
  <c r="AM967" i="17"/>
  <c r="AM968" i="17"/>
  <c r="AM969" i="17"/>
  <c r="AM970" i="17"/>
  <c r="AM971" i="17"/>
  <c r="AM972" i="17"/>
  <c r="AM973" i="17"/>
  <c r="AM974" i="17"/>
  <c r="AM975" i="17"/>
  <c r="AM976" i="17"/>
  <c r="AM977" i="17"/>
  <c r="AM978" i="17"/>
  <c r="AM979" i="17"/>
  <c r="AM980" i="17"/>
  <c r="AM981" i="17"/>
  <c r="AM982" i="17"/>
  <c r="AM983" i="17"/>
  <c r="AM984" i="17"/>
  <c r="AM985" i="17"/>
  <c r="AM986" i="17"/>
  <c r="AM987" i="17"/>
  <c r="AM988" i="17"/>
  <c r="AM989" i="17"/>
  <c r="AM990" i="17"/>
  <c r="AM991" i="17"/>
  <c r="AM992" i="17"/>
  <c r="AM993" i="17"/>
  <c r="AM994" i="17"/>
  <c r="AM995" i="17"/>
  <c r="AM996" i="17"/>
  <c r="AM997" i="17"/>
  <c r="AM998" i="17"/>
  <c r="AM999" i="17"/>
  <c r="AM1000" i="17"/>
  <c r="AM1001" i="17"/>
  <c r="AM1002" i="17"/>
  <c r="AM1003" i="17"/>
  <c r="AM1004" i="17"/>
  <c r="AM1005" i="17"/>
  <c r="AM1006" i="17"/>
  <c r="AM1007" i="17"/>
  <c r="AM1008" i="17"/>
  <c r="AM1009" i="17"/>
  <c r="AM1010" i="17"/>
  <c r="AM1011" i="17"/>
  <c r="AM1012" i="17"/>
  <c r="AM1013" i="17"/>
  <c r="AM1014" i="17"/>
  <c r="AM1015" i="17"/>
  <c r="AM1016" i="17"/>
  <c r="AM1017" i="17"/>
  <c r="AM1018" i="17"/>
  <c r="AM1019" i="17"/>
  <c r="AM1020" i="17"/>
  <c r="AM1021" i="17"/>
  <c r="AM1022" i="17"/>
  <c r="AM1023" i="17"/>
  <c r="AM1024" i="17"/>
  <c r="AM1025" i="17"/>
  <c r="AM1026" i="17"/>
  <c r="AM1027" i="17"/>
  <c r="AM1028" i="17"/>
  <c r="AM1029" i="17"/>
  <c r="AM1030" i="17"/>
  <c r="AM1031" i="17"/>
  <c r="AM1032" i="17"/>
  <c r="AM1033" i="17"/>
  <c r="AM1034" i="17"/>
  <c r="AM1035" i="17"/>
  <c r="AM1036" i="17"/>
  <c r="AM1037" i="17"/>
  <c r="AM1038" i="17"/>
  <c r="AM1039" i="17"/>
  <c r="AM1040" i="17"/>
  <c r="AM1041" i="17"/>
  <c r="AM1042" i="17"/>
  <c r="AM1043" i="17"/>
  <c r="AM1044" i="17"/>
  <c r="AM1045" i="17"/>
  <c r="AM1046" i="17"/>
  <c r="AM1047" i="17"/>
  <c r="AM1048" i="17"/>
  <c r="AM1049" i="17"/>
  <c r="AM1050" i="17"/>
  <c r="AM1051" i="17"/>
  <c r="AM1052" i="17"/>
  <c r="AM1053" i="17"/>
  <c r="AM1054" i="17"/>
  <c r="AM1055" i="17"/>
  <c r="AM1056" i="17"/>
  <c r="AM1057" i="17"/>
  <c r="AM1058" i="17"/>
  <c r="AM1059" i="17"/>
  <c r="AM1060" i="17"/>
  <c r="AM1061" i="17"/>
  <c r="AM1062" i="17"/>
  <c r="AM1063" i="17"/>
  <c r="AM1064" i="17"/>
  <c r="AM1065" i="17"/>
  <c r="AM1066" i="17"/>
  <c r="AM1067" i="17"/>
  <c r="AM1068" i="17"/>
  <c r="AM1069" i="17"/>
  <c r="AM1070" i="17"/>
  <c r="AM1071" i="17"/>
  <c r="AM1072" i="17"/>
  <c r="AM1073" i="17"/>
  <c r="AM1074" i="17"/>
  <c r="AM1075" i="17"/>
  <c r="AM1076" i="17"/>
  <c r="AM1077" i="17"/>
  <c r="AM1078" i="17"/>
  <c r="AM1079" i="17"/>
  <c r="AM1080" i="17"/>
  <c r="AM1081" i="17"/>
  <c r="AM1082" i="17"/>
  <c r="AM1083" i="17"/>
  <c r="AM1084" i="17"/>
  <c r="AM1085" i="17"/>
  <c r="AM1086" i="17"/>
  <c r="AM1087" i="17"/>
  <c r="AM1088" i="17"/>
  <c r="AM1089" i="17"/>
  <c r="AM1090" i="17"/>
  <c r="AM1091" i="17"/>
  <c r="AM1092" i="17"/>
  <c r="AM1093" i="17"/>
  <c r="AM1094" i="17"/>
  <c r="AM1095" i="17"/>
  <c r="AM1096" i="17"/>
  <c r="AM1097" i="17"/>
  <c r="AM1098" i="17"/>
  <c r="AM1099" i="17"/>
  <c r="AM1100" i="17"/>
  <c r="AM1101" i="17"/>
  <c r="AM1102" i="17"/>
  <c r="AM1103" i="17"/>
  <c r="AM1104" i="17"/>
  <c r="AM1105" i="17"/>
  <c r="AM1106" i="17"/>
  <c r="AM1107" i="17"/>
  <c r="AM1108" i="17"/>
  <c r="AM1109" i="17"/>
  <c r="AM1110" i="17"/>
  <c r="AM1111" i="17"/>
  <c r="AM1112" i="17"/>
  <c r="AM1113" i="17"/>
  <c r="AM1114" i="17"/>
  <c r="AM1115" i="17"/>
  <c r="AM1116" i="17"/>
  <c r="AM1117" i="17"/>
  <c r="AM1118" i="17"/>
  <c r="AM1119" i="17"/>
  <c r="AM1120" i="17"/>
  <c r="AM1121" i="17"/>
  <c r="AM1122" i="17"/>
  <c r="AM1123" i="17"/>
  <c r="AM1124" i="17"/>
  <c r="AM1125" i="17"/>
  <c r="AM1126" i="17"/>
  <c r="AM1127" i="17"/>
  <c r="AM1128" i="17"/>
  <c r="AM1129" i="17"/>
  <c r="AM1130" i="17"/>
  <c r="AM1131" i="17"/>
  <c r="AM1132" i="17"/>
  <c r="AM1133" i="17"/>
  <c r="AM1134" i="17"/>
  <c r="AM1135" i="17"/>
  <c r="AM1136" i="17"/>
  <c r="AM1137" i="17"/>
  <c r="AM1138" i="17"/>
  <c r="AM1139" i="17"/>
  <c r="AM1140" i="17"/>
  <c r="AM1141" i="17"/>
  <c r="AM1142" i="17"/>
  <c r="AM1143" i="17"/>
  <c r="AM1144" i="17"/>
  <c r="AM1145" i="17"/>
  <c r="AM1146" i="17"/>
  <c r="AM1147" i="17"/>
  <c r="AM1148" i="17"/>
  <c r="AM1149" i="17"/>
  <c r="AM1150" i="17"/>
  <c r="AM1151" i="17"/>
  <c r="AM1152" i="17"/>
  <c r="AM1153" i="17"/>
  <c r="AM1154" i="17"/>
  <c r="AM1155" i="17"/>
  <c r="AM1156" i="17"/>
  <c r="AM1157" i="17"/>
  <c r="AM1158" i="17"/>
  <c r="AM1159" i="17"/>
  <c r="AM1160" i="17"/>
  <c r="AM1161" i="17"/>
  <c r="AM1162" i="17"/>
  <c r="AM1163" i="17"/>
  <c r="AM1164" i="17"/>
  <c r="AM1165" i="17"/>
  <c r="AM1166" i="17"/>
  <c r="AM1167" i="17"/>
  <c r="AM1168" i="17"/>
  <c r="AM1169" i="17"/>
  <c r="AM1170" i="17"/>
  <c r="AM1171" i="17"/>
  <c r="AM1172" i="17"/>
  <c r="AM1173" i="17"/>
  <c r="AM1174" i="17"/>
  <c r="AM1175" i="17"/>
  <c r="AM1176" i="17"/>
  <c r="AM1177" i="17"/>
  <c r="AM1178" i="17"/>
  <c r="AM1179" i="17"/>
  <c r="AM1180" i="17"/>
  <c r="AM1181" i="17"/>
  <c r="AM1182" i="17"/>
  <c r="AM1183" i="17"/>
  <c r="AM1184" i="17"/>
  <c r="AM1185" i="17"/>
  <c r="AM1186" i="17"/>
  <c r="AM1187" i="17"/>
  <c r="AM1188" i="17"/>
  <c r="AM1189" i="17"/>
  <c r="AM1190" i="17"/>
  <c r="AM1191" i="17"/>
  <c r="AM1192" i="17"/>
  <c r="AM1193" i="17"/>
  <c r="AM1194" i="17"/>
  <c r="AM1195" i="17"/>
  <c r="AM1196" i="17"/>
  <c r="AM1197" i="17"/>
  <c r="AM1198" i="17"/>
  <c r="AM1199" i="17"/>
  <c r="AM1200" i="17"/>
  <c r="AM1201" i="17"/>
  <c r="AM1202" i="17"/>
  <c r="AM1203" i="17"/>
  <c r="AM1204" i="17"/>
  <c r="AM1205" i="17"/>
  <c r="AM1206" i="17"/>
  <c r="AM1207" i="17"/>
  <c r="AM1208" i="17"/>
  <c r="AM1209" i="17"/>
  <c r="AM1210" i="17"/>
  <c r="AM1211" i="17"/>
  <c r="AM1212" i="17"/>
  <c r="AM1213" i="17"/>
  <c r="AM1214" i="17"/>
  <c r="AM1215" i="17"/>
  <c r="AM1216" i="17"/>
  <c r="AM1217" i="17"/>
  <c r="AM1218" i="17"/>
  <c r="AM1219" i="17"/>
  <c r="AM1220" i="17"/>
  <c r="AM1221" i="17"/>
  <c r="AM1222" i="17"/>
  <c r="AM1223" i="17"/>
  <c r="AM1224" i="17"/>
  <c r="AM1225" i="17"/>
  <c r="AM1226" i="17"/>
  <c r="AM1227" i="17"/>
  <c r="AM1228" i="17"/>
  <c r="AM1229" i="17"/>
  <c r="AM1230" i="17"/>
  <c r="AM1231" i="17"/>
  <c r="AM1232" i="17"/>
  <c r="AM1233" i="17"/>
  <c r="AM1234" i="17"/>
  <c r="AM1235" i="17"/>
  <c r="AM1236" i="17"/>
  <c r="AM1237" i="17"/>
  <c r="AM1238" i="17"/>
  <c r="AM1239" i="17"/>
  <c r="AM1240" i="17"/>
  <c r="AM1241" i="17"/>
  <c r="AM1242" i="17"/>
  <c r="AM1243" i="17"/>
  <c r="AM1244" i="17"/>
  <c r="AM1245" i="17"/>
  <c r="AM1246" i="17"/>
  <c r="AM1247" i="17"/>
  <c r="AM1248" i="17"/>
  <c r="AM1249" i="17"/>
  <c r="AM1250" i="17"/>
  <c r="AM1251" i="17"/>
  <c r="AM1252" i="17"/>
  <c r="AM1253" i="17"/>
  <c r="AM1254" i="17"/>
  <c r="AM1255" i="17"/>
  <c r="AM1256" i="17"/>
  <c r="AM1257" i="17"/>
  <c r="AM1258" i="17"/>
  <c r="AM1259" i="17"/>
  <c r="AM1260" i="17"/>
  <c r="AM1261" i="17"/>
  <c r="AM1262" i="17"/>
  <c r="AM1263" i="17"/>
  <c r="AM1264" i="17"/>
  <c r="AM1265" i="17"/>
  <c r="AM1266" i="17"/>
  <c r="AM1267" i="17"/>
  <c r="AM1268" i="17"/>
  <c r="AM1269" i="17"/>
  <c r="AM1270" i="17"/>
  <c r="AM1271" i="17"/>
  <c r="AM1272" i="17"/>
  <c r="AM1273" i="17"/>
  <c r="AM1274" i="17"/>
  <c r="AM1275" i="17"/>
  <c r="AM1276" i="17"/>
  <c r="AM1277" i="17"/>
  <c r="AM1278" i="17"/>
  <c r="AM1279" i="17"/>
  <c r="AM1280" i="17"/>
  <c r="AM1281" i="17"/>
  <c r="AM1282" i="17"/>
  <c r="AM1283" i="17"/>
  <c r="AM1284" i="17"/>
  <c r="AM1285" i="17"/>
  <c r="AM1286" i="17"/>
  <c r="AM1287" i="17"/>
  <c r="AM1288" i="17"/>
  <c r="AM1289" i="17"/>
  <c r="AM1290" i="17"/>
  <c r="AM692" i="17"/>
  <c r="AM81" i="17"/>
  <c r="AM82" i="17"/>
  <c r="AM83" i="17"/>
  <c r="AM84" i="17"/>
  <c r="AM85" i="17"/>
  <c r="AM86" i="17"/>
  <c r="AM87" i="17"/>
  <c r="AM88" i="17"/>
  <c r="AM89" i="17"/>
  <c r="AM90" i="17"/>
  <c r="AM91" i="17"/>
  <c r="AM92" i="17"/>
  <c r="AM93" i="17"/>
  <c r="AM94" i="17"/>
  <c r="AM95" i="17"/>
  <c r="AM96" i="17"/>
  <c r="AM97" i="17"/>
  <c r="AM98" i="17"/>
  <c r="AM99" i="17"/>
  <c r="AM100" i="17"/>
  <c r="AM101" i="17"/>
  <c r="AM102" i="17"/>
  <c r="AM103" i="17"/>
  <c r="AM104" i="17"/>
  <c r="AM105" i="17"/>
  <c r="AM106" i="17"/>
  <c r="AM107" i="17"/>
  <c r="AM108" i="17"/>
  <c r="AM109" i="17"/>
  <c r="AM110" i="17"/>
  <c r="AM111" i="17"/>
  <c r="AM112" i="17"/>
  <c r="AM113" i="17"/>
  <c r="AM114" i="17"/>
  <c r="AM115" i="17"/>
  <c r="AM116" i="17"/>
  <c r="AM117" i="17"/>
  <c r="AM118" i="17"/>
  <c r="AM119" i="17"/>
  <c r="AM120" i="17"/>
  <c r="AM121" i="17"/>
  <c r="AM122" i="17"/>
  <c r="AM123" i="17"/>
  <c r="AM124" i="17"/>
  <c r="AM125" i="17"/>
  <c r="AM126" i="17"/>
  <c r="AM127" i="17"/>
  <c r="AM128" i="17"/>
  <c r="AM129" i="17"/>
  <c r="AM130" i="17"/>
  <c r="AM131" i="17"/>
  <c r="AM132" i="17"/>
  <c r="AM133" i="17"/>
  <c r="AM134" i="17"/>
  <c r="AM135" i="17"/>
  <c r="AM136" i="17"/>
  <c r="AM137" i="17"/>
  <c r="AM138" i="17"/>
  <c r="AM139" i="17"/>
  <c r="AM140" i="17"/>
  <c r="AM141" i="17"/>
  <c r="AM142" i="17"/>
  <c r="AM143" i="17"/>
  <c r="AM144" i="17"/>
  <c r="AM145" i="17"/>
  <c r="AM146" i="17"/>
  <c r="AM147" i="17"/>
  <c r="AM148" i="17"/>
  <c r="AM149" i="17"/>
  <c r="AM150" i="17"/>
  <c r="AM151" i="17"/>
  <c r="AM152" i="17"/>
  <c r="AM153" i="17"/>
  <c r="AM154" i="17"/>
  <c r="AM155" i="17"/>
  <c r="AM156" i="17"/>
  <c r="AM157" i="17"/>
  <c r="AM158" i="17"/>
  <c r="AM159" i="17"/>
  <c r="AM160" i="17"/>
  <c r="AM161" i="17"/>
  <c r="AM162" i="17"/>
  <c r="AM163" i="17"/>
  <c r="AM164" i="17"/>
  <c r="AM165" i="17"/>
  <c r="AM166" i="17"/>
  <c r="AM167" i="17"/>
  <c r="AM168" i="17"/>
  <c r="AM169" i="17"/>
  <c r="AM170" i="17"/>
  <c r="AM171" i="17"/>
  <c r="AM172" i="17"/>
  <c r="AM173" i="17"/>
  <c r="AM174" i="17"/>
  <c r="AM175" i="17"/>
  <c r="AM176" i="17"/>
  <c r="AM177" i="17"/>
  <c r="AM178" i="17"/>
  <c r="AM179" i="17"/>
  <c r="AM180" i="17"/>
  <c r="AM181" i="17"/>
  <c r="AM182" i="17"/>
  <c r="AM183" i="17"/>
  <c r="AM184" i="17"/>
  <c r="AM185" i="17"/>
  <c r="AM186" i="17"/>
  <c r="AM187" i="17"/>
  <c r="AM188" i="17"/>
  <c r="AM189" i="17"/>
  <c r="AM190" i="17"/>
  <c r="AM191" i="17"/>
  <c r="AM192" i="17"/>
  <c r="AM193" i="17"/>
  <c r="AM194" i="17"/>
  <c r="AM195" i="17"/>
  <c r="AM196" i="17"/>
  <c r="AM197" i="17"/>
  <c r="AM198" i="17"/>
  <c r="AM199" i="17"/>
  <c r="AM200" i="17"/>
  <c r="AM201" i="17"/>
  <c r="AM202" i="17"/>
  <c r="AM203" i="17"/>
  <c r="AM204" i="17"/>
  <c r="AM205" i="17"/>
  <c r="AM206" i="17"/>
  <c r="AM207" i="17"/>
  <c r="AM208" i="17"/>
  <c r="AM209" i="17"/>
  <c r="AM210" i="17"/>
  <c r="AM211" i="17"/>
  <c r="AM212" i="17"/>
  <c r="AM213" i="17"/>
  <c r="AM214" i="17"/>
  <c r="AM215" i="17"/>
  <c r="AM216" i="17"/>
  <c r="AM217" i="17"/>
  <c r="AM218" i="17"/>
  <c r="AM219" i="17"/>
  <c r="AM220" i="17"/>
  <c r="AM221" i="17"/>
  <c r="AM222" i="17"/>
  <c r="AM223" i="17"/>
  <c r="AM224" i="17"/>
  <c r="AM225" i="17"/>
  <c r="AM226" i="17"/>
  <c r="AM227" i="17"/>
  <c r="AM228" i="17"/>
  <c r="AM229" i="17"/>
  <c r="AM230" i="17"/>
  <c r="AM231" i="17"/>
  <c r="AM232" i="17"/>
  <c r="AM233" i="17"/>
  <c r="AM234" i="17"/>
  <c r="AM235" i="17"/>
  <c r="AM236" i="17"/>
  <c r="AM237" i="17"/>
  <c r="AM238" i="17"/>
  <c r="AM239" i="17"/>
  <c r="AM240" i="17"/>
  <c r="AM241" i="17"/>
  <c r="AM242" i="17"/>
  <c r="AM243" i="17"/>
  <c r="AM244" i="17"/>
  <c r="AM245" i="17"/>
  <c r="AM246" i="17"/>
  <c r="AM247" i="17"/>
  <c r="AM248" i="17"/>
  <c r="AM249" i="17"/>
  <c r="AM250" i="17"/>
  <c r="AM251" i="17"/>
  <c r="AM252" i="17"/>
  <c r="AM253" i="17"/>
  <c r="AM254" i="17"/>
  <c r="AM255" i="17"/>
  <c r="AM256" i="17"/>
  <c r="AM257" i="17"/>
  <c r="AM258" i="17"/>
  <c r="AM259" i="17"/>
  <c r="AM260" i="17"/>
  <c r="AM261" i="17"/>
  <c r="AM262" i="17"/>
  <c r="AM263" i="17"/>
  <c r="AM264" i="17"/>
  <c r="AM265" i="17"/>
  <c r="AM266" i="17"/>
  <c r="AM267" i="17"/>
  <c r="AM268" i="17"/>
  <c r="AM269" i="17"/>
  <c r="AM270" i="17"/>
  <c r="AM271" i="17"/>
  <c r="AM272" i="17"/>
  <c r="AM273" i="17"/>
  <c r="AM274" i="17"/>
  <c r="AM275" i="17"/>
  <c r="AM276" i="17"/>
  <c r="AM277" i="17"/>
  <c r="AM278" i="17"/>
  <c r="AM279" i="17"/>
  <c r="AM280" i="17"/>
  <c r="AM281" i="17"/>
  <c r="AM282" i="17"/>
  <c r="AM283" i="17"/>
  <c r="AM284" i="17"/>
  <c r="AM285" i="17"/>
  <c r="AM286" i="17"/>
  <c r="AM287" i="17"/>
  <c r="AM288" i="17"/>
  <c r="AM289" i="17"/>
  <c r="AM290" i="17"/>
  <c r="AM291" i="17"/>
  <c r="AM292" i="17"/>
  <c r="AM293" i="17"/>
  <c r="AM294" i="17"/>
  <c r="AM295" i="17"/>
  <c r="AM296" i="17"/>
  <c r="AM297" i="17"/>
  <c r="AM298" i="17"/>
  <c r="AM299" i="17"/>
  <c r="AM300" i="17"/>
  <c r="AM301" i="17"/>
  <c r="AM302" i="17"/>
  <c r="AM303" i="17"/>
  <c r="AM304" i="17"/>
  <c r="AM305" i="17"/>
  <c r="AM306" i="17"/>
  <c r="AM307" i="17"/>
  <c r="AM308" i="17"/>
  <c r="AM309" i="17"/>
  <c r="AM310" i="17"/>
  <c r="AM311" i="17"/>
  <c r="AM312" i="17"/>
  <c r="AM313" i="17"/>
  <c r="AM314" i="17"/>
  <c r="AM315" i="17"/>
  <c r="AM316" i="17"/>
  <c r="AM317" i="17"/>
  <c r="AM318" i="17"/>
  <c r="AM319" i="17"/>
  <c r="AM320" i="17"/>
  <c r="AM321" i="17"/>
  <c r="AM322" i="17"/>
  <c r="AM323" i="17"/>
  <c r="AM324" i="17"/>
  <c r="AM325" i="17"/>
  <c r="AM326" i="17"/>
  <c r="AM327" i="17"/>
  <c r="AM328" i="17"/>
  <c r="AM329" i="17"/>
  <c r="AM330" i="17"/>
  <c r="AM331" i="17"/>
  <c r="AM332" i="17"/>
  <c r="AM333" i="17"/>
  <c r="AM334" i="17"/>
  <c r="AM335" i="17"/>
  <c r="AM336" i="17"/>
  <c r="AM337" i="17"/>
  <c r="AM338" i="17"/>
  <c r="AM339" i="17"/>
  <c r="AM340" i="17"/>
  <c r="AM341" i="17"/>
  <c r="AM342" i="17"/>
  <c r="AM343" i="17"/>
  <c r="AM344" i="17"/>
  <c r="AM345" i="17"/>
  <c r="AM346" i="17"/>
  <c r="AM347" i="17"/>
  <c r="AM348" i="17"/>
  <c r="AM349" i="17"/>
  <c r="AM350" i="17"/>
  <c r="AM351" i="17"/>
  <c r="AM352" i="17"/>
  <c r="AM353" i="17"/>
  <c r="AM354" i="17"/>
  <c r="AM355" i="17"/>
  <c r="AM356" i="17"/>
  <c r="AM357" i="17"/>
  <c r="AM358" i="17"/>
  <c r="AM359" i="17"/>
  <c r="AM360" i="17"/>
  <c r="AM361" i="17"/>
  <c r="AM362" i="17"/>
  <c r="AM363" i="17"/>
  <c r="AM364" i="17"/>
  <c r="AM365" i="17"/>
  <c r="AM366" i="17"/>
  <c r="AM367" i="17"/>
  <c r="AM368" i="17"/>
  <c r="AM369" i="17"/>
  <c r="AM370" i="17"/>
  <c r="AM371" i="17"/>
  <c r="AM372" i="17"/>
  <c r="AM373" i="17"/>
  <c r="AM374" i="17"/>
  <c r="AM375" i="17"/>
  <c r="AM376" i="17"/>
  <c r="AM377" i="17"/>
  <c r="AM378" i="17"/>
  <c r="AM379" i="17"/>
  <c r="AM380" i="17"/>
  <c r="AM381" i="17"/>
  <c r="AM382" i="17"/>
  <c r="AM383" i="17"/>
  <c r="AM384" i="17"/>
  <c r="AM385" i="17"/>
  <c r="AM386" i="17"/>
  <c r="AM387" i="17"/>
  <c r="AM388" i="17"/>
  <c r="AM389" i="17"/>
  <c r="AM390" i="17"/>
  <c r="AM391" i="17"/>
  <c r="AM392" i="17"/>
  <c r="AM393" i="17"/>
  <c r="AM394" i="17"/>
  <c r="AM395" i="17"/>
  <c r="AM396" i="17"/>
  <c r="AM397" i="17"/>
  <c r="AM398" i="17"/>
  <c r="AM399" i="17"/>
  <c r="AM400" i="17"/>
  <c r="AM401" i="17"/>
  <c r="AM402" i="17"/>
  <c r="AM403" i="17"/>
  <c r="AM404" i="17"/>
  <c r="AM405" i="17"/>
  <c r="AM406" i="17"/>
  <c r="AM407" i="17"/>
  <c r="AM408" i="17"/>
  <c r="AM409" i="17"/>
  <c r="AM410" i="17"/>
  <c r="AM411" i="17"/>
  <c r="AM412" i="17"/>
  <c r="AM413" i="17"/>
  <c r="AM414" i="17"/>
  <c r="AM415" i="17"/>
  <c r="AM416" i="17"/>
  <c r="AM417" i="17"/>
  <c r="AM418" i="17"/>
  <c r="AM419" i="17"/>
  <c r="AM420" i="17"/>
  <c r="AM421" i="17"/>
  <c r="AM422" i="17"/>
  <c r="AM423" i="17"/>
  <c r="AM424" i="17"/>
  <c r="AM425" i="17"/>
  <c r="AM426" i="17"/>
  <c r="AM427" i="17"/>
  <c r="AM428" i="17"/>
  <c r="AM429" i="17"/>
  <c r="AM430" i="17"/>
  <c r="AM431" i="17"/>
  <c r="AM432" i="17"/>
  <c r="AM433" i="17"/>
  <c r="AM434" i="17"/>
  <c r="AM435" i="17"/>
  <c r="AM436" i="17"/>
  <c r="AM437" i="17"/>
  <c r="AM438" i="17"/>
  <c r="AM439" i="17"/>
  <c r="AM440" i="17"/>
  <c r="AM441" i="17"/>
  <c r="AM442" i="17"/>
  <c r="AM443" i="17"/>
  <c r="AM444" i="17"/>
  <c r="AM445" i="17"/>
  <c r="AM446" i="17"/>
  <c r="AM447" i="17"/>
  <c r="AM448" i="17"/>
  <c r="AM449" i="17"/>
  <c r="AM450" i="17"/>
  <c r="AM451" i="17"/>
  <c r="AM452" i="17"/>
  <c r="AM453" i="17"/>
  <c r="AM454" i="17"/>
  <c r="AM455" i="17"/>
  <c r="AM456" i="17"/>
  <c r="AM457" i="17"/>
  <c r="AM458" i="17"/>
  <c r="AM459" i="17"/>
  <c r="AM460" i="17"/>
  <c r="AM461" i="17"/>
  <c r="AM462" i="17"/>
  <c r="AM463" i="17"/>
  <c r="AM464" i="17"/>
  <c r="AM465" i="17"/>
  <c r="AM466" i="17"/>
  <c r="AM467" i="17"/>
  <c r="AM468" i="17"/>
  <c r="AM469" i="17"/>
  <c r="AM470" i="17"/>
  <c r="AM471" i="17"/>
  <c r="AM472" i="17"/>
  <c r="AM473" i="17"/>
  <c r="AM474" i="17"/>
  <c r="AM475" i="17"/>
  <c r="AM476" i="17"/>
  <c r="AM477" i="17"/>
  <c r="AM478" i="17"/>
  <c r="AM479" i="17"/>
  <c r="AM480" i="17"/>
  <c r="AM481" i="17"/>
  <c r="AM482" i="17"/>
  <c r="AM483" i="17"/>
  <c r="AM484" i="17"/>
  <c r="AM485" i="17"/>
  <c r="AM486" i="17"/>
  <c r="AM487" i="17"/>
  <c r="AM488" i="17"/>
  <c r="AM489" i="17"/>
  <c r="AM490" i="17"/>
  <c r="AM491" i="17"/>
  <c r="AM492" i="17"/>
  <c r="AM493" i="17"/>
  <c r="AM494" i="17"/>
  <c r="AM495" i="17"/>
  <c r="AM496" i="17"/>
  <c r="AM497" i="17"/>
  <c r="AM498" i="17"/>
  <c r="AM499" i="17"/>
  <c r="AM500" i="17"/>
  <c r="AM501" i="17"/>
  <c r="AM502" i="17"/>
  <c r="AM503" i="17"/>
  <c r="AM504" i="17"/>
  <c r="AM505" i="17"/>
  <c r="AM506" i="17"/>
  <c r="AM507" i="17"/>
  <c r="AM508" i="17"/>
  <c r="AM509" i="17"/>
  <c r="AM510" i="17"/>
  <c r="AM511" i="17"/>
  <c r="AM512" i="17"/>
  <c r="AM513" i="17"/>
  <c r="AM514" i="17"/>
  <c r="AM515" i="17"/>
  <c r="AM516" i="17"/>
  <c r="AM517" i="17"/>
  <c r="AM518" i="17"/>
  <c r="AM519" i="17"/>
  <c r="AM520" i="17"/>
  <c r="AM521" i="17"/>
  <c r="AM522" i="17"/>
  <c r="AM523" i="17"/>
  <c r="AM524" i="17"/>
  <c r="AM525" i="17"/>
  <c r="AM526" i="17"/>
  <c r="AM527" i="17"/>
  <c r="AM528" i="17"/>
  <c r="AM529" i="17"/>
  <c r="AM530" i="17"/>
  <c r="AM531" i="17"/>
  <c r="AM532" i="17"/>
  <c r="AM533" i="17"/>
  <c r="AM534" i="17"/>
  <c r="AM535" i="17"/>
  <c r="AM536" i="17"/>
  <c r="AM537" i="17"/>
  <c r="AM538" i="17"/>
  <c r="AM539" i="17"/>
  <c r="AM540" i="17"/>
  <c r="AM541" i="17"/>
  <c r="AM542" i="17"/>
  <c r="AM543" i="17"/>
  <c r="AM544" i="17"/>
  <c r="AM545" i="17"/>
  <c r="AM546" i="17"/>
  <c r="AM547" i="17"/>
  <c r="AM548" i="17"/>
  <c r="AM549" i="17"/>
  <c r="AM550" i="17"/>
  <c r="AM551" i="17"/>
  <c r="AM552" i="17"/>
  <c r="AM553" i="17"/>
  <c r="AM554" i="17"/>
  <c r="AM555" i="17"/>
  <c r="AM556" i="17"/>
  <c r="AM557" i="17"/>
  <c r="AM558" i="17"/>
  <c r="AM559" i="17"/>
  <c r="AM560" i="17"/>
  <c r="AM561" i="17"/>
  <c r="AM562" i="17"/>
  <c r="AM563" i="17"/>
  <c r="AM564" i="17"/>
  <c r="AM565" i="17"/>
  <c r="AM566" i="17"/>
  <c r="AM567" i="17"/>
  <c r="AM568" i="17"/>
  <c r="AM569" i="17"/>
  <c r="AM570" i="17"/>
  <c r="AM571" i="17"/>
  <c r="AM572" i="17"/>
  <c r="AM573" i="17"/>
  <c r="AM574" i="17"/>
  <c r="AM575" i="17"/>
  <c r="AM576" i="17"/>
  <c r="AM577" i="17"/>
  <c r="AM578" i="17"/>
  <c r="AM579" i="17"/>
  <c r="AM580" i="17"/>
  <c r="AM581" i="17"/>
  <c r="AM582" i="17"/>
  <c r="AM583" i="17"/>
  <c r="AM584" i="17"/>
  <c r="AM585" i="17"/>
  <c r="AM586" i="17"/>
  <c r="AM587" i="17"/>
  <c r="AM588" i="17"/>
  <c r="AM589" i="17"/>
  <c r="AM590" i="17"/>
  <c r="AM591" i="17"/>
  <c r="AM592" i="17"/>
  <c r="AM593" i="17"/>
  <c r="AM594" i="17"/>
  <c r="AM595" i="17"/>
  <c r="AM596" i="17"/>
  <c r="AM597" i="17"/>
  <c r="AM598" i="17"/>
  <c r="AM599" i="17"/>
  <c r="AM600" i="17"/>
  <c r="AM601" i="17"/>
  <c r="AM602" i="17"/>
  <c r="AM603" i="17"/>
  <c r="AM604" i="17"/>
  <c r="AM605" i="17"/>
  <c r="AM606" i="17"/>
  <c r="AM607" i="17"/>
  <c r="AM608" i="17"/>
  <c r="AM609" i="17"/>
  <c r="AM610" i="17"/>
  <c r="AM611" i="17"/>
  <c r="AM612" i="17"/>
  <c r="AM613" i="17"/>
  <c r="AM614" i="17"/>
  <c r="AM615" i="17"/>
  <c r="AM616" i="17"/>
  <c r="AM617" i="17"/>
  <c r="AM618" i="17"/>
  <c r="AM619" i="17"/>
  <c r="AM620" i="17"/>
  <c r="AM621" i="17"/>
  <c r="AM622" i="17"/>
  <c r="AM623" i="17"/>
  <c r="AM624" i="17"/>
  <c r="AM625" i="17"/>
  <c r="AM626" i="17"/>
  <c r="AM627" i="17"/>
  <c r="AM628" i="17"/>
  <c r="AM629" i="17"/>
  <c r="AM630" i="17"/>
  <c r="AM631" i="17"/>
  <c r="AM632" i="17"/>
  <c r="AM633" i="17"/>
  <c r="AM634" i="17"/>
  <c r="AM635" i="17"/>
  <c r="AM636" i="17"/>
  <c r="AM637" i="17"/>
  <c r="AM638" i="17"/>
  <c r="AM639" i="17"/>
  <c r="AM640" i="17"/>
  <c r="AM641" i="17"/>
  <c r="AM642" i="17"/>
  <c r="AM643" i="17"/>
  <c r="AM644" i="17"/>
  <c r="AM645" i="17"/>
  <c r="AM646" i="17"/>
  <c r="AM647" i="17"/>
  <c r="AM648" i="17"/>
  <c r="AM649" i="17"/>
  <c r="AM650" i="17"/>
  <c r="AM651" i="17"/>
  <c r="AM652" i="17"/>
  <c r="AM653" i="17"/>
  <c r="AM654" i="17"/>
  <c r="AM655" i="17"/>
  <c r="AM656" i="17"/>
  <c r="AM657" i="17"/>
  <c r="AM658" i="17"/>
  <c r="AM659" i="17"/>
  <c r="AM660" i="17"/>
  <c r="AM661" i="17"/>
  <c r="AM662" i="17"/>
  <c r="AM663" i="17"/>
  <c r="AM664" i="17"/>
  <c r="AM665" i="17"/>
  <c r="AM666" i="17"/>
  <c r="AM667" i="17"/>
  <c r="AM668" i="17"/>
  <c r="AM669" i="17"/>
  <c r="AM670" i="17"/>
  <c r="AM671" i="17"/>
  <c r="AM672" i="17"/>
  <c r="AM673" i="17"/>
  <c r="AM674" i="17"/>
  <c r="AM675" i="17"/>
  <c r="AM676" i="17"/>
  <c r="AM677" i="17"/>
  <c r="AM678" i="17"/>
  <c r="AM80" i="17"/>
  <c r="F65" i="12" l="1"/>
  <c r="Q40" i="17"/>
  <c r="F66" i="12"/>
  <c r="R40" i="17"/>
  <c r="F64" i="12"/>
  <c r="P40" i="17"/>
  <c r="I691" i="17"/>
  <c r="I79" i="17"/>
  <c r="AM79" i="17" l="1"/>
  <c r="AM691" i="17"/>
  <c r="G691" i="17" l="1"/>
  <c r="C61" i="17" l="1"/>
  <c r="G79" i="17"/>
  <c r="C65" i="17"/>
  <c r="F25" i="12"/>
  <c r="F24" i="12"/>
  <c r="F23" i="12"/>
  <c r="F22" i="12"/>
  <c r="F21" i="12"/>
  <c r="F20" i="12"/>
  <c r="F19" i="12"/>
  <c r="F18" i="12"/>
  <c r="F17" i="12"/>
  <c r="F16" i="12"/>
  <c r="F15" i="12"/>
  <c r="F14" i="12"/>
  <c r="F13" i="12"/>
  <c r="F12" i="12"/>
  <c r="F11" i="12"/>
  <c r="F10" i="12"/>
  <c r="F9" i="12"/>
  <c r="F8" i="12"/>
  <c r="F7" i="12"/>
  <c r="D17" i="13" a="1"/>
  <c r="D17" i="13" s="1"/>
  <c r="C64" i="17" l="1"/>
  <c r="E2" i="13"/>
  <c r="C74" i="17" l="1" a="1"/>
  <c r="C74" i="17" s="1"/>
  <c r="C75" i="17" s="1"/>
  <c r="J79" i="17" s="1"/>
  <c r="S41" i="17"/>
  <c r="O41" i="17"/>
  <c r="N41" i="17"/>
  <c r="M41" i="17"/>
  <c r="L41" i="17"/>
  <c r="K41" i="17"/>
  <c r="J41" i="17"/>
  <c r="I41" i="17"/>
  <c r="H41" i="17"/>
  <c r="G41" i="17"/>
  <c r="D33" i="13" l="1"/>
  <c r="D38" i="13"/>
  <c r="J691" i="17"/>
  <c r="L691" i="17" s="1"/>
  <c r="T41" i="17"/>
  <c r="D34" i="13" l="1"/>
  <c r="D35" i="13" s="1"/>
  <c r="D39" i="13"/>
  <c r="D40" i="13" s="1"/>
  <c r="L79" i="17"/>
  <c r="C60" i="17"/>
  <c r="D60" i="17" s="1"/>
  <c r="E75" i="12"/>
  <c r="E73" i="12"/>
  <c r="E50" i="17"/>
  <c r="D22" i="19" l="1"/>
  <c r="D21" i="19"/>
  <c r="D20" i="19"/>
  <c r="D19" i="19"/>
  <c r="C43" i="17" l="1"/>
  <c r="C56" i="17" s="1"/>
  <c r="A4" i="18" l="1"/>
  <c r="A19" i="18" s="1"/>
  <c r="D8" i="13"/>
  <c r="AO80" i="17"/>
  <c r="AO81" i="17"/>
  <c r="AO82" i="17"/>
  <c r="AO83" i="17"/>
  <c r="AO84" i="17"/>
  <c r="AO85" i="17"/>
  <c r="AO86" i="17"/>
  <c r="AO87" i="17"/>
  <c r="AO88" i="17"/>
  <c r="AO89" i="17"/>
  <c r="AO90" i="17"/>
  <c r="AO91" i="17"/>
  <c r="AO92" i="17"/>
  <c r="AO93" i="17"/>
  <c r="AO94" i="17"/>
  <c r="AO95" i="17"/>
  <c r="AO96" i="17"/>
  <c r="AO97" i="17"/>
  <c r="AO98" i="17"/>
  <c r="AO99" i="17"/>
  <c r="AO100" i="17"/>
  <c r="AO101" i="17"/>
  <c r="AO102" i="17"/>
  <c r="AO103" i="17"/>
  <c r="AO104" i="17"/>
  <c r="AO105" i="17"/>
  <c r="AO106" i="17"/>
  <c r="AO107" i="17"/>
  <c r="AO108" i="17"/>
  <c r="AO109" i="17"/>
  <c r="AO110" i="17"/>
  <c r="AO111" i="17"/>
  <c r="AO112" i="17"/>
  <c r="AO113" i="17"/>
  <c r="AO114" i="17"/>
  <c r="AO115" i="17"/>
  <c r="AO116" i="17"/>
  <c r="AO117" i="17"/>
  <c r="AO118" i="17"/>
  <c r="AO119" i="17"/>
  <c r="AO120" i="17"/>
  <c r="AO121" i="17"/>
  <c r="AO122" i="17"/>
  <c r="AO123" i="17"/>
  <c r="AO124" i="17"/>
  <c r="AO125" i="17"/>
  <c r="AO126" i="17"/>
  <c r="AO127" i="17"/>
  <c r="AO128" i="17"/>
  <c r="AO129" i="17"/>
  <c r="AO130" i="17"/>
  <c r="AO131" i="17"/>
  <c r="AO132" i="17"/>
  <c r="AO133" i="17"/>
  <c r="AO134" i="17"/>
  <c r="AO135" i="17"/>
  <c r="AO136" i="17"/>
  <c r="AO137" i="17"/>
  <c r="AO138" i="17"/>
  <c r="AO139" i="17"/>
  <c r="AO140" i="17"/>
  <c r="AO141" i="17"/>
  <c r="AO142" i="17"/>
  <c r="AO143" i="17"/>
  <c r="AO144" i="17"/>
  <c r="AO145" i="17"/>
  <c r="AO146" i="17"/>
  <c r="AO147" i="17"/>
  <c r="AO148" i="17"/>
  <c r="AO149" i="17"/>
  <c r="AO150" i="17"/>
  <c r="AO151" i="17"/>
  <c r="AO152" i="17"/>
  <c r="AO153" i="17"/>
  <c r="AO154" i="17"/>
  <c r="AO155" i="17"/>
  <c r="AO156" i="17"/>
  <c r="AO157" i="17"/>
  <c r="AO158" i="17"/>
  <c r="AO159" i="17"/>
  <c r="AO160" i="17"/>
  <c r="AO161" i="17"/>
  <c r="AO162" i="17"/>
  <c r="AO163" i="17"/>
  <c r="AO164" i="17"/>
  <c r="AO165" i="17"/>
  <c r="AO166" i="17"/>
  <c r="AO167" i="17"/>
  <c r="AO168" i="17"/>
  <c r="AO169" i="17"/>
  <c r="AO170" i="17"/>
  <c r="AO171" i="17"/>
  <c r="AO172" i="17"/>
  <c r="AO173" i="17"/>
  <c r="AO174" i="17"/>
  <c r="AO175" i="17"/>
  <c r="AO176" i="17"/>
  <c r="AO177" i="17"/>
  <c r="AO178" i="17"/>
  <c r="AO179" i="17"/>
  <c r="AO180" i="17"/>
  <c r="AO181" i="17"/>
  <c r="AO182" i="17"/>
  <c r="AO183" i="17"/>
  <c r="AO184" i="17"/>
  <c r="AO185" i="17"/>
  <c r="AO186" i="17"/>
  <c r="AO187" i="17"/>
  <c r="AO188" i="17"/>
  <c r="AO189" i="17"/>
  <c r="AO190" i="17"/>
  <c r="AO191" i="17"/>
  <c r="AO192" i="17"/>
  <c r="AO193" i="17"/>
  <c r="AO194" i="17"/>
  <c r="AO195" i="17"/>
  <c r="AO196" i="17"/>
  <c r="AO197" i="17"/>
  <c r="AO198" i="17"/>
  <c r="AO199" i="17"/>
  <c r="AO200" i="17"/>
  <c r="AO201" i="17"/>
  <c r="AO202" i="17"/>
  <c r="AO203" i="17"/>
  <c r="AO204" i="17"/>
  <c r="AO205" i="17"/>
  <c r="AO206" i="17"/>
  <c r="AO207" i="17"/>
  <c r="AO208" i="17"/>
  <c r="AO209" i="17"/>
  <c r="AO210" i="17"/>
  <c r="AO211" i="17"/>
  <c r="AO212" i="17"/>
  <c r="AO213" i="17"/>
  <c r="AO214" i="17"/>
  <c r="AO215" i="17"/>
  <c r="AO216" i="17"/>
  <c r="AO217" i="17"/>
  <c r="AO218" i="17"/>
  <c r="AO219" i="17"/>
  <c r="AO220" i="17"/>
  <c r="AO221" i="17"/>
  <c r="AO222" i="17"/>
  <c r="AO223" i="17"/>
  <c r="AO224" i="17"/>
  <c r="AO225" i="17"/>
  <c r="AO226" i="17"/>
  <c r="AO227" i="17"/>
  <c r="AO228" i="17"/>
  <c r="AO229" i="17"/>
  <c r="AO230" i="17"/>
  <c r="AO231" i="17"/>
  <c r="AO232" i="17"/>
  <c r="AO233" i="17"/>
  <c r="AO234" i="17"/>
  <c r="AO235" i="17"/>
  <c r="AO236" i="17"/>
  <c r="AO237" i="17"/>
  <c r="AO238" i="17"/>
  <c r="AO239" i="17"/>
  <c r="AO240" i="17"/>
  <c r="AO241" i="17"/>
  <c r="AO242" i="17"/>
  <c r="AO243" i="17"/>
  <c r="AO244" i="17"/>
  <c r="AO245" i="17"/>
  <c r="AO246" i="17"/>
  <c r="AO247" i="17"/>
  <c r="AO248" i="17"/>
  <c r="AO249" i="17"/>
  <c r="AO250" i="17"/>
  <c r="AO251" i="17"/>
  <c r="AO252" i="17"/>
  <c r="AO253" i="17"/>
  <c r="AO254" i="17"/>
  <c r="AO255" i="17"/>
  <c r="AO256" i="17"/>
  <c r="AO257" i="17"/>
  <c r="AO258" i="17"/>
  <c r="AO259" i="17"/>
  <c r="AO260" i="17"/>
  <c r="AO261" i="17"/>
  <c r="AO262" i="17"/>
  <c r="AO263" i="17"/>
  <c r="AO264" i="17"/>
  <c r="AO265" i="17"/>
  <c r="AO266" i="17"/>
  <c r="AO267" i="17"/>
  <c r="AO268" i="17"/>
  <c r="AO269" i="17"/>
  <c r="AO270" i="17"/>
  <c r="AO271" i="17"/>
  <c r="AO272" i="17"/>
  <c r="AO273" i="17"/>
  <c r="AO274" i="17"/>
  <c r="AO275" i="17"/>
  <c r="AO276" i="17"/>
  <c r="AO277" i="17"/>
  <c r="AO278" i="17"/>
  <c r="AO279" i="17"/>
  <c r="AO280" i="17"/>
  <c r="AO281" i="17"/>
  <c r="AO282" i="17"/>
  <c r="AO283" i="17"/>
  <c r="AO284" i="17"/>
  <c r="AO285" i="17"/>
  <c r="AO286" i="17"/>
  <c r="AO287" i="17"/>
  <c r="AO288" i="17"/>
  <c r="AO289" i="17"/>
  <c r="AO290" i="17"/>
  <c r="AO291" i="17"/>
  <c r="AO292" i="17"/>
  <c r="AO293" i="17"/>
  <c r="AO294" i="17"/>
  <c r="AO295" i="17"/>
  <c r="AO296" i="17"/>
  <c r="AO297" i="17"/>
  <c r="AO298" i="17"/>
  <c r="AO299" i="17"/>
  <c r="AO300" i="17"/>
  <c r="AO301" i="17"/>
  <c r="AO302" i="17"/>
  <c r="AO303" i="17"/>
  <c r="AO304" i="17"/>
  <c r="AO305" i="17"/>
  <c r="AO306" i="17"/>
  <c r="AO307" i="17"/>
  <c r="AO308" i="17"/>
  <c r="AO309" i="17"/>
  <c r="AO310" i="17"/>
  <c r="AO311" i="17"/>
  <c r="AO312" i="17"/>
  <c r="AO313" i="17"/>
  <c r="AO314" i="17"/>
  <c r="AO315" i="17"/>
  <c r="AO316" i="17"/>
  <c r="AO317" i="17"/>
  <c r="AO318" i="17"/>
  <c r="AO319" i="17"/>
  <c r="AO320" i="17"/>
  <c r="AO321" i="17"/>
  <c r="AO322" i="17"/>
  <c r="AO323" i="17"/>
  <c r="AO324" i="17"/>
  <c r="AO325" i="17"/>
  <c r="AO326" i="17"/>
  <c r="AO327" i="17"/>
  <c r="AO328" i="17"/>
  <c r="AO329" i="17"/>
  <c r="AO330" i="17"/>
  <c r="AO331" i="17"/>
  <c r="AO332" i="17"/>
  <c r="AO333" i="17"/>
  <c r="AO334" i="17"/>
  <c r="AO335" i="17"/>
  <c r="AO336" i="17"/>
  <c r="AO337" i="17"/>
  <c r="AO338" i="17"/>
  <c r="AO339" i="17"/>
  <c r="AO340" i="17"/>
  <c r="AO341" i="17"/>
  <c r="AO342" i="17"/>
  <c r="AO343" i="17"/>
  <c r="AO344" i="17"/>
  <c r="AO345" i="17"/>
  <c r="AO346" i="17"/>
  <c r="AO347" i="17"/>
  <c r="AO348" i="17"/>
  <c r="AO349" i="17"/>
  <c r="AO350" i="17"/>
  <c r="AO351" i="17"/>
  <c r="AO352" i="17"/>
  <c r="AO353" i="17"/>
  <c r="AO354" i="17"/>
  <c r="AO355" i="17"/>
  <c r="AO356" i="17"/>
  <c r="AO357" i="17"/>
  <c r="AO358" i="17"/>
  <c r="AO359" i="17"/>
  <c r="AO360" i="17"/>
  <c r="AO361" i="17"/>
  <c r="AO362" i="17"/>
  <c r="AO363" i="17"/>
  <c r="AO364" i="17"/>
  <c r="AO365" i="17"/>
  <c r="AO366" i="17"/>
  <c r="AO367" i="17"/>
  <c r="AO368" i="17"/>
  <c r="AO369" i="17"/>
  <c r="AO370" i="17"/>
  <c r="AO371" i="17"/>
  <c r="AO372" i="17"/>
  <c r="AO373" i="17"/>
  <c r="AO374" i="17"/>
  <c r="AO375" i="17"/>
  <c r="AO376" i="17"/>
  <c r="AO377" i="17"/>
  <c r="AO378" i="17"/>
  <c r="AO379" i="17"/>
  <c r="AO380" i="17"/>
  <c r="AO381" i="17"/>
  <c r="AO382" i="17"/>
  <c r="AO383" i="17"/>
  <c r="AO384" i="17"/>
  <c r="AO385" i="17"/>
  <c r="AO386" i="17"/>
  <c r="AO387" i="17"/>
  <c r="AO388" i="17"/>
  <c r="AO389" i="17"/>
  <c r="AO390" i="17"/>
  <c r="AO391" i="17"/>
  <c r="AO392" i="17"/>
  <c r="AO393" i="17"/>
  <c r="AO394" i="17"/>
  <c r="AO395" i="17"/>
  <c r="AO396" i="17"/>
  <c r="AO397" i="17"/>
  <c r="AO398" i="17"/>
  <c r="AO399" i="17"/>
  <c r="AO400" i="17"/>
  <c r="AO401" i="17"/>
  <c r="AO402" i="17"/>
  <c r="AO403" i="17"/>
  <c r="AO404" i="17"/>
  <c r="AO405" i="17"/>
  <c r="AO406" i="17"/>
  <c r="AO407" i="17"/>
  <c r="AO408" i="17"/>
  <c r="AO409" i="17"/>
  <c r="AO410" i="17"/>
  <c r="AO411" i="17"/>
  <c r="AO412" i="17"/>
  <c r="AO413" i="17"/>
  <c r="AO414" i="17"/>
  <c r="AO415" i="17"/>
  <c r="AO416" i="17"/>
  <c r="AO417" i="17"/>
  <c r="AO418" i="17"/>
  <c r="AO419" i="17"/>
  <c r="AO420" i="17"/>
  <c r="AO421" i="17"/>
  <c r="AO422" i="17"/>
  <c r="AO423" i="17"/>
  <c r="AO424" i="17"/>
  <c r="AO425" i="17"/>
  <c r="AO426" i="17"/>
  <c r="AO427" i="17"/>
  <c r="AO428" i="17"/>
  <c r="AO429" i="17"/>
  <c r="AO430" i="17"/>
  <c r="AO431" i="17"/>
  <c r="AO432" i="17"/>
  <c r="AO433" i="17"/>
  <c r="AO434" i="17"/>
  <c r="AO435" i="17"/>
  <c r="AO436" i="17"/>
  <c r="AO437" i="17"/>
  <c r="AO438" i="17"/>
  <c r="AO439" i="17"/>
  <c r="AO440" i="17"/>
  <c r="AO441" i="17"/>
  <c r="AO442" i="17"/>
  <c r="AO443" i="17"/>
  <c r="AO444" i="17"/>
  <c r="AO445" i="17"/>
  <c r="AO446" i="17"/>
  <c r="AO447" i="17"/>
  <c r="AO448" i="17"/>
  <c r="AO449" i="17"/>
  <c r="AO450" i="17"/>
  <c r="AO451" i="17"/>
  <c r="AO452" i="17"/>
  <c r="AO453" i="17"/>
  <c r="AO454" i="17"/>
  <c r="AO455" i="17"/>
  <c r="AO456" i="17"/>
  <c r="AO457" i="17"/>
  <c r="AO458" i="17"/>
  <c r="AO459" i="17"/>
  <c r="AO460" i="17"/>
  <c r="AO461" i="17"/>
  <c r="AO462" i="17"/>
  <c r="AO463" i="17"/>
  <c r="AO464" i="17"/>
  <c r="AO465" i="17"/>
  <c r="AO466" i="17"/>
  <c r="AO467" i="17"/>
  <c r="AO468" i="17"/>
  <c r="AO469" i="17"/>
  <c r="AO470" i="17"/>
  <c r="AO471" i="17"/>
  <c r="AO472" i="17"/>
  <c r="AO473" i="17"/>
  <c r="AO474" i="17"/>
  <c r="AO475" i="17"/>
  <c r="AO476" i="17"/>
  <c r="AO477" i="17"/>
  <c r="AO478" i="17"/>
  <c r="AO479" i="17"/>
  <c r="AO480" i="17"/>
  <c r="AO481" i="17"/>
  <c r="AO482" i="17"/>
  <c r="AO483" i="17"/>
  <c r="AO484" i="17"/>
  <c r="AO485" i="17"/>
  <c r="AO486" i="17"/>
  <c r="AO487" i="17"/>
  <c r="AO488" i="17"/>
  <c r="AO489" i="17"/>
  <c r="AO490" i="17"/>
  <c r="AO491" i="17"/>
  <c r="AO492" i="17"/>
  <c r="AO493" i="17"/>
  <c r="AO494" i="17"/>
  <c r="AO495" i="17"/>
  <c r="AO496" i="17"/>
  <c r="AO497" i="17"/>
  <c r="AO498" i="17"/>
  <c r="AO499" i="17"/>
  <c r="AO500" i="17"/>
  <c r="AO501" i="17"/>
  <c r="AO502" i="17"/>
  <c r="AO503" i="17"/>
  <c r="AO504" i="17"/>
  <c r="AO505" i="17"/>
  <c r="AO506" i="17"/>
  <c r="AO507" i="17"/>
  <c r="AO508" i="17"/>
  <c r="AO509" i="17"/>
  <c r="AO510" i="17"/>
  <c r="AO511" i="17"/>
  <c r="AO512" i="17"/>
  <c r="AO513" i="17"/>
  <c r="AO514" i="17"/>
  <c r="AO515" i="17"/>
  <c r="AO516" i="17"/>
  <c r="AO517" i="17"/>
  <c r="AO518" i="17"/>
  <c r="AO519" i="17"/>
  <c r="AO520" i="17"/>
  <c r="AO521" i="17"/>
  <c r="AO522" i="17"/>
  <c r="AO523" i="17"/>
  <c r="AO524" i="17"/>
  <c r="AO525" i="17"/>
  <c r="AO526" i="17"/>
  <c r="AO527" i="17"/>
  <c r="AO528" i="17"/>
  <c r="AO529" i="17"/>
  <c r="AO530" i="17"/>
  <c r="AO531" i="17"/>
  <c r="AO532" i="17"/>
  <c r="AO533" i="17"/>
  <c r="AO534" i="17"/>
  <c r="AO535" i="17"/>
  <c r="AO536" i="17"/>
  <c r="AO537" i="17"/>
  <c r="AO538" i="17"/>
  <c r="AO539" i="17"/>
  <c r="AO540" i="17"/>
  <c r="AO541" i="17"/>
  <c r="AO542" i="17"/>
  <c r="AO543" i="17"/>
  <c r="AO544" i="17"/>
  <c r="AO545" i="17"/>
  <c r="AO546" i="17"/>
  <c r="AO547" i="17"/>
  <c r="AO548" i="17"/>
  <c r="AO549" i="17"/>
  <c r="AO550" i="17"/>
  <c r="AO551" i="17"/>
  <c r="AO552" i="17"/>
  <c r="AO553" i="17"/>
  <c r="AO554" i="17"/>
  <c r="AO555" i="17"/>
  <c r="AO556" i="17"/>
  <c r="AO557" i="17"/>
  <c r="AO558" i="17"/>
  <c r="AO559" i="17"/>
  <c r="AO560" i="17"/>
  <c r="AO561" i="17"/>
  <c r="AO562" i="17"/>
  <c r="AO563" i="17"/>
  <c r="AO564" i="17"/>
  <c r="AO565" i="17"/>
  <c r="AO566" i="17"/>
  <c r="AO567" i="17"/>
  <c r="AO568" i="17"/>
  <c r="AO569" i="17"/>
  <c r="AO570" i="17"/>
  <c r="AO571" i="17"/>
  <c r="AO572" i="17"/>
  <c r="AO573" i="17"/>
  <c r="AO574" i="17"/>
  <c r="AO575" i="17"/>
  <c r="AO576" i="17"/>
  <c r="AO577" i="17"/>
  <c r="AO578" i="17"/>
  <c r="AO579" i="17"/>
  <c r="AO580" i="17"/>
  <c r="AO581" i="17"/>
  <c r="AO582" i="17"/>
  <c r="AO583" i="17"/>
  <c r="AO584" i="17"/>
  <c r="AO585" i="17"/>
  <c r="AO586" i="17"/>
  <c r="AO587" i="17"/>
  <c r="AO588" i="17"/>
  <c r="AO589" i="17"/>
  <c r="AO590" i="17"/>
  <c r="AO591" i="17"/>
  <c r="AO592" i="17"/>
  <c r="AO593" i="17"/>
  <c r="AO594" i="17"/>
  <c r="AO595" i="17"/>
  <c r="AO596" i="17"/>
  <c r="AO597" i="17"/>
  <c r="AO598" i="17"/>
  <c r="AO599" i="17"/>
  <c r="AO600" i="17"/>
  <c r="AO601" i="17"/>
  <c r="AO602" i="17"/>
  <c r="AO603" i="17"/>
  <c r="AO604" i="17"/>
  <c r="AO605" i="17"/>
  <c r="AO606" i="17"/>
  <c r="AO607" i="17"/>
  <c r="AO608" i="17"/>
  <c r="AO609" i="17"/>
  <c r="AO610" i="17"/>
  <c r="AO611" i="17"/>
  <c r="AO612" i="17"/>
  <c r="AO613" i="17"/>
  <c r="AO614" i="17"/>
  <c r="AO615" i="17"/>
  <c r="AO616" i="17"/>
  <c r="AO617" i="17"/>
  <c r="AO618" i="17"/>
  <c r="AO619" i="17"/>
  <c r="AO620" i="17"/>
  <c r="AO621" i="17"/>
  <c r="AO622" i="17"/>
  <c r="AO623" i="17"/>
  <c r="AO624" i="17"/>
  <c r="AO625" i="17"/>
  <c r="AO626" i="17"/>
  <c r="AO627" i="17"/>
  <c r="AO628" i="17"/>
  <c r="AO629" i="17"/>
  <c r="AO630" i="17"/>
  <c r="AO631" i="17"/>
  <c r="AO632" i="17"/>
  <c r="AO633" i="17"/>
  <c r="AO634" i="17"/>
  <c r="AO635" i="17"/>
  <c r="AO636" i="17"/>
  <c r="AO637" i="17"/>
  <c r="AO638" i="17"/>
  <c r="AO639" i="17"/>
  <c r="AO640" i="17"/>
  <c r="AO641" i="17"/>
  <c r="AO642" i="17"/>
  <c r="AO643" i="17"/>
  <c r="AO644" i="17"/>
  <c r="AO645" i="17"/>
  <c r="AO646" i="17"/>
  <c r="AO647" i="17"/>
  <c r="AO648" i="17"/>
  <c r="AO649" i="17"/>
  <c r="AO650" i="17"/>
  <c r="AO651" i="17"/>
  <c r="AO652" i="17"/>
  <c r="AO653" i="17"/>
  <c r="AO654" i="17"/>
  <c r="AO655" i="17"/>
  <c r="AO656" i="17"/>
  <c r="AO657" i="17"/>
  <c r="AO658" i="17"/>
  <c r="AO659" i="17"/>
  <c r="AO660" i="17"/>
  <c r="AO661" i="17"/>
  <c r="AO662" i="17"/>
  <c r="AO663" i="17"/>
  <c r="AO664" i="17"/>
  <c r="AO665" i="17"/>
  <c r="AO666" i="17"/>
  <c r="AO667" i="17"/>
  <c r="AO668" i="17"/>
  <c r="AO669" i="17"/>
  <c r="AO670" i="17"/>
  <c r="AO671" i="17"/>
  <c r="AO672" i="17"/>
  <c r="AO673" i="17"/>
  <c r="AO674" i="17"/>
  <c r="AO675" i="17"/>
  <c r="AO676" i="17"/>
  <c r="AO677" i="17"/>
  <c r="AO678" i="17"/>
  <c r="AO79" i="17"/>
  <c r="AC690" i="17"/>
  <c r="AB690" i="17"/>
  <c r="AA690" i="17"/>
  <c r="Z690" i="17"/>
  <c r="Y690" i="17"/>
  <c r="X690" i="17"/>
  <c r="W690" i="17"/>
  <c r="C692" i="17"/>
  <c r="C693" i="17" s="1"/>
  <c r="A692" i="17"/>
  <c r="AL691" i="17"/>
  <c r="AH691" i="17"/>
  <c r="AG691" i="17"/>
  <c r="AF691" i="17"/>
  <c r="AE691" i="17"/>
  <c r="AD691" i="17"/>
  <c r="A691" i="17"/>
  <c r="C48" i="17"/>
  <c r="E1289" i="17" l="1"/>
  <c r="E1285" i="17"/>
  <c r="E1281" i="17"/>
  <c r="E1277" i="17"/>
  <c r="E1273" i="17"/>
  <c r="E1269" i="17"/>
  <c r="E1265" i="17"/>
  <c r="E1261" i="17"/>
  <c r="E1257" i="17"/>
  <c r="E1253" i="17"/>
  <c r="E1249" i="17"/>
  <c r="E1245" i="17"/>
  <c r="E1241" i="17"/>
  <c r="E1237" i="17"/>
  <c r="E1233" i="17"/>
  <c r="E1229" i="17"/>
  <c r="E1225" i="17"/>
  <c r="E1221" i="17"/>
  <c r="E1217" i="17"/>
  <c r="E1213" i="17"/>
  <c r="E1209" i="17"/>
  <c r="E1205" i="17"/>
  <c r="E1201" i="17"/>
  <c r="E1197" i="17"/>
  <c r="E1193" i="17"/>
  <c r="E1189" i="17"/>
  <c r="E1185" i="17"/>
  <c r="E1181" i="17"/>
  <c r="E1177" i="17"/>
  <c r="E1173" i="17"/>
  <c r="E1169" i="17"/>
  <c r="E1165" i="17"/>
  <c r="E1161" i="17"/>
  <c r="E1157" i="17"/>
  <c r="E1153" i="17"/>
  <c r="E1149" i="17"/>
  <c r="E1145" i="17"/>
  <c r="E1141" i="17"/>
  <c r="E1137" i="17"/>
  <c r="E1133" i="17"/>
  <c r="E1129" i="17"/>
  <c r="E1125" i="17"/>
  <c r="E1121" i="17"/>
  <c r="E1117" i="17"/>
  <c r="E1113" i="17"/>
  <c r="E1109" i="17"/>
  <c r="E1105" i="17"/>
  <c r="E1101" i="17"/>
  <c r="E1097" i="17"/>
  <c r="E1093" i="17"/>
  <c r="E1089" i="17"/>
  <c r="E1085" i="17"/>
  <c r="E1081" i="17"/>
  <c r="E1077" i="17"/>
  <c r="E1073" i="17"/>
  <c r="E1069" i="17"/>
  <c r="E1065" i="17"/>
  <c r="E1061" i="17"/>
  <c r="E1057" i="17"/>
  <c r="E1053" i="17"/>
  <c r="E1049" i="17"/>
  <c r="E1045" i="17"/>
  <c r="E1041" i="17"/>
  <c r="E1037" i="17"/>
  <c r="E1033" i="17"/>
  <c r="E1029" i="17"/>
  <c r="E1025" i="17"/>
  <c r="E1021" i="17"/>
  <c r="E1017" i="17"/>
  <c r="E1013" i="17"/>
  <c r="E1009" i="17"/>
  <c r="E1005" i="17"/>
  <c r="E1001" i="17"/>
  <c r="E997" i="17"/>
  <c r="E993" i="17"/>
  <c r="E989" i="17"/>
  <c r="E985" i="17"/>
  <c r="E981" i="17"/>
  <c r="E977" i="17"/>
  <c r="E973" i="17"/>
  <c r="E969" i="17"/>
  <c r="E965" i="17"/>
  <c r="E961" i="17"/>
  <c r="E957" i="17"/>
  <c r="E953" i="17"/>
  <c r="E1290" i="17"/>
  <c r="E1286" i="17"/>
  <c r="E1282" i="17"/>
  <c r="E1278" i="17"/>
  <c r="E1274" i="17"/>
  <c r="E1270" i="17"/>
  <c r="E1266" i="17"/>
  <c r="E1262" i="17"/>
  <c r="E1258" i="17"/>
  <c r="E1254" i="17"/>
  <c r="E1250" i="17"/>
  <c r="E1246" i="17"/>
  <c r="E1242" i="17"/>
  <c r="E1238" i="17"/>
  <c r="E1234" i="17"/>
  <c r="E1230" i="17"/>
  <c r="E1226" i="17"/>
  <c r="E1222" i="17"/>
  <c r="E1218" i="17"/>
  <c r="E1214" i="17"/>
  <c r="E1210" i="17"/>
  <c r="E1206" i="17"/>
  <c r="E1202" i="17"/>
  <c r="E1198" i="17"/>
  <c r="E1194" i="17"/>
  <c r="E1190" i="17"/>
  <c r="E1186" i="17"/>
  <c r="E1182" i="17"/>
  <c r="E1178" i="17"/>
  <c r="E1174" i="17"/>
  <c r="E1170" i="17"/>
  <c r="E1166" i="17"/>
  <c r="E1162" i="17"/>
  <c r="E1158" i="17"/>
  <c r="E1154" i="17"/>
  <c r="E1150" i="17"/>
  <c r="E1146" i="17"/>
  <c r="E1142" i="17"/>
  <c r="E1138" i="17"/>
  <c r="E1134" i="17"/>
  <c r="E1130" i="17"/>
  <c r="E1126" i="17"/>
  <c r="E1122" i="17"/>
  <c r="E1118" i="17"/>
  <c r="E1114" i="17"/>
  <c r="E1110" i="17"/>
  <c r="E1106" i="17"/>
  <c r="E1102" i="17"/>
  <c r="E1098" i="17"/>
  <c r="E1094" i="17"/>
  <c r="E1090" i="17"/>
  <c r="E1086" i="17"/>
  <c r="E1082" i="17"/>
  <c r="E1078" i="17"/>
  <c r="E1074" i="17"/>
  <c r="E1070" i="17"/>
  <c r="E1066" i="17"/>
  <c r="E1062" i="17"/>
  <c r="E1058" i="17"/>
  <c r="E1054" i="17"/>
  <c r="E1050" i="17"/>
  <c r="E1046" i="17"/>
  <c r="E1042" i="17"/>
  <c r="E1038" i="17"/>
  <c r="E1034" i="17"/>
  <c r="E1030" i="17"/>
  <c r="E1026" i="17"/>
  <c r="E1022" i="17"/>
  <c r="E1018" i="17"/>
  <c r="E1014" i="17"/>
  <c r="E1010" i="17"/>
  <c r="E1006" i="17"/>
  <c r="E1002" i="17"/>
  <c r="E998" i="17"/>
  <c r="E994" i="17"/>
  <c r="E990" i="17"/>
  <c r="E986" i="17"/>
  <c r="E982" i="17"/>
  <c r="E978" i="17"/>
  <c r="E974" i="17"/>
  <c r="E970" i="17"/>
  <c r="E966" i="17"/>
  <c r="E962" i="17"/>
  <c r="E958" i="17"/>
  <c r="E954" i="17"/>
  <c r="E1287" i="17"/>
  <c r="E1279" i="17"/>
  <c r="E1271" i="17"/>
  <c r="E1263" i="17"/>
  <c r="E1255" i="17"/>
  <c r="E1247" i="17"/>
  <c r="E1239" i="17"/>
  <c r="E1231" i="17"/>
  <c r="E1223" i="17"/>
  <c r="E1215" i="17"/>
  <c r="E1207" i="17"/>
  <c r="E1199" i="17"/>
  <c r="E1191" i="17"/>
  <c r="E1183" i="17"/>
  <c r="E1175" i="17"/>
  <c r="E1167" i="17"/>
  <c r="E1159" i="17"/>
  <c r="E1151" i="17"/>
  <c r="E1143" i="17"/>
  <c r="E1135" i="17"/>
  <c r="E1127" i="17"/>
  <c r="E1119" i="17"/>
  <c r="E1111" i="17"/>
  <c r="E1103" i="17"/>
  <c r="E1095" i="17"/>
  <c r="E1087" i="17"/>
  <c r="E1079" i="17"/>
  <c r="E1071" i="17"/>
  <c r="E1063" i="17"/>
  <c r="E1055" i="17"/>
  <c r="E1047" i="17"/>
  <c r="E1039" i="17"/>
  <c r="E1031" i="17"/>
  <c r="E1023" i="17"/>
  <c r="E1015" i="17"/>
  <c r="E1007" i="17"/>
  <c r="E999" i="17"/>
  <c r="E991" i="17"/>
  <c r="E983" i="17"/>
  <c r="E975" i="17"/>
  <c r="E967" i="17"/>
  <c r="E959" i="17"/>
  <c r="E951" i="17"/>
  <c r="E947" i="17"/>
  <c r="E943" i="17"/>
  <c r="E939" i="17"/>
  <c r="E935" i="17"/>
  <c r="E931" i="17"/>
  <c r="E927" i="17"/>
  <c r="E923" i="17"/>
  <c r="E919" i="17"/>
  <c r="E915" i="17"/>
  <c r="E911" i="17"/>
  <c r="E907" i="17"/>
  <c r="E903" i="17"/>
  <c r="E899" i="17"/>
  <c r="E895" i="17"/>
  <c r="E891" i="17"/>
  <c r="E887" i="17"/>
  <c r="E883" i="17"/>
  <c r="E879" i="17"/>
  <c r="E875" i="17"/>
  <c r="E871" i="17"/>
  <c r="E867" i="17"/>
  <c r="E863" i="17"/>
  <c r="E859" i="17"/>
  <c r="E855" i="17"/>
  <c r="E851" i="17"/>
  <c r="E847" i="17"/>
  <c r="E843" i="17"/>
  <c r="E839" i="17"/>
  <c r="E835" i="17"/>
  <c r="E831" i="17"/>
  <c r="E827" i="17"/>
  <c r="E823" i="17"/>
  <c r="E819" i="17"/>
  <c r="E815" i="17"/>
  <c r="E811" i="17"/>
  <c r="E807" i="17"/>
  <c r="E803" i="17"/>
  <c r="E799" i="17"/>
  <c r="E795" i="17"/>
  <c r="E791" i="17"/>
  <c r="E787" i="17"/>
  <c r="E783" i="17"/>
  <c r="E779" i="17"/>
  <c r="E775" i="17"/>
  <c r="E771" i="17"/>
  <c r="E767" i="17"/>
  <c r="E763" i="17"/>
  <c r="E759" i="17"/>
  <c r="E755" i="17"/>
  <c r="E751" i="17"/>
  <c r="E747" i="17"/>
  <c r="E743" i="17"/>
  <c r="E739" i="17"/>
  <c r="E735" i="17"/>
  <c r="E731" i="17"/>
  <c r="E727" i="17"/>
  <c r="E723" i="17"/>
  <c r="E719" i="17"/>
  <c r="E715" i="17"/>
  <c r="E711" i="17"/>
  <c r="E707" i="17"/>
  <c r="E703" i="17"/>
  <c r="E699" i="17"/>
  <c r="E695" i="17"/>
  <c r="E1288" i="17"/>
  <c r="E1280" i="17"/>
  <c r="E1272" i="17"/>
  <c r="E1264" i="17"/>
  <c r="E1256" i="17"/>
  <c r="E1248" i="17"/>
  <c r="E1240" i="17"/>
  <c r="E1232" i="17"/>
  <c r="E1224" i="17"/>
  <c r="E1216" i="17"/>
  <c r="E1208" i="17"/>
  <c r="E1200" i="17"/>
  <c r="E1192" i="17"/>
  <c r="E1184" i="17"/>
  <c r="E1176" i="17"/>
  <c r="E1168" i="17"/>
  <c r="E1160" i="17"/>
  <c r="E1152" i="17"/>
  <c r="E1144" i="17"/>
  <c r="E1136" i="17"/>
  <c r="E1128" i="17"/>
  <c r="E1120" i="17"/>
  <c r="E1112" i="17"/>
  <c r="E1104" i="17"/>
  <c r="E1096" i="17"/>
  <c r="E1088" i="17"/>
  <c r="E1080" i="17"/>
  <c r="E1072" i="17"/>
  <c r="E1064" i="17"/>
  <c r="E1056" i="17"/>
  <c r="E1048" i="17"/>
  <c r="E1040" i="17"/>
  <c r="E1032" i="17"/>
  <c r="E1024" i="17"/>
  <c r="E1016" i="17"/>
  <c r="E1008" i="17"/>
  <c r="E1000" i="17"/>
  <c r="E992" i="17"/>
  <c r="E984" i="17"/>
  <c r="E976" i="17"/>
  <c r="E968" i="17"/>
  <c r="E960" i="17"/>
  <c r="E952" i="17"/>
  <c r="E948" i="17"/>
  <c r="E944" i="17"/>
  <c r="E940" i="17"/>
  <c r="E936" i="17"/>
  <c r="E932" i="17"/>
  <c r="E928" i="17"/>
  <c r="E924" i="17"/>
  <c r="E920" i="17"/>
  <c r="E916" i="17"/>
  <c r="E912" i="17"/>
  <c r="E908" i="17"/>
  <c r="E904" i="17"/>
  <c r="E900" i="17"/>
  <c r="E896" i="17"/>
  <c r="E892" i="17"/>
  <c r="E888" i="17"/>
  <c r="E884" i="17"/>
  <c r="E880" i="17"/>
  <c r="E876" i="17"/>
  <c r="E872" i="17"/>
  <c r="E692" i="17"/>
  <c r="E702" i="17"/>
  <c r="E705" i="17"/>
  <c r="E708" i="17"/>
  <c r="E718" i="17"/>
  <c r="E721" i="17"/>
  <c r="E724" i="17"/>
  <c r="E734" i="17"/>
  <c r="E737" i="17"/>
  <c r="E740" i="17"/>
  <c r="E750" i="17"/>
  <c r="E753" i="17"/>
  <c r="E756" i="17"/>
  <c r="E766" i="17"/>
  <c r="E769" i="17"/>
  <c r="E772" i="17"/>
  <c r="E782" i="17"/>
  <c r="E785" i="17"/>
  <c r="E788" i="17"/>
  <c r="E798" i="17"/>
  <c r="E801" i="17"/>
  <c r="E804" i="17"/>
  <c r="E814" i="17"/>
  <c r="E817" i="17"/>
  <c r="E820" i="17"/>
  <c r="E830" i="17"/>
  <c r="E833" i="17"/>
  <c r="E836" i="17"/>
  <c r="E846" i="17"/>
  <c r="E849" i="17"/>
  <c r="E852" i="17"/>
  <c r="E862" i="17"/>
  <c r="E865" i="17"/>
  <c r="E868" i="17"/>
  <c r="E874" i="17"/>
  <c r="E882" i="17"/>
  <c r="E890" i="17"/>
  <c r="E898" i="17"/>
  <c r="E906" i="17"/>
  <c r="E914" i="17"/>
  <c r="E922" i="17"/>
  <c r="E930" i="17"/>
  <c r="E938" i="17"/>
  <c r="E946" i="17"/>
  <c r="E956" i="17"/>
  <c r="E972" i="17"/>
  <c r="E988" i="17"/>
  <c r="E1004" i="17"/>
  <c r="E1020" i="17"/>
  <c r="E1036" i="17"/>
  <c r="E1052" i="17"/>
  <c r="E1068" i="17"/>
  <c r="E1084" i="17"/>
  <c r="E1100" i="17"/>
  <c r="E1116" i="17"/>
  <c r="E1132" i="17"/>
  <c r="E1148" i="17"/>
  <c r="E1164" i="17"/>
  <c r="E1180" i="17"/>
  <c r="E1196" i="17"/>
  <c r="E1212" i="17"/>
  <c r="E1228" i="17"/>
  <c r="E1244" i="17"/>
  <c r="E1260" i="17"/>
  <c r="E1276" i="17"/>
  <c r="E698" i="17"/>
  <c r="E701" i="17"/>
  <c r="E704" i="17"/>
  <c r="E714" i="17"/>
  <c r="E717" i="17"/>
  <c r="E720" i="17"/>
  <c r="E730" i="17"/>
  <c r="E733" i="17"/>
  <c r="E736" i="17"/>
  <c r="E746" i="17"/>
  <c r="E749" i="17"/>
  <c r="E752" i="17"/>
  <c r="E762" i="17"/>
  <c r="E765" i="17"/>
  <c r="E768" i="17"/>
  <c r="E778" i="17"/>
  <c r="E781" i="17"/>
  <c r="E784" i="17"/>
  <c r="E794" i="17"/>
  <c r="E797" i="17"/>
  <c r="E800" i="17"/>
  <c r="E810" i="17"/>
  <c r="E813" i="17"/>
  <c r="E816" i="17"/>
  <c r="E826" i="17"/>
  <c r="E829" i="17"/>
  <c r="E832" i="17"/>
  <c r="E842" i="17"/>
  <c r="E845" i="17"/>
  <c r="E848" i="17"/>
  <c r="E858" i="17"/>
  <c r="E861" i="17"/>
  <c r="E864" i="17"/>
  <c r="E873" i="17"/>
  <c r="E881" i="17"/>
  <c r="E889" i="17"/>
  <c r="E897" i="17"/>
  <c r="E905" i="17"/>
  <c r="E913" i="17"/>
  <c r="E921" i="17"/>
  <c r="E929" i="17"/>
  <c r="E937" i="17"/>
  <c r="E945" i="17"/>
  <c r="E955" i="17"/>
  <c r="E971" i="17"/>
  <c r="E987" i="17"/>
  <c r="E1003" i="17"/>
  <c r="E1019" i="17"/>
  <c r="E1035" i="17"/>
  <c r="E1051" i="17"/>
  <c r="E1067" i="17"/>
  <c r="E1083" i="17"/>
  <c r="E1099" i="17"/>
  <c r="E1115" i="17"/>
  <c r="E1131" i="17"/>
  <c r="E1147" i="17"/>
  <c r="E1163" i="17"/>
  <c r="E1179" i="17"/>
  <c r="E1195" i="17"/>
  <c r="E1211" i="17"/>
  <c r="E1227" i="17"/>
  <c r="E1243" i="17"/>
  <c r="E1259" i="17"/>
  <c r="E1275" i="17"/>
  <c r="E691" i="17"/>
  <c r="E694" i="17"/>
  <c r="E697" i="17"/>
  <c r="E700" i="17"/>
  <c r="E710" i="17"/>
  <c r="E713" i="17"/>
  <c r="E716" i="17"/>
  <c r="E726" i="17"/>
  <c r="E729" i="17"/>
  <c r="E732" i="17"/>
  <c r="E742" i="17"/>
  <c r="E745" i="17"/>
  <c r="E748" i="17"/>
  <c r="E758" i="17"/>
  <c r="E761" i="17"/>
  <c r="E764" i="17"/>
  <c r="E774" i="17"/>
  <c r="E777" i="17"/>
  <c r="E780" i="17"/>
  <c r="E790" i="17"/>
  <c r="E793" i="17"/>
  <c r="E796" i="17"/>
  <c r="E806" i="17"/>
  <c r="E809" i="17"/>
  <c r="E812" i="17"/>
  <c r="E822" i="17"/>
  <c r="E825" i="17"/>
  <c r="E828" i="17"/>
  <c r="E838" i="17"/>
  <c r="E841" i="17"/>
  <c r="E844" i="17"/>
  <c r="E854" i="17"/>
  <c r="E857" i="17"/>
  <c r="E860" i="17"/>
  <c r="E870" i="17"/>
  <c r="E878" i="17"/>
  <c r="E886" i="17"/>
  <c r="E894" i="17"/>
  <c r="E902" i="17"/>
  <c r="E910" i="17"/>
  <c r="E918" i="17"/>
  <c r="E926" i="17"/>
  <c r="E934" i="17"/>
  <c r="E942" i="17"/>
  <c r="E950" i="17"/>
  <c r="E964" i="17"/>
  <c r="E980" i="17"/>
  <c r="E996" i="17"/>
  <c r="E1012" i="17"/>
  <c r="E1028" i="17"/>
  <c r="E1044" i="17"/>
  <c r="E1060" i="17"/>
  <c r="E1076" i="17"/>
  <c r="E1092" i="17"/>
  <c r="E1108" i="17"/>
  <c r="E1124" i="17"/>
  <c r="E1140" i="17"/>
  <c r="E1156" i="17"/>
  <c r="E1172" i="17"/>
  <c r="E1188" i="17"/>
  <c r="E1204" i="17"/>
  <c r="E1220" i="17"/>
  <c r="E1236" i="17"/>
  <c r="E1252" i="17"/>
  <c r="E1268" i="17"/>
  <c r="E1284" i="17"/>
  <c r="E693" i="17"/>
  <c r="E696" i="17"/>
  <c r="E706" i="17"/>
  <c r="E709" i="17"/>
  <c r="E712" i="17"/>
  <c r="E722" i="17"/>
  <c r="E725" i="17"/>
  <c r="E728" i="17"/>
  <c r="E738" i="17"/>
  <c r="E741" i="17"/>
  <c r="E744" i="17"/>
  <c r="E754" i="17"/>
  <c r="E757" i="17"/>
  <c r="E760" i="17"/>
  <c r="E770" i="17"/>
  <c r="E773" i="17"/>
  <c r="E776" i="17"/>
  <c r="E786" i="17"/>
  <c r="E789" i="17"/>
  <c r="E792" i="17"/>
  <c r="E802" i="17"/>
  <c r="E805" i="17"/>
  <c r="E808" i="17"/>
  <c r="E818" i="17"/>
  <c r="E821" i="17"/>
  <c r="E824" i="17"/>
  <c r="E834" i="17"/>
  <c r="E837" i="17"/>
  <c r="E840" i="17"/>
  <c r="E850" i="17"/>
  <c r="E853" i="17"/>
  <c r="E856" i="17"/>
  <c r="E866" i="17"/>
  <c r="E869" i="17"/>
  <c r="E877" i="17"/>
  <c r="E885" i="17"/>
  <c r="E893" i="17"/>
  <c r="E901" i="17"/>
  <c r="E909" i="17"/>
  <c r="E917" i="17"/>
  <c r="E925" i="17"/>
  <c r="E933" i="17"/>
  <c r="E941" i="17"/>
  <c r="E949" i="17"/>
  <c r="E963" i="17"/>
  <c r="E979" i="17"/>
  <c r="E995" i="17"/>
  <c r="E1011" i="17"/>
  <c r="E1027" i="17"/>
  <c r="E1043" i="17"/>
  <c r="E1059" i="17"/>
  <c r="E1075" i="17"/>
  <c r="E1091" i="17"/>
  <c r="E1107" i="17"/>
  <c r="E1123" i="17"/>
  <c r="E1139" i="17"/>
  <c r="E1155" i="17"/>
  <c r="E1171" i="17"/>
  <c r="E1187" i="17"/>
  <c r="E1203" i="17"/>
  <c r="E1219" i="17"/>
  <c r="E1235" i="17"/>
  <c r="E1251" i="17"/>
  <c r="E1267" i="17"/>
  <c r="E1283" i="17"/>
  <c r="A694" i="17"/>
  <c r="C694" i="17"/>
  <c r="AL693" i="17"/>
  <c r="B693" i="17"/>
  <c r="G693" i="17" s="1"/>
  <c r="A693" i="17"/>
  <c r="B692" i="17"/>
  <c r="G692" i="17" s="1"/>
  <c r="AL692" i="17"/>
  <c r="AG692" i="17" l="1"/>
  <c r="AF692" i="17"/>
  <c r="AD692" i="17"/>
  <c r="AE692" i="17"/>
  <c r="AH692" i="17"/>
  <c r="A695" i="17"/>
  <c r="C695" i="17"/>
  <c r="AL694" i="17"/>
  <c r="B694" i="17"/>
  <c r="G694" i="17" s="1"/>
  <c r="AH693" i="17"/>
  <c r="AD693" i="17"/>
  <c r="AE693" i="17"/>
  <c r="AG693" i="17"/>
  <c r="AF693" i="17"/>
  <c r="T39" i="17"/>
  <c r="G35" i="17" s="1"/>
  <c r="G43" i="17"/>
  <c r="H43" i="17"/>
  <c r="I43" i="17"/>
  <c r="G44" i="17"/>
  <c r="H44" i="17"/>
  <c r="I44" i="17"/>
  <c r="J44" i="17"/>
  <c r="K44" i="17"/>
  <c r="L44" i="17"/>
  <c r="M44" i="17"/>
  <c r="N44" i="17"/>
  <c r="O44" i="17"/>
  <c r="S44" i="17"/>
  <c r="C80" i="17"/>
  <c r="AL79" i="17"/>
  <c r="AH79" i="17"/>
  <c r="AG79" i="17"/>
  <c r="AF79" i="17"/>
  <c r="AE79" i="17"/>
  <c r="AD79" i="17"/>
  <c r="AC78" i="17"/>
  <c r="AC691" i="17" s="1"/>
  <c r="AB78" i="17"/>
  <c r="AB691" i="17" s="1"/>
  <c r="AA78" i="17"/>
  <c r="AA691" i="17" s="1"/>
  <c r="Z78" i="17"/>
  <c r="Z691" i="17" s="1"/>
  <c r="Y78" i="17"/>
  <c r="Y691" i="17" s="1"/>
  <c r="X78" i="17"/>
  <c r="X691" i="17" s="1"/>
  <c r="W78" i="17"/>
  <c r="W691" i="17" s="1"/>
  <c r="D61" i="17"/>
  <c r="AF51" i="17" l="1" a="1"/>
  <c r="AF51" i="17" s="1"/>
  <c r="AF49" i="17" a="1"/>
  <c r="AF49" i="17" s="1"/>
  <c r="AG49" i="17" s="1"/>
  <c r="AF50" i="17" a="1"/>
  <c r="AF50" i="17" s="1"/>
  <c r="AG50" i="17" s="1"/>
  <c r="AF48" i="17" a="1"/>
  <c r="AF48" i="17" s="1"/>
  <c r="AG48" i="17" s="1"/>
  <c r="AF39" i="17" a="1"/>
  <c r="AF39" i="17" s="1"/>
  <c r="AG39" i="17" s="1"/>
  <c r="X693" i="17"/>
  <c r="Y693" i="17"/>
  <c r="Z692" i="17"/>
  <c r="AB693" i="17"/>
  <c r="AC693" i="17"/>
  <c r="Z693" i="17"/>
  <c r="Y692" i="17"/>
  <c r="W692" i="17"/>
  <c r="X692" i="17"/>
  <c r="AC692" i="17"/>
  <c r="AA693" i="17"/>
  <c r="W693" i="17"/>
  <c r="AA692" i="17"/>
  <c r="AB692" i="17"/>
  <c r="C696" i="17"/>
  <c r="B695" i="17"/>
  <c r="G695" i="17" s="1"/>
  <c r="A696" i="17"/>
  <c r="AL695" i="17"/>
  <c r="AE694" i="17"/>
  <c r="AA694" i="17"/>
  <c r="W694" i="17"/>
  <c r="AB694" i="17"/>
  <c r="AH694" i="17"/>
  <c r="AD694" i="17"/>
  <c r="Z694" i="17"/>
  <c r="AG694" i="17"/>
  <c r="AC694" i="17"/>
  <c r="Y694" i="17"/>
  <c r="AF694" i="17"/>
  <c r="X694" i="17"/>
  <c r="C81" i="17"/>
  <c r="B81" i="17" s="1"/>
  <c r="G81" i="17" s="1"/>
  <c r="AF44" i="17" a="1"/>
  <c r="AF44" i="17" s="1"/>
  <c r="AG44" i="17" s="1"/>
  <c r="AF45" i="17" a="1"/>
  <c r="AF45" i="17" s="1"/>
  <c r="AG45" i="17" s="1"/>
  <c r="AF43" i="17" a="1"/>
  <c r="AF43" i="17" s="1"/>
  <c r="AG43" i="17" s="1"/>
  <c r="AH36" i="17" a="1"/>
  <c r="AH36" i="17" s="1"/>
  <c r="AI36" i="17" s="1"/>
  <c r="T43" i="17"/>
  <c r="U43" i="17" s="1"/>
  <c r="AF37" i="17" a="1"/>
  <c r="AF37" i="17" s="1"/>
  <c r="AF46" i="17" a="1"/>
  <c r="AF46" i="17" s="1"/>
  <c r="AG46" i="17" s="1"/>
  <c r="AF40" i="17" a="1"/>
  <c r="AF40" i="17" s="1"/>
  <c r="AG40" i="17" s="1"/>
  <c r="AF47" i="17" a="1"/>
  <c r="AF47" i="17" s="1"/>
  <c r="AG47" i="17" s="1"/>
  <c r="AF42" i="17" a="1"/>
  <c r="AF42" i="17" s="1"/>
  <c r="AG42" i="17" s="1"/>
  <c r="AF41" i="17" a="1"/>
  <c r="AF41" i="17" s="1"/>
  <c r="AG41" i="17" s="1"/>
  <c r="B80" i="17"/>
  <c r="G80" i="17" s="1"/>
  <c r="AL80" i="17"/>
  <c r="Y79" i="17"/>
  <c r="AC79" i="17"/>
  <c r="Z79" i="17"/>
  <c r="D65" i="17"/>
  <c r="W79" i="17"/>
  <c r="AA79" i="17"/>
  <c r="X79" i="17"/>
  <c r="AB79" i="17"/>
  <c r="AL81" i="17" l="1"/>
  <c r="C82" i="17"/>
  <c r="C83" i="17" s="1"/>
  <c r="AF695" i="17"/>
  <c r="AB695" i="17"/>
  <c r="X695" i="17"/>
  <c r="AE695" i="17"/>
  <c r="AA695" i="17"/>
  <c r="W695" i="17"/>
  <c r="AC695" i="17"/>
  <c r="AH695" i="17"/>
  <c r="AD695" i="17"/>
  <c r="Z695" i="17"/>
  <c r="AG695" i="17"/>
  <c r="Y695" i="17"/>
  <c r="C697" i="17"/>
  <c r="AL696" i="17"/>
  <c r="B696" i="17"/>
  <c r="G696" i="17" s="1"/>
  <c r="A697" i="17"/>
  <c r="C62" i="17"/>
  <c r="D62" i="17" s="1"/>
  <c r="AE80" i="17"/>
  <c r="AB80" i="17"/>
  <c r="W80" i="17"/>
  <c r="X80" i="17"/>
  <c r="AH80" i="17"/>
  <c r="AG80" i="17"/>
  <c r="AD80" i="17"/>
  <c r="AC80" i="17"/>
  <c r="AF80" i="17"/>
  <c r="AA80" i="17"/>
  <c r="Z80" i="17"/>
  <c r="Y80" i="17"/>
  <c r="AE81" i="17"/>
  <c r="AA81" i="17"/>
  <c r="W81" i="17"/>
  <c r="AH81" i="17"/>
  <c r="AD81" i="17"/>
  <c r="Z81" i="17"/>
  <c r="AG81" i="17"/>
  <c r="AC81" i="17"/>
  <c r="Y81" i="17"/>
  <c r="AF81" i="17"/>
  <c r="AB81" i="17"/>
  <c r="X81" i="17"/>
  <c r="B82" i="17" l="1"/>
  <c r="G82" i="17" s="1"/>
  <c r="AL82" i="17"/>
  <c r="A698" i="17"/>
  <c r="C698" i="17"/>
  <c r="AL697" i="17"/>
  <c r="B697" i="17"/>
  <c r="G697" i="17" s="1"/>
  <c r="AG696" i="17"/>
  <c r="AC696" i="17"/>
  <c r="Y696" i="17"/>
  <c r="AF696" i="17"/>
  <c r="AB696" i="17"/>
  <c r="X696" i="17"/>
  <c r="AH696" i="17"/>
  <c r="Z696" i="17"/>
  <c r="AE696" i="17"/>
  <c r="AA696" i="17"/>
  <c r="W696" i="17"/>
  <c r="AD696" i="17"/>
  <c r="B83" i="17"/>
  <c r="G83" i="17" s="1"/>
  <c r="C84" i="17"/>
  <c r="AL83" i="17"/>
  <c r="AB82" i="17" l="1"/>
  <c r="AF82" i="17"/>
  <c r="Y82" i="17"/>
  <c r="AC82" i="17"/>
  <c r="AG82" i="17"/>
  <c r="Z82" i="17"/>
  <c r="AD82" i="17"/>
  <c r="AH82" i="17"/>
  <c r="W82" i="17"/>
  <c r="AA82" i="17"/>
  <c r="AE82" i="17"/>
  <c r="X82" i="17"/>
  <c r="A699" i="17"/>
  <c r="C699" i="17"/>
  <c r="AL698" i="17"/>
  <c r="B698" i="17"/>
  <c r="G698" i="17" s="1"/>
  <c r="AH697" i="17"/>
  <c r="AD697" i="17"/>
  <c r="Z697" i="17"/>
  <c r="AA697" i="17"/>
  <c r="AG697" i="17"/>
  <c r="AC697" i="17"/>
  <c r="Y697" i="17"/>
  <c r="AF697" i="17"/>
  <c r="AB697" i="17"/>
  <c r="X697" i="17"/>
  <c r="AE697" i="17"/>
  <c r="W697" i="17"/>
  <c r="AG83" i="17"/>
  <c r="AC83" i="17"/>
  <c r="Y83" i="17"/>
  <c r="AF83" i="17"/>
  <c r="AB83" i="17"/>
  <c r="X83" i="17"/>
  <c r="AE83" i="17"/>
  <c r="AA83" i="17"/>
  <c r="W83" i="17"/>
  <c r="AH83" i="17"/>
  <c r="AD83" i="17"/>
  <c r="Z83" i="17"/>
  <c r="B84" i="17"/>
  <c r="G84" i="17" s="1"/>
  <c r="C85" i="17"/>
  <c r="AL84" i="17"/>
  <c r="O40" i="17"/>
  <c r="M40" i="17"/>
  <c r="S40" i="17"/>
  <c r="L40" i="17"/>
  <c r="K40" i="17"/>
  <c r="J40" i="17"/>
  <c r="F61" i="12" l="1"/>
  <c r="F59" i="12"/>
  <c r="F67" i="12"/>
  <c r="F63" i="12"/>
  <c r="F58" i="12"/>
  <c r="F60" i="12"/>
  <c r="F62" i="12"/>
  <c r="N40" i="17"/>
  <c r="A700" i="17"/>
  <c r="C700" i="17"/>
  <c r="AL699" i="17"/>
  <c r="B699" i="17"/>
  <c r="G699" i="17" s="1"/>
  <c r="AE698" i="17"/>
  <c r="AA698" i="17"/>
  <c r="W698" i="17"/>
  <c r="AB698" i="17"/>
  <c r="AH698" i="17"/>
  <c r="AD698" i="17"/>
  <c r="Z698" i="17"/>
  <c r="AF698" i="17"/>
  <c r="X698" i="17"/>
  <c r="AG698" i="17"/>
  <c r="AC698" i="17"/>
  <c r="Y698" i="17"/>
  <c r="C86" i="17"/>
  <c r="AL85" i="17"/>
  <c r="B85" i="17"/>
  <c r="G85" i="17" s="1"/>
  <c r="AF84" i="17"/>
  <c r="AB84" i="17"/>
  <c r="X84" i="17"/>
  <c r="AE84" i="17"/>
  <c r="AA84" i="17"/>
  <c r="W84" i="17"/>
  <c r="AH84" i="17"/>
  <c r="AD84" i="17"/>
  <c r="Z84" i="17"/>
  <c r="AG84" i="17"/>
  <c r="AC84" i="17"/>
  <c r="Y84" i="17"/>
  <c r="C701" i="17" l="1"/>
  <c r="AL700" i="17"/>
  <c r="B700" i="17"/>
  <c r="G700" i="17" s="1"/>
  <c r="A701" i="17"/>
  <c r="AF699" i="17"/>
  <c r="AB699" i="17"/>
  <c r="X699" i="17"/>
  <c r="AE699" i="17"/>
  <c r="AA699" i="17"/>
  <c r="W699" i="17"/>
  <c r="AG699" i="17"/>
  <c r="Y699" i="17"/>
  <c r="AH699" i="17"/>
  <c r="AD699" i="17"/>
  <c r="Z699" i="17"/>
  <c r="AC699" i="17"/>
  <c r="AE85" i="17"/>
  <c r="AA85" i="17"/>
  <c r="W85" i="17"/>
  <c r="AH85" i="17"/>
  <c r="AD85" i="17"/>
  <c r="Z85" i="17"/>
  <c r="AG85" i="17"/>
  <c r="AC85" i="17"/>
  <c r="Y85" i="17"/>
  <c r="AF85" i="17"/>
  <c r="AB85" i="17"/>
  <c r="X85" i="17"/>
  <c r="C87" i="17"/>
  <c r="AL86" i="17"/>
  <c r="B86" i="17"/>
  <c r="G86" i="17" s="1"/>
  <c r="C702" i="17" l="1"/>
  <c r="AL701" i="17"/>
  <c r="B701" i="17"/>
  <c r="G701" i="17" s="1"/>
  <c r="A702" i="17"/>
  <c r="AG700" i="17"/>
  <c r="AC700" i="17"/>
  <c r="Y700" i="17"/>
  <c r="AD700" i="17"/>
  <c r="AF700" i="17"/>
  <c r="AB700" i="17"/>
  <c r="X700" i="17"/>
  <c r="AH700" i="17"/>
  <c r="AE700" i="17"/>
  <c r="AA700" i="17"/>
  <c r="W700" i="17"/>
  <c r="Z700" i="17"/>
  <c r="AH86" i="17"/>
  <c r="AD86" i="17"/>
  <c r="Z86" i="17"/>
  <c r="AG86" i="17"/>
  <c r="AC86" i="17"/>
  <c r="Y86" i="17"/>
  <c r="AF86" i="17"/>
  <c r="AB86" i="17"/>
  <c r="X86" i="17"/>
  <c r="AE86" i="17"/>
  <c r="AA86" i="17"/>
  <c r="W86" i="17"/>
  <c r="B87" i="17"/>
  <c r="G87" i="17" s="1"/>
  <c r="C88" i="17"/>
  <c r="AL87" i="17"/>
  <c r="AH701" i="17" l="1"/>
  <c r="AD701" i="17"/>
  <c r="Z701" i="17"/>
  <c r="W701" i="17"/>
  <c r="AG701" i="17"/>
  <c r="AC701" i="17"/>
  <c r="Y701" i="17"/>
  <c r="AF701" i="17"/>
  <c r="AB701" i="17"/>
  <c r="X701" i="17"/>
  <c r="AE701" i="17"/>
  <c r="AA701" i="17"/>
  <c r="A703" i="17"/>
  <c r="C703" i="17"/>
  <c r="AL702" i="17"/>
  <c r="B702" i="17"/>
  <c r="G702" i="17" s="1"/>
  <c r="B88" i="17"/>
  <c r="G88" i="17" s="1"/>
  <c r="C89" i="17"/>
  <c r="AL88" i="17"/>
  <c r="AG87" i="17"/>
  <c r="AC87" i="17"/>
  <c r="Y87" i="17"/>
  <c r="AF87" i="17"/>
  <c r="AB87" i="17"/>
  <c r="X87" i="17"/>
  <c r="AE87" i="17"/>
  <c r="AA87" i="17"/>
  <c r="W87" i="17"/>
  <c r="AH87" i="17"/>
  <c r="AD87" i="17"/>
  <c r="Z87" i="17"/>
  <c r="I40" i="17"/>
  <c r="H40" i="17"/>
  <c r="D74" i="12"/>
  <c r="C52" i="17" s="1"/>
  <c r="C53" i="17" s="1"/>
  <c r="G40" i="17"/>
  <c r="H39" i="12"/>
  <c r="H38" i="12"/>
  <c r="H37" i="12"/>
  <c r="T40" i="17" l="1"/>
  <c r="C47" i="17" s="1"/>
  <c r="C45" i="17" s="1"/>
  <c r="E4" i="13" s="1"/>
  <c r="F56" i="12"/>
  <c r="E74" i="12"/>
  <c r="H691" i="17" s="1"/>
  <c r="F57" i="12"/>
  <c r="A704" i="17"/>
  <c r="C704" i="17"/>
  <c r="AL703" i="17"/>
  <c r="B703" i="17"/>
  <c r="G703" i="17" s="1"/>
  <c r="AE702" i="17"/>
  <c r="AA702" i="17"/>
  <c r="W702" i="17"/>
  <c r="AB702" i="17"/>
  <c r="AH702" i="17"/>
  <c r="AD702" i="17"/>
  <c r="Z702" i="17"/>
  <c r="AF702" i="17"/>
  <c r="X702" i="17"/>
  <c r="AG702" i="17"/>
  <c r="AC702" i="17"/>
  <c r="Y702" i="17"/>
  <c r="AF88" i="17"/>
  <c r="AB88" i="17"/>
  <c r="X88" i="17"/>
  <c r="AE88" i="17"/>
  <c r="AA88" i="17"/>
  <c r="W88" i="17"/>
  <c r="AH88" i="17"/>
  <c r="AD88" i="17"/>
  <c r="Z88" i="17"/>
  <c r="AG88" i="17"/>
  <c r="AC88" i="17"/>
  <c r="Y88" i="17"/>
  <c r="C90" i="17"/>
  <c r="AL89" i="17"/>
  <c r="B89" i="17"/>
  <c r="G89" i="17" s="1"/>
  <c r="F55" i="12"/>
  <c r="U40" i="17" l="1"/>
  <c r="AF703" i="17"/>
  <c r="AB703" i="17"/>
  <c r="X703" i="17"/>
  <c r="AG703" i="17"/>
  <c r="AE703" i="17"/>
  <c r="AA703" i="17"/>
  <c r="W703" i="17"/>
  <c r="AC703" i="17"/>
  <c r="AH703" i="17"/>
  <c r="AD703" i="17"/>
  <c r="Z703" i="17"/>
  <c r="Y703" i="17"/>
  <c r="A705" i="17"/>
  <c r="B704" i="17"/>
  <c r="G704" i="17" s="1"/>
  <c r="C705" i="17"/>
  <c r="AL704" i="17"/>
  <c r="AE89" i="17"/>
  <c r="AA89" i="17"/>
  <c r="W89" i="17"/>
  <c r="AH89" i="17"/>
  <c r="AD89" i="17"/>
  <c r="Z89" i="17"/>
  <c r="AG89" i="17"/>
  <c r="AC89" i="17"/>
  <c r="Y89" i="17"/>
  <c r="AF89" i="17"/>
  <c r="AB89" i="17"/>
  <c r="X89" i="17"/>
  <c r="C91" i="17"/>
  <c r="AL90" i="17"/>
  <c r="B90" i="17"/>
  <c r="G90" i="17" s="1"/>
  <c r="D47" i="17" l="1"/>
  <c r="A706" i="17"/>
  <c r="B705" i="17"/>
  <c r="G705" i="17" s="1"/>
  <c r="C706" i="17"/>
  <c r="AL705" i="17"/>
  <c r="AF704" i="17"/>
  <c r="AB704" i="17"/>
  <c r="X704" i="17"/>
  <c r="Y704" i="17"/>
  <c r="AE704" i="17"/>
  <c r="AA704" i="17"/>
  <c r="W704" i="17"/>
  <c r="AC704" i="17"/>
  <c r="AH704" i="17"/>
  <c r="AD704" i="17"/>
  <c r="Z704" i="17"/>
  <c r="AG704" i="17"/>
  <c r="AH90" i="17"/>
  <c r="AD90" i="17"/>
  <c r="Z90" i="17"/>
  <c r="AG90" i="17"/>
  <c r="AC90" i="17"/>
  <c r="Y90" i="17"/>
  <c r="AF90" i="17"/>
  <c r="AB90" i="17"/>
  <c r="X90" i="17"/>
  <c r="AE90" i="17"/>
  <c r="AA90" i="17"/>
  <c r="W90" i="17"/>
  <c r="B91" i="17"/>
  <c r="G91" i="17" s="1"/>
  <c r="C92" i="17"/>
  <c r="AL91" i="17"/>
  <c r="D45" i="17" l="1"/>
  <c r="AF705" i="17"/>
  <c r="AB705" i="17"/>
  <c r="X705" i="17"/>
  <c r="AG705" i="17"/>
  <c r="AE705" i="17"/>
  <c r="AA705" i="17"/>
  <c r="W705" i="17"/>
  <c r="AC705" i="17"/>
  <c r="AH705" i="17"/>
  <c r="AD705" i="17"/>
  <c r="Z705" i="17"/>
  <c r="Y705" i="17"/>
  <c r="A707" i="17"/>
  <c r="B706" i="17"/>
  <c r="G706" i="17" s="1"/>
  <c r="C707" i="17"/>
  <c r="AL706" i="17"/>
  <c r="B92" i="17"/>
  <c r="G92" i="17" s="1"/>
  <c r="C93" i="17"/>
  <c r="AL92" i="17"/>
  <c r="AG91" i="17"/>
  <c r="AC91" i="17"/>
  <c r="Y91" i="17"/>
  <c r="AF91" i="17"/>
  <c r="AB91" i="17"/>
  <c r="X91" i="17"/>
  <c r="AE91" i="17"/>
  <c r="AA91" i="17"/>
  <c r="W91" i="17"/>
  <c r="AH91" i="17"/>
  <c r="AD91" i="17"/>
  <c r="Z91" i="17"/>
  <c r="A708" i="17" l="1"/>
  <c r="B707" i="17"/>
  <c r="G707" i="17" s="1"/>
  <c r="C708" i="17"/>
  <c r="AL707" i="17"/>
  <c r="AF706" i="17"/>
  <c r="AB706" i="17"/>
  <c r="X706" i="17"/>
  <c r="AE706" i="17"/>
  <c r="AA706" i="17"/>
  <c r="W706" i="17"/>
  <c r="AC706" i="17"/>
  <c r="AH706" i="17"/>
  <c r="AD706" i="17"/>
  <c r="Z706" i="17"/>
  <c r="AG706" i="17"/>
  <c r="Y706" i="17"/>
  <c r="C94" i="17"/>
  <c r="AL93" i="17"/>
  <c r="B93" i="17"/>
  <c r="G93" i="17" s="1"/>
  <c r="AF92" i="17"/>
  <c r="AB92" i="17"/>
  <c r="X92" i="17"/>
  <c r="AE92" i="17"/>
  <c r="AA92" i="17"/>
  <c r="W92" i="17"/>
  <c r="AH92" i="17"/>
  <c r="AD92" i="17"/>
  <c r="Z92" i="17"/>
  <c r="AG92" i="17"/>
  <c r="AC92" i="17"/>
  <c r="Y92" i="17"/>
  <c r="A709" i="17" l="1"/>
  <c r="C709" i="17"/>
  <c r="AL708" i="17"/>
  <c r="B708" i="17"/>
  <c r="G708" i="17" s="1"/>
  <c r="AF707" i="17"/>
  <c r="AB707" i="17"/>
  <c r="X707" i="17"/>
  <c r="Y707" i="17"/>
  <c r="AE707" i="17"/>
  <c r="AA707" i="17"/>
  <c r="W707" i="17"/>
  <c r="AG707" i="17"/>
  <c r="AH707" i="17"/>
  <c r="AD707" i="17"/>
  <c r="Z707" i="17"/>
  <c r="AC707" i="17"/>
  <c r="AE93" i="17"/>
  <c r="AA93" i="17"/>
  <c r="W93" i="17"/>
  <c r="AH93" i="17"/>
  <c r="AD93" i="17"/>
  <c r="Z93" i="17"/>
  <c r="AG93" i="17"/>
  <c r="AC93" i="17"/>
  <c r="Y93" i="17"/>
  <c r="AF93" i="17"/>
  <c r="AB93" i="17"/>
  <c r="X93" i="17"/>
  <c r="C95" i="17"/>
  <c r="AL94" i="17"/>
  <c r="B94" i="17"/>
  <c r="G94" i="17" s="1"/>
  <c r="AF708" i="17" l="1"/>
  <c r="AB708" i="17"/>
  <c r="X708" i="17"/>
  <c r="AC708" i="17"/>
  <c r="AE708" i="17"/>
  <c r="AA708" i="17"/>
  <c r="W708" i="17"/>
  <c r="Y708" i="17"/>
  <c r="AH708" i="17"/>
  <c r="AD708" i="17"/>
  <c r="Z708" i="17"/>
  <c r="AG708" i="17"/>
  <c r="A710" i="17"/>
  <c r="B709" i="17"/>
  <c r="G709" i="17" s="1"/>
  <c r="C710" i="17"/>
  <c r="AL709" i="17"/>
  <c r="AH94" i="17"/>
  <c r="AD94" i="17"/>
  <c r="Z94" i="17"/>
  <c r="AG94" i="17"/>
  <c r="AC94" i="17"/>
  <c r="Y94" i="17"/>
  <c r="AF94" i="17"/>
  <c r="AB94" i="17"/>
  <c r="X94" i="17"/>
  <c r="AE94" i="17"/>
  <c r="AA94" i="17"/>
  <c r="W94" i="17"/>
  <c r="B95" i="17"/>
  <c r="G95" i="17" s="1"/>
  <c r="C96" i="17"/>
  <c r="AL95" i="17"/>
  <c r="AF709" i="17" l="1"/>
  <c r="AB709" i="17"/>
  <c r="X709" i="17"/>
  <c r="Y709" i="17"/>
  <c r="AE709" i="17"/>
  <c r="AA709" i="17"/>
  <c r="W709" i="17"/>
  <c r="AG709" i="17"/>
  <c r="AH709" i="17"/>
  <c r="AD709" i="17"/>
  <c r="Z709" i="17"/>
  <c r="AC709" i="17"/>
  <c r="A711" i="17"/>
  <c r="C711" i="17"/>
  <c r="AL710" i="17"/>
  <c r="B710" i="17"/>
  <c r="G710" i="17" s="1"/>
  <c r="B96" i="17"/>
  <c r="G96" i="17" s="1"/>
  <c r="C97" i="17"/>
  <c r="AL96" i="17"/>
  <c r="AG95" i="17"/>
  <c r="AC95" i="17"/>
  <c r="Y95" i="17"/>
  <c r="AF95" i="17"/>
  <c r="AB95" i="17"/>
  <c r="X95" i="17"/>
  <c r="AE95" i="17"/>
  <c r="AA95" i="17"/>
  <c r="W95" i="17"/>
  <c r="AH95" i="17"/>
  <c r="AD95" i="17"/>
  <c r="Z95" i="17"/>
  <c r="AF710" i="17" l="1"/>
  <c r="AB710" i="17"/>
  <c r="X710" i="17"/>
  <c r="AG710" i="17"/>
  <c r="AE710" i="17"/>
  <c r="AA710" i="17"/>
  <c r="W710" i="17"/>
  <c r="AC710" i="17"/>
  <c r="AH710" i="17"/>
  <c r="AD710" i="17"/>
  <c r="Z710" i="17"/>
  <c r="Y710" i="17"/>
  <c r="A712" i="17"/>
  <c r="B711" i="17"/>
  <c r="G711" i="17" s="1"/>
  <c r="C712" i="17"/>
  <c r="AL711" i="17"/>
  <c r="C98" i="17"/>
  <c r="AL97" i="17"/>
  <c r="B97" i="17"/>
  <c r="G97" i="17" s="1"/>
  <c r="AF96" i="17"/>
  <c r="AB96" i="17"/>
  <c r="X96" i="17"/>
  <c r="AE96" i="17"/>
  <c r="AA96" i="17"/>
  <c r="W96" i="17"/>
  <c r="AH96" i="17"/>
  <c r="AD96" i="17"/>
  <c r="Z96" i="17"/>
  <c r="AG96" i="17"/>
  <c r="AC96" i="17"/>
  <c r="Y96" i="17"/>
  <c r="A713" i="17" l="1"/>
  <c r="C713" i="17"/>
  <c r="AL712" i="17"/>
  <c r="B712" i="17"/>
  <c r="G712" i="17" s="1"/>
  <c r="AF711" i="17"/>
  <c r="AB711" i="17"/>
  <c r="X711" i="17"/>
  <c r="Y711" i="17"/>
  <c r="AE711" i="17"/>
  <c r="AA711" i="17"/>
  <c r="W711" i="17"/>
  <c r="AG711" i="17"/>
  <c r="AH711" i="17"/>
  <c r="AD711" i="17"/>
  <c r="Z711" i="17"/>
  <c r="AC711" i="17"/>
  <c r="AE97" i="17"/>
  <c r="AA97" i="17"/>
  <c r="W97" i="17"/>
  <c r="AH97" i="17"/>
  <c r="AD97" i="17"/>
  <c r="Z97" i="17"/>
  <c r="AG97" i="17"/>
  <c r="AC97" i="17"/>
  <c r="Y97" i="17"/>
  <c r="AF97" i="17"/>
  <c r="AB97" i="17"/>
  <c r="X97" i="17"/>
  <c r="C99" i="17"/>
  <c r="AL98" i="17"/>
  <c r="B98" i="17"/>
  <c r="G98" i="17" s="1"/>
  <c r="A714" i="17" l="1"/>
  <c r="C714" i="17"/>
  <c r="AL713" i="17"/>
  <c r="B713" i="17"/>
  <c r="G713" i="17" s="1"/>
  <c r="AF712" i="17"/>
  <c r="AB712" i="17"/>
  <c r="X712" i="17"/>
  <c r="AC712" i="17"/>
  <c r="AE712" i="17"/>
  <c r="AA712" i="17"/>
  <c r="W712" i="17"/>
  <c r="Y712" i="17"/>
  <c r="AH712" i="17"/>
  <c r="AD712" i="17"/>
  <c r="Z712" i="17"/>
  <c r="AG712" i="17"/>
  <c r="AH98" i="17"/>
  <c r="AD98" i="17"/>
  <c r="Z98" i="17"/>
  <c r="AG98" i="17"/>
  <c r="AC98" i="17"/>
  <c r="Y98" i="17"/>
  <c r="AF98" i="17"/>
  <c r="AB98" i="17"/>
  <c r="X98" i="17"/>
  <c r="AE98" i="17"/>
  <c r="AA98" i="17"/>
  <c r="W98" i="17"/>
  <c r="B99" i="17"/>
  <c r="G99" i="17" s="1"/>
  <c r="C100" i="17"/>
  <c r="AL99" i="17"/>
  <c r="A715" i="17" l="1"/>
  <c r="B714" i="17"/>
  <c r="G714" i="17" s="1"/>
  <c r="C715" i="17"/>
  <c r="AL714" i="17"/>
  <c r="AF713" i="17"/>
  <c r="AB713" i="17"/>
  <c r="X713" i="17"/>
  <c r="Y713" i="17"/>
  <c r="AE713" i="17"/>
  <c r="AA713" i="17"/>
  <c r="W713" i="17"/>
  <c r="AC713" i="17"/>
  <c r="AH713" i="17"/>
  <c r="AD713" i="17"/>
  <c r="Z713" i="17"/>
  <c r="AG713" i="17"/>
  <c r="B100" i="17"/>
  <c r="G100" i="17" s="1"/>
  <c r="C101" i="17"/>
  <c r="AL100" i="17"/>
  <c r="AG99" i="17"/>
  <c r="AC99" i="17"/>
  <c r="Y99" i="17"/>
  <c r="AF99" i="17"/>
  <c r="AB99" i="17"/>
  <c r="X99" i="17"/>
  <c r="AE99" i="17"/>
  <c r="AA99" i="17"/>
  <c r="W99" i="17"/>
  <c r="AH99" i="17"/>
  <c r="AD99" i="17"/>
  <c r="Z99" i="17"/>
  <c r="A716" i="17" l="1"/>
  <c r="B715" i="17"/>
  <c r="G715" i="17" s="1"/>
  <c r="C716" i="17"/>
  <c r="AL715" i="17"/>
  <c r="AF714" i="17"/>
  <c r="AB714" i="17"/>
  <c r="X714" i="17"/>
  <c r="AG714" i="17"/>
  <c r="AE714" i="17"/>
  <c r="AA714" i="17"/>
  <c r="W714" i="17"/>
  <c r="AC714" i="17"/>
  <c r="AH714" i="17"/>
  <c r="AD714" i="17"/>
  <c r="Z714" i="17"/>
  <c r="Y714" i="17"/>
  <c r="C102" i="17"/>
  <c r="AL101" i="17"/>
  <c r="B101" i="17"/>
  <c r="G101" i="17" s="1"/>
  <c r="AF100" i="17"/>
  <c r="AB100" i="17"/>
  <c r="X100" i="17"/>
  <c r="AE100" i="17"/>
  <c r="AA100" i="17"/>
  <c r="W100" i="17"/>
  <c r="AH100" i="17"/>
  <c r="AD100" i="17"/>
  <c r="Z100" i="17"/>
  <c r="AG100" i="17"/>
  <c r="AC100" i="17"/>
  <c r="Y100" i="17"/>
  <c r="A717" i="17" l="1"/>
  <c r="C717" i="17"/>
  <c r="AL716" i="17"/>
  <c r="B716" i="17"/>
  <c r="G716" i="17" s="1"/>
  <c r="AF715" i="17"/>
  <c r="AB715" i="17"/>
  <c r="X715" i="17"/>
  <c r="AE715" i="17"/>
  <c r="AA715" i="17"/>
  <c r="W715" i="17"/>
  <c r="AG715" i="17"/>
  <c r="Y715" i="17"/>
  <c r="AH715" i="17"/>
  <c r="AD715" i="17"/>
  <c r="Z715" i="17"/>
  <c r="AC715" i="17"/>
  <c r="AE101" i="17"/>
  <c r="AA101" i="17"/>
  <c r="W101" i="17"/>
  <c r="AH101" i="17"/>
  <c r="AD101" i="17"/>
  <c r="Z101" i="17"/>
  <c r="AG101" i="17"/>
  <c r="AC101" i="17"/>
  <c r="Y101" i="17"/>
  <c r="AF101" i="17"/>
  <c r="AB101" i="17"/>
  <c r="X101" i="17"/>
  <c r="C103" i="17"/>
  <c r="AL102" i="17"/>
  <c r="B102" i="17"/>
  <c r="G102" i="17" s="1"/>
  <c r="AF716" i="17" l="1"/>
  <c r="AB716" i="17"/>
  <c r="X716" i="17"/>
  <c r="Y716" i="17"/>
  <c r="AE716" i="17"/>
  <c r="AA716" i="17"/>
  <c r="W716" i="17"/>
  <c r="AC716" i="17"/>
  <c r="AH716" i="17"/>
  <c r="AD716" i="17"/>
  <c r="Z716" i="17"/>
  <c r="AG716" i="17"/>
  <c r="A718" i="17"/>
  <c r="B717" i="17"/>
  <c r="G717" i="17" s="1"/>
  <c r="C718" i="17"/>
  <c r="AL717" i="17"/>
  <c r="AH102" i="17"/>
  <c r="AD102" i="17"/>
  <c r="Z102" i="17"/>
  <c r="AG102" i="17"/>
  <c r="AC102" i="17"/>
  <c r="Y102" i="17"/>
  <c r="AF102" i="17"/>
  <c r="AB102" i="17"/>
  <c r="X102" i="17"/>
  <c r="AE102" i="17"/>
  <c r="AA102" i="17"/>
  <c r="W102" i="17"/>
  <c r="B103" i="17"/>
  <c r="G103" i="17" s="1"/>
  <c r="C104" i="17"/>
  <c r="AL103" i="17"/>
  <c r="AF717" i="17" l="1"/>
  <c r="AB717" i="17"/>
  <c r="X717" i="17"/>
  <c r="AC717" i="17"/>
  <c r="AE717" i="17"/>
  <c r="AA717" i="17"/>
  <c r="W717" i="17"/>
  <c r="Y717" i="17"/>
  <c r="AH717" i="17"/>
  <c r="AD717" i="17"/>
  <c r="Z717" i="17"/>
  <c r="AG717" i="17"/>
  <c r="A719" i="17"/>
  <c r="B718" i="17"/>
  <c r="G718" i="17" s="1"/>
  <c r="C719" i="17"/>
  <c r="AL718" i="17"/>
  <c r="B104" i="17"/>
  <c r="G104" i="17" s="1"/>
  <c r="C105" i="17"/>
  <c r="AL104" i="17"/>
  <c r="AG103" i="17"/>
  <c r="AC103" i="17"/>
  <c r="Y103" i="17"/>
  <c r="AF103" i="17"/>
  <c r="AB103" i="17"/>
  <c r="X103" i="17"/>
  <c r="AE103" i="17"/>
  <c r="AA103" i="17"/>
  <c r="W103" i="17"/>
  <c r="AH103" i="17"/>
  <c r="AD103" i="17"/>
  <c r="Z103" i="17"/>
  <c r="AF718" i="17" l="1"/>
  <c r="AB718" i="17"/>
  <c r="X718" i="17"/>
  <c r="AG718" i="17"/>
  <c r="AE718" i="17"/>
  <c r="AA718" i="17"/>
  <c r="W718" i="17"/>
  <c r="Y718" i="17"/>
  <c r="AH718" i="17"/>
  <c r="AD718" i="17"/>
  <c r="Z718" i="17"/>
  <c r="AC718" i="17"/>
  <c r="A720" i="17"/>
  <c r="B719" i="17"/>
  <c r="G719" i="17" s="1"/>
  <c r="C720" i="17"/>
  <c r="AL719" i="17"/>
  <c r="C106" i="17"/>
  <c r="AL105" i="17"/>
  <c r="B105" i="17"/>
  <c r="G105" i="17" s="1"/>
  <c r="AF104" i="17"/>
  <c r="AB104" i="17"/>
  <c r="X104" i="17"/>
  <c r="AE104" i="17"/>
  <c r="AA104" i="17"/>
  <c r="W104" i="17"/>
  <c r="AH104" i="17"/>
  <c r="AD104" i="17"/>
  <c r="Z104" i="17"/>
  <c r="AG104" i="17"/>
  <c r="AC104" i="17"/>
  <c r="Y104" i="17"/>
  <c r="A721" i="17" l="1"/>
  <c r="C721" i="17"/>
  <c r="AL720" i="17"/>
  <c r="B720" i="17"/>
  <c r="G720" i="17" s="1"/>
  <c r="AF719" i="17"/>
  <c r="AB719" i="17"/>
  <c r="X719" i="17"/>
  <c r="AE719" i="17"/>
  <c r="AA719" i="17"/>
  <c r="W719" i="17"/>
  <c r="AC719" i="17"/>
  <c r="AH719" i="17"/>
  <c r="AD719" i="17"/>
  <c r="Z719" i="17"/>
  <c r="AG719" i="17"/>
  <c r="Y719" i="17"/>
  <c r="AE105" i="17"/>
  <c r="AA105" i="17"/>
  <c r="W105" i="17"/>
  <c r="AH105" i="17"/>
  <c r="AD105" i="17"/>
  <c r="Z105" i="17"/>
  <c r="AG105" i="17"/>
  <c r="AC105" i="17"/>
  <c r="Y105" i="17"/>
  <c r="AF105" i="17"/>
  <c r="AB105" i="17"/>
  <c r="X105" i="17"/>
  <c r="C107" i="17"/>
  <c r="AL106" i="17"/>
  <c r="B106" i="17"/>
  <c r="G106" i="17" s="1"/>
  <c r="AF720" i="17" l="1"/>
  <c r="AB720" i="17"/>
  <c r="X720" i="17"/>
  <c r="AE720" i="17"/>
  <c r="AA720" i="17"/>
  <c r="W720" i="17"/>
  <c r="AC720" i="17"/>
  <c r="AH720" i="17"/>
  <c r="AD720" i="17"/>
  <c r="Z720" i="17"/>
  <c r="AG720" i="17"/>
  <c r="Y720" i="17"/>
  <c r="A722" i="17"/>
  <c r="B721" i="17"/>
  <c r="G721" i="17" s="1"/>
  <c r="C722" i="17"/>
  <c r="AL721" i="17"/>
  <c r="AH106" i="17"/>
  <c r="AD106" i="17"/>
  <c r="Z106" i="17"/>
  <c r="AG106" i="17"/>
  <c r="AC106" i="17"/>
  <c r="Y106" i="17"/>
  <c r="AF106" i="17"/>
  <c r="AB106" i="17"/>
  <c r="X106" i="17"/>
  <c r="AE106" i="17"/>
  <c r="AA106" i="17"/>
  <c r="W106" i="17"/>
  <c r="B107" i="17"/>
  <c r="G107" i="17" s="1"/>
  <c r="C108" i="17"/>
  <c r="AL107" i="17"/>
  <c r="AF721" i="17" l="1"/>
  <c r="AB721" i="17"/>
  <c r="X721" i="17"/>
  <c r="AC721" i="17"/>
  <c r="AE721" i="17"/>
  <c r="AA721" i="17"/>
  <c r="W721" i="17"/>
  <c r="AG721" i="17"/>
  <c r="Y721" i="17"/>
  <c r="AH721" i="17"/>
  <c r="AD721" i="17"/>
  <c r="Z721" i="17"/>
  <c r="A723" i="17"/>
  <c r="B722" i="17"/>
  <c r="G722" i="17" s="1"/>
  <c r="C723" i="17"/>
  <c r="AL722" i="17"/>
  <c r="B108" i="17"/>
  <c r="G108" i="17" s="1"/>
  <c r="C109" i="17"/>
  <c r="AL108" i="17"/>
  <c r="AG107" i="17"/>
  <c r="AC107" i="17"/>
  <c r="Y107" i="17"/>
  <c r="AF107" i="17"/>
  <c r="AB107" i="17"/>
  <c r="X107" i="17"/>
  <c r="AE107" i="17"/>
  <c r="AA107" i="17"/>
  <c r="W107" i="17"/>
  <c r="AH107" i="17"/>
  <c r="AD107" i="17"/>
  <c r="Z107" i="17"/>
  <c r="A724" i="17" l="1"/>
  <c r="C724" i="17"/>
  <c r="AL723" i="17"/>
  <c r="B723" i="17"/>
  <c r="G723" i="17" s="1"/>
  <c r="AF722" i="17"/>
  <c r="AB722" i="17"/>
  <c r="X722" i="17"/>
  <c r="AE722" i="17"/>
  <c r="AA722" i="17"/>
  <c r="W722" i="17"/>
  <c r="AG722" i="17"/>
  <c r="Y722" i="17"/>
  <c r="AH722" i="17"/>
  <c r="AD722" i="17"/>
  <c r="Z722" i="17"/>
  <c r="AC722" i="17"/>
  <c r="C110" i="17"/>
  <c r="AL109" i="17"/>
  <c r="B109" i="17"/>
  <c r="G109" i="17" s="1"/>
  <c r="AF108" i="17"/>
  <c r="AB108" i="17"/>
  <c r="X108" i="17"/>
  <c r="AE108" i="17"/>
  <c r="AA108" i="17"/>
  <c r="W108" i="17"/>
  <c r="AH108" i="17"/>
  <c r="AD108" i="17"/>
  <c r="Z108" i="17"/>
  <c r="AG108" i="17"/>
  <c r="AC108" i="17"/>
  <c r="Y108" i="17"/>
  <c r="A725" i="17" l="1"/>
  <c r="C725" i="17"/>
  <c r="AL724" i="17"/>
  <c r="B724" i="17"/>
  <c r="G724" i="17" s="1"/>
  <c r="AF723" i="17"/>
  <c r="AB723" i="17"/>
  <c r="X723" i="17"/>
  <c r="AC723" i="17"/>
  <c r="AE723" i="17"/>
  <c r="AA723" i="17"/>
  <c r="W723" i="17"/>
  <c r="AG723" i="17"/>
  <c r="AH723" i="17"/>
  <c r="AD723" i="17"/>
  <c r="Z723" i="17"/>
  <c r="Y723" i="17"/>
  <c r="AE109" i="17"/>
  <c r="AA109" i="17"/>
  <c r="W109" i="17"/>
  <c r="AH109" i="17"/>
  <c r="AD109" i="17"/>
  <c r="Z109" i="17"/>
  <c r="AG109" i="17"/>
  <c r="AC109" i="17"/>
  <c r="Y109" i="17"/>
  <c r="AF109" i="17"/>
  <c r="AB109" i="17"/>
  <c r="X109" i="17"/>
  <c r="C111" i="17"/>
  <c r="AL110" i="17"/>
  <c r="B110" i="17"/>
  <c r="G110" i="17" s="1"/>
  <c r="AF724" i="17" l="1"/>
  <c r="AB724" i="17"/>
  <c r="X724" i="17"/>
  <c r="AE724" i="17"/>
  <c r="AA724" i="17"/>
  <c r="W724" i="17"/>
  <c r="AC724" i="17"/>
  <c r="AH724" i="17"/>
  <c r="AD724" i="17"/>
  <c r="Z724" i="17"/>
  <c r="AG724" i="17"/>
  <c r="Y724" i="17"/>
  <c r="A726" i="17"/>
  <c r="C726" i="17"/>
  <c r="AL725" i="17"/>
  <c r="B725" i="17"/>
  <c r="G725" i="17" s="1"/>
  <c r="AH110" i="17"/>
  <c r="AD110" i="17"/>
  <c r="Z110" i="17"/>
  <c r="AG110" i="17"/>
  <c r="AC110" i="17"/>
  <c r="Y110" i="17"/>
  <c r="AF110" i="17"/>
  <c r="AB110" i="17"/>
  <c r="X110" i="17"/>
  <c r="AE110" i="17"/>
  <c r="AA110" i="17"/>
  <c r="W110" i="17"/>
  <c r="B111" i="17"/>
  <c r="G111" i="17" s="1"/>
  <c r="C112" i="17"/>
  <c r="AL111" i="17"/>
  <c r="A727" i="17" l="1"/>
  <c r="C727" i="17"/>
  <c r="AL726" i="17"/>
  <c r="B726" i="17"/>
  <c r="G726" i="17" s="1"/>
  <c r="AF725" i="17"/>
  <c r="AB725" i="17"/>
  <c r="X725" i="17"/>
  <c r="AE725" i="17"/>
  <c r="AA725" i="17"/>
  <c r="W725" i="17"/>
  <c r="AC725" i="17"/>
  <c r="AH725" i="17"/>
  <c r="AD725" i="17"/>
  <c r="Z725" i="17"/>
  <c r="AG725" i="17"/>
  <c r="Y725" i="17"/>
  <c r="B112" i="17"/>
  <c r="G112" i="17" s="1"/>
  <c r="C113" i="17"/>
  <c r="AL112" i="17"/>
  <c r="AG111" i="17"/>
  <c r="AC111" i="17"/>
  <c r="Y111" i="17"/>
  <c r="AF111" i="17"/>
  <c r="AB111" i="17"/>
  <c r="X111" i="17"/>
  <c r="AE111" i="17"/>
  <c r="AA111" i="17"/>
  <c r="W111" i="17"/>
  <c r="AH111" i="17"/>
  <c r="AD111" i="17"/>
  <c r="Z111" i="17"/>
  <c r="A728" i="17" l="1"/>
  <c r="B727" i="17"/>
  <c r="G727" i="17" s="1"/>
  <c r="C728" i="17"/>
  <c r="AL727" i="17"/>
  <c r="AF726" i="17"/>
  <c r="AB726" i="17"/>
  <c r="X726" i="17"/>
  <c r="Y726" i="17"/>
  <c r="AE726" i="17"/>
  <c r="AA726" i="17"/>
  <c r="W726" i="17"/>
  <c r="AC726" i="17"/>
  <c r="AH726" i="17"/>
  <c r="AD726" i="17"/>
  <c r="Z726" i="17"/>
  <c r="AG726" i="17"/>
  <c r="C114" i="17"/>
  <c r="AL113" i="17"/>
  <c r="B113" i="17"/>
  <c r="G113" i="17" s="1"/>
  <c r="AF112" i="17"/>
  <c r="AB112" i="17"/>
  <c r="X112" i="17"/>
  <c r="AE112" i="17"/>
  <c r="AA112" i="17"/>
  <c r="W112" i="17"/>
  <c r="AH112" i="17"/>
  <c r="AD112" i="17"/>
  <c r="Z112" i="17"/>
  <c r="AG112" i="17"/>
  <c r="AC112" i="17"/>
  <c r="Y112" i="17"/>
  <c r="AF727" i="17" l="1"/>
  <c r="AB727" i="17"/>
  <c r="X727" i="17"/>
  <c r="AE727" i="17"/>
  <c r="AA727" i="17"/>
  <c r="W727" i="17"/>
  <c r="AG727" i="17"/>
  <c r="Y727" i="17"/>
  <c r="AH727" i="17"/>
  <c r="AD727" i="17"/>
  <c r="Z727" i="17"/>
  <c r="AC727" i="17"/>
  <c r="A729" i="17"/>
  <c r="C729" i="17"/>
  <c r="AL728" i="17"/>
  <c r="B728" i="17"/>
  <c r="G728" i="17" s="1"/>
  <c r="AE113" i="17"/>
  <c r="AA113" i="17"/>
  <c r="W113" i="17"/>
  <c r="AH113" i="17"/>
  <c r="AD113" i="17"/>
  <c r="Z113" i="17"/>
  <c r="AG113" i="17"/>
  <c r="AC113" i="17"/>
  <c r="Y113" i="17"/>
  <c r="AF113" i="17"/>
  <c r="AB113" i="17"/>
  <c r="X113" i="17"/>
  <c r="C115" i="17"/>
  <c r="AL114" i="17"/>
  <c r="B114" i="17"/>
  <c r="G114" i="17" s="1"/>
  <c r="A730" i="17" l="1"/>
  <c r="B729" i="17"/>
  <c r="G729" i="17" s="1"/>
  <c r="C730" i="17"/>
  <c r="AL729" i="17"/>
  <c r="AF728" i="17"/>
  <c r="AB728" i="17"/>
  <c r="X728" i="17"/>
  <c r="AC728" i="17"/>
  <c r="AE728" i="17"/>
  <c r="AA728" i="17"/>
  <c r="W728" i="17"/>
  <c r="Y728" i="17"/>
  <c r="AH728" i="17"/>
  <c r="AD728" i="17"/>
  <c r="Z728" i="17"/>
  <c r="AG728" i="17"/>
  <c r="AH114" i="17"/>
  <c r="AD114" i="17"/>
  <c r="Z114" i="17"/>
  <c r="AG114" i="17"/>
  <c r="AC114" i="17"/>
  <c r="Y114" i="17"/>
  <c r="AF114" i="17"/>
  <c r="AB114" i="17"/>
  <c r="X114" i="17"/>
  <c r="AE114" i="17"/>
  <c r="AA114" i="17"/>
  <c r="W114" i="17"/>
  <c r="B115" i="17"/>
  <c r="G115" i="17" s="1"/>
  <c r="C116" i="17"/>
  <c r="AL115" i="17"/>
  <c r="AF729" i="17" l="1"/>
  <c r="AB729" i="17"/>
  <c r="X729" i="17"/>
  <c r="Y729" i="17"/>
  <c r="AE729" i="17"/>
  <c r="AA729" i="17"/>
  <c r="W729" i="17"/>
  <c r="AG729" i="17"/>
  <c r="AH729" i="17"/>
  <c r="AD729" i="17"/>
  <c r="Z729" i="17"/>
  <c r="AC729" i="17"/>
  <c r="A731" i="17"/>
  <c r="C731" i="17"/>
  <c r="AL730" i="17"/>
  <c r="B730" i="17"/>
  <c r="G730" i="17" s="1"/>
  <c r="B116" i="17"/>
  <c r="G116" i="17" s="1"/>
  <c r="C117" i="17"/>
  <c r="AL116" i="17"/>
  <c r="AG115" i="17"/>
  <c r="AC115" i="17"/>
  <c r="Y115" i="17"/>
  <c r="AF115" i="17"/>
  <c r="AB115" i="17"/>
  <c r="X115" i="17"/>
  <c r="AE115" i="17"/>
  <c r="AA115" i="17"/>
  <c r="W115" i="17"/>
  <c r="AH115" i="17"/>
  <c r="AD115" i="17"/>
  <c r="Z115" i="17"/>
  <c r="AF730" i="17" l="1"/>
  <c r="AB730" i="17"/>
  <c r="X730" i="17"/>
  <c r="AE730" i="17"/>
  <c r="AA730" i="17"/>
  <c r="W730" i="17"/>
  <c r="AC730" i="17"/>
  <c r="AH730" i="17"/>
  <c r="AD730" i="17"/>
  <c r="Z730" i="17"/>
  <c r="AG730" i="17"/>
  <c r="Y730" i="17"/>
  <c r="A732" i="17"/>
  <c r="C732" i="17"/>
  <c r="AL731" i="17"/>
  <c r="B731" i="17"/>
  <c r="G731" i="17" s="1"/>
  <c r="AF116" i="17"/>
  <c r="AB116" i="17"/>
  <c r="X116" i="17"/>
  <c r="AE116" i="17"/>
  <c r="AA116" i="17"/>
  <c r="W116" i="17"/>
  <c r="AH116" i="17"/>
  <c r="AD116" i="17"/>
  <c r="Z116" i="17"/>
  <c r="AG116" i="17"/>
  <c r="AC116" i="17"/>
  <c r="Y116" i="17"/>
  <c r="C118" i="17"/>
  <c r="AL117" i="17"/>
  <c r="B117" i="17"/>
  <c r="G117" i="17" s="1"/>
  <c r="A733" i="17" l="1"/>
  <c r="B732" i="17"/>
  <c r="G732" i="17" s="1"/>
  <c r="C733" i="17"/>
  <c r="AL732" i="17"/>
  <c r="AF731" i="17"/>
  <c r="AB731" i="17"/>
  <c r="X731" i="17"/>
  <c r="AE731" i="17"/>
  <c r="AA731" i="17"/>
  <c r="W731" i="17"/>
  <c r="AC731" i="17"/>
  <c r="AH731" i="17"/>
  <c r="AD731" i="17"/>
  <c r="Z731" i="17"/>
  <c r="AG731" i="17"/>
  <c r="Y731" i="17"/>
  <c r="AE117" i="17"/>
  <c r="AA117" i="17"/>
  <c r="W117" i="17"/>
  <c r="AH117" i="17"/>
  <c r="AD117" i="17"/>
  <c r="Z117" i="17"/>
  <c r="AG117" i="17"/>
  <c r="AC117" i="17"/>
  <c r="Y117" i="17"/>
  <c r="AF117" i="17"/>
  <c r="AB117" i="17"/>
  <c r="X117" i="17"/>
  <c r="C119" i="17"/>
  <c r="AL118" i="17"/>
  <c r="B118" i="17"/>
  <c r="G118" i="17" s="1"/>
  <c r="A734" i="17" l="1"/>
  <c r="B733" i="17"/>
  <c r="G733" i="17" s="1"/>
  <c r="C734" i="17"/>
  <c r="AL733" i="17"/>
  <c r="AF732" i="17"/>
  <c r="AB732" i="17"/>
  <c r="X732" i="17"/>
  <c r="AE732" i="17"/>
  <c r="AA732" i="17"/>
  <c r="W732" i="17"/>
  <c r="AG732" i="17"/>
  <c r="Y732" i="17"/>
  <c r="AH732" i="17"/>
  <c r="AD732" i="17"/>
  <c r="Z732" i="17"/>
  <c r="AC732" i="17"/>
  <c r="AH118" i="17"/>
  <c r="AD118" i="17"/>
  <c r="Z118" i="17"/>
  <c r="AG118" i="17"/>
  <c r="AC118" i="17"/>
  <c r="Y118" i="17"/>
  <c r="AF118" i="17"/>
  <c r="AB118" i="17"/>
  <c r="X118" i="17"/>
  <c r="AE118" i="17"/>
  <c r="AA118" i="17"/>
  <c r="W118" i="17"/>
  <c r="AL119" i="17"/>
  <c r="B119" i="17"/>
  <c r="G119" i="17" s="1"/>
  <c r="C120" i="17"/>
  <c r="A735" i="17" l="1"/>
  <c r="C735" i="17"/>
  <c r="AL734" i="17"/>
  <c r="B734" i="17"/>
  <c r="G734" i="17" s="1"/>
  <c r="AF733" i="17"/>
  <c r="AB733" i="17"/>
  <c r="X733" i="17"/>
  <c r="AE733" i="17"/>
  <c r="AA733" i="17"/>
  <c r="W733" i="17"/>
  <c r="AG733" i="17"/>
  <c r="Y733" i="17"/>
  <c r="AH733" i="17"/>
  <c r="AD733" i="17"/>
  <c r="Z733" i="17"/>
  <c r="AC733" i="17"/>
  <c r="C121" i="17"/>
  <c r="AL120" i="17"/>
  <c r="B120" i="17"/>
  <c r="G120" i="17" s="1"/>
  <c r="AF119" i="17"/>
  <c r="AB119" i="17"/>
  <c r="X119" i="17"/>
  <c r="AG119" i="17"/>
  <c r="AA119" i="17"/>
  <c r="AE119" i="17"/>
  <c r="Z119" i="17"/>
  <c r="AD119" i="17"/>
  <c r="Y119" i="17"/>
  <c r="AH119" i="17"/>
  <c r="AC119" i="17"/>
  <c r="W119" i="17"/>
  <c r="AF734" i="17" l="1"/>
  <c r="AB734" i="17"/>
  <c r="X734" i="17"/>
  <c r="Y734" i="17"/>
  <c r="AE734" i="17"/>
  <c r="AA734" i="17"/>
  <c r="W734" i="17"/>
  <c r="AG734" i="17"/>
  <c r="AH734" i="17"/>
  <c r="AD734" i="17"/>
  <c r="Z734" i="17"/>
  <c r="AC734" i="17"/>
  <c r="A736" i="17"/>
  <c r="B735" i="17"/>
  <c r="G735" i="17" s="1"/>
  <c r="C736" i="17"/>
  <c r="AL735" i="17"/>
  <c r="C122" i="17"/>
  <c r="AL121" i="17"/>
  <c r="B121" i="17"/>
  <c r="G121" i="17" s="1"/>
  <c r="AE120" i="17"/>
  <c r="AA120" i="17"/>
  <c r="W120" i="17"/>
  <c r="AG120" i="17"/>
  <c r="AC120" i="17"/>
  <c r="Y120" i="17"/>
  <c r="AH120" i="17"/>
  <c r="Z120" i="17"/>
  <c r="AF120" i="17"/>
  <c r="X120" i="17"/>
  <c r="AD120" i="17"/>
  <c r="AB120" i="17"/>
  <c r="A737" i="17" l="1"/>
  <c r="B736" i="17"/>
  <c r="G736" i="17" s="1"/>
  <c r="C737" i="17"/>
  <c r="AL736" i="17"/>
  <c r="AF735" i="17"/>
  <c r="AB735" i="17"/>
  <c r="X735" i="17"/>
  <c r="Y735" i="17"/>
  <c r="AE735" i="17"/>
  <c r="AA735" i="17"/>
  <c r="W735" i="17"/>
  <c r="AC735" i="17"/>
  <c r="AH735" i="17"/>
  <c r="AD735" i="17"/>
  <c r="Z735" i="17"/>
  <c r="AG735" i="17"/>
  <c r="AH121" i="17"/>
  <c r="AD121" i="17"/>
  <c r="Z121" i="17"/>
  <c r="AF121" i="17"/>
  <c r="AB121" i="17"/>
  <c r="X121" i="17"/>
  <c r="AE121" i="17"/>
  <c r="W121" i="17"/>
  <c r="AC121" i="17"/>
  <c r="AA121" i="17"/>
  <c r="AG121" i="17"/>
  <c r="Y121" i="17"/>
  <c r="C123" i="17"/>
  <c r="AL122" i="17"/>
  <c r="B122" i="17"/>
  <c r="G122" i="17" s="1"/>
  <c r="A738" i="17" l="1"/>
  <c r="B737" i="17"/>
  <c r="G737" i="17" s="1"/>
  <c r="C738" i="17"/>
  <c r="AL737" i="17"/>
  <c r="AF736" i="17"/>
  <c r="AB736" i="17"/>
  <c r="X736" i="17"/>
  <c r="AE736" i="17"/>
  <c r="AA736" i="17"/>
  <c r="W736" i="17"/>
  <c r="AC736" i="17"/>
  <c r="AH736" i="17"/>
  <c r="AD736" i="17"/>
  <c r="Z736" i="17"/>
  <c r="AG736" i="17"/>
  <c r="Y736" i="17"/>
  <c r="B123" i="17"/>
  <c r="G123" i="17" s="1"/>
  <c r="C124" i="17"/>
  <c r="AL123" i="17"/>
  <c r="AG122" i="17"/>
  <c r="AC122" i="17"/>
  <c r="Y122" i="17"/>
  <c r="AE122" i="17"/>
  <c r="AA122" i="17"/>
  <c r="W122" i="17"/>
  <c r="AF122" i="17"/>
  <c r="X122" i="17"/>
  <c r="AD122" i="17"/>
  <c r="AB122" i="17"/>
  <c r="AH122" i="17"/>
  <c r="Z122" i="17"/>
  <c r="A739" i="17" l="1"/>
  <c r="C739" i="17"/>
  <c r="AL738" i="17"/>
  <c r="B738" i="17"/>
  <c r="G738" i="17" s="1"/>
  <c r="AF737" i="17"/>
  <c r="AB737" i="17"/>
  <c r="X737" i="17"/>
  <c r="Y737" i="17"/>
  <c r="AE737" i="17"/>
  <c r="AA737" i="17"/>
  <c r="W737" i="17"/>
  <c r="AC737" i="17"/>
  <c r="AH737" i="17"/>
  <c r="AD737" i="17"/>
  <c r="Z737" i="17"/>
  <c r="AG737" i="17"/>
  <c r="AF123" i="17"/>
  <c r="AB123" i="17"/>
  <c r="X123" i="17"/>
  <c r="AH123" i="17"/>
  <c r="AD123" i="17"/>
  <c r="Z123" i="17"/>
  <c r="AC123" i="17"/>
  <c r="AA123" i="17"/>
  <c r="AG123" i="17"/>
  <c r="Y123" i="17"/>
  <c r="AE123" i="17"/>
  <c r="W123" i="17"/>
  <c r="AL124" i="17"/>
  <c r="B124" i="17"/>
  <c r="G124" i="17" s="1"/>
  <c r="C125" i="17"/>
  <c r="A740" i="17" l="1"/>
  <c r="C740" i="17"/>
  <c r="AL739" i="17"/>
  <c r="B739" i="17"/>
  <c r="G739" i="17" s="1"/>
  <c r="AF738" i="17"/>
  <c r="AB738" i="17"/>
  <c r="X738" i="17"/>
  <c r="AC738" i="17"/>
  <c r="AE738" i="17"/>
  <c r="AA738" i="17"/>
  <c r="W738" i="17"/>
  <c r="AG738" i="17"/>
  <c r="AH738" i="17"/>
  <c r="AD738" i="17"/>
  <c r="Z738" i="17"/>
  <c r="Y738" i="17"/>
  <c r="AE124" i="17"/>
  <c r="AA124" i="17"/>
  <c r="W124" i="17"/>
  <c r="AG124" i="17"/>
  <c r="AC124" i="17"/>
  <c r="Y124" i="17"/>
  <c r="AD124" i="17"/>
  <c r="AB124" i="17"/>
  <c r="AH124" i="17"/>
  <c r="Z124" i="17"/>
  <c r="AF124" i="17"/>
  <c r="X124" i="17"/>
  <c r="C126" i="17"/>
  <c r="AL125" i="17"/>
  <c r="B125" i="17"/>
  <c r="G125" i="17" s="1"/>
  <c r="A741" i="17" l="1"/>
  <c r="B740" i="17"/>
  <c r="G740" i="17" s="1"/>
  <c r="C741" i="17"/>
  <c r="AL740" i="17"/>
  <c r="AF739" i="17"/>
  <c r="AB739" i="17"/>
  <c r="X739" i="17"/>
  <c r="AC739" i="17"/>
  <c r="AE739" i="17"/>
  <c r="AA739" i="17"/>
  <c r="W739" i="17"/>
  <c r="AG739" i="17"/>
  <c r="AH739" i="17"/>
  <c r="AD739" i="17"/>
  <c r="Z739" i="17"/>
  <c r="Y739" i="17"/>
  <c r="AH125" i="17"/>
  <c r="AD125" i="17"/>
  <c r="Z125" i="17"/>
  <c r="AF125" i="17"/>
  <c r="AB125" i="17"/>
  <c r="X125" i="17"/>
  <c r="AA125" i="17"/>
  <c r="AG125" i="17"/>
  <c r="Y125" i="17"/>
  <c r="AE125" i="17"/>
  <c r="W125" i="17"/>
  <c r="AC125" i="17"/>
  <c r="C127" i="17"/>
  <c r="AL126" i="17"/>
  <c r="B126" i="17"/>
  <c r="G126" i="17" s="1"/>
  <c r="A742" i="17" l="1"/>
  <c r="B741" i="17"/>
  <c r="G741" i="17" s="1"/>
  <c r="C742" i="17"/>
  <c r="AL741" i="17"/>
  <c r="AF740" i="17"/>
  <c r="AB740" i="17"/>
  <c r="X740" i="17"/>
  <c r="AE740" i="17"/>
  <c r="AA740" i="17"/>
  <c r="W740" i="17"/>
  <c r="AG740" i="17"/>
  <c r="Y740" i="17"/>
  <c r="AH740" i="17"/>
  <c r="AD740" i="17"/>
  <c r="Z740" i="17"/>
  <c r="AC740" i="17"/>
  <c r="B127" i="17"/>
  <c r="G127" i="17" s="1"/>
  <c r="C128" i="17"/>
  <c r="AL127" i="17"/>
  <c r="AG126" i="17"/>
  <c r="AC126" i="17"/>
  <c r="Y126" i="17"/>
  <c r="AE126" i="17"/>
  <c r="AA126" i="17"/>
  <c r="W126" i="17"/>
  <c r="AB126" i="17"/>
  <c r="AH126" i="17"/>
  <c r="Z126" i="17"/>
  <c r="AF126" i="17"/>
  <c r="X126" i="17"/>
  <c r="AD126" i="17"/>
  <c r="A743" i="17" l="1"/>
  <c r="C743" i="17"/>
  <c r="AL742" i="17"/>
  <c r="B742" i="17"/>
  <c r="G742" i="17" s="1"/>
  <c r="AF741" i="17"/>
  <c r="AB741" i="17"/>
  <c r="X741" i="17"/>
  <c r="AE741" i="17"/>
  <c r="AA741" i="17"/>
  <c r="W741" i="17"/>
  <c r="AG741" i="17"/>
  <c r="Y741" i="17"/>
  <c r="AH741" i="17"/>
  <c r="AD741" i="17"/>
  <c r="Z741" i="17"/>
  <c r="AC741" i="17"/>
  <c r="AF127" i="17"/>
  <c r="AB127" i="17"/>
  <c r="X127" i="17"/>
  <c r="AH127" i="17"/>
  <c r="AD127" i="17"/>
  <c r="Z127" i="17"/>
  <c r="AG127" i="17"/>
  <c r="Y127" i="17"/>
  <c r="AE127" i="17"/>
  <c r="W127" i="17"/>
  <c r="AC127" i="17"/>
  <c r="AA127" i="17"/>
  <c r="C129" i="17"/>
  <c r="AL128" i="17"/>
  <c r="B128" i="17"/>
  <c r="G128" i="17" s="1"/>
  <c r="AF742" i="17" l="1"/>
  <c r="AB742" i="17"/>
  <c r="X742" i="17"/>
  <c r="AC742" i="17"/>
  <c r="AE742" i="17"/>
  <c r="AA742" i="17"/>
  <c r="W742" i="17"/>
  <c r="Y742" i="17"/>
  <c r="AH742" i="17"/>
  <c r="AD742" i="17"/>
  <c r="Z742" i="17"/>
  <c r="AG742" i="17"/>
  <c r="A744" i="17"/>
  <c r="B743" i="17"/>
  <c r="G743" i="17" s="1"/>
  <c r="C744" i="17"/>
  <c r="AL743" i="17"/>
  <c r="C130" i="17"/>
  <c r="AL129" i="17"/>
  <c r="B129" i="17"/>
  <c r="G129" i="17" s="1"/>
  <c r="AE128" i="17"/>
  <c r="AA128" i="17"/>
  <c r="W128" i="17"/>
  <c r="AG128" i="17"/>
  <c r="AC128" i="17"/>
  <c r="Y128" i="17"/>
  <c r="AH128" i="17"/>
  <c r="Z128" i="17"/>
  <c r="AF128" i="17"/>
  <c r="X128" i="17"/>
  <c r="AD128" i="17"/>
  <c r="AB128" i="17"/>
  <c r="A745" i="17" l="1"/>
  <c r="B744" i="17"/>
  <c r="G744" i="17" s="1"/>
  <c r="C745" i="17"/>
  <c r="AL744" i="17"/>
  <c r="AF743" i="17"/>
  <c r="AB743" i="17"/>
  <c r="X743" i="17"/>
  <c r="AC743" i="17"/>
  <c r="AE743" i="17"/>
  <c r="AA743" i="17"/>
  <c r="W743" i="17"/>
  <c r="Y743" i="17"/>
  <c r="AH743" i="17"/>
  <c r="AD743" i="17"/>
  <c r="Z743" i="17"/>
  <c r="AG743" i="17"/>
  <c r="AH129" i="17"/>
  <c r="AD129" i="17"/>
  <c r="Z129" i="17"/>
  <c r="AF129" i="17"/>
  <c r="AB129" i="17"/>
  <c r="X129" i="17"/>
  <c r="AE129" i="17"/>
  <c r="W129" i="17"/>
  <c r="AC129" i="17"/>
  <c r="AA129" i="17"/>
  <c r="AG129" i="17"/>
  <c r="Y129" i="17"/>
  <c r="C131" i="17"/>
  <c r="AL130" i="17"/>
  <c r="B130" i="17"/>
  <c r="G130" i="17" s="1"/>
  <c r="A746" i="17" l="1"/>
  <c r="B745" i="17"/>
  <c r="G745" i="17" s="1"/>
  <c r="C746" i="17"/>
  <c r="AL745" i="17"/>
  <c r="AF744" i="17"/>
  <c r="AB744" i="17"/>
  <c r="X744" i="17"/>
  <c r="Y744" i="17"/>
  <c r="AE744" i="17"/>
  <c r="AA744" i="17"/>
  <c r="W744" i="17"/>
  <c r="AC744" i="17"/>
  <c r="AH744" i="17"/>
  <c r="AD744" i="17"/>
  <c r="Z744" i="17"/>
  <c r="AG744" i="17"/>
  <c r="B131" i="17"/>
  <c r="G131" i="17" s="1"/>
  <c r="C132" i="17"/>
  <c r="AL131" i="17"/>
  <c r="AG130" i="17"/>
  <c r="AC130" i="17"/>
  <c r="Y130" i="17"/>
  <c r="AE130" i="17"/>
  <c r="AA130" i="17"/>
  <c r="W130" i="17"/>
  <c r="AF130" i="17"/>
  <c r="X130" i="17"/>
  <c r="AD130" i="17"/>
  <c r="AB130" i="17"/>
  <c r="AH130" i="17"/>
  <c r="Z130" i="17"/>
  <c r="A747" i="17" l="1"/>
  <c r="B746" i="17"/>
  <c r="G746" i="17" s="1"/>
  <c r="C747" i="17"/>
  <c r="AL746" i="17"/>
  <c r="AF745" i="17"/>
  <c r="AB745" i="17"/>
  <c r="X745" i="17"/>
  <c r="AE745" i="17"/>
  <c r="AA745" i="17"/>
  <c r="W745" i="17"/>
  <c r="AC745" i="17"/>
  <c r="AH745" i="17"/>
  <c r="AD745" i="17"/>
  <c r="Z745" i="17"/>
  <c r="AG745" i="17"/>
  <c r="Y745" i="17"/>
  <c r="AL132" i="17"/>
  <c r="B132" i="17"/>
  <c r="G132" i="17" s="1"/>
  <c r="C133" i="17"/>
  <c r="AF131" i="17"/>
  <c r="AB131" i="17"/>
  <c r="X131" i="17"/>
  <c r="AH131" i="17"/>
  <c r="AD131" i="17"/>
  <c r="Z131" i="17"/>
  <c r="AC131" i="17"/>
  <c r="AA131" i="17"/>
  <c r="AG131" i="17"/>
  <c r="Y131" i="17"/>
  <c r="AE131" i="17"/>
  <c r="W131" i="17"/>
  <c r="AF746" i="17" l="1"/>
  <c r="AB746" i="17"/>
  <c r="X746" i="17"/>
  <c r="Y746" i="17"/>
  <c r="AE746" i="17"/>
  <c r="AA746" i="17"/>
  <c r="W746" i="17"/>
  <c r="AG746" i="17"/>
  <c r="AH746" i="17"/>
  <c r="AD746" i="17"/>
  <c r="Z746" i="17"/>
  <c r="AC746" i="17"/>
  <c r="A748" i="17"/>
  <c r="B747" i="17"/>
  <c r="G747" i="17" s="1"/>
  <c r="C748" i="17"/>
  <c r="AL747" i="17"/>
  <c r="C134" i="17"/>
  <c r="AL133" i="17"/>
  <c r="B133" i="17"/>
  <c r="G133" i="17" s="1"/>
  <c r="AE132" i="17"/>
  <c r="AA132" i="17"/>
  <c r="W132" i="17"/>
  <c r="AG132" i="17"/>
  <c r="AC132" i="17"/>
  <c r="Y132" i="17"/>
  <c r="AD132" i="17"/>
  <c r="AB132" i="17"/>
  <c r="AH132" i="17"/>
  <c r="Z132" i="17"/>
  <c r="AF132" i="17"/>
  <c r="X132" i="17"/>
  <c r="AF747" i="17" l="1"/>
  <c r="AB747" i="17"/>
  <c r="X747" i="17"/>
  <c r="AE747" i="17"/>
  <c r="AA747" i="17"/>
  <c r="W747" i="17"/>
  <c r="AG747" i="17"/>
  <c r="Y747" i="17"/>
  <c r="AH747" i="17"/>
  <c r="AD747" i="17"/>
  <c r="Z747" i="17"/>
  <c r="AC747" i="17"/>
  <c r="A749" i="17"/>
  <c r="B748" i="17"/>
  <c r="G748" i="17" s="1"/>
  <c r="C749" i="17"/>
  <c r="AL748" i="17"/>
  <c r="AH133" i="17"/>
  <c r="AD133" i="17"/>
  <c r="Z133" i="17"/>
  <c r="AF133" i="17"/>
  <c r="AB133" i="17"/>
  <c r="X133" i="17"/>
  <c r="AA133" i="17"/>
  <c r="AG133" i="17"/>
  <c r="Y133" i="17"/>
  <c r="AE133" i="17"/>
  <c r="W133" i="17"/>
  <c r="AC133" i="17"/>
  <c r="C135" i="17"/>
  <c r="AL134" i="17"/>
  <c r="B134" i="17"/>
  <c r="G134" i="17" s="1"/>
  <c r="AF748" i="17" l="1"/>
  <c r="AB748" i="17"/>
  <c r="X748" i="17"/>
  <c r="AE748" i="17"/>
  <c r="AA748" i="17"/>
  <c r="W748" i="17"/>
  <c r="AC748" i="17"/>
  <c r="AH748" i="17"/>
  <c r="AD748" i="17"/>
  <c r="Z748" i="17"/>
  <c r="AG748" i="17"/>
  <c r="Y748" i="17"/>
  <c r="A750" i="17"/>
  <c r="C750" i="17"/>
  <c r="AL749" i="17"/>
  <c r="B749" i="17"/>
  <c r="G749" i="17" s="1"/>
  <c r="AG134" i="17"/>
  <c r="AC134" i="17"/>
  <c r="Y134" i="17"/>
  <c r="AE134" i="17"/>
  <c r="AA134" i="17"/>
  <c r="W134" i="17"/>
  <c r="AB134" i="17"/>
  <c r="AH134" i="17"/>
  <c r="Z134" i="17"/>
  <c r="AF134" i="17"/>
  <c r="X134" i="17"/>
  <c r="AD134" i="17"/>
  <c r="B135" i="17"/>
  <c r="G135" i="17" s="1"/>
  <c r="C136" i="17"/>
  <c r="AL135" i="17"/>
  <c r="A751" i="17" l="1"/>
  <c r="C751" i="17"/>
  <c r="AL750" i="17"/>
  <c r="B750" i="17"/>
  <c r="G750" i="17" s="1"/>
  <c r="AF749" i="17"/>
  <c r="AB749" i="17"/>
  <c r="X749" i="17"/>
  <c r="AE749" i="17"/>
  <c r="AA749" i="17"/>
  <c r="W749" i="17"/>
  <c r="AG749" i="17"/>
  <c r="Y749" i="17"/>
  <c r="AH749" i="17"/>
  <c r="AD749" i="17"/>
  <c r="Z749" i="17"/>
  <c r="AC749" i="17"/>
  <c r="B136" i="17"/>
  <c r="G136" i="17" s="1"/>
  <c r="C137" i="17"/>
  <c r="AL136" i="17"/>
  <c r="AG135" i="17"/>
  <c r="AC135" i="17"/>
  <c r="Y135" i="17"/>
  <c r="AF135" i="17"/>
  <c r="AB135" i="17"/>
  <c r="X135" i="17"/>
  <c r="AE135" i="17"/>
  <c r="AA135" i="17"/>
  <c r="W135" i="17"/>
  <c r="AH135" i="17"/>
  <c r="AD135" i="17"/>
  <c r="Z135" i="17"/>
  <c r="AF750" i="17" l="1"/>
  <c r="AB750" i="17"/>
  <c r="X750" i="17"/>
  <c r="AE750" i="17"/>
  <c r="AA750" i="17"/>
  <c r="W750" i="17"/>
  <c r="AG750" i="17"/>
  <c r="Y750" i="17"/>
  <c r="AH750" i="17"/>
  <c r="AD750" i="17"/>
  <c r="Z750" i="17"/>
  <c r="AC750" i="17"/>
  <c r="A752" i="17"/>
  <c r="C752" i="17"/>
  <c r="AL751" i="17"/>
  <c r="B751" i="17"/>
  <c r="G751" i="17" s="1"/>
  <c r="C138" i="17"/>
  <c r="AL137" i="17"/>
  <c r="B137" i="17"/>
  <c r="G137" i="17" s="1"/>
  <c r="AF136" i="17"/>
  <c r="AB136" i="17"/>
  <c r="X136" i="17"/>
  <c r="AE136" i="17"/>
  <c r="AA136" i="17"/>
  <c r="W136" i="17"/>
  <c r="AH136" i="17"/>
  <c r="AD136" i="17"/>
  <c r="Z136" i="17"/>
  <c r="AG136" i="17"/>
  <c r="AC136" i="17"/>
  <c r="Y136" i="17"/>
  <c r="AF751" i="17" l="1"/>
  <c r="AB751" i="17"/>
  <c r="X751" i="17"/>
  <c r="AE751" i="17"/>
  <c r="AA751" i="17"/>
  <c r="W751" i="17"/>
  <c r="AG751" i="17"/>
  <c r="Y751" i="17"/>
  <c r="AH751" i="17"/>
  <c r="AD751" i="17"/>
  <c r="Z751" i="17"/>
  <c r="AC751" i="17"/>
  <c r="A753" i="17"/>
  <c r="B752" i="17"/>
  <c r="G752" i="17" s="1"/>
  <c r="C753" i="17"/>
  <c r="AL752" i="17"/>
  <c r="AE137" i="17"/>
  <c r="AA137" i="17"/>
  <c r="W137" i="17"/>
  <c r="AH137" i="17"/>
  <c r="AD137" i="17"/>
  <c r="Z137" i="17"/>
  <c r="AG137" i="17"/>
  <c r="AC137" i="17"/>
  <c r="Y137" i="17"/>
  <c r="AF137" i="17"/>
  <c r="AB137" i="17"/>
  <c r="X137" i="17"/>
  <c r="C139" i="17"/>
  <c r="AL138" i="17"/>
  <c r="B138" i="17"/>
  <c r="G138" i="17" s="1"/>
  <c r="AF752" i="17" l="1"/>
  <c r="AB752" i="17"/>
  <c r="X752" i="17"/>
  <c r="AE752" i="17"/>
  <c r="AA752" i="17"/>
  <c r="W752" i="17"/>
  <c r="AG752" i="17"/>
  <c r="AC752" i="17"/>
  <c r="AH752" i="17"/>
  <c r="AD752" i="17"/>
  <c r="Z752" i="17"/>
  <c r="Y752" i="17"/>
  <c r="A754" i="17"/>
  <c r="B753" i="17"/>
  <c r="G753" i="17" s="1"/>
  <c r="C754" i="17"/>
  <c r="AL753" i="17"/>
  <c r="AH138" i="17"/>
  <c r="AD138" i="17"/>
  <c r="Z138" i="17"/>
  <c r="AG138" i="17"/>
  <c r="AC138" i="17"/>
  <c r="Y138" i="17"/>
  <c r="AF138" i="17"/>
  <c r="AB138" i="17"/>
  <c r="X138" i="17"/>
  <c r="AE138" i="17"/>
  <c r="AA138" i="17"/>
  <c r="W138" i="17"/>
  <c r="B139" i="17"/>
  <c r="G139" i="17" s="1"/>
  <c r="C140" i="17"/>
  <c r="AL139" i="17"/>
  <c r="A755" i="17" l="1"/>
  <c r="B754" i="17"/>
  <c r="G754" i="17" s="1"/>
  <c r="C755" i="17"/>
  <c r="AL754" i="17"/>
  <c r="AF753" i="17"/>
  <c r="AB753" i="17"/>
  <c r="X753" i="17"/>
  <c r="AE753" i="17"/>
  <c r="AA753" i="17"/>
  <c r="W753" i="17"/>
  <c r="AC753" i="17"/>
  <c r="AH753" i="17"/>
  <c r="AD753" i="17"/>
  <c r="Z753" i="17"/>
  <c r="AG753" i="17"/>
  <c r="Y753" i="17"/>
  <c r="AG139" i="17"/>
  <c r="AC139" i="17"/>
  <c r="Y139" i="17"/>
  <c r="AF139" i="17"/>
  <c r="AB139" i="17"/>
  <c r="X139" i="17"/>
  <c r="AE139" i="17"/>
  <c r="AA139" i="17"/>
  <c r="W139" i="17"/>
  <c r="AH139" i="17"/>
  <c r="AD139" i="17"/>
  <c r="Z139" i="17"/>
  <c r="B140" i="17"/>
  <c r="G140" i="17" s="1"/>
  <c r="C141" i="17"/>
  <c r="AL140" i="17"/>
  <c r="AF754" i="17" l="1"/>
  <c r="AB754" i="17"/>
  <c r="X754" i="17"/>
  <c r="AE754" i="17"/>
  <c r="AA754" i="17"/>
  <c r="W754" i="17"/>
  <c r="Y754" i="17"/>
  <c r="AH754" i="17"/>
  <c r="AD754" i="17"/>
  <c r="Z754" i="17"/>
  <c r="AG754" i="17"/>
  <c r="AC754" i="17"/>
  <c r="C756" i="17"/>
  <c r="AL755" i="17"/>
  <c r="B755" i="17"/>
  <c r="G755" i="17" s="1"/>
  <c r="A756" i="17"/>
  <c r="AF140" i="17"/>
  <c r="AB140" i="17"/>
  <c r="X140" i="17"/>
  <c r="AE140" i="17"/>
  <c r="AA140" i="17"/>
  <c r="W140" i="17"/>
  <c r="AH140" i="17"/>
  <c r="AD140" i="17"/>
  <c r="Z140" i="17"/>
  <c r="AG140" i="17"/>
  <c r="AC140" i="17"/>
  <c r="Y140" i="17"/>
  <c r="C142" i="17"/>
  <c r="AL141" i="17"/>
  <c r="B141" i="17"/>
  <c r="G141" i="17" s="1"/>
  <c r="AH755" i="17" l="1"/>
  <c r="AD755" i="17"/>
  <c r="Z755" i="17"/>
  <c r="AG755" i="17"/>
  <c r="AC755" i="17"/>
  <c r="Y755" i="17"/>
  <c r="AF755" i="17"/>
  <c r="X755" i="17"/>
  <c r="AE755" i="17"/>
  <c r="W755" i="17"/>
  <c r="AB755" i="17"/>
  <c r="AA755" i="17"/>
  <c r="C757" i="17"/>
  <c r="AL756" i="17"/>
  <c r="B756" i="17"/>
  <c r="G756" i="17" s="1"/>
  <c r="A757" i="17"/>
  <c r="AE141" i="17"/>
  <c r="AA141" i="17"/>
  <c r="W141" i="17"/>
  <c r="AH141" i="17"/>
  <c r="AD141" i="17"/>
  <c r="Z141" i="17"/>
  <c r="AG141" i="17"/>
  <c r="AC141" i="17"/>
  <c r="Y141" i="17"/>
  <c r="AF141" i="17"/>
  <c r="AB141" i="17"/>
  <c r="X141" i="17"/>
  <c r="C143" i="17"/>
  <c r="AL142" i="17"/>
  <c r="B142" i="17"/>
  <c r="G142" i="17" s="1"/>
  <c r="C758" i="17" l="1"/>
  <c r="AL757" i="17"/>
  <c r="B757" i="17"/>
  <c r="G757" i="17" s="1"/>
  <c r="A758" i="17"/>
  <c r="AH756" i="17"/>
  <c r="AD756" i="17"/>
  <c r="Z756" i="17"/>
  <c r="AG756" i="17"/>
  <c r="AC756" i="17"/>
  <c r="Y756" i="17"/>
  <c r="AE756" i="17"/>
  <c r="W756" i="17"/>
  <c r="AB756" i="17"/>
  <c r="X756" i="17"/>
  <c r="AA756" i="17"/>
  <c r="AF756" i="17"/>
  <c r="AH142" i="17"/>
  <c r="AD142" i="17"/>
  <c r="Z142" i="17"/>
  <c r="AG142" i="17"/>
  <c r="AC142" i="17"/>
  <c r="Y142" i="17"/>
  <c r="AF142" i="17"/>
  <c r="AB142" i="17"/>
  <c r="X142" i="17"/>
  <c r="AE142" i="17"/>
  <c r="AA142" i="17"/>
  <c r="W142" i="17"/>
  <c r="B143" i="17"/>
  <c r="G143" i="17" s="1"/>
  <c r="C144" i="17"/>
  <c r="AL143" i="17"/>
  <c r="AH757" i="17" l="1"/>
  <c r="AD757" i="17"/>
  <c r="Z757" i="17"/>
  <c r="AG757" i="17"/>
  <c r="AC757" i="17"/>
  <c r="Y757" i="17"/>
  <c r="AB757" i="17"/>
  <c r="AA757" i="17"/>
  <c r="W757" i="17"/>
  <c r="AF757" i="17"/>
  <c r="X757" i="17"/>
  <c r="AE757" i="17"/>
  <c r="C759" i="17"/>
  <c r="AL758" i="17"/>
  <c r="B758" i="17"/>
  <c r="G758" i="17" s="1"/>
  <c r="A759" i="17"/>
  <c r="B144" i="17"/>
  <c r="G144" i="17" s="1"/>
  <c r="C145" i="17"/>
  <c r="AL144" i="17"/>
  <c r="AG143" i="17"/>
  <c r="AC143" i="17"/>
  <c r="Y143" i="17"/>
  <c r="AF143" i="17"/>
  <c r="AB143" i="17"/>
  <c r="X143" i="17"/>
  <c r="AE143" i="17"/>
  <c r="AA143" i="17"/>
  <c r="W143" i="17"/>
  <c r="AH143" i="17"/>
  <c r="AD143" i="17"/>
  <c r="Z143" i="17"/>
  <c r="C760" i="17" l="1"/>
  <c r="AL759" i="17"/>
  <c r="B759" i="17"/>
  <c r="G759" i="17" s="1"/>
  <c r="A760" i="17"/>
  <c r="AH758" i="17"/>
  <c r="AD758" i="17"/>
  <c r="Z758" i="17"/>
  <c r="AG758" i="17"/>
  <c r="AC758" i="17"/>
  <c r="Y758" i="17"/>
  <c r="AA758" i="17"/>
  <c r="AF758" i="17"/>
  <c r="X758" i="17"/>
  <c r="AE758" i="17"/>
  <c r="W758" i="17"/>
  <c r="AB758" i="17"/>
  <c r="C146" i="17"/>
  <c r="AL145" i="17"/>
  <c r="B145" i="17"/>
  <c r="G145" i="17" s="1"/>
  <c r="AF144" i="17"/>
  <c r="AB144" i="17"/>
  <c r="X144" i="17"/>
  <c r="AE144" i="17"/>
  <c r="AA144" i="17"/>
  <c r="W144" i="17"/>
  <c r="AH144" i="17"/>
  <c r="AD144" i="17"/>
  <c r="Z144" i="17"/>
  <c r="AG144" i="17"/>
  <c r="AC144" i="17"/>
  <c r="Y144" i="17"/>
  <c r="C761" i="17" l="1"/>
  <c r="AL760" i="17"/>
  <c r="B760" i="17"/>
  <c r="G760" i="17" s="1"/>
  <c r="A761" i="17"/>
  <c r="AH759" i="17"/>
  <c r="AD759" i="17"/>
  <c r="Z759" i="17"/>
  <c r="AG759" i="17"/>
  <c r="AC759" i="17"/>
  <c r="Y759" i="17"/>
  <c r="AF759" i="17"/>
  <c r="X759" i="17"/>
  <c r="AE759" i="17"/>
  <c r="W759" i="17"/>
  <c r="AB759" i="17"/>
  <c r="AA759" i="17"/>
  <c r="AE145" i="17"/>
  <c r="AA145" i="17"/>
  <c r="W145" i="17"/>
  <c r="AH145" i="17"/>
  <c r="AD145" i="17"/>
  <c r="Z145" i="17"/>
  <c r="AG145" i="17"/>
  <c r="AC145" i="17"/>
  <c r="Y145" i="17"/>
  <c r="AF145" i="17"/>
  <c r="AB145" i="17"/>
  <c r="X145" i="17"/>
  <c r="C147" i="17"/>
  <c r="AL146" i="17"/>
  <c r="B146" i="17"/>
  <c r="G146" i="17" s="1"/>
  <c r="AH760" i="17" l="1"/>
  <c r="AD760" i="17"/>
  <c r="Z760" i="17"/>
  <c r="AG760" i="17"/>
  <c r="AC760" i="17"/>
  <c r="Y760" i="17"/>
  <c r="AE760" i="17"/>
  <c r="W760" i="17"/>
  <c r="AB760" i="17"/>
  <c r="AF760" i="17"/>
  <c r="AA760" i="17"/>
  <c r="X760" i="17"/>
  <c r="C762" i="17"/>
  <c r="AL761" i="17"/>
  <c r="B761" i="17"/>
  <c r="G761" i="17" s="1"/>
  <c r="A762" i="17"/>
  <c r="AH146" i="17"/>
  <c r="AD146" i="17"/>
  <c r="Z146" i="17"/>
  <c r="AG146" i="17"/>
  <c r="AC146" i="17"/>
  <c r="Y146" i="17"/>
  <c r="AF146" i="17"/>
  <c r="AB146" i="17"/>
  <c r="X146" i="17"/>
  <c r="AE146" i="17"/>
  <c r="AA146" i="17"/>
  <c r="W146" i="17"/>
  <c r="B147" i="17"/>
  <c r="G147" i="17" s="1"/>
  <c r="C148" i="17"/>
  <c r="AL147" i="17"/>
  <c r="AH761" i="17" l="1"/>
  <c r="AD761" i="17"/>
  <c r="Z761" i="17"/>
  <c r="AG761" i="17"/>
  <c r="AC761" i="17"/>
  <c r="Y761" i="17"/>
  <c r="AF761" i="17"/>
  <c r="AB761" i="17"/>
  <c r="X761" i="17"/>
  <c r="AA761" i="17"/>
  <c r="W761" i="17"/>
  <c r="AE761" i="17"/>
  <c r="C763" i="17"/>
  <c r="AL762" i="17"/>
  <c r="B762" i="17"/>
  <c r="G762" i="17" s="1"/>
  <c r="A763" i="17"/>
  <c r="B148" i="17"/>
  <c r="G148" i="17" s="1"/>
  <c r="C149" i="17"/>
  <c r="AL148" i="17"/>
  <c r="AG147" i="17"/>
  <c r="AC147" i="17"/>
  <c r="Y147" i="17"/>
  <c r="AF147" i="17"/>
  <c r="AB147" i="17"/>
  <c r="X147" i="17"/>
  <c r="AE147" i="17"/>
  <c r="AA147" i="17"/>
  <c r="W147" i="17"/>
  <c r="AH147" i="17"/>
  <c r="AD147" i="17"/>
  <c r="Z147" i="17"/>
  <c r="C764" i="17" l="1"/>
  <c r="AL763" i="17"/>
  <c r="B763" i="17"/>
  <c r="G763" i="17" s="1"/>
  <c r="A764" i="17"/>
  <c r="AH762" i="17"/>
  <c r="AD762" i="17"/>
  <c r="Z762" i="17"/>
  <c r="AG762" i="17"/>
  <c r="AC762" i="17"/>
  <c r="Y762" i="17"/>
  <c r="AF762" i="17"/>
  <c r="AB762" i="17"/>
  <c r="X762" i="17"/>
  <c r="AA762" i="17"/>
  <c r="W762" i="17"/>
  <c r="AE762" i="17"/>
  <c r="C150" i="17"/>
  <c r="AL149" i="17"/>
  <c r="B149" i="17"/>
  <c r="G149" i="17" s="1"/>
  <c r="AF148" i="17"/>
  <c r="AB148" i="17"/>
  <c r="X148" i="17"/>
  <c r="AE148" i="17"/>
  <c r="AA148" i="17"/>
  <c r="W148" i="17"/>
  <c r="AH148" i="17"/>
  <c r="AD148" i="17"/>
  <c r="Z148" i="17"/>
  <c r="AG148" i="17"/>
  <c r="AC148" i="17"/>
  <c r="Y148" i="17"/>
  <c r="C765" i="17" l="1"/>
  <c r="AL764" i="17"/>
  <c r="B764" i="17"/>
  <c r="G764" i="17" s="1"/>
  <c r="A765" i="17"/>
  <c r="AH763" i="17"/>
  <c r="AD763" i="17"/>
  <c r="Z763" i="17"/>
  <c r="AG763" i="17"/>
  <c r="AC763" i="17"/>
  <c r="Y763" i="17"/>
  <c r="AF763" i="17"/>
  <c r="AB763" i="17"/>
  <c r="X763" i="17"/>
  <c r="AA763" i="17"/>
  <c r="W763" i="17"/>
  <c r="AE763" i="17"/>
  <c r="AE149" i="17"/>
  <c r="AA149" i="17"/>
  <c r="W149" i="17"/>
  <c r="AH149" i="17"/>
  <c r="AD149" i="17"/>
  <c r="Z149" i="17"/>
  <c r="AG149" i="17"/>
  <c r="AC149" i="17"/>
  <c r="Y149" i="17"/>
  <c r="AF149" i="17"/>
  <c r="AB149" i="17"/>
  <c r="X149" i="17"/>
  <c r="C151" i="17"/>
  <c r="AL150" i="17"/>
  <c r="B150" i="17"/>
  <c r="G150" i="17" s="1"/>
  <c r="C766" i="17" l="1"/>
  <c r="AL765" i="17"/>
  <c r="B765" i="17"/>
  <c r="G765" i="17" s="1"/>
  <c r="A766" i="17"/>
  <c r="AH764" i="17"/>
  <c r="AD764" i="17"/>
  <c r="Z764" i="17"/>
  <c r="AG764" i="17"/>
  <c r="AC764" i="17"/>
  <c r="Y764" i="17"/>
  <c r="AF764" i="17"/>
  <c r="AB764" i="17"/>
  <c r="X764" i="17"/>
  <c r="AA764" i="17"/>
  <c r="W764" i="17"/>
  <c r="AE764" i="17"/>
  <c r="AH150" i="17"/>
  <c r="AD150" i="17"/>
  <c r="Z150" i="17"/>
  <c r="AG150" i="17"/>
  <c r="AC150" i="17"/>
  <c r="Y150" i="17"/>
  <c r="AF150" i="17"/>
  <c r="AB150" i="17"/>
  <c r="X150" i="17"/>
  <c r="AE150" i="17"/>
  <c r="AA150" i="17"/>
  <c r="W150" i="17"/>
  <c r="B151" i="17"/>
  <c r="G151" i="17" s="1"/>
  <c r="C152" i="17"/>
  <c r="AL151" i="17"/>
  <c r="C767" i="17" l="1"/>
  <c r="AL766" i="17"/>
  <c r="B766" i="17"/>
  <c r="G766" i="17" s="1"/>
  <c r="A767" i="17"/>
  <c r="AH765" i="17"/>
  <c r="AD765" i="17"/>
  <c r="Z765" i="17"/>
  <c r="AG765" i="17"/>
  <c r="AC765" i="17"/>
  <c r="Y765" i="17"/>
  <c r="AF765" i="17"/>
  <c r="AB765" i="17"/>
  <c r="X765" i="17"/>
  <c r="AA765" i="17"/>
  <c r="W765" i="17"/>
  <c r="AE765" i="17"/>
  <c r="B152" i="17"/>
  <c r="G152" i="17" s="1"/>
  <c r="C153" i="17"/>
  <c r="AL152" i="17"/>
  <c r="AG151" i="17"/>
  <c r="AC151" i="17"/>
  <c r="Y151" i="17"/>
  <c r="AF151" i="17"/>
  <c r="AB151" i="17"/>
  <c r="X151" i="17"/>
  <c r="AE151" i="17"/>
  <c r="AA151" i="17"/>
  <c r="W151" i="17"/>
  <c r="AH151" i="17"/>
  <c r="AD151" i="17"/>
  <c r="Z151" i="17"/>
  <c r="AH766" i="17" l="1"/>
  <c r="AD766" i="17"/>
  <c r="Z766" i="17"/>
  <c r="AG766" i="17"/>
  <c r="AC766" i="17"/>
  <c r="Y766" i="17"/>
  <c r="AF766" i="17"/>
  <c r="AB766" i="17"/>
  <c r="X766" i="17"/>
  <c r="AA766" i="17"/>
  <c r="W766" i="17"/>
  <c r="AE766" i="17"/>
  <c r="C768" i="17"/>
  <c r="AL767" i="17"/>
  <c r="B767" i="17"/>
  <c r="G767" i="17" s="1"/>
  <c r="A768" i="17"/>
  <c r="C154" i="17"/>
  <c r="AL153" i="17"/>
  <c r="B153" i="17"/>
  <c r="G153" i="17" s="1"/>
  <c r="AF152" i="17"/>
  <c r="AB152" i="17"/>
  <c r="X152" i="17"/>
  <c r="AE152" i="17"/>
  <c r="AA152" i="17"/>
  <c r="W152" i="17"/>
  <c r="AH152" i="17"/>
  <c r="AD152" i="17"/>
  <c r="Z152" i="17"/>
  <c r="AG152" i="17"/>
  <c r="AC152" i="17"/>
  <c r="Y152" i="17"/>
  <c r="C769" i="17" l="1"/>
  <c r="AL768" i="17"/>
  <c r="B768" i="17"/>
  <c r="G768" i="17" s="1"/>
  <c r="A769" i="17"/>
  <c r="AH767" i="17"/>
  <c r="AD767" i="17"/>
  <c r="Z767" i="17"/>
  <c r="AG767" i="17"/>
  <c r="AC767" i="17"/>
  <c r="Y767" i="17"/>
  <c r="AF767" i="17"/>
  <c r="AB767" i="17"/>
  <c r="X767" i="17"/>
  <c r="AA767" i="17"/>
  <c r="W767" i="17"/>
  <c r="AE767" i="17"/>
  <c r="AE153" i="17"/>
  <c r="AA153" i="17"/>
  <c r="W153" i="17"/>
  <c r="AH153" i="17"/>
  <c r="AD153" i="17"/>
  <c r="Z153" i="17"/>
  <c r="AG153" i="17"/>
  <c r="AC153" i="17"/>
  <c r="Y153" i="17"/>
  <c r="AF153" i="17"/>
  <c r="AB153" i="17"/>
  <c r="X153" i="17"/>
  <c r="C155" i="17"/>
  <c r="AL154" i="17"/>
  <c r="B154" i="17"/>
  <c r="G154" i="17" s="1"/>
  <c r="C770" i="17" l="1"/>
  <c r="AL769" i="17"/>
  <c r="B769" i="17"/>
  <c r="G769" i="17" s="1"/>
  <c r="A770" i="17"/>
  <c r="AH768" i="17"/>
  <c r="AD768" i="17"/>
  <c r="Z768" i="17"/>
  <c r="AG768" i="17"/>
  <c r="AC768" i="17"/>
  <c r="Y768" i="17"/>
  <c r="AF768" i="17"/>
  <c r="AB768" i="17"/>
  <c r="X768" i="17"/>
  <c r="AA768" i="17"/>
  <c r="W768" i="17"/>
  <c r="AE768" i="17"/>
  <c r="AH154" i="17"/>
  <c r="AD154" i="17"/>
  <c r="Z154" i="17"/>
  <c r="AG154" i="17"/>
  <c r="AC154" i="17"/>
  <c r="Y154" i="17"/>
  <c r="AF154" i="17"/>
  <c r="AB154" i="17"/>
  <c r="X154" i="17"/>
  <c r="AE154" i="17"/>
  <c r="AA154" i="17"/>
  <c r="W154" i="17"/>
  <c r="B155" i="17"/>
  <c r="G155" i="17" s="1"/>
  <c r="C156" i="17"/>
  <c r="AL155" i="17"/>
  <c r="AH769" i="17" l="1"/>
  <c r="AD769" i="17"/>
  <c r="Z769" i="17"/>
  <c r="AG769" i="17"/>
  <c r="AC769" i="17"/>
  <c r="Y769" i="17"/>
  <c r="AF769" i="17"/>
  <c r="AB769" i="17"/>
  <c r="X769" i="17"/>
  <c r="AA769" i="17"/>
  <c r="W769" i="17"/>
  <c r="AE769" i="17"/>
  <c r="C771" i="17"/>
  <c r="AL770" i="17"/>
  <c r="B770" i="17"/>
  <c r="G770" i="17" s="1"/>
  <c r="A771" i="17"/>
  <c r="B156" i="17"/>
  <c r="G156" i="17" s="1"/>
  <c r="C157" i="17"/>
  <c r="AL156" i="17"/>
  <c r="AG155" i="17"/>
  <c r="AC155" i="17"/>
  <c r="Y155" i="17"/>
  <c r="AF155" i="17"/>
  <c r="AB155" i="17"/>
  <c r="X155" i="17"/>
  <c r="AE155" i="17"/>
  <c r="AA155" i="17"/>
  <c r="W155" i="17"/>
  <c r="AH155" i="17"/>
  <c r="AD155" i="17"/>
  <c r="Z155" i="17"/>
  <c r="C772" i="17" l="1"/>
  <c r="AL771" i="17"/>
  <c r="B771" i="17"/>
  <c r="G771" i="17" s="1"/>
  <c r="A772" i="17"/>
  <c r="AH770" i="17"/>
  <c r="AD770" i="17"/>
  <c r="Z770" i="17"/>
  <c r="AG770" i="17"/>
  <c r="AC770" i="17"/>
  <c r="Y770" i="17"/>
  <c r="AF770" i="17"/>
  <c r="AB770" i="17"/>
  <c r="X770" i="17"/>
  <c r="AA770" i="17"/>
  <c r="W770" i="17"/>
  <c r="AE770" i="17"/>
  <c r="C158" i="17"/>
  <c r="AL157" i="17"/>
  <c r="B157" i="17"/>
  <c r="G157" i="17" s="1"/>
  <c r="AF156" i="17"/>
  <c r="AB156" i="17"/>
  <c r="X156" i="17"/>
  <c r="AE156" i="17"/>
  <c r="AA156" i="17"/>
  <c r="W156" i="17"/>
  <c r="AH156" i="17"/>
  <c r="AD156" i="17"/>
  <c r="Z156" i="17"/>
  <c r="AG156" i="17"/>
  <c r="AC156" i="17"/>
  <c r="Y156" i="17"/>
  <c r="AH771" i="17" l="1"/>
  <c r="AD771" i="17"/>
  <c r="Z771" i="17"/>
  <c r="AG771" i="17"/>
  <c r="AC771" i="17"/>
  <c r="Y771" i="17"/>
  <c r="AF771" i="17"/>
  <c r="AB771" i="17"/>
  <c r="X771" i="17"/>
  <c r="AA771" i="17"/>
  <c r="W771" i="17"/>
  <c r="AE771" i="17"/>
  <c r="C773" i="17"/>
  <c r="AL772" i="17"/>
  <c r="B772" i="17"/>
  <c r="G772" i="17" s="1"/>
  <c r="A773" i="17"/>
  <c r="AE157" i="17"/>
  <c r="AA157" i="17"/>
  <c r="W157" i="17"/>
  <c r="AH157" i="17"/>
  <c r="AD157" i="17"/>
  <c r="Z157" i="17"/>
  <c r="AG157" i="17"/>
  <c r="AC157" i="17"/>
  <c r="Y157" i="17"/>
  <c r="AF157" i="17"/>
  <c r="AB157" i="17"/>
  <c r="X157" i="17"/>
  <c r="C159" i="17"/>
  <c r="AL158" i="17"/>
  <c r="B158" i="17"/>
  <c r="G158" i="17" s="1"/>
  <c r="C774" i="17" l="1"/>
  <c r="AL773" i="17"/>
  <c r="B773" i="17"/>
  <c r="G773" i="17" s="1"/>
  <c r="A774" i="17"/>
  <c r="AH772" i="17"/>
  <c r="AD772" i="17"/>
  <c r="Z772" i="17"/>
  <c r="AG772" i="17"/>
  <c r="AC772" i="17"/>
  <c r="Y772" i="17"/>
  <c r="AF772" i="17"/>
  <c r="AB772" i="17"/>
  <c r="X772" i="17"/>
  <c r="AA772" i="17"/>
  <c r="W772" i="17"/>
  <c r="AE772" i="17"/>
  <c r="AH158" i="17"/>
  <c r="AD158" i="17"/>
  <c r="Z158" i="17"/>
  <c r="AG158" i="17"/>
  <c r="AC158" i="17"/>
  <c r="Y158" i="17"/>
  <c r="AF158" i="17"/>
  <c r="AB158" i="17"/>
  <c r="X158" i="17"/>
  <c r="AE158" i="17"/>
  <c r="AA158" i="17"/>
  <c r="W158" i="17"/>
  <c r="B159" i="17"/>
  <c r="G159" i="17" s="1"/>
  <c r="C160" i="17"/>
  <c r="AL159" i="17"/>
  <c r="C775" i="17" l="1"/>
  <c r="AL774" i="17"/>
  <c r="B774" i="17"/>
  <c r="G774" i="17" s="1"/>
  <c r="A775" i="17"/>
  <c r="AH773" i="17"/>
  <c r="AD773" i="17"/>
  <c r="Z773" i="17"/>
  <c r="AG773" i="17"/>
  <c r="AC773" i="17"/>
  <c r="Y773" i="17"/>
  <c r="AF773" i="17"/>
  <c r="AB773" i="17"/>
  <c r="X773" i="17"/>
  <c r="AA773" i="17"/>
  <c r="W773" i="17"/>
  <c r="AE773" i="17"/>
  <c r="B160" i="17"/>
  <c r="G160" i="17" s="1"/>
  <c r="C161" i="17"/>
  <c r="AL160" i="17"/>
  <c r="AG159" i="17"/>
  <c r="AC159" i="17"/>
  <c r="Y159" i="17"/>
  <c r="AF159" i="17"/>
  <c r="AB159" i="17"/>
  <c r="X159" i="17"/>
  <c r="AE159" i="17"/>
  <c r="AA159" i="17"/>
  <c r="W159" i="17"/>
  <c r="AH159" i="17"/>
  <c r="AD159" i="17"/>
  <c r="Z159" i="17"/>
  <c r="C776" i="17" l="1"/>
  <c r="AL775" i="17"/>
  <c r="B775" i="17"/>
  <c r="G775" i="17" s="1"/>
  <c r="A776" i="17"/>
  <c r="AH774" i="17"/>
  <c r="AD774" i="17"/>
  <c r="Z774" i="17"/>
  <c r="AG774" i="17"/>
  <c r="AC774" i="17"/>
  <c r="Y774" i="17"/>
  <c r="AF774" i="17"/>
  <c r="AB774" i="17"/>
  <c r="X774" i="17"/>
  <c r="AA774" i="17"/>
  <c r="W774" i="17"/>
  <c r="AE774" i="17"/>
  <c r="C162" i="17"/>
  <c r="AL161" i="17"/>
  <c r="B161" i="17"/>
  <c r="G161" i="17" s="1"/>
  <c r="AF160" i="17"/>
  <c r="AB160" i="17"/>
  <c r="X160" i="17"/>
  <c r="AE160" i="17"/>
  <c r="AA160" i="17"/>
  <c r="W160" i="17"/>
  <c r="AH160" i="17"/>
  <c r="AD160" i="17"/>
  <c r="Z160" i="17"/>
  <c r="AG160" i="17"/>
  <c r="AC160" i="17"/>
  <c r="Y160" i="17"/>
  <c r="C777" i="17" l="1"/>
  <c r="AL776" i="17"/>
  <c r="B776" i="17"/>
  <c r="G776" i="17" s="1"/>
  <c r="A777" i="17"/>
  <c r="AH775" i="17"/>
  <c r="AD775" i="17"/>
  <c r="Z775" i="17"/>
  <c r="AG775" i="17"/>
  <c r="AC775" i="17"/>
  <c r="Y775" i="17"/>
  <c r="AF775" i="17"/>
  <c r="AB775" i="17"/>
  <c r="X775" i="17"/>
  <c r="AA775" i="17"/>
  <c r="W775" i="17"/>
  <c r="AE775" i="17"/>
  <c r="AE161" i="17"/>
  <c r="AA161" i="17"/>
  <c r="W161" i="17"/>
  <c r="AH161" i="17"/>
  <c r="AD161" i="17"/>
  <c r="Z161" i="17"/>
  <c r="AG161" i="17"/>
  <c r="AC161" i="17"/>
  <c r="Y161" i="17"/>
  <c r="AF161" i="17"/>
  <c r="AB161" i="17"/>
  <c r="X161" i="17"/>
  <c r="C163" i="17"/>
  <c r="AL162" i="17"/>
  <c r="B162" i="17"/>
  <c r="G162" i="17" s="1"/>
  <c r="C778" i="17" l="1"/>
  <c r="AL777" i="17"/>
  <c r="B777" i="17"/>
  <c r="G777" i="17" s="1"/>
  <c r="A778" i="17"/>
  <c r="AH776" i="17"/>
  <c r="AD776" i="17"/>
  <c r="Z776" i="17"/>
  <c r="AG776" i="17"/>
  <c r="AC776" i="17"/>
  <c r="Y776" i="17"/>
  <c r="AF776" i="17"/>
  <c r="AB776" i="17"/>
  <c r="X776" i="17"/>
  <c r="AA776" i="17"/>
  <c r="W776" i="17"/>
  <c r="AE776" i="17"/>
  <c r="AH162" i="17"/>
  <c r="AD162" i="17"/>
  <c r="Z162" i="17"/>
  <c r="AG162" i="17"/>
  <c r="AC162" i="17"/>
  <c r="Y162" i="17"/>
  <c r="AF162" i="17"/>
  <c r="AB162" i="17"/>
  <c r="X162" i="17"/>
  <c r="AE162" i="17"/>
  <c r="AA162" i="17"/>
  <c r="W162" i="17"/>
  <c r="B163" i="17"/>
  <c r="G163" i="17" s="1"/>
  <c r="C164" i="17"/>
  <c r="AL163" i="17"/>
  <c r="C779" i="17" l="1"/>
  <c r="AL778" i="17"/>
  <c r="B778" i="17"/>
  <c r="G778" i="17" s="1"/>
  <c r="A779" i="17"/>
  <c r="AH777" i="17"/>
  <c r="AD777" i="17"/>
  <c r="Z777" i="17"/>
  <c r="AG777" i="17"/>
  <c r="AC777" i="17"/>
  <c r="Y777" i="17"/>
  <c r="AF777" i="17"/>
  <c r="AB777" i="17"/>
  <c r="X777" i="17"/>
  <c r="AA777" i="17"/>
  <c r="W777" i="17"/>
  <c r="AE777" i="17"/>
  <c r="AG163" i="17"/>
  <c r="AC163" i="17"/>
  <c r="Y163" i="17"/>
  <c r="AF163" i="17"/>
  <c r="AB163" i="17"/>
  <c r="X163" i="17"/>
  <c r="AE163" i="17"/>
  <c r="AA163" i="17"/>
  <c r="W163" i="17"/>
  <c r="AH163" i="17"/>
  <c r="AD163" i="17"/>
  <c r="Z163" i="17"/>
  <c r="B164" i="17"/>
  <c r="G164" i="17" s="1"/>
  <c r="C165" i="17"/>
  <c r="AL164" i="17"/>
  <c r="C780" i="17" l="1"/>
  <c r="AL779" i="17"/>
  <c r="B779" i="17"/>
  <c r="G779" i="17" s="1"/>
  <c r="A780" i="17"/>
  <c r="AH778" i="17"/>
  <c r="AD778" i="17"/>
  <c r="Z778" i="17"/>
  <c r="AG778" i="17"/>
  <c r="AC778" i="17"/>
  <c r="Y778" i="17"/>
  <c r="AF778" i="17"/>
  <c r="AB778" i="17"/>
  <c r="X778" i="17"/>
  <c r="AA778" i="17"/>
  <c r="W778" i="17"/>
  <c r="AE778" i="17"/>
  <c r="C166" i="17"/>
  <c r="AL165" i="17"/>
  <c r="B165" i="17"/>
  <c r="G165" i="17" s="1"/>
  <c r="AF164" i="17"/>
  <c r="AB164" i="17"/>
  <c r="X164" i="17"/>
  <c r="AE164" i="17"/>
  <c r="AA164" i="17"/>
  <c r="W164" i="17"/>
  <c r="AH164" i="17"/>
  <c r="AD164" i="17"/>
  <c r="Z164" i="17"/>
  <c r="AG164" i="17"/>
  <c r="AC164" i="17"/>
  <c r="Y164" i="17"/>
  <c r="AH779" i="17" l="1"/>
  <c r="AD779" i="17"/>
  <c r="Z779" i="17"/>
  <c r="AG779" i="17"/>
  <c r="AC779" i="17"/>
  <c r="Y779" i="17"/>
  <c r="AF779" i="17"/>
  <c r="AB779" i="17"/>
  <c r="X779" i="17"/>
  <c r="AA779" i="17"/>
  <c r="W779" i="17"/>
  <c r="AE779" i="17"/>
  <c r="C781" i="17"/>
  <c r="AL780" i="17"/>
  <c r="B780" i="17"/>
  <c r="G780" i="17" s="1"/>
  <c r="A781" i="17"/>
  <c r="AE165" i="17"/>
  <c r="AA165" i="17"/>
  <c r="W165" i="17"/>
  <c r="AH165" i="17"/>
  <c r="AD165" i="17"/>
  <c r="Z165" i="17"/>
  <c r="AG165" i="17"/>
  <c r="AC165" i="17"/>
  <c r="Y165" i="17"/>
  <c r="AF165" i="17"/>
  <c r="AB165" i="17"/>
  <c r="X165" i="17"/>
  <c r="C167" i="17"/>
  <c r="AL166" i="17"/>
  <c r="B166" i="17"/>
  <c r="G166" i="17" s="1"/>
  <c r="C782" i="17" l="1"/>
  <c r="AL781" i="17"/>
  <c r="B781" i="17"/>
  <c r="G781" i="17" s="1"/>
  <c r="A782" i="17"/>
  <c r="AH780" i="17"/>
  <c r="AD780" i="17"/>
  <c r="Z780" i="17"/>
  <c r="AG780" i="17"/>
  <c r="AC780" i="17"/>
  <c r="Y780" i="17"/>
  <c r="AF780" i="17"/>
  <c r="AB780" i="17"/>
  <c r="X780" i="17"/>
  <c r="AA780" i="17"/>
  <c r="W780" i="17"/>
  <c r="AE780" i="17"/>
  <c r="AH166" i="17"/>
  <c r="AD166" i="17"/>
  <c r="Z166" i="17"/>
  <c r="AG166" i="17"/>
  <c r="AC166" i="17"/>
  <c r="Y166" i="17"/>
  <c r="AF166" i="17"/>
  <c r="AB166" i="17"/>
  <c r="X166" i="17"/>
  <c r="AE166" i="17"/>
  <c r="AA166" i="17"/>
  <c r="W166" i="17"/>
  <c r="B167" i="17"/>
  <c r="G167" i="17" s="1"/>
  <c r="C168" i="17"/>
  <c r="AL167" i="17"/>
  <c r="C783" i="17" l="1"/>
  <c r="AL782" i="17"/>
  <c r="B782" i="17"/>
  <c r="G782" i="17" s="1"/>
  <c r="A783" i="17"/>
  <c r="AH781" i="17"/>
  <c r="AD781" i="17"/>
  <c r="Z781" i="17"/>
  <c r="AG781" i="17"/>
  <c r="AC781" i="17"/>
  <c r="Y781" i="17"/>
  <c r="AF781" i="17"/>
  <c r="AB781" i="17"/>
  <c r="X781" i="17"/>
  <c r="AA781" i="17"/>
  <c r="W781" i="17"/>
  <c r="AE781" i="17"/>
  <c r="B168" i="17"/>
  <c r="G168" i="17" s="1"/>
  <c r="C169" i="17"/>
  <c r="AL168" i="17"/>
  <c r="AG167" i="17"/>
  <c r="AC167" i="17"/>
  <c r="Y167" i="17"/>
  <c r="AF167" i="17"/>
  <c r="AB167" i="17"/>
  <c r="X167" i="17"/>
  <c r="AE167" i="17"/>
  <c r="AA167" i="17"/>
  <c r="W167" i="17"/>
  <c r="AH167" i="17"/>
  <c r="AD167" i="17"/>
  <c r="Z167" i="17"/>
  <c r="AH782" i="17" l="1"/>
  <c r="AD782" i="17"/>
  <c r="Z782" i="17"/>
  <c r="AG782" i="17"/>
  <c r="AC782" i="17"/>
  <c r="Y782" i="17"/>
  <c r="AF782" i="17"/>
  <c r="AB782" i="17"/>
  <c r="X782" i="17"/>
  <c r="AA782" i="17"/>
  <c r="W782" i="17"/>
  <c r="AE782" i="17"/>
  <c r="C784" i="17"/>
  <c r="AL783" i="17"/>
  <c r="B783" i="17"/>
  <c r="G783" i="17" s="1"/>
  <c r="A784" i="17"/>
  <c r="C170" i="17"/>
  <c r="AL169" i="17"/>
  <c r="B169" i="17"/>
  <c r="G169" i="17" s="1"/>
  <c r="AF168" i="17"/>
  <c r="AB168" i="17"/>
  <c r="X168" i="17"/>
  <c r="AE168" i="17"/>
  <c r="AA168" i="17"/>
  <c r="W168" i="17"/>
  <c r="AH168" i="17"/>
  <c r="AD168" i="17"/>
  <c r="Z168" i="17"/>
  <c r="AG168" i="17"/>
  <c r="AC168" i="17"/>
  <c r="Y168" i="17"/>
  <c r="C785" i="17" l="1"/>
  <c r="AL784" i="17"/>
  <c r="B784" i="17"/>
  <c r="G784" i="17" s="1"/>
  <c r="A785" i="17"/>
  <c r="AH783" i="17"/>
  <c r="AD783" i="17"/>
  <c r="Z783" i="17"/>
  <c r="AG783" i="17"/>
  <c r="AC783" i="17"/>
  <c r="Y783" i="17"/>
  <c r="AF783" i="17"/>
  <c r="AB783" i="17"/>
  <c r="X783" i="17"/>
  <c r="AA783" i="17"/>
  <c r="W783" i="17"/>
  <c r="AE783" i="17"/>
  <c r="AE169" i="17"/>
  <c r="AA169" i="17"/>
  <c r="W169" i="17"/>
  <c r="AH169" i="17"/>
  <c r="AD169" i="17"/>
  <c r="Z169" i="17"/>
  <c r="AF169" i="17"/>
  <c r="X169" i="17"/>
  <c r="AC169" i="17"/>
  <c r="AB169" i="17"/>
  <c r="AG169" i="17"/>
  <c r="Y169" i="17"/>
  <c r="C171" i="17"/>
  <c r="AL170" i="17"/>
  <c r="B170" i="17"/>
  <c r="G170" i="17" s="1"/>
  <c r="AH784" i="17" l="1"/>
  <c r="AD784" i="17"/>
  <c r="Z784" i="17"/>
  <c r="AG784" i="17"/>
  <c r="AC784" i="17"/>
  <c r="Y784" i="17"/>
  <c r="AF784" i="17"/>
  <c r="AB784" i="17"/>
  <c r="X784" i="17"/>
  <c r="AA784" i="17"/>
  <c r="W784" i="17"/>
  <c r="AE784" i="17"/>
  <c r="C786" i="17"/>
  <c r="AL785" i="17"/>
  <c r="B785" i="17"/>
  <c r="G785" i="17" s="1"/>
  <c r="A786" i="17"/>
  <c r="B171" i="17"/>
  <c r="G171" i="17" s="1"/>
  <c r="AL171" i="17"/>
  <c r="C172" i="17"/>
  <c r="AH170" i="17"/>
  <c r="AD170" i="17"/>
  <c r="Z170" i="17"/>
  <c r="AG170" i="17"/>
  <c r="AC170" i="17"/>
  <c r="Y170" i="17"/>
  <c r="AE170" i="17"/>
  <c r="W170" i="17"/>
  <c r="AB170" i="17"/>
  <c r="AA170" i="17"/>
  <c r="AF170" i="17"/>
  <c r="X170" i="17"/>
  <c r="AH785" i="17" l="1"/>
  <c r="AD785" i="17"/>
  <c r="Z785" i="17"/>
  <c r="AG785" i="17"/>
  <c r="AC785" i="17"/>
  <c r="Y785" i="17"/>
  <c r="AF785" i="17"/>
  <c r="AB785" i="17"/>
  <c r="X785" i="17"/>
  <c r="AA785" i="17"/>
  <c r="W785" i="17"/>
  <c r="AE785" i="17"/>
  <c r="C787" i="17"/>
  <c r="AL786" i="17"/>
  <c r="B786" i="17"/>
  <c r="G786" i="17" s="1"/>
  <c r="A787" i="17"/>
  <c r="B172" i="17"/>
  <c r="G172" i="17" s="1"/>
  <c r="C173" i="17"/>
  <c r="AL172" i="17"/>
  <c r="AG171" i="17"/>
  <c r="AC171" i="17"/>
  <c r="Y171" i="17"/>
  <c r="AF171" i="17"/>
  <c r="AB171" i="17"/>
  <c r="X171" i="17"/>
  <c r="AE171" i="17"/>
  <c r="AA171" i="17"/>
  <c r="W171" i="17"/>
  <c r="AH171" i="17"/>
  <c r="AD171" i="17"/>
  <c r="Z171" i="17"/>
  <c r="C788" i="17" l="1"/>
  <c r="AL787" i="17"/>
  <c r="B787" i="17"/>
  <c r="G787" i="17" s="1"/>
  <c r="A788" i="17"/>
  <c r="AH786" i="17"/>
  <c r="AD786" i="17"/>
  <c r="Z786" i="17"/>
  <c r="AG786" i="17"/>
  <c r="AC786" i="17"/>
  <c r="Y786" i="17"/>
  <c r="AF786" i="17"/>
  <c r="AB786" i="17"/>
  <c r="X786" i="17"/>
  <c r="AA786" i="17"/>
  <c r="W786" i="17"/>
  <c r="AE786" i="17"/>
  <c r="AF172" i="17"/>
  <c r="AB172" i="17"/>
  <c r="X172" i="17"/>
  <c r="AE172" i="17"/>
  <c r="AA172" i="17"/>
  <c r="W172" i="17"/>
  <c r="AH172" i="17"/>
  <c r="AD172" i="17"/>
  <c r="Z172" i="17"/>
  <c r="AG172" i="17"/>
  <c r="AC172" i="17"/>
  <c r="Y172" i="17"/>
  <c r="C174" i="17"/>
  <c r="AL173" i="17"/>
  <c r="B173" i="17"/>
  <c r="G173" i="17" s="1"/>
  <c r="C789" i="17" l="1"/>
  <c r="AL788" i="17"/>
  <c r="B788" i="17"/>
  <c r="G788" i="17" s="1"/>
  <c r="A789" i="17"/>
  <c r="AH787" i="17"/>
  <c r="AD787" i="17"/>
  <c r="Z787" i="17"/>
  <c r="AG787" i="17"/>
  <c r="AC787" i="17"/>
  <c r="Y787" i="17"/>
  <c r="AF787" i="17"/>
  <c r="AB787" i="17"/>
  <c r="X787" i="17"/>
  <c r="AA787" i="17"/>
  <c r="W787" i="17"/>
  <c r="AE787" i="17"/>
  <c r="AE173" i="17"/>
  <c r="AA173" i="17"/>
  <c r="W173" i="17"/>
  <c r="AH173" i="17"/>
  <c r="AD173" i="17"/>
  <c r="Z173" i="17"/>
  <c r="AG173" i="17"/>
  <c r="AC173" i="17"/>
  <c r="Y173" i="17"/>
  <c r="AF173" i="17"/>
  <c r="AB173" i="17"/>
  <c r="X173" i="17"/>
  <c r="C175" i="17"/>
  <c r="AL174" i="17"/>
  <c r="B174" i="17"/>
  <c r="G174" i="17" s="1"/>
  <c r="C790" i="17" l="1"/>
  <c r="AL789" i="17"/>
  <c r="B789" i="17"/>
  <c r="G789" i="17" s="1"/>
  <c r="A790" i="17"/>
  <c r="AH788" i="17"/>
  <c r="AD788" i="17"/>
  <c r="Z788" i="17"/>
  <c r="AG788" i="17"/>
  <c r="AC788" i="17"/>
  <c r="Y788" i="17"/>
  <c r="AF788" i="17"/>
  <c r="AB788" i="17"/>
  <c r="X788" i="17"/>
  <c r="AA788" i="17"/>
  <c r="W788" i="17"/>
  <c r="AE788" i="17"/>
  <c r="AH174" i="17"/>
  <c r="AD174" i="17"/>
  <c r="Z174" i="17"/>
  <c r="AG174" i="17"/>
  <c r="AC174" i="17"/>
  <c r="Y174" i="17"/>
  <c r="AF174" i="17"/>
  <c r="AB174" i="17"/>
  <c r="X174" i="17"/>
  <c r="AE174" i="17"/>
  <c r="AA174" i="17"/>
  <c r="W174" i="17"/>
  <c r="B175" i="17"/>
  <c r="G175" i="17" s="1"/>
  <c r="C176" i="17"/>
  <c r="AL175" i="17"/>
  <c r="C791" i="17" l="1"/>
  <c r="AL790" i="17"/>
  <c r="B790" i="17"/>
  <c r="G790" i="17" s="1"/>
  <c r="A791" i="17"/>
  <c r="AH789" i="17"/>
  <c r="AD789" i="17"/>
  <c r="Z789" i="17"/>
  <c r="AG789" i="17"/>
  <c r="AC789" i="17"/>
  <c r="Y789" i="17"/>
  <c r="AF789" i="17"/>
  <c r="AB789" i="17"/>
  <c r="X789" i="17"/>
  <c r="AA789" i="17"/>
  <c r="W789" i="17"/>
  <c r="AE789" i="17"/>
  <c r="B176" i="17"/>
  <c r="G176" i="17" s="1"/>
  <c r="C177" i="17"/>
  <c r="AL176" i="17"/>
  <c r="AG175" i="17"/>
  <c r="AC175" i="17"/>
  <c r="Y175" i="17"/>
  <c r="AF175" i="17"/>
  <c r="AB175" i="17"/>
  <c r="X175" i="17"/>
  <c r="AE175" i="17"/>
  <c r="AA175" i="17"/>
  <c r="W175" i="17"/>
  <c r="AH175" i="17"/>
  <c r="AD175" i="17"/>
  <c r="Z175" i="17"/>
  <c r="C792" i="17" l="1"/>
  <c r="AL791" i="17"/>
  <c r="B791" i="17"/>
  <c r="G791" i="17" s="1"/>
  <c r="A792" i="17"/>
  <c r="AH790" i="17"/>
  <c r="AD790" i="17"/>
  <c r="Z790" i="17"/>
  <c r="AG790" i="17"/>
  <c r="AC790" i="17"/>
  <c r="Y790" i="17"/>
  <c r="AF790" i="17"/>
  <c r="AB790" i="17"/>
  <c r="X790" i="17"/>
  <c r="AA790" i="17"/>
  <c r="W790" i="17"/>
  <c r="AE790" i="17"/>
  <c r="C178" i="17"/>
  <c r="AL177" i="17"/>
  <c r="B177" i="17"/>
  <c r="G177" i="17" s="1"/>
  <c r="AF176" i="17"/>
  <c r="AB176" i="17"/>
  <c r="X176" i="17"/>
  <c r="AE176" i="17"/>
  <c r="AA176" i="17"/>
  <c r="W176" i="17"/>
  <c r="AH176" i="17"/>
  <c r="AD176" i="17"/>
  <c r="Z176" i="17"/>
  <c r="AC176" i="17"/>
  <c r="Y176" i="17"/>
  <c r="AG176" i="17"/>
  <c r="AH791" i="17" l="1"/>
  <c r="AD791" i="17"/>
  <c r="Z791" i="17"/>
  <c r="AG791" i="17"/>
  <c r="AC791" i="17"/>
  <c r="Y791" i="17"/>
  <c r="AF791" i="17"/>
  <c r="AB791" i="17"/>
  <c r="X791" i="17"/>
  <c r="AA791" i="17"/>
  <c r="W791" i="17"/>
  <c r="AE791" i="17"/>
  <c r="C793" i="17"/>
  <c r="AL792" i="17"/>
  <c r="B792" i="17"/>
  <c r="G792" i="17" s="1"/>
  <c r="A793" i="17"/>
  <c r="AE177" i="17"/>
  <c r="AA177" i="17"/>
  <c r="W177" i="17"/>
  <c r="AH177" i="17"/>
  <c r="AD177" i="17"/>
  <c r="Z177" i="17"/>
  <c r="AG177" i="17"/>
  <c r="AC177" i="17"/>
  <c r="Y177" i="17"/>
  <c r="AB177" i="17"/>
  <c r="X177" i="17"/>
  <c r="AF177" i="17"/>
  <c r="C179" i="17"/>
  <c r="AL178" i="17"/>
  <c r="B178" i="17"/>
  <c r="G178" i="17" s="1"/>
  <c r="AH792" i="17" l="1"/>
  <c r="AD792" i="17"/>
  <c r="Z792" i="17"/>
  <c r="AG792" i="17"/>
  <c r="AC792" i="17"/>
  <c r="Y792" i="17"/>
  <c r="AF792" i="17"/>
  <c r="AB792" i="17"/>
  <c r="X792" i="17"/>
  <c r="AA792" i="17"/>
  <c r="W792" i="17"/>
  <c r="AE792" i="17"/>
  <c r="C794" i="17"/>
  <c r="AL793" i="17"/>
  <c r="B793" i="17"/>
  <c r="G793" i="17" s="1"/>
  <c r="A794" i="17"/>
  <c r="AH178" i="17"/>
  <c r="AD178" i="17"/>
  <c r="Z178" i="17"/>
  <c r="AG178" i="17"/>
  <c r="AC178" i="17"/>
  <c r="Y178" i="17"/>
  <c r="AF178" i="17"/>
  <c r="AB178" i="17"/>
  <c r="X178" i="17"/>
  <c r="AA178" i="17"/>
  <c r="W178" i="17"/>
  <c r="AE178" i="17"/>
  <c r="B179" i="17"/>
  <c r="G179" i="17" s="1"/>
  <c r="AL179" i="17"/>
  <c r="C180" i="17"/>
  <c r="C795" i="17" l="1"/>
  <c r="AL794" i="17"/>
  <c r="B794" i="17"/>
  <c r="G794" i="17" s="1"/>
  <c r="A795" i="17"/>
  <c r="AH793" i="17"/>
  <c r="AD793" i="17"/>
  <c r="Z793" i="17"/>
  <c r="AG793" i="17"/>
  <c r="AC793" i="17"/>
  <c r="Y793" i="17"/>
  <c r="AF793" i="17"/>
  <c r="AB793" i="17"/>
  <c r="X793" i="17"/>
  <c r="AA793" i="17"/>
  <c r="W793" i="17"/>
  <c r="AE793" i="17"/>
  <c r="AG179" i="17"/>
  <c r="AC179" i="17"/>
  <c r="Y179" i="17"/>
  <c r="AF179" i="17"/>
  <c r="AB179" i="17"/>
  <c r="X179" i="17"/>
  <c r="AE179" i="17"/>
  <c r="AA179" i="17"/>
  <c r="W179" i="17"/>
  <c r="AD179" i="17"/>
  <c r="Z179" i="17"/>
  <c r="AH179" i="17"/>
  <c r="B180" i="17"/>
  <c r="G180" i="17" s="1"/>
  <c r="C181" i="17"/>
  <c r="AL180" i="17"/>
  <c r="AH794" i="17" l="1"/>
  <c r="AD794" i="17"/>
  <c r="Z794" i="17"/>
  <c r="AG794" i="17"/>
  <c r="AC794" i="17"/>
  <c r="Y794" i="17"/>
  <c r="AF794" i="17"/>
  <c r="AB794" i="17"/>
  <c r="X794" i="17"/>
  <c r="AA794" i="17"/>
  <c r="W794" i="17"/>
  <c r="AE794" i="17"/>
  <c r="C796" i="17"/>
  <c r="AL795" i="17"/>
  <c r="B795" i="17"/>
  <c r="G795" i="17" s="1"/>
  <c r="A796" i="17"/>
  <c r="C182" i="17"/>
  <c r="AL181" i="17"/>
  <c r="B181" i="17"/>
  <c r="G181" i="17" s="1"/>
  <c r="AF180" i="17"/>
  <c r="AB180" i="17"/>
  <c r="X180" i="17"/>
  <c r="AE180" i="17"/>
  <c r="AA180" i="17"/>
  <c r="W180" i="17"/>
  <c r="AH180" i="17"/>
  <c r="AD180" i="17"/>
  <c r="Z180" i="17"/>
  <c r="Y180" i="17"/>
  <c r="AG180" i="17"/>
  <c r="AC180" i="17"/>
  <c r="C797" i="17" l="1"/>
  <c r="AL796" i="17"/>
  <c r="B796" i="17"/>
  <c r="G796" i="17" s="1"/>
  <c r="A797" i="17"/>
  <c r="AH795" i="17"/>
  <c r="AD795" i="17"/>
  <c r="Z795" i="17"/>
  <c r="AG795" i="17"/>
  <c r="AC795" i="17"/>
  <c r="Y795" i="17"/>
  <c r="AF795" i="17"/>
  <c r="AB795" i="17"/>
  <c r="X795" i="17"/>
  <c r="AA795" i="17"/>
  <c r="W795" i="17"/>
  <c r="AE795" i="17"/>
  <c r="AE181" i="17"/>
  <c r="AA181" i="17"/>
  <c r="W181" i="17"/>
  <c r="AH181" i="17"/>
  <c r="AD181" i="17"/>
  <c r="Z181" i="17"/>
  <c r="AG181" i="17"/>
  <c r="AC181" i="17"/>
  <c r="Y181" i="17"/>
  <c r="X181" i="17"/>
  <c r="AF181" i="17"/>
  <c r="AB181" i="17"/>
  <c r="C183" i="17"/>
  <c r="AL182" i="17"/>
  <c r="B182" i="17"/>
  <c r="G182" i="17" s="1"/>
  <c r="C798" i="17" l="1"/>
  <c r="AL797" i="17"/>
  <c r="B797" i="17"/>
  <c r="G797" i="17" s="1"/>
  <c r="A798" i="17"/>
  <c r="AH796" i="17"/>
  <c r="AD796" i="17"/>
  <c r="Z796" i="17"/>
  <c r="AG796" i="17"/>
  <c r="AC796" i="17"/>
  <c r="Y796" i="17"/>
  <c r="AF796" i="17"/>
  <c r="AB796" i="17"/>
  <c r="X796" i="17"/>
  <c r="AA796" i="17"/>
  <c r="W796" i="17"/>
  <c r="AE796" i="17"/>
  <c r="AH182" i="17"/>
  <c r="AD182" i="17"/>
  <c r="Z182" i="17"/>
  <c r="AG182" i="17"/>
  <c r="AC182" i="17"/>
  <c r="Y182" i="17"/>
  <c r="AF182" i="17"/>
  <c r="AB182" i="17"/>
  <c r="X182" i="17"/>
  <c r="W182" i="17"/>
  <c r="AE182" i="17"/>
  <c r="AA182" i="17"/>
  <c r="B183" i="17"/>
  <c r="G183" i="17" s="1"/>
  <c r="AL183" i="17"/>
  <c r="C184" i="17"/>
  <c r="C799" i="17" l="1"/>
  <c r="AL798" i="17"/>
  <c r="B798" i="17"/>
  <c r="G798" i="17" s="1"/>
  <c r="A799" i="17"/>
  <c r="AH797" i="17"/>
  <c r="AD797" i="17"/>
  <c r="Z797" i="17"/>
  <c r="AG797" i="17"/>
  <c r="AC797" i="17"/>
  <c r="Y797" i="17"/>
  <c r="AF797" i="17"/>
  <c r="AB797" i="17"/>
  <c r="X797" i="17"/>
  <c r="AA797" i="17"/>
  <c r="W797" i="17"/>
  <c r="AE797" i="17"/>
  <c r="AG183" i="17"/>
  <c r="AC183" i="17"/>
  <c r="Y183" i="17"/>
  <c r="AF183" i="17"/>
  <c r="AB183" i="17"/>
  <c r="X183" i="17"/>
  <c r="AE183" i="17"/>
  <c r="AA183" i="17"/>
  <c r="W183" i="17"/>
  <c r="Z183" i="17"/>
  <c r="AH183" i="17"/>
  <c r="AD183" i="17"/>
  <c r="B184" i="17"/>
  <c r="G184" i="17" s="1"/>
  <c r="C185" i="17"/>
  <c r="AL184" i="17"/>
  <c r="AH798" i="17" l="1"/>
  <c r="AD798" i="17"/>
  <c r="Z798" i="17"/>
  <c r="AG798" i="17"/>
  <c r="AC798" i="17"/>
  <c r="Y798" i="17"/>
  <c r="AF798" i="17"/>
  <c r="AB798" i="17"/>
  <c r="X798" i="17"/>
  <c r="AA798" i="17"/>
  <c r="W798" i="17"/>
  <c r="AE798" i="17"/>
  <c r="C800" i="17"/>
  <c r="AL799" i="17"/>
  <c r="B799" i="17"/>
  <c r="G799" i="17" s="1"/>
  <c r="A800" i="17"/>
  <c r="C186" i="17"/>
  <c r="AL185" i="17"/>
  <c r="B185" i="17"/>
  <c r="G185" i="17" s="1"/>
  <c r="AF184" i="17"/>
  <c r="AB184" i="17"/>
  <c r="X184" i="17"/>
  <c r="AE184" i="17"/>
  <c r="AA184" i="17"/>
  <c r="W184" i="17"/>
  <c r="AH184" i="17"/>
  <c r="AD184" i="17"/>
  <c r="Z184" i="17"/>
  <c r="AG184" i="17"/>
  <c r="AC184" i="17"/>
  <c r="Y184" i="17"/>
  <c r="AH799" i="17" l="1"/>
  <c r="AD799" i="17"/>
  <c r="Z799" i="17"/>
  <c r="AG799" i="17"/>
  <c r="AC799" i="17"/>
  <c r="Y799" i="17"/>
  <c r="AF799" i="17"/>
  <c r="AB799" i="17"/>
  <c r="X799" i="17"/>
  <c r="AA799" i="17"/>
  <c r="W799" i="17"/>
  <c r="AE799" i="17"/>
  <c r="C801" i="17"/>
  <c r="AL800" i="17"/>
  <c r="B800" i="17"/>
  <c r="G800" i="17" s="1"/>
  <c r="A801" i="17"/>
  <c r="AE185" i="17"/>
  <c r="AA185" i="17"/>
  <c r="W185" i="17"/>
  <c r="AH185" i="17"/>
  <c r="AD185" i="17"/>
  <c r="Z185" i="17"/>
  <c r="AG185" i="17"/>
  <c r="AC185" i="17"/>
  <c r="Y185" i="17"/>
  <c r="AF185" i="17"/>
  <c r="AB185" i="17"/>
  <c r="X185" i="17"/>
  <c r="C187" i="17"/>
  <c r="AL186" i="17"/>
  <c r="B186" i="17"/>
  <c r="G186" i="17" s="1"/>
  <c r="C802" i="17" l="1"/>
  <c r="AL801" i="17"/>
  <c r="B801" i="17"/>
  <c r="G801" i="17" s="1"/>
  <c r="A802" i="17"/>
  <c r="AH800" i="17"/>
  <c r="AD800" i="17"/>
  <c r="Z800" i="17"/>
  <c r="AG800" i="17"/>
  <c r="AC800" i="17"/>
  <c r="Y800" i="17"/>
  <c r="AF800" i="17"/>
  <c r="AB800" i="17"/>
  <c r="X800" i="17"/>
  <c r="AA800" i="17"/>
  <c r="W800" i="17"/>
  <c r="AE800" i="17"/>
  <c r="AH186" i="17"/>
  <c r="AD186" i="17"/>
  <c r="Z186" i="17"/>
  <c r="AG186" i="17"/>
  <c r="AC186" i="17"/>
  <c r="Y186" i="17"/>
  <c r="AF186" i="17"/>
  <c r="AB186" i="17"/>
  <c r="X186" i="17"/>
  <c r="AE186" i="17"/>
  <c r="AA186" i="17"/>
  <c r="W186" i="17"/>
  <c r="B187" i="17"/>
  <c r="G187" i="17" s="1"/>
  <c r="AL187" i="17"/>
  <c r="C188" i="17"/>
  <c r="C803" i="17" l="1"/>
  <c r="AL802" i="17"/>
  <c r="B802" i="17"/>
  <c r="G802" i="17" s="1"/>
  <c r="A803" i="17"/>
  <c r="AH801" i="17"/>
  <c r="AD801" i="17"/>
  <c r="Z801" i="17"/>
  <c r="AG801" i="17"/>
  <c r="AC801" i="17"/>
  <c r="Y801" i="17"/>
  <c r="AF801" i="17"/>
  <c r="AB801" i="17"/>
  <c r="X801" i="17"/>
  <c r="AA801" i="17"/>
  <c r="W801" i="17"/>
  <c r="AE801" i="17"/>
  <c r="AG187" i="17"/>
  <c r="AC187" i="17"/>
  <c r="Y187" i="17"/>
  <c r="AF187" i="17"/>
  <c r="AB187" i="17"/>
  <c r="X187" i="17"/>
  <c r="AE187" i="17"/>
  <c r="AA187" i="17"/>
  <c r="W187" i="17"/>
  <c r="AH187" i="17"/>
  <c r="AD187" i="17"/>
  <c r="Z187" i="17"/>
  <c r="B188" i="17"/>
  <c r="G188" i="17" s="1"/>
  <c r="C189" i="17"/>
  <c r="AL188" i="17"/>
  <c r="AH802" i="17" l="1"/>
  <c r="AD802" i="17"/>
  <c r="Z802" i="17"/>
  <c r="AG802" i="17"/>
  <c r="AC802" i="17"/>
  <c r="Y802" i="17"/>
  <c r="AF802" i="17"/>
  <c r="AB802" i="17"/>
  <c r="X802" i="17"/>
  <c r="AA802" i="17"/>
  <c r="W802" i="17"/>
  <c r="AE802" i="17"/>
  <c r="C804" i="17"/>
  <c r="AL803" i="17"/>
  <c r="B803" i="17"/>
  <c r="G803" i="17" s="1"/>
  <c r="A804" i="17"/>
  <c r="C190" i="17"/>
  <c r="AL189" i="17"/>
  <c r="B189" i="17"/>
  <c r="G189" i="17" s="1"/>
  <c r="AF188" i="17"/>
  <c r="AB188" i="17"/>
  <c r="X188" i="17"/>
  <c r="AE188" i="17"/>
  <c r="AA188" i="17"/>
  <c r="W188" i="17"/>
  <c r="AH188" i="17"/>
  <c r="AD188" i="17"/>
  <c r="Z188" i="17"/>
  <c r="AG188" i="17"/>
  <c r="AC188" i="17"/>
  <c r="Y188" i="17"/>
  <c r="AH803" i="17" l="1"/>
  <c r="AD803" i="17"/>
  <c r="Z803" i="17"/>
  <c r="AG803" i="17"/>
  <c r="AC803" i="17"/>
  <c r="Y803" i="17"/>
  <c r="AF803" i="17"/>
  <c r="AB803" i="17"/>
  <c r="X803" i="17"/>
  <c r="AA803" i="17"/>
  <c r="W803" i="17"/>
  <c r="AE803" i="17"/>
  <c r="C805" i="17"/>
  <c r="AL804" i="17"/>
  <c r="B804" i="17"/>
  <c r="G804" i="17" s="1"/>
  <c r="A805" i="17"/>
  <c r="AE189" i="17"/>
  <c r="AA189" i="17"/>
  <c r="W189" i="17"/>
  <c r="AH189" i="17"/>
  <c r="AD189" i="17"/>
  <c r="Z189" i="17"/>
  <c r="AG189" i="17"/>
  <c r="AC189" i="17"/>
  <c r="Y189" i="17"/>
  <c r="AF189" i="17"/>
  <c r="AB189" i="17"/>
  <c r="X189" i="17"/>
  <c r="C191" i="17"/>
  <c r="AL190" i="17"/>
  <c r="B190" i="17"/>
  <c r="G190" i="17" s="1"/>
  <c r="C806" i="17" l="1"/>
  <c r="AL805" i="17"/>
  <c r="B805" i="17"/>
  <c r="G805" i="17" s="1"/>
  <c r="A806" i="17"/>
  <c r="AH804" i="17"/>
  <c r="AD804" i="17"/>
  <c r="Z804" i="17"/>
  <c r="AG804" i="17"/>
  <c r="AC804" i="17"/>
  <c r="Y804" i="17"/>
  <c r="AF804" i="17"/>
  <c r="AB804" i="17"/>
  <c r="X804" i="17"/>
  <c r="AA804" i="17"/>
  <c r="W804" i="17"/>
  <c r="AE804" i="17"/>
  <c r="AH190" i="17"/>
  <c r="AD190" i="17"/>
  <c r="Z190" i="17"/>
  <c r="AG190" i="17"/>
  <c r="AC190" i="17"/>
  <c r="Y190" i="17"/>
  <c r="AF190" i="17"/>
  <c r="AB190" i="17"/>
  <c r="X190" i="17"/>
  <c r="AE190" i="17"/>
  <c r="AA190" i="17"/>
  <c r="W190" i="17"/>
  <c r="B191" i="17"/>
  <c r="G191" i="17" s="1"/>
  <c r="C192" i="17"/>
  <c r="AL191" i="17"/>
  <c r="C807" i="17" l="1"/>
  <c r="AL806" i="17"/>
  <c r="B806" i="17"/>
  <c r="G806" i="17" s="1"/>
  <c r="A807" i="17"/>
  <c r="AH805" i="17"/>
  <c r="AD805" i="17"/>
  <c r="Z805" i="17"/>
  <c r="AG805" i="17"/>
  <c r="AC805" i="17"/>
  <c r="Y805" i="17"/>
  <c r="AF805" i="17"/>
  <c r="AB805" i="17"/>
  <c r="X805" i="17"/>
  <c r="AA805" i="17"/>
  <c r="W805" i="17"/>
  <c r="AE805" i="17"/>
  <c r="B192" i="17"/>
  <c r="G192" i="17" s="1"/>
  <c r="C193" i="17"/>
  <c r="AL192" i="17"/>
  <c r="AG191" i="17"/>
  <c r="AC191" i="17"/>
  <c r="Y191" i="17"/>
  <c r="AF191" i="17"/>
  <c r="AB191" i="17"/>
  <c r="X191" i="17"/>
  <c r="AE191" i="17"/>
  <c r="AA191" i="17"/>
  <c r="W191" i="17"/>
  <c r="AH191" i="17"/>
  <c r="AD191" i="17"/>
  <c r="Z191" i="17"/>
  <c r="C808" i="17" l="1"/>
  <c r="AL807" i="17"/>
  <c r="B807" i="17"/>
  <c r="G807" i="17" s="1"/>
  <c r="A808" i="17"/>
  <c r="AH806" i="17"/>
  <c r="AD806" i="17"/>
  <c r="Z806" i="17"/>
  <c r="AG806" i="17"/>
  <c r="AC806" i="17"/>
  <c r="Y806" i="17"/>
  <c r="AF806" i="17"/>
  <c r="AB806" i="17"/>
  <c r="X806" i="17"/>
  <c r="AA806" i="17"/>
  <c r="W806" i="17"/>
  <c r="AE806" i="17"/>
  <c r="C194" i="17"/>
  <c r="AL193" i="17"/>
  <c r="B193" i="17"/>
  <c r="G193" i="17" s="1"/>
  <c r="AF192" i="17"/>
  <c r="AB192" i="17"/>
  <c r="X192" i="17"/>
  <c r="AE192" i="17"/>
  <c r="AA192" i="17"/>
  <c r="W192" i="17"/>
  <c r="AH192" i="17"/>
  <c r="AD192" i="17"/>
  <c r="Z192" i="17"/>
  <c r="AC192" i="17"/>
  <c r="Y192" i="17"/>
  <c r="AG192" i="17"/>
  <c r="AH807" i="17" l="1"/>
  <c r="AD807" i="17"/>
  <c r="Z807" i="17"/>
  <c r="AG807" i="17"/>
  <c r="AC807" i="17"/>
  <c r="Y807" i="17"/>
  <c r="AF807" i="17"/>
  <c r="AB807" i="17"/>
  <c r="X807" i="17"/>
  <c r="AA807" i="17"/>
  <c r="W807" i="17"/>
  <c r="AE807" i="17"/>
  <c r="C809" i="17"/>
  <c r="AL808" i="17"/>
  <c r="B808" i="17"/>
  <c r="G808" i="17" s="1"/>
  <c r="A809" i="17"/>
  <c r="AE193" i="17"/>
  <c r="AA193" i="17"/>
  <c r="W193" i="17"/>
  <c r="AH193" i="17"/>
  <c r="AD193" i="17"/>
  <c r="Z193" i="17"/>
  <c r="AG193" i="17"/>
  <c r="AC193" i="17"/>
  <c r="Y193" i="17"/>
  <c r="AB193" i="17"/>
  <c r="X193" i="17"/>
  <c r="AF193" i="17"/>
  <c r="C195" i="17"/>
  <c r="AL194" i="17"/>
  <c r="B194" i="17"/>
  <c r="G194" i="17" s="1"/>
  <c r="AH808" i="17" l="1"/>
  <c r="AD808" i="17"/>
  <c r="Z808" i="17"/>
  <c r="AG808" i="17"/>
  <c r="AC808" i="17"/>
  <c r="Y808" i="17"/>
  <c r="AF808" i="17"/>
  <c r="AB808" i="17"/>
  <c r="X808" i="17"/>
  <c r="AA808" i="17"/>
  <c r="W808" i="17"/>
  <c r="AE808" i="17"/>
  <c r="C810" i="17"/>
  <c r="AL809" i="17"/>
  <c r="B809" i="17"/>
  <c r="G809" i="17" s="1"/>
  <c r="A810" i="17"/>
  <c r="AH194" i="17"/>
  <c r="AD194" i="17"/>
  <c r="Z194" i="17"/>
  <c r="AG194" i="17"/>
  <c r="AC194" i="17"/>
  <c r="Y194" i="17"/>
  <c r="AF194" i="17"/>
  <c r="AB194" i="17"/>
  <c r="X194" i="17"/>
  <c r="AA194" i="17"/>
  <c r="W194" i="17"/>
  <c r="AE194" i="17"/>
  <c r="B195" i="17"/>
  <c r="G195" i="17" s="1"/>
  <c r="AL195" i="17"/>
  <c r="C196" i="17"/>
  <c r="C811" i="17" l="1"/>
  <c r="AL810" i="17"/>
  <c r="B810" i="17"/>
  <c r="G810" i="17" s="1"/>
  <c r="A811" i="17"/>
  <c r="AH809" i="17"/>
  <c r="AD809" i="17"/>
  <c r="Z809" i="17"/>
  <c r="AG809" i="17"/>
  <c r="AC809" i="17"/>
  <c r="Y809" i="17"/>
  <c r="AF809" i="17"/>
  <c r="AB809" i="17"/>
  <c r="X809" i="17"/>
  <c r="AA809" i="17"/>
  <c r="W809" i="17"/>
  <c r="AE809" i="17"/>
  <c r="AG195" i="17"/>
  <c r="AC195" i="17"/>
  <c r="Y195" i="17"/>
  <c r="AF195" i="17"/>
  <c r="AB195" i="17"/>
  <c r="X195" i="17"/>
  <c r="AE195" i="17"/>
  <c r="AA195" i="17"/>
  <c r="W195" i="17"/>
  <c r="AD195" i="17"/>
  <c r="Z195" i="17"/>
  <c r="AH195" i="17"/>
  <c r="B196" i="17"/>
  <c r="G196" i="17" s="1"/>
  <c r="C197" i="17"/>
  <c r="AL196" i="17"/>
  <c r="AH810" i="17" l="1"/>
  <c r="AD810" i="17"/>
  <c r="Z810" i="17"/>
  <c r="AG810" i="17"/>
  <c r="AC810" i="17"/>
  <c r="Y810" i="17"/>
  <c r="AF810" i="17"/>
  <c r="AB810" i="17"/>
  <c r="X810" i="17"/>
  <c r="AA810" i="17"/>
  <c r="W810" i="17"/>
  <c r="AE810" i="17"/>
  <c r="C812" i="17"/>
  <c r="AL811" i="17"/>
  <c r="B811" i="17"/>
  <c r="G811" i="17" s="1"/>
  <c r="A812" i="17"/>
  <c r="C198" i="17"/>
  <c r="AL197" i="17"/>
  <c r="B197" i="17"/>
  <c r="G197" i="17" s="1"/>
  <c r="AF196" i="17"/>
  <c r="AB196" i="17"/>
  <c r="X196" i="17"/>
  <c r="AE196" i="17"/>
  <c r="AA196" i="17"/>
  <c r="W196" i="17"/>
  <c r="AH196" i="17"/>
  <c r="AD196" i="17"/>
  <c r="Z196" i="17"/>
  <c r="Y196" i="17"/>
  <c r="AG196" i="17"/>
  <c r="AC196" i="17"/>
  <c r="C813" i="17" l="1"/>
  <c r="AL812" i="17"/>
  <c r="B812" i="17"/>
  <c r="G812" i="17" s="1"/>
  <c r="A813" i="17"/>
  <c r="AH811" i="17"/>
  <c r="AD811" i="17"/>
  <c r="Z811" i="17"/>
  <c r="AG811" i="17"/>
  <c r="AC811" i="17"/>
  <c r="Y811" i="17"/>
  <c r="AF811" i="17"/>
  <c r="AB811" i="17"/>
  <c r="X811" i="17"/>
  <c r="AA811" i="17"/>
  <c r="W811" i="17"/>
  <c r="AE811" i="17"/>
  <c r="C199" i="17"/>
  <c r="AL198" i="17"/>
  <c r="B198" i="17"/>
  <c r="G198" i="17" s="1"/>
  <c r="AE197" i="17"/>
  <c r="AA197" i="17"/>
  <c r="W197" i="17"/>
  <c r="AH197" i="17"/>
  <c r="AD197" i="17"/>
  <c r="Z197" i="17"/>
  <c r="AG197" i="17"/>
  <c r="AC197" i="17"/>
  <c r="Y197" i="17"/>
  <c r="X197" i="17"/>
  <c r="AF197" i="17"/>
  <c r="AB197" i="17"/>
  <c r="C814" i="17" l="1"/>
  <c r="AL813" i="17"/>
  <c r="B813" i="17"/>
  <c r="G813" i="17" s="1"/>
  <c r="A814" i="17"/>
  <c r="AH812" i="17"/>
  <c r="AD812" i="17"/>
  <c r="Z812" i="17"/>
  <c r="AG812" i="17"/>
  <c r="AC812" i="17"/>
  <c r="Y812" i="17"/>
  <c r="AF812" i="17"/>
  <c r="AB812" i="17"/>
  <c r="X812" i="17"/>
  <c r="AA812" i="17"/>
  <c r="W812" i="17"/>
  <c r="AE812" i="17"/>
  <c r="AH198" i="17"/>
  <c r="AD198" i="17"/>
  <c r="Z198" i="17"/>
  <c r="AG198" i="17"/>
  <c r="AC198" i="17"/>
  <c r="Y198" i="17"/>
  <c r="AF198" i="17"/>
  <c r="AB198" i="17"/>
  <c r="X198" i="17"/>
  <c r="W198" i="17"/>
  <c r="AE198" i="17"/>
  <c r="AA198" i="17"/>
  <c r="B199" i="17"/>
  <c r="G199" i="17" s="1"/>
  <c r="AL199" i="17"/>
  <c r="C200" i="17"/>
  <c r="C815" i="17" l="1"/>
  <c r="AL814" i="17"/>
  <c r="B814" i="17"/>
  <c r="G814" i="17" s="1"/>
  <c r="A815" i="17"/>
  <c r="AH813" i="17"/>
  <c r="AD813" i="17"/>
  <c r="Z813" i="17"/>
  <c r="AG813" i="17"/>
  <c r="AC813" i="17"/>
  <c r="Y813" i="17"/>
  <c r="AF813" i="17"/>
  <c r="AB813" i="17"/>
  <c r="X813" i="17"/>
  <c r="AA813" i="17"/>
  <c r="W813" i="17"/>
  <c r="AE813" i="17"/>
  <c r="AG199" i="17"/>
  <c r="AC199" i="17"/>
  <c r="Y199" i="17"/>
  <c r="AF199" i="17"/>
  <c r="AB199" i="17"/>
  <c r="X199" i="17"/>
  <c r="AE199" i="17"/>
  <c r="AA199" i="17"/>
  <c r="W199" i="17"/>
  <c r="Z199" i="17"/>
  <c r="AH199" i="17"/>
  <c r="AD199" i="17"/>
  <c r="B200" i="17"/>
  <c r="G200" i="17" s="1"/>
  <c r="C201" i="17"/>
  <c r="AL200" i="17"/>
  <c r="C816" i="17" l="1"/>
  <c r="AL815" i="17"/>
  <c r="B815" i="17"/>
  <c r="G815" i="17" s="1"/>
  <c r="A816" i="17"/>
  <c r="AH814" i="17"/>
  <c r="AD814" i="17"/>
  <c r="Z814" i="17"/>
  <c r="AG814" i="17"/>
  <c r="AC814" i="17"/>
  <c r="Y814" i="17"/>
  <c r="AF814" i="17"/>
  <c r="AB814" i="17"/>
  <c r="X814" i="17"/>
  <c r="AA814" i="17"/>
  <c r="W814" i="17"/>
  <c r="AE814" i="17"/>
  <c r="C202" i="17"/>
  <c r="AL201" i="17"/>
  <c r="B201" i="17"/>
  <c r="G201" i="17" s="1"/>
  <c r="AF200" i="17"/>
  <c r="AB200" i="17"/>
  <c r="X200" i="17"/>
  <c r="AE200" i="17"/>
  <c r="AA200" i="17"/>
  <c r="W200" i="17"/>
  <c r="AH200" i="17"/>
  <c r="AD200" i="17"/>
  <c r="Z200" i="17"/>
  <c r="AG200" i="17"/>
  <c r="AC200" i="17"/>
  <c r="Y200" i="17"/>
  <c r="C817" i="17" l="1"/>
  <c r="AL816" i="17"/>
  <c r="B816" i="17"/>
  <c r="G816" i="17" s="1"/>
  <c r="A817" i="17"/>
  <c r="AH815" i="17"/>
  <c r="AD815" i="17"/>
  <c r="Z815" i="17"/>
  <c r="AG815" i="17"/>
  <c r="AC815" i="17"/>
  <c r="Y815" i="17"/>
  <c r="AF815" i="17"/>
  <c r="AB815" i="17"/>
  <c r="X815" i="17"/>
  <c r="AA815" i="17"/>
  <c r="W815" i="17"/>
  <c r="AE815" i="17"/>
  <c r="AE201" i="17"/>
  <c r="AA201" i="17"/>
  <c r="W201" i="17"/>
  <c r="AH201" i="17"/>
  <c r="AD201" i="17"/>
  <c r="Z201" i="17"/>
  <c r="AG201" i="17"/>
  <c r="AC201" i="17"/>
  <c r="Y201" i="17"/>
  <c r="AF201" i="17"/>
  <c r="AB201" i="17"/>
  <c r="X201" i="17"/>
  <c r="C203" i="17"/>
  <c r="AL202" i="17"/>
  <c r="B202" i="17"/>
  <c r="G202" i="17" s="1"/>
  <c r="C818" i="17" l="1"/>
  <c r="AL817" i="17"/>
  <c r="B817" i="17"/>
  <c r="G817" i="17" s="1"/>
  <c r="A818" i="17"/>
  <c r="AH816" i="17"/>
  <c r="AD816" i="17"/>
  <c r="Z816" i="17"/>
  <c r="AG816" i="17"/>
  <c r="AC816" i="17"/>
  <c r="Y816" i="17"/>
  <c r="AF816" i="17"/>
  <c r="AB816" i="17"/>
  <c r="X816" i="17"/>
  <c r="AA816" i="17"/>
  <c r="W816" i="17"/>
  <c r="AE816" i="17"/>
  <c r="AH202" i="17"/>
  <c r="AD202" i="17"/>
  <c r="Z202" i="17"/>
  <c r="AG202" i="17"/>
  <c r="AC202" i="17"/>
  <c r="Y202" i="17"/>
  <c r="AF202" i="17"/>
  <c r="AB202" i="17"/>
  <c r="X202" i="17"/>
  <c r="AE202" i="17"/>
  <c r="AA202" i="17"/>
  <c r="W202" i="17"/>
  <c r="B203" i="17"/>
  <c r="G203" i="17" s="1"/>
  <c r="AL203" i="17"/>
  <c r="C204" i="17"/>
  <c r="C819" i="17" l="1"/>
  <c r="AL818" i="17"/>
  <c r="B818" i="17"/>
  <c r="G818" i="17" s="1"/>
  <c r="A819" i="17"/>
  <c r="AH817" i="17"/>
  <c r="AD817" i="17"/>
  <c r="Z817" i="17"/>
  <c r="AG817" i="17"/>
  <c r="AC817" i="17"/>
  <c r="Y817" i="17"/>
  <c r="AF817" i="17"/>
  <c r="AB817" i="17"/>
  <c r="X817" i="17"/>
  <c r="AA817" i="17"/>
  <c r="W817" i="17"/>
  <c r="AE817" i="17"/>
  <c r="B204" i="17"/>
  <c r="G204" i="17" s="1"/>
  <c r="C205" i="17"/>
  <c r="AL204" i="17"/>
  <c r="AG203" i="17"/>
  <c r="AC203" i="17"/>
  <c r="Y203" i="17"/>
  <c r="AF203" i="17"/>
  <c r="AB203" i="17"/>
  <c r="X203" i="17"/>
  <c r="AE203" i="17"/>
  <c r="AA203" i="17"/>
  <c r="W203" i="17"/>
  <c r="AH203" i="17"/>
  <c r="AD203" i="17"/>
  <c r="Z203" i="17"/>
  <c r="AH818" i="17" l="1"/>
  <c r="AD818" i="17"/>
  <c r="Z818" i="17"/>
  <c r="AG818" i="17"/>
  <c r="AC818" i="17"/>
  <c r="Y818" i="17"/>
  <c r="AF818" i="17"/>
  <c r="AB818" i="17"/>
  <c r="X818" i="17"/>
  <c r="AA818" i="17"/>
  <c r="W818" i="17"/>
  <c r="AE818" i="17"/>
  <c r="C820" i="17"/>
  <c r="AL819" i="17"/>
  <c r="B819" i="17"/>
  <c r="G819" i="17" s="1"/>
  <c r="A820" i="17"/>
  <c r="AF204" i="17"/>
  <c r="AB204" i="17"/>
  <c r="X204" i="17"/>
  <c r="AE204" i="17"/>
  <c r="AA204" i="17"/>
  <c r="W204" i="17"/>
  <c r="AH204" i="17"/>
  <c r="AD204" i="17"/>
  <c r="Z204" i="17"/>
  <c r="AG204" i="17"/>
  <c r="AC204" i="17"/>
  <c r="Y204" i="17"/>
  <c r="C206" i="17"/>
  <c r="AL205" i="17"/>
  <c r="B205" i="17"/>
  <c r="G205" i="17" s="1"/>
  <c r="C821" i="17" l="1"/>
  <c r="AL820" i="17"/>
  <c r="B820" i="17"/>
  <c r="G820" i="17" s="1"/>
  <c r="A821" i="17"/>
  <c r="AH819" i="17"/>
  <c r="AD819" i="17"/>
  <c r="Z819" i="17"/>
  <c r="AG819" i="17"/>
  <c r="AC819" i="17"/>
  <c r="Y819" i="17"/>
  <c r="AF819" i="17"/>
  <c r="AB819" i="17"/>
  <c r="X819" i="17"/>
  <c r="AA819" i="17"/>
  <c r="W819" i="17"/>
  <c r="AE819" i="17"/>
  <c r="AE205" i="17"/>
  <c r="AA205" i="17"/>
  <c r="W205" i="17"/>
  <c r="AH205" i="17"/>
  <c r="AD205" i="17"/>
  <c r="Z205" i="17"/>
  <c r="AG205" i="17"/>
  <c r="AC205" i="17"/>
  <c r="Y205" i="17"/>
  <c r="AF205" i="17"/>
  <c r="AB205" i="17"/>
  <c r="X205" i="17"/>
  <c r="C207" i="17"/>
  <c r="AL206" i="17"/>
  <c r="B206" i="17"/>
  <c r="G206" i="17" s="1"/>
  <c r="AH820" i="17" l="1"/>
  <c r="AD820" i="17"/>
  <c r="Z820" i="17"/>
  <c r="AG820" i="17"/>
  <c r="AC820" i="17"/>
  <c r="Y820" i="17"/>
  <c r="AF820" i="17"/>
  <c r="AB820" i="17"/>
  <c r="X820" i="17"/>
  <c r="AA820" i="17"/>
  <c r="W820" i="17"/>
  <c r="AE820" i="17"/>
  <c r="C822" i="17"/>
  <c r="AL821" i="17"/>
  <c r="B821" i="17"/>
  <c r="G821" i="17" s="1"/>
  <c r="A822" i="17"/>
  <c r="B207" i="17"/>
  <c r="G207" i="17" s="1"/>
  <c r="C208" i="17"/>
  <c r="AL207" i="17"/>
  <c r="AH206" i="17"/>
  <c r="AD206" i="17"/>
  <c r="Z206" i="17"/>
  <c r="AG206" i="17"/>
  <c r="AC206" i="17"/>
  <c r="Y206" i="17"/>
  <c r="AF206" i="17"/>
  <c r="AB206" i="17"/>
  <c r="X206" i="17"/>
  <c r="AE206" i="17"/>
  <c r="AA206" i="17"/>
  <c r="W206" i="17"/>
  <c r="C823" i="17" l="1"/>
  <c r="AL822" i="17"/>
  <c r="B822" i="17"/>
  <c r="G822" i="17" s="1"/>
  <c r="A823" i="17"/>
  <c r="AH821" i="17"/>
  <c r="AD821" i="17"/>
  <c r="Z821" i="17"/>
  <c r="AG821" i="17"/>
  <c r="AC821" i="17"/>
  <c r="Y821" i="17"/>
  <c r="AF821" i="17"/>
  <c r="AB821" i="17"/>
  <c r="X821" i="17"/>
  <c r="AA821" i="17"/>
  <c r="W821" i="17"/>
  <c r="AE821" i="17"/>
  <c r="B208" i="17"/>
  <c r="G208" i="17" s="1"/>
  <c r="C209" i="17"/>
  <c r="AL208" i="17"/>
  <c r="AG207" i="17"/>
  <c r="AC207" i="17"/>
  <c r="Y207" i="17"/>
  <c r="AF207" i="17"/>
  <c r="AB207" i="17"/>
  <c r="X207" i="17"/>
  <c r="AE207" i="17"/>
  <c r="AA207" i="17"/>
  <c r="W207" i="17"/>
  <c r="AH207" i="17"/>
  <c r="AD207" i="17"/>
  <c r="Z207" i="17"/>
  <c r="C824" i="17" l="1"/>
  <c r="AL823" i="17"/>
  <c r="B823" i="17"/>
  <c r="G823" i="17" s="1"/>
  <c r="A824" i="17"/>
  <c r="AH822" i="17"/>
  <c r="AD822" i="17"/>
  <c r="Z822" i="17"/>
  <c r="AG822" i="17"/>
  <c r="AC822" i="17"/>
  <c r="Y822" i="17"/>
  <c r="AF822" i="17"/>
  <c r="AB822" i="17"/>
  <c r="X822" i="17"/>
  <c r="AA822" i="17"/>
  <c r="W822" i="17"/>
  <c r="AE822" i="17"/>
  <c r="C210" i="17"/>
  <c r="AL209" i="17"/>
  <c r="B209" i="17"/>
  <c r="G209" i="17" s="1"/>
  <c r="AF208" i="17"/>
  <c r="AB208" i="17"/>
  <c r="X208" i="17"/>
  <c r="AE208" i="17"/>
  <c r="AA208" i="17"/>
  <c r="W208" i="17"/>
  <c r="AH208" i="17"/>
  <c r="AD208" i="17"/>
  <c r="Z208" i="17"/>
  <c r="AC208" i="17"/>
  <c r="Y208" i="17"/>
  <c r="AG208" i="17"/>
  <c r="C825" i="17" l="1"/>
  <c r="AL824" i="17"/>
  <c r="B824" i="17"/>
  <c r="G824" i="17" s="1"/>
  <c r="A825" i="17"/>
  <c r="AH823" i="17"/>
  <c r="AD823" i="17"/>
  <c r="Z823" i="17"/>
  <c r="AG823" i="17"/>
  <c r="AC823" i="17"/>
  <c r="Y823" i="17"/>
  <c r="AF823" i="17"/>
  <c r="AB823" i="17"/>
  <c r="X823" i="17"/>
  <c r="AA823" i="17"/>
  <c r="W823" i="17"/>
  <c r="AE823" i="17"/>
  <c r="AE209" i="17"/>
  <c r="AA209" i="17"/>
  <c r="W209" i="17"/>
  <c r="AH209" i="17"/>
  <c r="AD209" i="17"/>
  <c r="Z209" i="17"/>
  <c r="AG209" i="17"/>
  <c r="AC209" i="17"/>
  <c r="Y209" i="17"/>
  <c r="AB209" i="17"/>
  <c r="X209" i="17"/>
  <c r="AF209" i="17"/>
  <c r="C211" i="17"/>
  <c r="AL210" i="17"/>
  <c r="B210" i="17"/>
  <c r="G210" i="17" s="1"/>
  <c r="C826" i="17" l="1"/>
  <c r="AL825" i="17"/>
  <c r="B825" i="17"/>
  <c r="G825" i="17" s="1"/>
  <c r="A826" i="17"/>
  <c r="AH824" i="17"/>
  <c r="AD824" i="17"/>
  <c r="Z824" i="17"/>
  <c r="AG824" i="17"/>
  <c r="AC824" i="17"/>
  <c r="Y824" i="17"/>
  <c r="AF824" i="17"/>
  <c r="AB824" i="17"/>
  <c r="X824" i="17"/>
  <c r="AA824" i="17"/>
  <c r="W824" i="17"/>
  <c r="AE824" i="17"/>
  <c r="AH210" i="17"/>
  <c r="AD210" i="17"/>
  <c r="Z210" i="17"/>
  <c r="AG210" i="17"/>
  <c r="AC210" i="17"/>
  <c r="Y210" i="17"/>
  <c r="AF210" i="17"/>
  <c r="AB210" i="17"/>
  <c r="X210" i="17"/>
  <c r="AA210" i="17"/>
  <c r="W210" i="17"/>
  <c r="AE210" i="17"/>
  <c r="B211" i="17"/>
  <c r="G211" i="17" s="1"/>
  <c r="AL211" i="17"/>
  <c r="C212" i="17"/>
  <c r="AH825" i="17" l="1"/>
  <c r="AD825" i="17"/>
  <c r="Z825" i="17"/>
  <c r="AG825" i="17"/>
  <c r="AC825" i="17"/>
  <c r="Y825" i="17"/>
  <c r="AF825" i="17"/>
  <c r="AB825" i="17"/>
  <c r="X825" i="17"/>
  <c r="AA825" i="17"/>
  <c r="W825" i="17"/>
  <c r="AE825" i="17"/>
  <c r="C827" i="17"/>
  <c r="AL826" i="17"/>
  <c r="B826" i="17"/>
  <c r="G826" i="17" s="1"/>
  <c r="A827" i="17"/>
  <c r="AG211" i="17"/>
  <c r="AC211" i="17"/>
  <c r="Y211" i="17"/>
  <c r="AF211" i="17"/>
  <c r="AB211" i="17"/>
  <c r="X211" i="17"/>
  <c r="AE211" i="17"/>
  <c r="AA211" i="17"/>
  <c r="W211" i="17"/>
  <c r="AD211" i="17"/>
  <c r="Z211" i="17"/>
  <c r="AH211" i="17"/>
  <c r="B212" i="17"/>
  <c r="G212" i="17" s="1"/>
  <c r="C213" i="17"/>
  <c r="AL212" i="17"/>
  <c r="C828" i="17" l="1"/>
  <c r="AL827" i="17"/>
  <c r="B827" i="17"/>
  <c r="G827" i="17" s="1"/>
  <c r="A828" i="17"/>
  <c r="AH826" i="17"/>
  <c r="AD826" i="17"/>
  <c r="Z826" i="17"/>
  <c r="AG826" i="17"/>
  <c r="AC826" i="17"/>
  <c r="Y826" i="17"/>
  <c r="AF826" i="17"/>
  <c r="AB826" i="17"/>
  <c r="X826" i="17"/>
  <c r="AA826" i="17"/>
  <c r="W826" i="17"/>
  <c r="AE826" i="17"/>
  <c r="C214" i="17"/>
  <c r="AL213" i="17"/>
  <c r="B213" i="17"/>
  <c r="G213" i="17" s="1"/>
  <c r="AF212" i="17"/>
  <c r="AB212" i="17"/>
  <c r="X212" i="17"/>
  <c r="AE212" i="17"/>
  <c r="AA212" i="17"/>
  <c r="W212" i="17"/>
  <c r="AH212" i="17"/>
  <c r="AD212" i="17"/>
  <c r="Z212" i="17"/>
  <c r="Y212" i="17"/>
  <c r="AG212" i="17"/>
  <c r="AC212" i="17"/>
  <c r="C829" i="17" l="1"/>
  <c r="AL828" i="17"/>
  <c r="B828" i="17"/>
  <c r="G828" i="17" s="1"/>
  <c r="A829" i="17"/>
  <c r="AH827" i="17"/>
  <c r="AD827" i="17"/>
  <c r="Z827" i="17"/>
  <c r="AG827" i="17"/>
  <c r="AC827" i="17"/>
  <c r="Y827" i="17"/>
  <c r="AF827" i="17"/>
  <c r="AB827" i="17"/>
  <c r="X827" i="17"/>
  <c r="AA827" i="17"/>
  <c r="W827" i="17"/>
  <c r="AE827" i="17"/>
  <c r="AE213" i="17"/>
  <c r="AA213" i="17"/>
  <c r="W213" i="17"/>
  <c r="AH213" i="17"/>
  <c r="AD213" i="17"/>
  <c r="Z213" i="17"/>
  <c r="AG213" i="17"/>
  <c r="AC213" i="17"/>
  <c r="Y213" i="17"/>
  <c r="X213" i="17"/>
  <c r="AF213" i="17"/>
  <c r="AB213" i="17"/>
  <c r="C215" i="17"/>
  <c r="AL214" i="17"/>
  <c r="B214" i="17"/>
  <c r="G214" i="17" s="1"/>
  <c r="AH828" i="17" l="1"/>
  <c r="AD828" i="17"/>
  <c r="Z828" i="17"/>
  <c r="AG828" i="17"/>
  <c r="AC828" i="17"/>
  <c r="Y828" i="17"/>
  <c r="AF828" i="17"/>
  <c r="AB828" i="17"/>
  <c r="X828" i="17"/>
  <c r="AA828" i="17"/>
  <c r="W828" i="17"/>
  <c r="AE828" i="17"/>
  <c r="C830" i="17"/>
  <c r="AL829" i="17"/>
  <c r="B829" i="17"/>
  <c r="G829" i="17" s="1"/>
  <c r="A830" i="17"/>
  <c r="AH214" i="17"/>
  <c r="AD214" i="17"/>
  <c r="Z214" i="17"/>
  <c r="AG214" i="17"/>
  <c r="AC214" i="17"/>
  <c r="Y214" i="17"/>
  <c r="AF214" i="17"/>
  <c r="AB214" i="17"/>
  <c r="X214" i="17"/>
  <c r="W214" i="17"/>
  <c r="AE214" i="17"/>
  <c r="AA214" i="17"/>
  <c r="B215" i="17"/>
  <c r="G215" i="17" s="1"/>
  <c r="AL215" i="17"/>
  <c r="C216" i="17"/>
  <c r="C831" i="17" l="1"/>
  <c r="AL830" i="17"/>
  <c r="B830" i="17"/>
  <c r="G830" i="17" s="1"/>
  <c r="A831" i="17"/>
  <c r="AH829" i="17"/>
  <c r="AD829" i="17"/>
  <c r="Z829" i="17"/>
  <c r="AG829" i="17"/>
  <c r="AC829" i="17"/>
  <c r="Y829" i="17"/>
  <c r="AF829" i="17"/>
  <c r="AB829" i="17"/>
  <c r="X829" i="17"/>
  <c r="AA829" i="17"/>
  <c r="W829" i="17"/>
  <c r="AE829" i="17"/>
  <c r="B216" i="17"/>
  <c r="G216" i="17" s="1"/>
  <c r="C217" i="17"/>
  <c r="AL216" i="17"/>
  <c r="AG215" i="17"/>
  <c r="AC215" i="17"/>
  <c r="Y215" i="17"/>
  <c r="AF215" i="17"/>
  <c r="AB215" i="17"/>
  <c r="X215" i="17"/>
  <c r="AE215" i="17"/>
  <c r="AA215" i="17"/>
  <c r="W215" i="17"/>
  <c r="Z215" i="17"/>
  <c r="AH215" i="17"/>
  <c r="AD215" i="17"/>
  <c r="C832" i="17" l="1"/>
  <c r="AL831" i="17"/>
  <c r="B831" i="17"/>
  <c r="G831" i="17" s="1"/>
  <c r="A832" i="17"/>
  <c r="AH830" i="17"/>
  <c r="AD830" i="17"/>
  <c r="Z830" i="17"/>
  <c r="AG830" i="17"/>
  <c r="AC830" i="17"/>
  <c r="Y830" i="17"/>
  <c r="AF830" i="17"/>
  <c r="AB830" i="17"/>
  <c r="X830" i="17"/>
  <c r="AA830" i="17"/>
  <c r="W830" i="17"/>
  <c r="AE830" i="17"/>
  <c r="C218" i="17"/>
  <c r="AL217" i="17"/>
  <c r="B217" i="17"/>
  <c r="G217" i="17" s="1"/>
  <c r="AF216" i="17"/>
  <c r="AB216" i="17"/>
  <c r="X216" i="17"/>
  <c r="AE216" i="17"/>
  <c r="AA216" i="17"/>
  <c r="W216" i="17"/>
  <c r="AH216" i="17"/>
  <c r="AD216" i="17"/>
  <c r="Z216" i="17"/>
  <c r="AG216" i="17"/>
  <c r="AC216" i="17"/>
  <c r="Y216" i="17"/>
  <c r="AH831" i="17" l="1"/>
  <c r="AD831" i="17"/>
  <c r="Z831" i="17"/>
  <c r="AG831" i="17"/>
  <c r="AC831" i="17"/>
  <c r="Y831" i="17"/>
  <c r="AF831" i="17"/>
  <c r="AB831" i="17"/>
  <c r="X831" i="17"/>
  <c r="AA831" i="17"/>
  <c r="W831" i="17"/>
  <c r="AE831" i="17"/>
  <c r="C833" i="17"/>
  <c r="AL832" i="17"/>
  <c r="B832" i="17"/>
  <c r="G832" i="17" s="1"/>
  <c r="A833" i="17"/>
  <c r="AE217" i="17"/>
  <c r="AA217" i="17"/>
  <c r="W217" i="17"/>
  <c r="AH217" i="17"/>
  <c r="AD217" i="17"/>
  <c r="Z217" i="17"/>
  <c r="AG217" i="17"/>
  <c r="AC217" i="17"/>
  <c r="Y217" i="17"/>
  <c r="AF217" i="17"/>
  <c r="AB217" i="17"/>
  <c r="X217" i="17"/>
  <c r="C219" i="17"/>
  <c r="AL218" i="17"/>
  <c r="B218" i="17"/>
  <c r="G218" i="17" s="1"/>
  <c r="AH832" i="17" l="1"/>
  <c r="AD832" i="17"/>
  <c r="Z832" i="17"/>
  <c r="AG832" i="17"/>
  <c r="AC832" i="17"/>
  <c r="Y832" i="17"/>
  <c r="AF832" i="17"/>
  <c r="AB832" i="17"/>
  <c r="X832" i="17"/>
  <c r="AA832" i="17"/>
  <c r="W832" i="17"/>
  <c r="AE832" i="17"/>
  <c r="C834" i="17"/>
  <c r="AL833" i="17"/>
  <c r="B833" i="17"/>
  <c r="G833" i="17" s="1"/>
  <c r="A834" i="17"/>
  <c r="AH218" i="17"/>
  <c r="AD218" i="17"/>
  <c r="Z218" i="17"/>
  <c r="AG218" i="17"/>
  <c r="AC218" i="17"/>
  <c r="Y218" i="17"/>
  <c r="AF218" i="17"/>
  <c r="AB218" i="17"/>
  <c r="X218" i="17"/>
  <c r="AE218" i="17"/>
  <c r="AA218" i="17"/>
  <c r="W218" i="17"/>
  <c r="B219" i="17"/>
  <c r="G219" i="17" s="1"/>
  <c r="AL219" i="17"/>
  <c r="C220" i="17"/>
  <c r="AH833" i="17" l="1"/>
  <c r="AD833" i="17"/>
  <c r="Z833" i="17"/>
  <c r="AG833" i="17"/>
  <c r="AC833" i="17"/>
  <c r="Y833" i="17"/>
  <c r="AF833" i="17"/>
  <c r="AB833" i="17"/>
  <c r="X833" i="17"/>
  <c r="AA833" i="17"/>
  <c r="W833" i="17"/>
  <c r="AE833" i="17"/>
  <c r="C835" i="17"/>
  <c r="AL834" i="17"/>
  <c r="B834" i="17"/>
  <c r="G834" i="17" s="1"/>
  <c r="A835" i="17"/>
  <c r="B220" i="17"/>
  <c r="G220" i="17" s="1"/>
  <c r="C221" i="17"/>
  <c r="AL220" i="17"/>
  <c r="AG219" i="17"/>
  <c r="AC219" i="17"/>
  <c r="Y219" i="17"/>
  <c r="AF219" i="17"/>
  <c r="AB219" i="17"/>
  <c r="X219" i="17"/>
  <c r="AE219" i="17"/>
  <c r="AA219" i="17"/>
  <c r="W219" i="17"/>
  <c r="AH219" i="17"/>
  <c r="AD219" i="17"/>
  <c r="Z219" i="17"/>
  <c r="C836" i="17" l="1"/>
  <c r="AL835" i="17"/>
  <c r="B835" i="17"/>
  <c r="G835" i="17" s="1"/>
  <c r="A836" i="17"/>
  <c r="AH834" i="17"/>
  <c r="AD834" i="17"/>
  <c r="Z834" i="17"/>
  <c r="AG834" i="17"/>
  <c r="AC834" i="17"/>
  <c r="Y834" i="17"/>
  <c r="AF834" i="17"/>
  <c r="AB834" i="17"/>
  <c r="X834" i="17"/>
  <c r="AA834" i="17"/>
  <c r="W834" i="17"/>
  <c r="AE834" i="17"/>
  <c r="C222" i="17"/>
  <c r="AL221" i="17"/>
  <c r="B221" i="17"/>
  <c r="G221" i="17" s="1"/>
  <c r="AF220" i="17"/>
  <c r="AB220" i="17"/>
  <c r="X220" i="17"/>
  <c r="AE220" i="17"/>
  <c r="AA220" i="17"/>
  <c r="W220" i="17"/>
  <c r="AH220" i="17"/>
  <c r="AD220" i="17"/>
  <c r="Z220" i="17"/>
  <c r="AG220" i="17"/>
  <c r="AC220" i="17"/>
  <c r="Y220" i="17"/>
  <c r="AH835" i="17" l="1"/>
  <c r="AD835" i="17"/>
  <c r="Z835" i="17"/>
  <c r="AG835" i="17"/>
  <c r="AC835" i="17"/>
  <c r="Y835" i="17"/>
  <c r="AF835" i="17"/>
  <c r="AB835" i="17"/>
  <c r="X835" i="17"/>
  <c r="AA835" i="17"/>
  <c r="W835" i="17"/>
  <c r="AE835" i="17"/>
  <c r="C837" i="17"/>
  <c r="AL836" i="17"/>
  <c r="B836" i="17"/>
  <c r="G836" i="17" s="1"/>
  <c r="A837" i="17"/>
  <c r="AE221" i="17"/>
  <c r="AA221" i="17"/>
  <c r="W221" i="17"/>
  <c r="AH221" i="17"/>
  <c r="AD221" i="17"/>
  <c r="Z221" i="17"/>
  <c r="AG221" i="17"/>
  <c r="AC221" i="17"/>
  <c r="Y221" i="17"/>
  <c r="AF221" i="17"/>
  <c r="AB221" i="17"/>
  <c r="X221" i="17"/>
  <c r="C223" i="17"/>
  <c r="AL222" i="17"/>
  <c r="B222" i="17"/>
  <c r="G222" i="17" s="1"/>
  <c r="C838" i="17" l="1"/>
  <c r="AL837" i="17"/>
  <c r="B837" i="17"/>
  <c r="G837" i="17" s="1"/>
  <c r="A838" i="17"/>
  <c r="AH836" i="17"/>
  <c r="AD836" i="17"/>
  <c r="Z836" i="17"/>
  <c r="AG836" i="17"/>
  <c r="AC836" i="17"/>
  <c r="Y836" i="17"/>
  <c r="AF836" i="17"/>
  <c r="AB836" i="17"/>
  <c r="X836" i="17"/>
  <c r="AA836" i="17"/>
  <c r="W836" i="17"/>
  <c r="AE836" i="17"/>
  <c r="AH222" i="17"/>
  <c r="AD222" i="17"/>
  <c r="Z222" i="17"/>
  <c r="AG222" i="17"/>
  <c r="AC222" i="17"/>
  <c r="Y222" i="17"/>
  <c r="AF222" i="17"/>
  <c r="AB222" i="17"/>
  <c r="X222" i="17"/>
  <c r="AE222" i="17"/>
  <c r="AA222" i="17"/>
  <c r="W222" i="17"/>
  <c r="B223" i="17"/>
  <c r="G223" i="17" s="1"/>
  <c r="C224" i="17"/>
  <c r="AL223" i="17"/>
  <c r="C839" i="17" l="1"/>
  <c r="AL838" i="17"/>
  <c r="B838" i="17"/>
  <c r="G838" i="17" s="1"/>
  <c r="A839" i="17"/>
  <c r="AH837" i="17"/>
  <c r="AD837" i="17"/>
  <c r="Z837" i="17"/>
  <c r="AG837" i="17"/>
  <c r="AC837" i="17"/>
  <c r="Y837" i="17"/>
  <c r="AF837" i="17"/>
  <c r="AB837" i="17"/>
  <c r="X837" i="17"/>
  <c r="AA837" i="17"/>
  <c r="W837" i="17"/>
  <c r="AE837" i="17"/>
  <c r="AG223" i="17"/>
  <c r="AC223" i="17"/>
  <c r="Y223" i="17"/>
  <c r="AF223" i="17"/>
  <c r="AB223" i="17"/>
  <c r="X223" i="17"/>
  <c r="AE223" i="17"/>
  <c r="AA223" i="17"/>
  <c r="W223" i="17"/>
  <c r="AH223" i="17"/>
  <c r="AD223" i="17"/>
  <c r="Z223" i="17"/>
  <c r="B224" i="17"/>
  <c r="G224" i="17" s="1"/>
  <c r="C225" i="17"/>
  <c r="AL224" i="17"/>
  <c r="AH838" i="17" l="1"/>
  <c r="AD838" i="17"/>
  <c r="Z838" i="17"/>
  <c r="AG838" i="17"/>
  <c r="AC838" i="17"/>
  <c r="Y838" i="17"/>
  <c r="AF838" i="17"/>
  <c r="AB838" i="17"/>
  <c r="X838" i="17"/>
  <c r="AA838" i="17"/>
  <c r="W838" i="17"/>
  <c r="AE838" i="17"/>
  <c r="C840" i="17"/>
  <c r="AL839" i="17"/>
  <c r="B839" i="17"/>
  <c r="G839" i="17" s="1"/>
  <c r="A840" i="17"/>
  <c r="C226" i="17"/>
  <c r="AL225" i="17"/>
  <c r="B225" i="17"/>
  <c r="G225" i="17" s="1"/>
  <c r="AF224" i="17"/>
  <c r="AB224" i="17"/>
  <c r="X224" i="17"/>
  <c r="AE224" i="17"/>
  <c r="AA224" i="17"/>
  <c r="W224" i="17"/>
  <c r="AH224" i="17"/>
  <c r="AD224" i="17"/>
  <c r="Z224" i="17"/>
  <c r="AC224" i="17"/>
  <c r="Y224" i="17"/>
  <c r="AG224" i="17"/>
  <c r="C841" i="17" l="1"/>
  <c r="AL840" i="17"/>
  <c r="B840" i="17"/>
  <c r="G840" i="17" s="1"/>
  <c r="A841" i="17"/>
  <c r="AH839" i="17"/>
  <c r="AD839" i="17"/>
  <c r="Z839" i="17"/>
  <c r="AG839" i="17"/>
  <c r="AC839" i="17"/>
  <c r="Y839" i="17"/>
  <c r="AF839" i="17"/>
  <c r="AB839" i="17"/>
  <c r="X839" i="17"/>
  <c r="AA839" i="17"/>
  <c r="W839" i="17"/>
  <c r="AE839" i="17"/>
  <c r="AE225" i="17"/>
  <c r="AA225" i="17"/>
  <c r="W225" i="17"/>
  <c r="AH225" i="17"/>
  <c r="AD225" i="17"/>
  <c r="Z225" i="17"/>
  <c r="AG225" i="17"/>
  <c r="AC225" i="17"/>
  <c r="Y225" i="17"/>
  <c r="AB225" i="17"/>
  <c r="X225" i="17"/>
  <c r="AF225" i="17"/>
  <c r="C227" i="17"/>
  <c r="AL226" i="17"/>
  <c r="B226" i="17"/>
  <c r="G226" i="17" s="1"/>
  <c r="C842" i="17" l="1"/>
  <c r="AL841" i="17"/>
  <c r="B841" i="17"/>
  <c r="G841" i="17" s="1"/>
  <c r="A842" i="17"/>
  <c r="AH840" i="17"/>
  <c r="AD840" i="17"/>
  <c r="Z840" i="17"/>
  <c r="AG840" i="17"/>
  <c r="AC840" i="17"/>
  <c r="Y840" i="17"/>
  <c r="AF840" i="17"/>
  <c r="AB840" i="17"/>
  <c r="X840" i="17"/>
  <c r="AA840" i="17"/>
  <c r="W840" i="17"/>
  <c r="AE840" i="17"/>
  <c r="AH226" i="17"/>
  <c r="AD226" i="17"/>
  <c r="Z226" i="17"/>
  <c r="AG226" i="17"/>
  <c r="AC226" i="17"/>
  <c r="Y226" i="17"/>
  <c r="AF226" i="17"/>
  <c r="AB226" i="17"/>
  <c r="X226" i="17"/>
  <c r="AA226" i="17"/>
  <c r="W226" i="17"/>
  <c r="AE226" i="17"/>
  <c r="B227" i="17"/>
  <c r="G227" i="17" s="1"/>
  <c r="AL227" i="17"/>
  <c r="C228" i="17"/>
  <c r="C843" i="17" l="1"/>
  <c r="AL842" i="17"/>
  <c r="B842" i="17"/>
  <c r="G842" i="17" s="1"/>
  <c r="A843" i="17"/>
  <c r="AH841" i="17"/>
  <c r="AD841" i="17"/>
  <c r="Z841" i="17"/>
  <c r="AG841" i="17"/>
  <c r="AC841" i="17"/>
  <c r="Y841" i="17"/>
  <c r="AF841" i="17"/>
  <c r="AB841" i="17"/>
  <c r="X841" i="17"/>
  <c r="AA841" i="17"/>
  <c r="W841" i="17"/>
  <c r="AE841" i="17"/>
  <c r="B228" i="17"/>
  <c r="G228" i="17" s="1"/>
  <c r="C229" i="17"/>
  <c r="AL228" i="17"/>
  <c r="AG227" i="17"/>
  <c r="AC227" i="17"/>
  <c r="Y227" i="17"/>
  <c r="AF227" i="17"/>
  <c r="AB227" i="17"/>
  <c r="X227" i="17"/>
  <c r="AE227" i="17"/>
  <c r="AA227" i="17"/>
  <c r="W227" i="17"/>
  <c r="AD227" i="17"/>
  <c r="Z227" i="17"/>
  <c r="AH227" i="17"/>
  <c r="AH842" i="17" l="1"/>
  <c r="AD842" i="17"/>
  <c r="Z842" i="17"/>
  <c r="AG842" i="17"/>
  <c r="AC842" i="17"/>
  <c r="Y842" i="17"/>
  <c r="AF842" i="17"/>
  <c r="AB842" i="17"/>
  <c r="X842" i="17"/>
  <c r="AA842" i="17"/>
  <c r="W842" i="17"/>
  <c r="AE842" i="17"/>
  <c r="C844" i="17"/>
  <c r="AL843" i="17"/>
  <c r="B843" i="17"/>
  <c r="G843" i="17" s="1"/>
  <c r="A844" i="17"/>
  <c r="C230" i="17"/>
  <c r="AL229" i="17"/>
  <c r="B229" i="17"/>
  <c r="G229" i="17" s="1"/>
  <c r="AF228" i="17"/>
  <c r="AB228" i="17"/>
  <c r="X228" i="17"/>
  <c r="AE228" i="17"/>
  <c r="AA228" i="17"/>
  <c r="W228" i="17"/>
  <c r="AH228" i="17"/>
  <c r="AD228" i="17"/>
  <c r="Z228" i="17"/>
  <c r="Y228" i="17"/>
  <c r="AG228" i="17"/>
  <c r="AC228" i="17"/>
  <c r="AH843" i="17" l="1"/>
  <c r="AD843" i="17"/>
  <c r="Z843" i="17"/>
  <c r="AG843" i="17"/>
  <c r="AC843" i="17"/>
  <c r="Y843" i="17"/>
  <c r="AF843" i="17"/>
  <c r="AB843" i="17"/>
  <c r="X843" i="17"/>
  <c r="AA843" i="17"/>
  <c r="W843" i="17"/>
  <c r="AE843" i="17"/>
  <c r="C845" i="17"/>
  <c r="AL844" i="17"/>
  <c r="B844" i="17"/>
  <c r="G844" i="17" s="1"/>
  <c r="A845" i="17"/>
  <c r="AE229" i="17"/>
  <c r="AA229" i="17"/>
  <c r="W229" i="17"/>
  <c r="AH229" i="17"/>
  <c r="AD229" i="17"/>
  <c r="Z229" i="17"/>
  <c r="AG229" i="17"/>
  <c r="AC229" i="17"/>
  <c r="Y229" i="17"/>
  <c r="X229" i="17"/>
  <c r="AF229" i="17"/>
  <c r="AB229" i="17"/>
  <c r="C231" i="17"/>
  <c r="AL230" i="17"/>
  <c r="B230" i="17"/>
  <c r="G230" i="17" s="1"/>
  <c r="C846" i="17" l="1"/>
  <c r="AL845" i="17"/>
  <c r="B845" i="17"/>
  <c r="G845" i="17" s="1"/>
  <c r="A846" i="17"/>
  <c r="AH844" i="17"/>
  <c r="AD844" i="17"/>
  <c r="Z844" i="17"/>
  <c r="AG844" i="17"/>
  <c r="AC844" i="17"/>
  <c r="Y844" i="17"/>
  <c r="AF844" i="17"/>
  <c r="AB844" i="17"/>
  <c r="X844" i="17"/>
  <c r="AA844" i="17"/>
  <c r="W844" i="17"/>
  <c r="AE844" i="17"/>
  <c r="AH230" i="17"/>
  <c r="AD230" i="17"/>
  <c r="Z230" i="17"/>
  <c r="AG230" i="17"/>
  <c r="AC230" i="17"/>
  <c r="Y230" i="17"/>
  <c r="AF230" i="17"/>
  <c r="AB230" i="17"/>
  <c r="X230" i="17"/>
  <c r="W230" i="17"/>
  <c r="AE230" i="17"/>
  <c r="AA230" i="17"/>
  <c r="B231" i="17"/>
  <c r="G231" i="17" s="1"/>
  <c r="AL231" i="17"/>
  <c r="C232" i="17"/>
  <c r="AH845" i="17" l="1"/>
  <c r="AD845" i="17"/>
  <c r="Z845" i="17"/>
  <c r="AG845" i="17"/>
  <c r="AC845" i="17"/>
  <c r="Y845" i="17"/>
  <c r="AF845" i="17"/>
  <c r="AB845" i="17"/>
  <c r="X845" i="17"/>
  <c r="AA845" i="17"/>
  <c r="W845" i="17"/>
  <c r="AE845" i="17"/>
  <c r="C847" i="17"/>
  <c r="AL846" i="17"/>
  <c r="B846" i="17"/>
  <c r="G846" i="17" s="1"/>
  <c r="A847" i="17"/>
  <c r="B232" i="17"/>
  <c r="G232" i="17" s="1"/>
  <c r="C233" i="17"/>
  <c r="AL232" i="17"/>
  <c r="AG231" i="17"/>
  <c r="AC231" i="17"/>
  <c r="Y231" i="17"/>
  <c r="AF231" i="17"/>
  <c r="AB231" i="17"/>
  <c r="X231" i="17"/>
  <c r="AE231" i="17"/>
  <c r="AA231" i="17"/>
  <c r="W231" i="17"/>
  <c r="Z231" i="17"/>
  <c r="AH231" i="17"/>
  <c r="AD231" i="17"/>
  <c r="AH846" i="17" l="1"/>
  <c r="AD846" i="17"/>
  <c r="Z846" i="17"/>
  <c r="AG846" i="17"/>
  <c r="AC846" i="17"/>
  <c r="Y846" i="17"/>
  <c r="AF846" i="17"/>
  <c r="AB846" i="17"/>
  <c r="X846" i="17"/>
  <c r="AA846" i="17"/>
  <c r="W846" i="17"/>
  <c r="AE846" i="17"/>
  <c r="C848" i="17"/>
  <c r="AL847" i="17"/>
  <c r="B847" i="17"/>
  <c r="G847" i="17" s="1"/>
  <c r="A848" i="17"/>
  <c r="C234" i="17"/>
  <c r="AL233" i="17"/>
  <c r="B233" i="17"/>
  <c r="G233" i="17" s="1"/>
  <c r="AF232" i="17"/>
  <c r="AB232" i="17"/>
  <c r="X232" i="17"/>
  <c r="AE232" i="17"/>
  <c r="AA232" i="17"/>
  <c r="W232" i="17"/>
  <c r="AH232" i="17"/>
  <c r="AD232" i="17"/>
  <c r="Z232" i="17"/>
  <c r="AG232" i="17"/>
  <c r="AC232" i="17"/>
  <c r="Y232" i="17"/>
  <c r="C849" i="17" l="1"/>
  <c r="AL848" i="17"/>
  <c r="B848" i="17"/>
  <c r="G848" i="17" s="1"/>
  <c r="A849" i="17"/>
  <c r="AH847" i="17"/>
  <c r="AD847" i="17"/>
  <c r="Z847" i="17"/>
  <c r="AG847" i="17"/>
  <c r="AC847" i="17"/>
  <c r="Y847" i="17"/>
  <c r="AF847" i="17"/>
  <c r="AB847" i="17"/>
  <c r="X847" i="17"/>
  <c r="AA847" i="17"/>
  <c r="W847" i="17"/>
  <c r="AE847" i="17"/>
  <c r="AE233" i="17"/>
  <c r="AA233" i="17"/>
  <c r="W233" i="17"/>
  <c r="AH233" i="17"/>
  <c r="AD233" i="17"/>
  <c r="Z233" i="17"/>
  <c r="AG233" i="17"/>
  <c r="AC233" i="17"/>
  <c r="Y233" i="17"/>
  <c r="AF233" i="17"/>
  <c r="AB233" i="17"/>
  <c r="X233" i="17"/>
  <c r="C235" i="17"/>
  <c r="AL234" i="17"/>
  <c r="B234" i="17"/>
  <c r="G234" i="17" s="1"/>
  <c r="C850" i="17" l="1"/>
  <c r="AL849" i="17"/>
  <c r="B849" i="17"/>
  <c r="G849" i="17" s="1"/>
  <c r="A850" i="17"/>
  <c r="AH848" i="17"/>
  <c r="AD848" i="17"/>
  <c r="Z848" i="17"/>
  <c r="AG848" i="17"/>
  <c r="AC848" i="17"/>
  <c r="Y848" i="17"/>
  <c r="AF848" i="17"/>
  <c r="AB848" i="17"/>
  <c r="X848" i="17"/>
  <c r="AA848" i="17"/>
  <c r="W848" i="17"/>
  <c r="AE848" i="17"/>
  <c r="AH234" i="17"/>
  <c r="AD234" i="17"/>
  <c r="Z234" i="17"/>
  <c r="AG234" i="17"/>
  <c r="AC234" i="17"/>
  <c r="Y234" i="17"/>
  <c r="AF234" i="17"/>
  <c r="AB234" i="17"/>
  <c r="X234" i="17"/>
  <c r="AE234" i="17"/>
  <c r="AA234" i="17"/>
  <c r="W234" i="17"/>
  <c r="B235" i="17"/>
  <c r="G235" i="17" s="1"/>
  <c r="AL235" i="17"/>
  <c r="C236" i="17"/>
  <c r="C851" i="17" l="1"/>
  <c r="AL850" i="17"/>
  <c r="B850" i="17"/>
  <c r="G850" i="17" s="1"/>
  <c r="A851" i="17"/>
  <c r="AH849" i="17"/>
  <c r="AD849" i="17"/>
  <c r="Z849" i="17"/>
  <c r="AG849" i="17"/>
  <c r="AC849" i="17"/>
  <c r="Y849" i="17"/>
  <c r="AF849" i="17"/>
  <c r="AB849" i="17"/>
  <c r="X849" i="17"/>
  <c r="AA849" i="17"/>
  <c r="W849" i="17"/>
  <c r="AE849" i="17"/>
  <c r="AG235" i="17"/>
  <c r="AC235" i="17"/>
  <c r="Y235" i="17"/>
  <c r="AF235" i="17"/>
  <c r="AB235" i="17"/>
  <c r="X235" i="17"/>
  <c r="AE235" i="17"/>
  <c r="AA235" i="17"/>
  <c r="W235" i="17"/>
  <c r="AH235" i="17"/>
  <c r="AD235" i="17"/>
  <c r="Z235" i="17"/>
  <c r="B236" i="17"/>
  <c r="G236" i="17" s="1"/>
  <c r="C237" i="17"/>
  <c r="AL236" i="17"/>
  <c r="AH850" i="17" l="1"/>
  <c r="AD850" i="17"/>
  <c r="Z850" i="17"/>
  <c r="AG850" i="17"/>
  <c r="AC850" i="17"/>
  <c r="Y850" i="17"/>
  <c r="AF850" i="17"/>
  <c r="AB850" i="17"/>
  <c r="X850" i="17"/>
  <c r="AA850" i="17"/>
  <c r="W850" i="17"/>
  <c r="AE850" i="17"/>
  <c r="C852" i="17"/>
  <c r="AL851" i="17"/>
  <c r="B851" i="17"/>
  <c r="G851" i="17" s="1"/>
  <c r="A852" i="17"/>
  <c r="AF236" i="17"/>
  <c r="AB236" i="17"/>
  <c r="X236" i="17"/>
  <c r="AE236" i="17"/>
  <c r="AA236" i="17"/>
  <c r="W236" i="17"/>
  <c r="AH236" i="17"/>
  <c r="AD236" i="17"/>
  <c r="Z236" i="17"/>
  <c r="AG236" i="17"/>
  <c r="AC236" i="17"/>
  <c r="Y236" i="17"/>
  <c r="C238" i="17"/>
  <c r="AL237" i="17"/>
  <c r="B237" i="17"/>
  <c r="G237" i="17" s="1"/>
  <c r="C853" i="17" l="1"/>
  <c r="AL852" i="17"/>
  <c r="B852" i="17"/>
  <c r="G852" i="17" s="1"/>
  <c r="A853" i="17"/>
  <c r="AH851" i="17"/>
  <c r="AD851" i="17"/>
  <c r="Z851" i="17"/>
  <c r="AG851" i="17"/>
  <c r="AC851" i="17"/>
  <c r="Y851" i="17"/>
  <c r="AF851" i="17"/>
  <c r="AB851" i="17"/>
  <c r="X851" i="17"/>
  <c r="AA851" i="17"/>
  <c r="W851" i="17"/>
  <c r="AE851" i="17"/>
  <c r="AE237" i="17"/>
  <c r="AA237" i="17"/>
  <c r="W237" i="17"/>
  <c r="AH237" i="17"/>
  <c r="AD237" i="17"/>
  <c r="Z237" i="17"/>
  <c r="AG237" i="17"/>
  <c r="AC237" i="17"/>
  <c r="Y237" i="17"/>
  <c r="AF237" i="17"/>
  <c r="AB237" i="17"/>
  <c r="X237" i="17"/>
  <c r="C239" i="17"/>
  <c r="AL238" i="17"/>
  <c r="B238" i="17"/>
  <c r="G238" i="17" s="1"/>
  <c r="C854" i="17" l="1"/>
  <c r="AL853" i="17"/>
  <c r="B853" i="17"/>
  <c r="G853" i="17" s="1"/>
  <c r="A854" i="17"/>
  <c r="AH852" i="17"/>
  <c r="AD852" i="17"/>
  <c r="Z852" i="17"/>
  <c r="AG852" i="17"/>
  <c r="AC852" i="17"/>
  <c r="Y852" i="17"/>
  <c r="AF852" i="17"/>
  <c r="AB852" i="17"/>
  <c r="X852" i="17"/>
  <c r="AA852" i="17"/>
  <c r="W852" i="17"/>
  <c r="AE852" i="17"/>
  <c r="AH238" i="17"/>
  <c r="AD238" i="17"/>
  <c r="Z238" i="17"/>
  <c r="AG238" i="17"/>
  <c r="AC238" i="17"/>
  <c r="Y238" i="17"/>
  <c r="AF238" i="17"/>
  <c r="AB238" i="17"/>
  <c r="X238" i="17"/>
  <c r="AE238" i="17"/>
  <c r="AA238" i="17"/>
  <c r="W238" i="17"/>
  <c r="B239" i="17"/>
  <c r="G239" i="17" s="1"/>
  <c r="C240" i="17"/>
  <c r="AL239" i="17"/>
  <c r="AH853" i="17" l="1"/>
  <c r="AD853" i="17"/>
  <c r="Z853" i="17"/>
  <c r="AG853" i="17"/>
  <c r="AC853" i="17"/>
  <c r="Y853" i="17"/>
  <c r="AF853" i="17"/>
  <c r="AB853" i="17"/>
  <c r="X853" i="17"/>
  <c r="AA853" i="17"/>
  <c r="W853" i="17"/>
  <c r="AE853" i="17"/>
  <c r="C855" i="17"/>
  <c r="AL854" i="17"/>
  <c r="B854" i="17"/>
  <c r="G854" i="17" s="1"/>
  <c r="A855" i="17"/>
  <c r="B240" i="17"/>
  <c r="G240" i="17" s="1"/>
  <c r="C241" i="17"/>
  <c r="AL240" i="17"/>
  <c r="AG239" i="17"/>
  <c r="AC239" i="17"/>
  <c r="Y239" i="17"/>
  <c r="AF239" i="17"/>
  <c r="AB239" i="17"/>
  <c r="X239" i="17"/>
  <c r="AE239" i="17"/>
  <c r="AA239" i="17"/>
  <c r="W239" i="17"/>
  <c r="AH239" i="17"/>
  <c r="AD239" i="17"/>
  <c r="Z239" i="17"/>
  <c r="AH854" i="17" l="1"/>
  <c r="AD854" i="17"/>
  <c r="Z854" i="17"/>
  <c r="AG854" i="17"/>
  <c r="AC854" i="17"/>
  <c r="Y854" i="17"/>
  <c r="AF854" i="17"/>
  <c r="AB854" i="17"/>
  <c r="X854" i="17"/>
  <c r="AA854" i="17"/>
  <c r="W854" i="17"/>
  <c r="AE854" i="17"/>
  <c r="C856" i="17"/>
  <c r="B855" i="17"/>
  <c r="G855" i="17" s="1"/>
  <c r="A856" i="17"/>
  <c r="AL855" i="17"/>
  <c r="C242" i="17"/>
  <c r="AL241" i="17"/>
  <c r="B241" i="17"/>
  <c r="G241" i="17" s="1"/>
  <c r="AF240" i="17"/>
  <c r="AB240" i="17"/>
  <c r="X240" i="17"/>
  <c r="AE240" i="17"/>
  <c r="AA240" i="17"/>
  <c r="W240" i="17"/>
  <c r="AH240" i="17"/>
  <c r="AD240" i="17"/>
  <c r="Z240" i="17"/>
  <c r="AC240" i="17"/>
  <c r="Y240" i="17"/>
  <c r="AG240" i="17"/>
  <c r="B856" i="17" l="1"/>
  <c r="G856" i="17" s="1"/>
  <c r="AL856" i="17"/>
  <c r="C857" i="17"/>
  <c r="A857" i="17"/>
  <c r="AG855" i="17"/>
  <c r="AC855" i="17"/>
  <c r="Y855" i="17"/>
  <c r="AE855" i="17"/>
  <c r="Z855" i="17"/>
  <c r="AD855" i="17"/>
  <c r="X855" i="17"/>
  <c r="AH855" i="17"/>
  <c r="AB855" i="17"/>
  <c r="W855" i="17"/>
  <c r="AF855" i="17"/>
  <c r="AA855" i="17"/>
  <c r="AE241" i="17"/>
  <c r="AA241" i="17"/>
  <c r="W241" i="17"/>
  <c r="AH241" i="17"/>
  <c r="AD241" i="17"/>
  <c r="Z241" i="17"/>
  <c r="AG241" i="17"/>
  <c r="AC241" i="17"/>
  <c r="Y241" i="17"/>
  <c r="AB241" i="17"/>
  <c r="X241" i="17"/>
  <c r="AF241" i="17"/>
  <c r="C243" i="17"/>
  <c r="AL242" i="17"/>
  <c r="B242" i="17"/>
  <c r="G242" i="17" s="1"/>
  <c r="B857" i="17" l="1"/>
  <c r="G857" i="17" s="1"/>
  <c r="A858" i="17"/>
  <c r="AL857" i="17"/>
  <c r="C858" i="17"/>
  <c r="AG856" i="17"/>
  <c r="AC856" i="17"/>
  <c r="Y856" i="17"/>
  <c r="AF856" i="17"/>
  <c r="AA856" i="17"/>
  <c r="AE856" i="17"/>
  <c r="Z856" i="17"/>
  <c r="AD856" i="17"/>
  <c r="X856" i="17"/>
  <c r="AH856" i="17"/>
  <c r="W856" i="17"/>
  <c r="AB856" i="17"/>
  <c r="AH242" i="17"/>
  <c r="AD242" i="17"/>
  <c r="Z242" i="17"/>
  <c r="AG242" i="17"/>
  <c r="AC242" i="17"/>
  <c r="Y242" i="17"/>
  <c r="AF242" i="17"/>
  <c r="AB242" i="17"/>
  <c r="X242" i="17"/>
  <c r="AA242" i="17"/>
  <c r="W242" i="17"/>
  <c r="AE242" i="17"/>
  <c r="B243" i="17"/>
  <c r="G243" i="17" s="1"/>
  <c r="AL243" i="17"/>
  <c r="C244" i="17"/>
  <c r="AG857" i="17" l="1"/>
  <c r="AC857" i="17"/>
  <c r="Y857" i="17"/>
  <c r="AH857" i="17"/>
  <c r="AB857" i="17"/>
  <c r="W857" i="17"/>
  <c r="AF857" i="17"/>
  <c r="AA857" i="17"/>
  <c r="AE857" i="17"/>
  <c r="Z857" i="17"/>
  <c r="AD857" i="17"/>
  <c r="X857" i="17"/>
  <c r="C859" i="17"/>
  <c r="AL858" i="17"/>
  <c r="B858" i="17"/>
  <c r="G858" i="17" s="1"/>
  <c r="A859" i="17"/>
  <c r="AG243" i="17"/>
  <c r="AC243" i="17"/>
  <c r="Y243" i="17"/>
  <c r="AF243" i="17"/>
  <c r="AB243" i="17"/>
  <c r="X243" i="17"/>
  <c r="AE243" i="17"/>
  <c r="AA243" i="17"/>
  <c r="W243" i="17"/>
  <c r="AD243" i="17"/>
  <c r="Z243" i="17"/>
  <c r="AH243" i="17"/>
  <c r="B244" i="17"/>
  <c r="G244" i="17" s="1"/>
  <c r="C245" i="17"/>
  <c r="AL244" i="17"/>
  <c r="AH858" i="17" l="1"/>
  <c r="AD858" i="17"/>
  <c r="Z858" i="17"/>
  <c r="AG858" i="17"/>
  <c r="AC858" i="17"/>
  <c r="Y858" i="17"/>
  <c r="AE858" i="17"/>
  <c r="W858" i="17"/>
  <c r="AB858" i="17"/>
  <c r="AA858" i="17"/>
  <c r="AF858" i="17"/>
  <c r="X858" i="17"/>
  <c r="C860" i="17"/>
  <c r="AL859" i="17"/>
  <c r="B859" i="17"/>
  <c r="G859" i="17" s="1"/>
  <c r="A860" i="17"/>
  <c r="AF244" i="17"/>
  <c r="AB244" i="17"/>
  <c r="X244" i="17"/>
  <c r="AE244" i="17"/>
  <c r="AA244" i="17"/>
  <c r="W244" i="17"/>
  <c r="AH244" i="17"/>
  <c r="AD244" i="17"/>
  <c r="Z244" i="17"/>
  <c r="Y244" i="17"/>
  <c r="AG244" i="17"/>
  <c r="AC244" i="17"/>
  <c r="C246" i="17"/>
  <c r="AL245" i="17"/>
  <c r="B245" i="17"/>
  <c r="G245" i="17" s="1"/>
  <c r="C861" i="17" l="1"/>
  <c r="AL860" i="17"/>
  <c r="B860" i="17"/>
  <c r="G860" i="17" s="1"/>
  <c r="A861" i="17"/>
  <c r="AH859" i="17"/>
  <c r="AD859" i="17"/>
  <c r="Z859" i="17"/>
  <c r="AG859" i="17"/>
  <c r="AC859" i="17"/>
  <c r="Y859" i="17"/>
  <c r="AB859" i="17"/>
  <c r="AA859" i="17"/>
  <c r="AF859" i="17"/>
  <c r="X859" i="17"/>
  <c r="AE859" i="17"/>
  <c r="W859" i="17"/>
  <c r="AE245" i="17"/>
  <c r="AA245" i="17"/>
  <c r="W245" i="17"/>
  <c r="AH245" i="17"/>
  <c r="AD245" i="17"/>
  <c r="Z245" i="17"/>
  <c r="AG245" i="17"/>
  <c r="AC245" i="17"/>
  <c r="Y245" i="17"/>
  <c r="X245" i="17"/>
  <c r="AF245" i="17"/>
  <c r="AB245" i="17"/>
  <c r="C247" i="17"/>
  <c r="AL246" i="17"/>
  <c r="B246" i="17"/>
  <c r="G246" i="17" s="1"/>
  <c r="AH860" i="17" l="1"/>
  <c r="AD860" i="17"/>
  <c r="Z860" i="17"/>
  <c r="AG860" i="17"/>
  <c r="AC860" i="17"/>
  <c r="Y860" i="17"/>
  <c r="AA860" i="17"/>
  <c r="AF860" i="17"/>
  <c r="X860" i="17"/>
  <c r="AE860" i="17"/>
  <c r="W860" i="17"/>
  <c r="AB860" i="17"/>
  <c r="C862" i="17"/>
  <c r="AL861" i="17"/>
  <c r="B861" i="17"/>
  <c r="G861" i="17" s="1"/>
  <c r="A862" i="17"/>
  <c r="AH246" i="17"/>
  <c r="AD246" i="17"/>
  <c r="Z246" i="17"/>
  <c r="AG246" i="17"/>
  <c r="AC246" i="17"/>
  <c r="Y246" i="17"/>
  <c r="AF246" i="17"/>
  <c r="AB246" i="17"/>
  <c r="X246" i="17"/>
  <c r="W246" i="17"/>
  <c r="AE246" i="17"/>
  <c r="AA246" i="17"/>
  <c r="B247" i="17"/>
  <c r="G247" i="17" s="1"/>
  <c r="AL247" i="17"/>
  <c r="C248" i="17"/>
  <c r="C863" i="17" l="1"/>
  <c r="AL862" i="17"/>
  <c r="B862" i="17"/>
  <c r="G862" i="17" s="1"/>
  <c r="A863" i="17"/>
  <c r="AH861" i="17"/>
  <c r="AD861" i="17"/>
  <c r="Z861" i="17"/>
  <c r="AG861" i="17"/>
  <c r="AC861" i="17"/>
  <c r="Y861" i="17"/>
  <c r="AF861" i="17"/>
  <c r="X861" i="17"/>
  <c r="AE861" i="17"/>
  <c r="W861" i="17"/>
  <c r="AB861" i="17"/>
  <c r="AA861" i="17"/>
  <c r="B248" i="17"/>
  <c r="G248" i="17" s="1"/>
  <c r="C249" i="17"/>
  <c r="AL248" i="17"/>
  <c r="AG247" i="17"/>
  <c r="AC247" i="17"/>
  <c r="Y247" i="17"/>
  <c r="AF247" i="17"/>
  <c r="AB247" i="17"/>
  <c r="X247" i="17"/>
  <c r="AE247" i="17"/>
  <c r="AA247" i="17"/>
  <c r="W247" i="17"/>
  <c r="Z247" i="17"/>
  <c r="AH247" i="17"/>
  <c r="AD247" i="17"/>
  <c r="AH862" i="17" l="1"/>
  <c r="AD862" i="17"/>
  <c r="Z862" i="17"/>
  <c r="AG862" i="17"/>
  <c r="AC862" i="17"/>
  <c r="Y862" i="17"/>
  <c r="AE862" i="17"/>
  <c r="W862" i="17"/>
  <c r="AB862" i="17"/>
  <c r="AA862" i="17"/>
  <c r="AF862" i="17"/>
  <c r="X862" i="17"/>
  <c r="C864" i="17"/>
  <c r="AL863" i="17"/>
  <c r="B863" i="17"/>
  <c r="G863" i="17" s="1"/>
  <c r="A864" i="17"/>
  <c r="C250" i="17"/>
  <c r="AL249" i="17"/>
  <c r="B249" i="17"/>
  <c r="G249" i="17" s="1"/>
  <c r="AF248" i="17"/>
  <c r="AB248" i="17"/>
  <c r="X248" i="17"/>
  <c r="AE248" i="17"/>
  <c r="AA248" i="17"/>
  <c r="W248" i="17"/>
  <c r="AH248" i="17"/>
  <c r="AD248" i="17"/>
  <c r="Z248" i="17"/>
  <c r="Y248" i="17"/>
  <c r="AG248" i="17"/>
  <c r="AC248" i="17"/>
  <c r="C865" i="17" l="1"/>
  <c r="AL864" i="17"/>
  <c r="B864" i="17"/>
  <c r="G864" i="17" s="1"/>
  <c r="A865" i="17"/>
  <c r="AH863" i="17"/>
  <c r="AD863" i="17"/>
  <c r="Z863" i="17"/>
  <c r="AG863" i="17"/>
  <c r="AC863" i="17"/>
  <c r="Y863" i="17"/>
  <c r="AB863" i="17"/>
  <c r="AA863" i="17"/>
  <c r="AF863" i="17"/>
  <c r="X863" i="17"/>
  <c r="AE863" i="17"/>
  <c r="W863" i="17"/>
  <c r="AE249" i="17"/>
  <c r="AA249" i="17"/>
  <c r="W249" i="17"/>
  <c r="AH249" i="17"/>
  <c r="AD249" i="17"/>
  <c r="Z249" i="17"/>
  <c r="AG249" i="17"/>
  <c r="AC249" i="17"/>
  <c r="Y249" i="17"/>
  <c r="X249" i="17"/>
  <c r="AB249" i="17"/>
  <c r="AF249" i="17"/>
  <c r="C251" i="17"/>
  <c r="AL250" i="17"/>
  <c r="B250" i="17"/>
  <c r="G250" i="17" s="1"/>
  <c r="AH864" i="17" l="1"/>
  <c r="AD864" i="17"/>
  <c r="Z864" i="17"/>
  <c r="AG864" i="17"/>
  <c r="AC864" i="17"/>
  <c r="Y864" i="17"/>
  <c r="AA864" i="17"/>
  <c r="AF864" i="17"/>
  <c r="X864" i="17"/>
  <c r="AE864" i="17"/>
  <c r="W864" i="17"/>
  <c r="AB864" i="17"/>
  <c r="C866" i="17"/>
  <c r="AL865" i="17"/>
  <c r="B865" i="17"/>
  <c r="G865" i="17" s="1"/>
  <c r="A866" i="17"/>
  <c r="AH250" i="17"/>
  <c r="AD250" i="17"/>
  <c r="Z250" i="17"/>
  <c r="AG250" i="17"/>
  <c r="AC250" i="17"/>
  <c r="Y250" i="17"/>
  <c r="AF250" i="17"/>
  <c r="AB250" i="17"/>
  <c r="X250" i="17"/>
  <c r="AE250" i="17"/>
  <c r="W250" i="17"/>
  <c r="AA250" i="17"/>
  <c r="B251" i="17"/>
  <c r="G251" i="17" s="1"/>
  <c r="C252" i="17"/>
  <c r="AL251" i="17"/>
  <c r="AH865" i="17" l="1"/>
  <c r="AD865" i="17"/>
  <c r="Z865" i="17"/>
  <c r="AG865" i="17"/>
  <c r="AC865" i="17"/>
  <c r="Y865" i="17"/>
  <c r="AF865" i="17"/>
  <c r="X865" i="17"/>
  <c r="AE865" i="17"/>
  <c r="W865" i="17"/>
  <c r="AB865" i="17"/>
  <c r="AA865" i="17"/>
  <c r="C867" i="17"/>
  <c r="AL866" i="17"/>
  <c r="B866" i="17"/>
  <c r="G866" i="17" s="1"/>
  <c r="A867" i="17"/>
  <c r="AG251" i="17"/>
  <c r="AC251" i="17"/>
  <c r="Y251" i="17"/>
  <c r="AF251" i="17"/>
  <c r="AB251" i="17"/>
  <c r="X251" i="17"/>
  <c r="AE251" i="17"/>
  <c r="AA251" i="17"/>
  <c r="W251" i="17"/>
  <c r="AH251" i="17"/>
  <c r="Z251" i="17"/>
  <c r="AD251" i="17"/>
  <c r="B252" i="17"/>
  <c r="G252" i="17" s="1"/>
  <c r="C253" i="17"/>
  <c r="AL252" i="17"/>
  <c r="C868" i="17" l="1"/>
  <c r="AL867" i="17"/>
  <c r="B867" i="17"/>
  <c r="G867" i="17" s="1"/>
  <c r="A868" i="17"/>
  <c r="AH866" i="17"/>
  <c r="AD866" i="17"/>
  <c r="Z866" i="17"/>
  <c r="AG866" i="17"/>
  <c r="AC866" i="17"/>
  <c r="Y866" i="17"/>
  <c r="AE866" i="17"/>
  <c r="W866" i="17"/>
  <c r="AB866" i="17"/>
  <c r="AA866" i="17"/>
  <c r="X866" i="17"/>
  <c r="AF866" i="17"/>
  <c r="AF252" i="17"/>
  <c r="AB252" i="17"/>
  <c r="X252" i="17"/>
  <c r="AE252" i="17"/>
  <c r="AA252" i="17"/>
  <c r="W252" i="17"/>
  <c r="AH252" i="17"/>
  <c r="AD252" i="17"/>
  <c r="Z252" i="17"/>
  <c r="AC252" i="17"/>
  <c r="AG252" i="17"/>
  <c r="Y252" i="17"/>
  <c r="C254" i="17"/>
  <c r="AL253" i="17"/>
  <c r="B253" i="17"/>
  <c r="G253" i="17" s="1"/>
  <c r="C869" i="17" l="1"/>
  <c r="AL868" i="17"/>
  <c r="B868" i="17"/>
  <c r="G868" i="17" s="1"/>
  <c r="A869" i="17"/>
  <c r="AH867" i="17"/>
  <c r="AD867" i="17"/>
  <c r="Z867" i="17"/>
  <c r="AG867" i="17"/>
  <c r="AC867" i="17"/>
  <c r="Y867" i="17"/>
  <c r="AB867" i="17"/>
  <c r="AA867" i="17"/>
  <c r="AF867" i="17"/>
  <c r="X867" i="17"/>
  <c r="W867" i="17"/>
  <c r="AE867" i="17"/>
  <c r="AE253" i="17"/>
  <c r="AA253" i="17"/>
  <c r="W253" i="17"/>
  <c r="AH253" i="17"/>
  <c r="AD253" i="17"/>
  <c r="Z253" i="17"/>
  <c r="AG253" i="17"/>
  <c r="AC253" i="17"/>
  <c r="Y253" i="17"/>
  <c r="AB253" i="17"/>
  <c r="AF253" i="17"/>
  <c r="X253" i="17"/>
  <c r="C255" i="17"/>
  <c r="AL254" i="17"/>
  <c r="B254" i="17"/>
  <c r="G254" i="17" s="1"/>
  <c r="C870" i="17" l="1"/>
  <c r="AL869" i="17"/>
  <c r="B869" i="17"/>
  <c r="G869" i="17" s="1"/>
  <c r="A870" i="17"/>
  <c r="AH868" i="17"/>
  <c r="AD868" i="17"/>
  <c r="Z868" i="17"/>
  <c r="AG868" i="17"/>
  <c r="AC868" i="17"/>
  <c r="Y868" i="17"/>
  <c r="AA868" i="17"/>
  <c r="AF868" i="17"/>
  <c r="X868" i="17"/>
  <c r="AE868" i="17"/>
  <c r="W868" i="17"/>
  <c r="AB868" i="17"/>
  <c r="AH254" i="17"/>
  <c r="AD254" i="17"/>
  <c r="Z254" i="17"/>
  <c r="AG254" i="17"/>
  <c r="AC254" i="17"/>
  <c r="Y254" i="17"/>
  <c r="AF254" i="17"/>
  <c r="AB254" i="17"/>
  <c r="X254" i="17"/>
  <c r="AA254" i="17"/>
  <c r="AE254" i="17"/>
  <c r="W254" i="17"/>
  <c r="B255" i="17"/>
  <c r="G255" i="17" s="1"/>
  <c r="AL255" i="17"/>
  <c r="C256" i="17"/>
  <c r="AH869" i="17" l="1"/>
  <c r="AD869" i="17"/>
  <c r="Z869" i="17"/>
  <c r="AG869" i="17"/>
  <c r="AC869" i="17"/>
  <c r="Y869" i="17"/>
  <c r="AF869" i="17"/>
  <c r="X869" i="17"/>
  <c r="AE869" i="17"/>
  <c r="W869" i="17"/>
  <c r="AB869" i="17"/>
  <c r="AA869" i="17"/>
  <c r="C871" i="17"/>
  <c r="AL870" i="17"/>
  <c r="B870" i="17"/>
  <c r="G870" i="17" s="1"/>
  <c r="A871" i="17"/>
  <c r="AG255" i="17"/>
  <c r="AC255" i="17"/>
  <c r="Y255" i="17"/>
  <c r="AF255" i="17"/>
  <c r="AB255" i="17"/>
  <c r="X255" i="17"/>
  <c r="AE255" i="17"/>
  <c r="AA255" i="17"/>
  <c r="W255" i="17"/>
  <c r="AD255" i="17"/>
  <c r="AH255" i="17"/>
  <c r="Z255" i="17"/>
  <c r="B256" i="17"/>
  <c r="G256" i="17" s="1"/>
  <c r="C257" i="17"/>
  <c r="AL256" i="17"/>
  <c r="C872" i="17" l="1"/>
  <c r="AL871" i="17"/>
  <c r="B871" i="17"/>
  <c r="G871" i="17" s="1"/>
  <c r="A872" i="17"/>
  <c r="AH870" i="17"/>
  <c r="AD870" i="17"/>
  <c r="Z870" i="17"/>
  <c r="AG870" i="17"/>
  <c r="AC870" i="17"/>
  <c r="Y870" i="17"/>
  <c r="AE870" i="17"/>
  <c r="W870" i="17"/>
  <c r="AB870" i="17"/>
  <c r="AA870" i="17"/>
  <c r="AF870" i="17"/>
  <c r="X870" i="17"/>
  <c r="C258" i="17"/>
  <c r="AL257" i="17"/>
  <c r="B257" i="17"/>
  <c r="G257" i="17" s="1"/>
  <c r="AF256" i="17"/>
  <c r="AB256" i="17"/>
  <c r="X256" i="17"/>
  <c r="AE256" i="17"/>
  <c r="AA256" i="17"/>
  <c r="W256" i="17"/>
  <c r="AH256" i="17"/>
  <c r="AD256" i="17"/>
  <c r="Z256" i="17"/>
  <c r="Y256" i="17"/>
  <c r="AG256" i="17"/>
  <c r="AC256" i="17"/>
  <c r="C873" i="17" l="1"/>
  <c r="AL872" i="17"/>
  <c r="B872" i="17"/>
  <c r="G872" i="17" s="1"/>
  <c r="A873" i="17"/>
  <c r="AH871" i="17"/>
  <c r="AD871" i="17"/>
  <c r="Z871" i="17"/>
  <c r="AG871" i="17"/>
  <c r="AC871" i="17"/>
  <c r="Y871" i="17"/>
  <c r="AB871" i="17"/>
  <c r="AA871" i="17"/>
  <c r="AF871" i="17"/>
  <c r="X871" i="17"/>
  <c r="W871" i="17"/>
  <c r="AE871" i="17"/>
  <c r="AE257" i="17"/>
  <c r="AA257" i="17"/>
  <c r="W257" i="17"/>
  <c r="AH257" i="17"/>
  <c r="AD257" i="17"/>
  <c r="Z257" i="17"/>
  <c r="AG257" i="17"/>
  <c r="AC257" i="17"/>
  <c r="Y257" i="17"/>
  <c r="X257" i="17"/>
  <c r="AF257" i="17"/>
  <c r="AB257" i="17"/>
  <c r="C259" i="17"/>
  <c r="AL258" i="17"/>
  <c r="B258" i="17"/>
  <c r="G258" i="17" s="1"/>
  <c r="C874" i="17" l="1"/>
  <c r="AL873" i="17"/>
  <c r="B873" i="17"/>
  <c r="G873" i="17" s="1"/>
  <c r="A874" i="17"/>
  <c r="AH872" i="17"/>
  <c r="AD872" i="17"/>
  <c r="Z872" i="17"/>
  <c r="AG872" i="17"/>
  <c r="AC872" i="17"/>
  <c r="Y872" i="17"/>
  <c r="AA872" i="17"/>
  <c r="AF872" i="17"/>
  <c r="X872" i="17"/>
  <c r="AE872" i="17"/>
  <c r="W872" i="17"/>
  <c r="AB872" i="17"/>
  <c r="B259" i="17"/>
  <c r="G259" i="17" s="1"/>
  <c r="C260" i="17"/>
  <c r="AL259" i="17"/>
  <c r="AH258" i="17"/>
  <c r="AD258" i="17"/>
  <c r="Z258" i="17"/>
  <c r="AG258" i="17"/>
  <c r="AC258" i="17"/>
  <c r="Y258" i="17"/>
  <c r="AF258" i="17"/>
  <c r="AB258" i="17"/>
  <c r="X258" i="17"/>
  <c r="W258" i="17"/>
  <c r="AE258" i="17"/>
  <c r="AA258" i="17"/>
  <c r="C875" i="17" l="1"/>
  <c r="AL874" i="17"/>
  <c r="B874" i="17"/>
  <c r="G874" i="17" s="1"/>
  <c r="A875" i="17"/>
  <c r="AH873" i="17"/>
  <c r="AD873" i="17"/>
  <c r="Z873" i="17"/>
  <c r="AG873" i="17"/>
  <c r="AC873" i="17"/>
  <c r="Y873" i="17"/>
  <c r="AF873" i="17"/>
  <c r="X873" i="17"/>
  <c r="AE873" i="17"/>
  <c r="W873" i="17"/>
  <c r="AB873" i="17"/>
  <c r="AA873" i="17"/>
  <c r="AG259" i="17"/>
  <c r="AC259" i="17"/>
  <c r="Y259" i="17"/>
  <c r="AF259" i="17"/>
  <c r="AB259" i="17"/>
  <c r="X259" i="17"/>
  <c r="AE259" i="17"/>
  <c r="AA259" i="17"/>
  <c r="W259" i="17"/>
  <c r="Z259" i="17"/>
  <c r="AH259" i="17"/>
  <c r="AD259" i="17"/>
  <c r="B260" i="17"/>
  <c r="G260" i="17" s="1"/>
  <c r="C261" i="17"/>
  <c r="AL260" i="17"/>
  <c r="AH874" i="17" l="1"/>
  <c r="AD874" i="17"/>
  <c r="Z874" i="17"/>
  <c r="AG874" i="17"/>
  <c r="AC874" i="17"/>
  <c r="Y874" i="17"/>
  <c r="AE874" i="17"/>
  <c r="W874" i="17"/>
  <c r="AB874" i="17"/>
  <c r="AA874" i="17"/>
  <c r="AF874" i="17"/>
  <c r="X874" i="17"/>
  <c r="C876" i="17"/>
  <c r="AL875" i="17"/>
  <c r="B875" i="17"/>
  <c r="G875" i="17" s="1"/>
  <c r="A876" i="17"/>
  <c r="C262" i="17"/>
  <c r="AL261" i="17"/>
  <c r="B261" i="17"/>
  <c r="G261" i="17" s="1"/>
  <c r="AF260" i="17"/>
  <c r="AB260" i="17"/>
  <c r="X260" i="17"/>
  <c r="AE260" i="17"/>
  <c r="AA260" i="17"/>
  <c r="W260" i="17"/>
  <c r="AH260" i="17"/>
  <c r="AD260" i="17"/>
  <c r="Z260" i="17"/>
  <c r="AC260" i="17"/>
  <c r="AG260" i="17"/>
  <c r="Y260" i="17"/>
  <c r="C877" i="17" l="1"/>
  <c r="AL876" i="17"/>
  <c r="B876" i="17"/>
  <c r="G876" i="17" s="1"/>
  <c r="A877" i="17"/>
  <c r="AH875" i="17"/>
  <c r="AD875" i="17"/>
  <c r="Z875" i="17"/>
  <c r="AG875" i="17"/>
  <c r="AC875" i="17"/>
  <c r="Y875" i="17"/>
  <c r="AB875" i="17"/>
  <c r="AA875" i="17"/>
  <c r="AF875" i="17"/>
  <c r="X875" i="17"/>
  <c r="AE875" i="17"/>
  <c r="W875" i="17"/>
  <c r="AE261" i="17"/>
  <c r="AA261" i="17"/>
  <c r="W261" i="17"/>
  <c r="AH261" i="17"/>
  <c r="AD261" i="17"/>
  <c r="Z261" i="17"/>
  <c r="AG261" i="17"/>
  <c r="AC261" i="17"/>
  <c r="Y261" i="17"/>
  <c r="AB261" i="17"/>
  <c r="AF261" i="17"/>
  <c r="X261" i="17"/>
  <c r="C263" i="17"/>
  <c r="AL262" i="17"/>
  <c r="B262" i="17"/>
  <c r="G262" i="17" s="1"/>
  <c r="C878" i="17" l="1"/>
  <c r="AL877" i="17"/>
  <c r="B877" i="17"/>
  <c r="G877" i="17" s="1"/>
  <c r="A878" i="17"/>
  <c r="AH876" i="17"/>
  <c r="AD876" i="17"/>
  <c r="Z876" i="17"/>
  <c r="AG876" i="17"/>
  <c r="AC876" i="17"/>
  <c r="Y876" i="17"/>
  <c r="AA876" i="17"/>
  <c r="AF876" i="17"/>
  <c r="X876" i="17"/>
  <c r="AE876" i="17"/>
  <c r="W876" i="17"/>
  <c r="AB876" i="17"/>
  <c r="AH262" i="17"/>
  <c r="AD262" i="17"/>
  <c r="Z262" i="17"/>
  <c r="AG262" i="17"/>
  <c r="AC262" i="17"/>
  <c r="Y262" i="17"/>
  <c r="AF262" i="17"/>
  <c r="AB262" i="17"/>
  <c r="X262" i="17"/>
  <c r="AA262" i="17"/>
  <c r="AE262" i="17"/>
  <c r="W262" i="17"/>
  <c r="B263" i="17"/>
  <c r="G263" i="17" s="1"/>
  <c r="AL263" i="17"/>
  <c r="C264" i="17"/>
  <c r="C879" i="17" l="1"/>
  <c r="AL878" i="17"/>
  <c r="B878" i="17"/>
  <c r="G878" i="17" s="1"/>
  <c r="A879" i="17"/>
  <c r="AH877" i="17"/>
  <c r="AD877" i="17"/>
  <c r="Z877" i="17"/>
  <c r="AG877" i="17"/>
  <c r="AC877" i="17"/>
  <c r="Y877" i="17"/>
  <c r="AF877" i="17"/>
  <c r="X877" i="17"/>
  <c r="AE877" i="17"/>
  <c r="W877" i="17"/>
  <c r="AB877" i="17"/>
  <c r="AA877" i="17"/>
  <c r="B264" i="17"/>
  <c r="G264" i="17" s="1"/>
  <c r="C265" i="17"/>
  <c r="AL264" i="17"/>
  <c r="AG263" i="17"/>
  <c r="AC263" i="17"/>
  <c r="Y263" i="17"/>
  <c r="AF263" i="17"/>
  <c r="AB263" i="17"/>
  <c r="X263" i="17"/>
  <c r="AE263" i="17"/>
  <c r="AA263" i="17"/>
  <c r="W263" i="17"/>
  <c r="AD263" i="17"/>
  <c r="AH263" i="17"/>
  <c r="Z263" i="17"/>
  <c r="C880" i="17" l="1"/>
  <c r="AL879" i="17"/>
  <c r="B879" i="17"/>
  <c r="G879" i="17" s="1"/>
  <c r="A880" i="17"/>
  <c r="AH878" i="17"/>
  <c r="AD878" i="17"/>
  <c r="Z878" i="17"/>
  <c r="AG878" i="17"/>
  <c r="AC878" i="17"/>
  <c r="Y878" i="17"/>
  <c r="AE878" i="17"/>
  <c r="W878" i="17"/>
  <c r="AB878" i="17"/>
  <c r="AA878" i="17"/>
  <c r="AF878" i="17"/>
  <c r="X878" i="17"/>
  <c r="C266" i="17"/>
  <c r="AL265" i="17"/>
  <c r="B265" i="17"/>
  <c r="G265" i="17" s="1"/>
  <c r="AF264" i="17"/>
  <c r="AB264" i="17"/>
  <c r="X264" i="17"/>
  <c r="AE264" i="17"/>
  <c r="AA264" i="17"/>
  <c r="W264" i="17"/>
  <c r="AH264" i="17"/>
  <c r="AD264" i="17"/>
  <c r="Z264" i="17"/>
  <c r="AG264" i="17"/>
  <c r="Y264" i="17"/>
  <c r="AC264" i="17"/>
  <c r="AH879" i="17" l="1"/>
  <c r="AD879" i="17"/>
  <c r="Z879" i="17"/>
  <c r="AG879" i="17"/>
  <c r="AC879" i="17"/>
  <c r="Y879" i="17"/>
  <c r="AB879" i="17"/>
  <c r="AA879" i="17"/>
  <c r="AF879" i="17"/>
  <c r="X879" i="17"/>
  <c r="AE879" i="17"/>
  <c r="W879" i="17"/>
  <c r="C881" i="17"/>
  <c r="AL880" i="17"/>
  <c r="B880" i="17"/>
  <c r="G880" i="17" s="1"/>
  <c r="A881" i="17"/>
  <c r="AE265" i="17"/>
  <c r="AA265" i="17"/>
  <c r="W265" i="17"/>
  <c r="AH265" i="17"/>
  <c r="AD265" i="17"/>
  <c r="Z265" i="17"/>
  <c r="AG265" i="17"/>
  <c r="AC265" i="17"/>
  <c r="Y265" i="17"/>
  <c r="AF265" i="17"/>
  <c r="X265" i="17"/>
  <c r="AB265" i="17"/>
  <c r="C267" i="17"/>
  <c r="AL266" i="17"/>
  <c r="B266" i="17"/>
  <c r="G266" i="17" s="1"/>
  <c r="C882" i="17" l="1"/>
  <c r="AL881" i="17"/>
  <c r="B881" i="17"/>
  <c r="G881" i="17" s="1"/>
  <c r="A882" i="17"/>
  <c r="AH880" i="17"/>
  <c r="AD880" i="17"/>
  <c r="Z880" i="17"/>
  <c r="AG880" i="17"/>
  <c r="AC880" i="17"/>
  <c r="Y880" i="17"/>
  <c r="AA880" i="17"/>
  <c r="AF880" i="17"/>
  <c r="X880" i="17"/>
  <c r="AE880" i="17"/>
  <c r="W880" i="17"/>
  <c r="AB880" i="17"/>
  <c r="B267" i="17"/>
  <c r="G267" i="17" s="1"/>
  <c r="C268" i="17"/>
  <c r="AL267" i="17"/>
  <c r="AH266" i="17"/>
  <c r="AD266" i="17"/>
  <c r="Z266" i="17"/>
  <c r="AG266" i="17"/>
  <c r="AC266" i="17"/>
  <c r="Y266" i="17"/>
  <c r="AF266" i="17"/>
  <c r="AB266" i="17"/>
  <c r="X266" i="17"/>
  <c r="AE266" i="17"/>
  <c r="W266" i="17"/>
  <c r="AA266" i="17"/>
  <c r="C883" i="17" l="1"/>
  <c r="AL882" i="17"/>
  <c r="B882" i="17"/>
  <c r="G882" i="17" s="1"/>
  <c r="A883" i="17"/>
  <c r="AE881" i="17"/>
  <c r="AA881" i="17"/>
  <c r="W881" i="17"/>
  <c r="AH881" i="17"/>
  <c r="AD881" i="17"/>
  <c r="Z881" i="17"/>
  <c r="AG881" i="17"/>
  <c r="AC881" i="17"/>
  <c r="Y881" i="17"/>
  <c r="AF881" i="17"/>
  <c r="AB881" i="17"/>
  <c r="X881" i="17"/>
  <c r="AG267" i="17"/>
  <c r="AC267" i="17"/>
  <c r="Y267" i="17"/>
  <c r="AF267" i="17"/>
  <c r="AB267" i="17"/>
  <c r="X267" i="17"/>
  <c r="AE267" i="17"/>
  <c r="AA267" i="17"/>
  <c r="W267" i="17"/>
  <c r="AH267" i="17"/>
  <c r="Z267" i="17"/>
  <c r="AD267" i="17"/>
  <c r="B268" i="17"/>
  <c r="G268" i="17" s="1"/>
  <c r="C269" i="17"/>
  <c r="AL268" i="17"/>
  <c r="AE882" i="17" l="1"/>
  <c r="AA882" i="17"/>
  <c r="W882" i="17"/>
  <c r="AH882" i="17"/>
  <c r="AD882" i="17"/>
  <c r="Z882" i="17"/>
  <c r="AG882" i="17"/>
  <c r="AC882" i="17"/>
  <c r="Y882" i="17"/>
  <c r="AF882" i="17"/>
  <c r="AB882" i="17"/>
  <c r="X882" i="17"/>
  <c r="C884" i="17"/>
  <c r="AL883" i="17"/>
  <c r="B883" i="17"/>
  <c r="G883" i="17" s="1"/>
  <c r="A884" i="17"/>
  <c r="C270" i="17"/>
  <c r="AL269" i="17"/>
  <c r="B269" i="17"/>
  <c r="G269" i="17" s="1"/>
  <c r="AF268" i="17"/>
  <c r="AB268" i="17"/>
  <c r="X268" i="17"/>
  <c r="AE268" i="17"/>
  <c r="AA268" i="17"/>
  <c r="W268" i="17"/>
  <c r="AH268" i="17"/>
  <c r="AD268" i="17"/>
  <c r="Z268" i="17"/>
  <c r="AC268" i="17"/>
  <c r="Y268" i="17"/>
  <c r="AG268" i="17"/>
  <c r="C885" i="17" l="1"/>
  <c r="AL884" i="17"/>
  <c r="B884" i="17"/>
  <c r="G884" i="17" s="1"/>
  <c r="A885" i="17"/>
  <c r="AE883" i="17"/>
  <c r="AA883" i="17"/>
  <c r="W883" i="17"/>
  <c r="AH883" i="17"/>
  <c r="AD883" i="17"/>
  <c r="Z883" i="17"/>
  <c r="AG883" i="17"/>
  <c r="AC883" i="17"/>
  <c r="Y883" i="17"/>
  <c r="AB883" i="17"/>
  <c r="X883" i="17"/>
  <c r="AF883" i="17"/>
  <c r="AE269" i="17"/>
  <c r="AA269" i="17"/>
  <c r="W269" i="17"/>
  <c r="AH269" i="17"/>
  <c r="AD269" i="17"/>
  <c r="Z269" i="17"/>
  <c r="AG269" i="17"/>
  <c r="AC269" i="17"/>
  <c r="Y269" i="17"/>
  <c r="AB269" i="17"/>
  <c r="X269" i="17"/>
  <c r="AF269" i="17"/>
  <c r="C271" i="17"/>
  <c r="AL270" i="17"/>
  <c r="B270" i="17"/>
  <c r="G270" i="17" s="1"/>
  <c r="C886" i="17" l="1"/>
  <c r="AL885" i="17"/>
  <c r="B885" i="17"/>
  <c r="G885" i="17" s="1"/>
  <c r="A886" i="17"/>
  <c r="AE884" i="17"/>
  <c r="AA884" i="17"/>
  <c r="W884" i="17"/>
  <c r="AH884" i="17"/>
  <c r="AD884" i="17"/>
  <c r="Z884" i="17"/>
  <c r="AG884" i="17"/>
  <c r="AC884" i="17"/>
  <c r="Y884" i="17"/>
  <c r="X884" i="17"/>
  <c r="AF884" i="17"/>
  <c r="AB884" i="17"/>
  <c r="AH270" i="17"/>
  <c r="AD270" i="17"/>
  <c r="Z270" i="17"/>
  <c r="AG270" i="17"/>
  <c r="AC270" i="17"/>
  <c r="Y270" i="17"/>
  <c r="AF270" i="17"/>
  <c r="AB270" i="17"/>
  <c r="X270" i="17"/>
  <c r="AA270" i="17"/>
  <c r="W270" i="17"/>
  <c r="AE270" i="17"/>
  <c r="B271" i="17"/>
  <c r="G271" i="17" s="1"/>
  <c r="AL271" i="17"/>
  <c r="C272" i="17"/>
  <c r="AE885" i="17" l="1"/>
  <c r="AA885" i="17"/>
  <c r="W885" i="17"/>
  <c r="AH885" i="17"/>
  <c r="AD885" i="17"/>
  <c r="Z885" i="17"/>
  <c r="AG885" i="17"/>
  <c r="AC885" i="17"/>
  <c r="Y885" i="17"/>
  <c r="AF885" i="17"/>
  <c r="AB885" i="17"/>
  <c r="X885" i="17"/>
  <c r="C887" i="17"/>
  <c r="AL886" i="17"/>
  <c r="B886" i="17"/>
  <c r="G886" i="17" s="1"/>
  <c r="A887" i="17"/>
  <c r="B272" i="17"/>
  <c r="G272" i="17" s="1"/>
  <c r="C273" i="17"/>
  <c r="AL272" i="17"/>
  <c r="AG271" i="17"/>
  <c r="AC271" i="17"/>
  <c r="Y271" i="17"/>
  <c r="AF271" i="17"/>
  <c r="AB271" i="17"/>
  <c r="X271" i="17"/>
  <c r="AE271" i="17"/>
  <c r="AA271" i="17"/>
  <c r="W271" i="17"/>
  <c r="AD271" i="17"/>
  <c r="AH271" i="17"/>
  <c r="Z271" i="17"/>
  <c r="AE886" i="17" l="1"/>
  <c r="AA886" i="17"/>
  <c r="W886" i="17"/>
  <c r="AH886" i="17"/>
  <c r="AD886" i="17"/>
  <c r="Z886" i="17"/>
  <c r="AG886" i="17"/>
  <c r="AC886" i="17"/>
  <c r="Y886" i="17"/>
  <c r="AF886" i="17"/>
  <c r="AB886" i="17"/>
  <c r="X886" i="17"/>
  <c r="C888" i="17"/>
  <c r="AL887" i="17"/>
  <c r="B887" i="17"/>
  <c r="G887" i="17" s="1"/>
  <c r="A888" i="17"/>
  <c r="AF272" i="17"/>
  <c r="AB272" i="17"/>
  <c r="X272" i="17"/>
  <c r="AE272" i="17"/>
  <c r="AA272" i="17"/>
  <c r="W272" i="17"/>
  <c r="AH272" i="17"/>
  <c r="AD272" i="17"/>
  <c r="Z272" i="17"/>
  <c r="Y272" i="17"/>
  <c r="AG272" i="17"/>
  <c r="AC272" i="17"/>
  <c r="C274" i="17"/>
  <c r="AL273" i="17"/>
  <c r="B273" i="17"/>
  <c r="G273" i="17" s="1"/>
  <c r="C889" i="17" l="1"/>
  <c r="AL888" i="17"/>
  <c r="B888" i="17"/>
  <c r="G888" i="17" s="1"/>
  <c r="A889" i="17"/>
  <c r="AE887" i="17"/>
  <c r="AA887" i="17"/>
  <c r="W887" i="17"/>
  <c r="AH887" i="17"/>
  <c r="AD887" i="17"/>
  <c r="Z887" i="17"/>
  <c r="AG887" i="17"/>
  <c r="AC887" i="17"/>
  <c r="Y887" i="17"/>
  <c r="AB887" i="17"/>
  <c r="X887" i="17"/>
  <c r="AF887" i="17"/>
  <c r="AE273" i="17"/>
  <c r="AA273" i="17"/>
  <c r="W273" i="17"/>
  <c r="AH273" i="17"/>
  <c r="AD273" i="17"/>
  <c r="Z273" i="17"/>
  <c r="AG273" i="17"/>
  <c r="AC273" i="17"/>
  <c r="Y273" i="17"/>
  <c r="X273" i="17"/>
  <c r="AF273" i="17"/>
  <c r="AB273" i="17"/>
  <c r="C275" i="17"/>
  <c r="AL274" i="17"/>
  <c r="B274" i="17"/>
  <c r="G274" i="17" s="1"/>
  <c r="C890" i="17" l="1"/>
  <c r="AL889" i="17"/>
  <c r="B889" i="17"/>
  <c r="G889" i="17" s="1"/>
  <c r="A890" i="17"/>
  <c r="AE888" i="17"/>
  <c r="AA888" i="17"/>
  <c r="W888" i="17"/>
  <c r="AH888" i="17"/>
  <c r="AD888" i="17"/>
  <c r="Z888" i="17"/>
  <c r="AG888" i="17"/>
  <c r="AC888" i="17"/>
  <c r="Y888" i="17"/>
  <c r="X888" i="17"/>
  <c r="AF888" i="17"/>
  <c r="AB888" i="17"/>
  <c r="B275" i="17"/>
  <c r="G275" i="17" s="1"/>
  <c r="C276" i="17"/>
  <c r="AL275" i="17"/>
  <c r="AH274" i="17"/>
  <c r="AD274" i="17"/>
  <c r="Z274" i="17"/>
  <c r="AG274" i="17"/>
  <c r="AC274" i="17"/>
  <c r="Y274" i="17"/>
  <c r="AF274" i="17"/>
  <c r="AB274" i="17"/>
  <c r="X274" i="17"/>
  <c r="W274" i="17"/>
  <c r="AE274" i="17"/>
  <c r="AA274" i="17"/>
  <c r="C891" i="17" l="1"/>
  <c r="AL890" i="17"/>
  <c r="B890" i="17"/>
  <c r="G890" i="17" s="1"/>
  <c r="A891" i="17"/>
  <c r="AE889" i="17"/>
  <c r="AA889" i="17"/>
  <c r="W889" i="17"/>
  <c r="AH889" i="17"/>
  <c r="AD889" i="17"/>
  <c r="Z889" i="17"/>
  <c r="AG889" i="17"/>
  <c r="AC889" i="17"/>
  <c r="Y889" i="17"/>
  <c r="AF889" i="17"/>
  <c r="AB889" i="17"/>
  <c r="X889" i="17"/>
  <c r="B276" i="17"/>
  <c r="G276" i="17" s="1"/>
  <c r="C277" i="17"/>
  <c r="AL276" i="17"/>
  <c r="AG275" i="17"/>
  <c r="AC275" i="17"/>
  <c r="Y275" i="17"/>
  <c r="AF275" i="17"/>
  <c r="AB275" i="17"/>
  <c r="X275" i="17"/>
  <c r="AE275" i="17"/>
  <c r="AA275" i="17"/>
  <c r="W275" i="17"/>
  <c r="Z275" i="17"/>
  <c r="AH275" i="17"/>
  <c r="AD275" i="17"/>
  <c r="AE890" i="17" l="1"/>
  <c r="AA890" i="17"/>
  <c r="W890" i="17"/>
  <c r="AH890" i="17"/>
  <c r="AD890" i="17"/>
  <c r="Z890" i="17"/>
  <c r="AG890" i="17"/>
  <c r="AC890" i="17"/>
  <c r="Y890" i="17"/>
  <c r="AF890" i="17"/>
  <c r="AB890" i="17"/>
  <c r="X890" i="17"/>
  <c r="C892" i="17"/>
  <c r="AL891" i="17"/>
  <c r="B891" i="17"/>
  <c r="G891" i="17" s="1"/>
  <c r="A892" i="17"/>
  <c r="AF276" i="17"/>
  <c r="AB276" i="17"/>
  <c r="X276" i="17"/>
  <c r="AE276" i="17"/>
  <c r="AA276" i="17"/>
  <c r="W276" i="17"/>
  <c r="AH276" i="17"/>
  <c r="AD276" i="17"/>
  <c r="Z276" i="17"/>
  <c r="AC276" i="17"/>
  <c r="AG276" i="17"/>
  <c r="Y276" i="17"/>
  <c r="C278" i="17"/>
  <c r="AL277" i="17"/>
  <c r="B277" i="17"/>
  <c r="G277" i="17" s="1"/>
  <c r="AE891" i="17" l="1"/>
  <c r="AA891" i="17"/>
  <c r="W891" i="17"/>
  <c r="AH891" i="17"/>
  <c r="AD891" i="17"/>
  <c r="Z891" i="17"/>
  <c r="AG891" i="17"/>
  <c r="AC891" i="17"/>
  <c r="Y891" i="17"/>
  <c r="AB891" i="17"/>
  <c r="X891" i="17"/>
  <c r="AF891" i="17"/>
  <c r="C893" i="17"/>
  <c r="AL892" i="17"/>
  <c r="B892" i="17"/>
  <c r="G892" i="17" s="1"/>
  <c r="A893" i="17"/>
  <c r="AE277" i="17"/>
  <c r="AA277" i="17"/>
  <c r="W277" i="17"/>
  <c r="AH277" i="17"/>
  <c r="AD277" i="17"/>
  <c r="Z277" i="17"/>
  <c r="AG277" i="17"/>
  <c r="AC277" i="17"/>
  <c r="Y277" i="17"/>
  <c r="AB277" i="17"/>
  <c r="AF277" i="17"/>
  <c r="X277" i="17"/>
  <c r="C279" i="17"/>
  <c r="AL278" i="17"/>
  <c r="B278" i="17"/>
  <c r="G278" i="17" s="1"/>
  <c r="C894" i="17" l="1"/>
  <c r="AL893" i="17"/>
  <c r="B893" i="17"/>
  <c r="G893" i="17" s="1"/>
  <c r="A894" i="17"/>
  <c r="AE892" i="17"/>
  <c r="AA892" i="17"/>
  <c r="W892" i="17"/>
  <c r="AH892" i="17"/>
  <c r="AD892" i="17"/>
  <c r="Z892" i="17"/>
  <c r="AG892" i="17"/>
  <c r="AC892" i="17"/>
  <c r="Y892" i="17"/>
  <c r="X892" i="17"/>
  <c r="AF892" i="17"/>
  <c r="AB892" i="17"/>
  <c r="AH278" i="17"/>
  <c r="AD278" i="17"/>
  <c r="Z278" i="17"/>
  <c r="AG278" i="17"/>
  <c r="AC278" i="17"/>
  <c r="Y278" i="17"/>
  <c r="AF278" i="17"/>
  <c r="AB278" i="17"/>
  <c r="X278" i="17"/>
  <c r="AA278" i="17"/>
  <c r="AE278" i="17"/>
  <c r="W278" i="17"/>
  <c r="B279" i="17"/>
  <c r="G279" i="17" s="1"/>
  <c r="AL279" i="17"/>
  <c r="C280" i="17"/>
  <c r="C895" i="17" l="1"/>
  <c r="AL894" i="17"/>
  <c r="B894" i="17"/>
  <c r="G894" i="17" s="1"/>
  <c r="A895" i="17"/>
  <c r="AE893" i="17"/>
  <c r="AA893" i="17"/>
  <c r="W893" i="17"/>
  <c r="AH893" i="17"/>
  <c r="AD893" i="17"/>
  <c r="Z893" i="17"/>
  <c r="AG893" i="17"/>
  <c r="AC893" i="17"/>
  <c r="Y893" i="17"/>
  <c r="AF893" i="17"/>
  <c r="AB893" i="17"/>
  <c r="X893" i="17"/>
  <c r="AG279" i="17"/>
  <c r="AC279" i="17"/>
  <c r="Y279" i="17"/>
  <c r="AF279" i="17"/>
  <c r="AB279" i="17"/>
  <c r="X279" i="17"/>
  <c r="AE279" i="17"/>
  <c r="AA279" i="17"/>
  <c r="W279" i="17"/>
  <c r="AD279" i="17"/>
  <c r="Z279" i="17"/>
  <c r="AH279" i="17"/>
  <c r="B280" i="17"/>
  <c r="G280" i="17" s="1"/>
  <c r="C281" i="17"/>
  <c r="AL280" i="17"/>
  <c r="C896" i="17" l="1"/>
  <c r="AL895" i="17"/>
  <c r="B895" i="17"/>
  <c r="G895" i="17" s="1"/>
  <c r="A896" i="17"/>
  <c r="AE894" i="17"/>
  <c r="AA894" i="17"/>
  <c r="W894" i="17"/>
  <c r="AH894" i="17"/>
  <c r="AD894" i="17"/>
  <c r="Z894" i="17"/>
  <c r="AG894" i="17"/>
  <c r="AC894" i="17"/>
  <c r="Y894" i="17"/>
  <c r="AF894" i="17"/>
  <c r="AB894" i="17"/>
  <c r="X894" i="17"/>
  <c r="C282" i="17"/>
  <c r="AL281" i="17"/>
  <c r="B281" i="17"/>
  <c r="G281" i="17" s="1"/>
  <c r="AF280" i="17"/>
  <c r="AB280" i="17"/>
  <c r="X280" i="17"/>
  <c r="AE280" i="17"/>
  <c r="AA280" i="17"/>
  <c r="W280" i="17"/>
  <c r="AH280" i="17"/>
  <c r="AD280" i="17"/>
  <c r="Z280" i="17"/>
  <c r="AG280" i="17"/>
  <c r="Y280" i="17"/>
  <c r="AC280" i="17"/>
  <c r="AE895" i="17" l="1"/>
  <c r="AA895" i="17"/>
  <c r="W895" i="17"/>
  <c r="AH895" i="17"/>
  <c r="AD895" i="17"/>
  <c r="Z895" i="17"/>
  <c r="AG895" i="17"/>
  <c r="AC895" i="17"/>
  <c r="Y895" i="17"/>
  <c r="AB895" i="17"/>
  <c r="X895" i="17"/>
  <c r="AF895" i="17"/>
  <c r="C897" i="17"/>
  <c r="AL896" i="17"/>
  <c r="B896" i="17"/>
  <c r="G896" i="17" s="1"/>
  <c r="A897" i="17"/>
  <c r="AE281" i="17"/>
  <c r="AA281" i="17"/>
  <c r="W281" i="17"/>
  <c r="AH281" i="17"/>
  <c r="AD281" i="17"/>
  <c r="Z281" i="17"/>
  <c r="AG281" i="17"/>
  <c r="AC281" i="17"/>
  <c r="Y281" i="17"/>
  <c r="AF281" i="17"/>
  <c r="X281" i="17"/>
  <c r="AB281" i="17"/>
  <c r="C283" i="17"/>
  <c r="AL282" i="17"/>
  <c r="B282" i="17"/>
  <c r="G282" i="17" s="1"/>
  <c r="C898" i="17" l="1"/>
  <c r="AL897" i="17"/>
  <c r="B897" i="17"/>
  <c r="G897" i="17" s="1"/>
  <c r="A898" i="17"/>
  <c r="AE896" i="17"/>
  <c r="AA896" i="17"/>
  <c r="W896" i="17"/>
  <c r="AH896" i="17"/>
  <c r="AD896" i="17"/>
  <c r="Z896" i="17"/>
  <c r="AG896" i="17"/>
  <c r="AC896" i="17"/>
  <c r="Y896" i="17"/>
  <c r="X896" i="17"/>
  <c r="AF896" i="17"/>
  <c r="AB896" i="17"/>
  <c r="AH282" i="17"/>
  <c r="AD282" i="17"/>
  <c r="Z282" i="17"/>
  <c r="AG282" i="17"/>
  <c r="AC282" i="17"/>
  <c r="Y282" i="17"/>
  <c r="AF282" i="17"/>
  <c r="AB282" i="17"/>
  <c r="X282" i="17"/>
  <c r="AE282" i="17"/>
  <c r="W282" i="17"/>
  <c r="AA282" i="17"/>
  <c r="B283" i="17"/>
  <c r="G283" i="17" s="1"/>
  <c r="C284" i="17"/>
  <c r="AL283" i="17"/>
  <c r="C899" i="17" l="1"/>
  <c r="AL898" i="17"/>
  <c r="B898" i="17"/>
  <c r="G898" i="17" s="1"/>
  <c r="A899" i="17"/>
  <c r="AE897" i="17"/>
  <c r="AA897" i="17"/>
  <c r="W897" i="17"/>
  <c r="AH897" i="17"/>
  <c r="AD897" i="17"/>
  <c r="Z897" i="17"/>
  <c r="AG897" i="17"/>
  <c r="AC897" i="17"/>
  <c r="Y897" i="17"/>
  <c r="AF897" i="17"/>
  <c r="AB897" i="17"/>
  <c r="X897" i="17"/>
  <c r="B284" i="17"/>
  <c r="G284" i="17" s="1"/>
  <c r="C285" i="17"/>
  <c r="AL284" i="17"/>
  <c r="AG283" i="17"/>
  <c r="AC283" i="17"/>
  <c r="Y283" i="17"/>
  <c r="AF283" i="17"/>
  <c r="AB283" i="17"/>
  <c r="X283" i="17"/>
  <c r="AE283" i="17"/>
  <c r="AA283" i="17"/>
  <c r="W283" i="17"/>
  <c r="AH283" i="17"/>
  <c r="Z283" i="17"/>
  <c r="AD283" i="17"/>
  <c r="C900" i="17" l="1"/>
  <c r="AL899" i="17"/>
  <c r="B899" i="17"/>
  <c r="G899" i="17" s="1"/>
  <c r="A900" i="17"/>
  <c r="AE898" i="17"/>
  <c r="AA898" i="17"/>
  <c r="W898" i="17"/>
  <c r="AH898" i="17"/>
  <c r="AD898" i="17"/>
  <c r="Z898" i="17"/>
  <c r="AG898" i="17"/>
  <c r="AC898" i="17"/>
  <c r="Y898" i="17"/>
  <c r="AF898" i="17"/>
  <c r="AB898" i="17"/>
  <c r="X898" i="17"/>
  <c r="C286" i="17"/>
  <c r="AL285" i="17"/>
  <c r="B285" i="17"/>
  <c r="G285" i="17" s="1"/>
  <c r="AF284" i="17"/>
  <c r="AB284" i="17"/>
  <c r="X284" i="17"/>
  <c r="AE284" i="17"/>
  <c r="AA284" i="17"/>
  <c r="W284" i="17"/>
  <c r="AH284" i="17"/>
  <c r="AD284" i="17"/>
  <c r="Z284" i="17"/>
  <c r="AC284" i="17"/>
  <c r="AG284" i="17"/>
  <c r="Y284" i="17"/>
  <c r="C901" i="17" l="1"/>
  <c r="AL900" i="17"/>
  <c r="B900" i="17"/>
  <c r="G900" i="17" s="1"/>
  <c r="A901" i="17"/>
  <c r="AE899" i="17"/>
  <c r="AA899" i="17"/>
  <c r="W899" i="17"/>
  <c r="AH899" i="17"/>
  <c r="AD899" i="17"/>
  <c r="Z899" i="17"/>
  <c r="AG899" i="17"/>
  <c r="AC899" i="17"/>
  <c r="Y899" i="17"/>
  <c r="AB899" i="17"/>
  <c r="X899" i="17"/>
  <c r="AF899" i="17"/>
  <c r="AE285" i="17"/>
  <c r="AA285" i="17"/>
  <c r="W285" i="17"/>
  <c r="AH285" i="17"/>
  <c r="AD285" i="17"/>
  <c r="Z285" i="17"/>
  <c r="AG285" i="17"/>
  <c r="AC285" i="17"/>
  <c r="Y285" i="17"/>
  <c r="AB285" i="17"/>
  <c r="AF285" i="17"/>
  <c r="X285" i="17"/>
  <c r="C287" i="17"/>
  <c r="AL286" i="17"/>
  <c r="B286" i="17"/>
  <c r="G286" i="17" s="1"/>
  <c r="C902" i="17" l="1"/>
  <c r="AL901" i="17"/>
  <c r="B901" i="17"/>
  <c r="G901" i="17" s="1"/>
  <c r="A902" i="17"/>
  <c r="AE900" i="17"/>
  <c r="AA900" i="17"/>
  <c r="W900" i="17"/>
  <c r="AH900" i="17"/>
  <c r="AD900" i="17"/>
  <c r="Z900" i="17"/>
  <c r="AG900" i="17"/>
  <c r="AC900" i="17"/>
  <c r="Y900" i="17"/>
  <c r="X900" i="17"/>
  <c r="AF900" i="17"/>
  <c r="AB900" i="17"/>
  <c r="AH286" i="17"/>
  <c r="AD286" i="17"/>
  <c r="Z286" i="17"/>
  <c r="AG286" i="17"/>
  <c r="AC286" i="17"/>
  <c r="Y286" i="17"/>
  <c r="AF286" i="17"/>
  <c r="AB286" i="17"/>
  <c r="X286" i="17"/>
  <c r="AA286" i="17"/>
  <c r="AE286" i="17"/>
  <c r="W286" i="17"/>
  <c r="B287" i="17"/>
  <c r="G287" i="17" s="1"/>
  <c r="AL287" i="17"/>
  <c r="C288" i="17"/>
  <c r="C903" i="17" l="1"/>
  <c r="AL902" i="17"/>
  <c r="B902" i="17"/>
  <c r="G902" i="17" s="1"/>
  <c r="A903" i="17"/>
  <c r="AE901" i="17"/>
  <c r="AA901" i="17"/>
  <c r="W901" i="17"/>
  <c r="AH901" i="17"/>
  <c r="AD901" i="17"/>
  <c r="Z901" i="17"/>
  <c r="AG901" i="17"/>
  <c r="AC901" i="17"/>
  <c r="Y901" i="17"/>
  <c r="AF901" i="17"/>
  <c r="AB901" i="17"/>
  <c r="X901" i="17"/>
  <c r="B288" i="17"/>
  <c r="G288" i="17" s="1"/>
  <c r="C289" i="17"/>
  <c r="AL288" i="17"/>
  <c r="AG287" i="17"/>
  <c r="AC287" i="17"/>
  <c r="Y287" i="17"/>
  <c r="AF287" i="17"/>
  <c r="AB287" i="17"/>
  <c r="X287" i="17"/>
  <c r="AE287" i="17"/>
  <c r="AA287" i="17"/>
  <c r="W287" i="17"/>
  <c r="AD287" i="17"/>
  <c r="AH287" i="17"/>
  <c r="Z287" i="17"/>
  <c r="C904" i="17" l="1"/>
  <c r="AL903" i="17"/>
  <c r="B903" i="17"/>
  <c r="G903" i="17" s="1"/>
  <c r="A904" i="17"/>
  <c r="AE902" i="17"/>
  <c r="AA902" i="17"/>
  <c r="W902" i="17"/>
  <c r="AH902" i="17"/>
  <c r="AD902" i="17"/>
  <c r="Z902" i="17"/>
  <c r="AG902" i="17"/>
  <c r="AC902" i="17"/>
  <c r="Y902" i="17"/>
  <c r="AF902" i="17"/>
  <c r="AB902" i="17"/>
  <c r="X902" i="17"/>
  <c r="C290" i="17"/>
  <c r="AL289" i="17"/>
  <c r="B289" i="17"/>
  <c r="G289" i="17" s="1"/>
  <c r="AF288" i="17"/>
  <c r="AB288" i="17"/>
  <c r="X288" i="17"/>
  <c r="AE288" i="17"/>
  <c r="AA288" i="17"/>
  <c r="W288" i="17"/>
  <c r="AH288" i="17"/>
  <c r="AD288" i="17"/>
  <c r="Z288" i="17"/>
  <c r="Y288" i="17"/>
  <c r="AG288" i="17"/>
  <c r="AC288" i="17"/>
  <c r="C905" i="17" l="1"/>
  <c r="AL904" i="17"/>
  <c r="B904" i="17"/>
  <c r="G904" i="17" s="1"/>
  <c r="A905" i="17"/>
  <c r="AE903" i="17"/>
  <c r="AA903" i="17"/>
  <c r="W903" i="17"/>
  <c r="AH903" i="17"/>
  <c r="AD903" i="17"/>
  <c r="Z903" i="17"/>
  <c r="AG903" i="17"/>
  <c r="AC903" i="17"/>
  <c r="Y903" i="17"/>
  <c r="AB903" i="17"/>
  <c r="X903" i="17"/>
  <c r="AF903" i="17"/>
  <c r="AE289" i="17"/>
  <c r="AA289" i="17"/>
  <c r="W289" i="17"/>
  <c r="AH289" i="17"/>
  <c r="AD289" i="17"/>
  <c r="Z289" i="17"/>
  <c r="AG289" i="17"/>
  <c r="AC289" i="17"/>
  <c r="Y289" i="17"/>
  <c r="X289" i="17"/>
  <c r="AF289" i="17"/>
  <c r="AB289" i="17"/>
  <c r="C291" i="17"/>
  <c r="AL290" i="17"/>
  <c r="B290" i="17"/>
  <c r="G290" i="17" s="1"/>
  <c r="C906" i="17" l="1"/>
  <c r="AL905" i="17"/>
  <c r="B905" i="17"/>
  <c r="G905" i="17" s="1"/>
  <c r="A906" i="17"/>
  <c r="AE904" i="17"/>
  <c r="AA904" i="17"/>
  <c r="W904" i="17"/>
  <c r="AH904" i="17"/>
  <c r="AD904" i="17"/>
  <c r="Z904" i="17"/>
  <c r="AG904" i="17"/>
  <c r="AC904" i="17"/>
  <c r="Y904" i="17"/>
  <c r="X904" i="17"/>
  <c r="AF904" i="17"/>
  <c r="AB904" i="17"/>
  <c r="B291" i="17"/>
  <c r="G291" i="17" s="1"/>
  <c r="C292" i="17"/>
  <c r="AL291" i="17"/>
  <c r="AH290" i="17"/>
  <c r="AD290" i="17"/>
  <c r="Z290" i="17"/>
  <c r="AG290" i="17"/>
  <c r="AC290" i="17"/>
  <c r="Y290" i="17"/>
  <c r="AF290" i="17"/>
  <c r="AB290" i="17"/>
  <c r="X290" i="17"/>
  <c r="W290" i="17"/>
  <c r="AE290" i="17"/>
  <c r="AA290" i="17"/>
  <c r="C907" i="17" l="1"/>
  <c r="AL906" i="17"/>
  <c r="B906" i="17"/>
  <c r="G906" i="17" s="1"/>
  <c r="A907" i="17"/>
  <c r="AE905" i="17"/>
  <c r="AA905" i="17"/>
  <c r="W905" i="17"/>
  <c r="AH905" i="17"/>
  <c r="AD905" i="17"/>
  <c r="Z905" i="17"/>
  <c r="AG905" i="17"/>
  <c r="AC905" i="17"/>
  <c r="Y905" i="17"/>
  <c r="AF905" i="17"/>
  <c r="AB905" i="17"/>
  <c r="X905" i="17"/>
  <c r="AG291" i="17"/>
  <c r="AC291" i="17"/>
  <c r="Y291" i="17"/>
  <c r="AF291" i="17"/>
  <c r="AB291" i="17"/>
  <c r="X291" i="17"/>
  <c r="AE291" i="17"/>
  <c r="AA291" i="17"/>
  <c r="W291" i="17"/>
  <c r="Z291" i="17"/>
  <c r="AH291" i="17"/>
  <c r="AD291" i="17"/>
  <c r="B292" i="17"/>
  <c r="G292" i="17" s="1"/>
  <c r="C293" i="17"/>
  <c r="AL292" i="17"/>
  <c r="C908" i="17" l="1"/>
  <c r="AL907" i="17"/>
  <c r="B907" i="17"/>
  <c r="G907" i="17" s="1"/>
  <c r="A908" i="17"/>
  <c r="AE906" i="17"/>
  <c r="AA906" i="17"/>
  <c r="W906" i="17"/>
  <c r="AH906" i="17"/>
  <c r="AD906" i="17"/>
  <c r="Z906" i="17"/>
  <c r="AG906" i="17"/>
  <c r="AC906" i="17"/>
  <c r="Y906" i="17"/>
  <c r="AF906" i="17"/>
  <c r="AB906" i="17"/>
  <c r="X906" i="17"/>
  <c r="C294" i="17"/>
  <c r="AL293" i="17"/>
  <c r="B293" i="17"/>
  <c r="G293" i="17" s="1"/>
  <c r="AF292" i="17"/>
  <c r="AB292" i="17"/>
  <c r="X292" i="17"/>
  <c r="AE292" i="17"/>
  <c r="AA292" i="17"/>
  <c r="W292" i="17"/>
  <c r="AH292" i="17"/>
  <c r="AD292" i="17"/>
  <c r="Z292" i="17"/>
  <c r="AC292" i="17"/>
  <c r="AG292" i="17"/>
  <c r="Y292" i="17"/>
  <c r="C909" i="17" l="1"/>
  <c r="AL908" i="17"/>
  <c r="B908" i="17"/>
  <c r="G908" i="17" s="1"/>
  <c r="A909" i="17"/>
  <c r="AE907" i="17"/>
  <c r="AA907" i="17"/>
  <c r="W907" i="17"/>
  <c r="AH907" i="17"/>
  <c r="AD907" i="17"/>
  <c r="Z907" i="17"/>
  <c r="AG907" i="17"/>
  <c r="AC907" i="17"/>
  <c r="Y907" i="17"/>
  <c r="AB907" i="17"/>
  <c r="X907" i="17"/>
  <c r="AF907" i="17"/>
  <c r="AE293" i="17"/>
  <c r="AA293" i="17"/>
  <c r="W293" i="17"/>
  <c r="AH293" i="17"/>
  <c r="AD293" i="17"/>
  <c r="Z293" i="17"/>
  <c r="AG293" i="17"/>
  <c r="AC293" i="17"/>
  <c r="Y293" i="17"/>
  <c r="AB293" i="17"/>
  <c r="AF293" i="17"/>
  <c r="X293" i="17"/>
  <c r="C295" i="17"/>
  <c r="AL294" i="17"/>
  <c r="B294" i="17"/>
  <c r="G294" i="17" s="1"/>
  <c r="C910" i="17" l="1"/>
  <c r="AL909" i="17"/>
  <c r="B909" i="17"/>
  <c r="G909" i="17" s="1"/>
  <c r="A910" i="17"/>
  <c r="AE908" i="17"/>
  <c r="AA908" i="17"/>
  <c r="W908" i="17"/>
  <c r="AH908" i="17"/>
  <c r="AD908" i="17"/>
  <c r="Z908" i="17"/>
  <c r="AG908" i="17"/>
  <c r="AC908" i="17"/>
  <c r="Y908" i="17"/>
  <c r="X908" i="17"/>
  <c r="AF908" i="17"/>
  <c r="AB908" i="17"/>
  <c r="AH294" i="17"/>
  <c r="AD294" i="17"/>
  <c r="Z294" i="17"/>
  <c r="AG294" i="17"/>
  <c r="AC294" i="17"/>
  <c r="Y294" i="17"/>
  <c r="AF294" i="17"/>
  <c r="AB294" i="17"/>
  <c r="X294" i="17"/>
  <c r="AA294" i="17"/>
  <c r="AE294" i="17"/>
  <c r="W294" i="17"/>
  <c r="B295" i="17"/>
  <c r="G295" i="17" s="1"/>
  <c r="AL295" i="17"/>
  <c r="C296" i="17"/>
  <c r="C911" i="17" l="1"/>
  <c r="AL910" i="17"/>
  <c r="B910" i="17"/>
  <c r="G910" i="17" s="1"/>
  <c r="A911" i="17"/>
  <c r="AE909" i="17"/>
  <c r="AA909" i="17"/>
  <c r="W909" i="17"/>
  <c r="AH909" i="17"/>
  <c r="AD909" i="17"/>
  <c r="Z909" i="17"/>
  <c r="AG909" i="17"/>
  <c r="AC909" i="17"/>
  <c r="Y909" i="17"/>
  <c r="AF909" i="17"/>
  <c r="AB909" i="17"/>
  <c r="X909" i="17"/>
  <c r="B296" i="17"/>
  <c r="G296" i="17" s="1"/>
  <c r="C297" i="17"/>
  <c r="AL296" i="17"/>
  <c r="AG295" i="17"/>
  <c r="AC295" i="17"/>
  <c r="Y295" i="17"/>
  <c r="AF295" i="17"/>
  <c r="AB295" i="17"/>
  <c r="X295" i="17"/>
  <c r="AE295" i="17"/>
  <c r="AA295" i="17"/>
  <c r="W295" i="17"/>
  <c r="AD295" i="17"/>
  <c r="AH295" i="17"/>
  <c r="Z295" i="17"/>
  <c r="C912" i="17" l="1"/>
  <c r="AL911" i="17"/>
  <c r="B911" i="17"/>
  <c r="G911" i="17" s="1"/>
  <c r="A912" i="17"/>
  <c r="AE910" i="17"/>
  <c r="AA910" i="17"/>
  <c r="W910" i="17"/>
  <c r="AH910" i="17"/>
  <c r="AD910" i="17"/>
  <c r="Z910" i="17"/>
  <c r="AG910" i="17"/>
  <c r="AC910" i="17"/>
  <c r="Y910" i="17"/>
  <c r="AF910" i="17"/>
  <c r="AB910" i="17"/>
  <c r="X910" i="17"/>
  <c r="C298" i="17"/>
  <c r="AL297" i="17"/>
  <c r="B297" i="17"/>
  <c r="G297" i="17" s="1"/>
  <c r="AF296" i="17"/>
  <c r="AB296" i="17"/>
  <c r="X296" i="17"/>
  <c r="AE296" i="17"/>
  <c r="AA296" i="17"/>
  <c r="W296" i="17"/>
  <c r="AH296" i="17"/>
  <c r="AD296" i="17"/>
  <c r="Z296" i="17"/>
  <c r="AG296" i="17"/>
  <c r="Y296" i="17"/>
  <c r="AC296" i="17"/>
  <c r="C913" i="17" l="1"/>
  <c r="AL912" i="17"/>
  <c r="B912" i="17"/>
  <c r="G912" i="17" s="1"/>
  <c r="A913" i="17"/>
  <c r="AE911" i="17"/>
  <c r="AA911" i="17"/>
  <c r="W911" i="17"/>
  <c r="AH911" i="17"/>
  <c r="AD911" i="17"/>
  <c r="Z911" i="17"/>
  <c r="AG911" i="17"/>
  <c r="AC911" i="17"/>
  <c r="Y911" i="17"/>
  <c r="AB911" i="17"/>
  <c r="X911" i="17"/>
  <c r="AF911" i="17"/>
  <c r="AE297" i="17"/>
  <c r="AA297" i="17"/>
  <c r="W297" i="17"/>
  <c r="AH297" i="17"/>
  <c r="AD297" i="17"/>
  <c r="Z297" i="17"/>
  <c r="AG297" i="17"/>
  <c r="AC297" i="17"/>
  <c r="Y297" i="17"/>
  <c r="AF297" i="17"/>
  <c r="X297" i="17"/>
  <c r="AB297" i="17"/>
  <c r="C299" i="17"/>
  <c r="AL298" i="17"/>
  <c r="B298" i="17"/>
  <c r="G298" i="17" s="1"/>
  <c r="C914" i="17" l="1"/>
  <c r="AL913" i="17"/>
  <c r="B913" i="17"/>
  <c r="G913" i="17" s="1"/>
  <c r="A914" i="17"/>
  <c r="AE912" i="17"/>
  <c r="AA912" i="17"/>
  <c r="W912" i="17"/>
  <c r="AH912" i="17"/>
  <c r="AD912" i="17"/>
  <c r="Z912" i="17"/>
  <c r="AG912" i="17"/>
  <c r="AC912" i="17"/>
  <c r="Y912" i="17"/>
  <c r="X912" i="17"/>
  <c r="AF912" i="17"/>
  <c r="AB912" i="17"/>
  <c r="AH298" i="17"/>
  <c r="AD298" i="17"/>
  <c r="Z298" i="17"/>
  <c r="AG298" i="17"/>
  <c r="AC298" i="17"/>
  <c r="Y298" i="17"/>
  <c r="AF298" i="17"/>
  <c r="AB298" i="17"/>
  <c r="X298" i="17"/>
  <c r="AE298" i="17"/>
  <c r="W298" i="17"/>
  <c r="AA298" i="17"/>
  <c r="B299" i="17"/>
  <c r="G299" i="17" s="1"/>
  <c r="C300" i="17"/>
  <c r="AL299" i="17"/>
  <c r="C915" i="17" l="1"/>
  <c r="AL914" i="17"/>
  <c r="B914" i="17"/>
  <c r="G914" i="17" s="1"/>
  <c r="A915" i="17"/>
  <c r="AE913" i="17"/>
  <c r="AA913" i="17"/>
  <c r="W913" i="17"/>
  <c r="AH913" i="17"/>
  <c r="AD913" i="17"/>
  <c r="Z913" i="17"/>
  <c r="AG913" i="17"/>
  <c r="AC913" i="17"/>
  <c r="Y913" i="17"/>
  <c r="AF913" i="17"/>
  <c r="AB913" i="17"/>
  <c r="X913" i="17"/>
  <c r="B300" i="17"/>
  <c r="G300" i="17" s="1"/>
  <c r="C301" i="17"/>
  <c r="AL300" i="17"/>
  <c r="AG299" i="17"/>
  <c r="AC299" i="17"/>
  <c r="Y299" i="17"/>
  <c r="AF299" i="17"/>
  <c r="AB299" i="17"/>
  <c r="X299" i="17"/>
  <c r="AE299" i="17"/>
  <c r="AA299" i="17"/>
  <c r="W299" i="17"/>
  <c r="AH299" i="17"/>
  <c r="Z299" i="17"/>
  <c r="AD299" i="17"/>
  <c r="C916" i="17" l="1"/>
  <c r="AL915" i="17"/>
  <c r="B915" i="17"/>
  <c r="G915" i="17" s="1"/>
  <c r="A916" i="17"/>
  <c r="AE914" i="17"/>
  <c r="AA914" i="17"/>
  <c r="W914" i="17"/>
  <c r="AH914" i="17"/>
  <c r="AD914" i="17"/>
  <c r="Z914" i="17"/>
  <c r="AG914" i="17"/>
  <c r="AC914" i="17"/>
  <c r="Y914" i="17"/>
  <c r="AF914" i="17"/>
  <c r="AB914" i="17"/>
  <c r="X914" i="17"/>
  <c r="C302" i="17"/>
  <c r="AL301" i="17"/>
  <c r="B301" i="17"/>
  <c r="G301" i="17" s="1"/>
  <c r="AF300" i="17"/>
  <c r="AB300" i="17"/>
  <c r="X300" i="17"/>
  <c r="AE300" i="17"/>
  <c r="AA300" i="17"/>
  <c r="W300" i="17"/>
  <c r="AH300" i="17"/>
  <c r="AD300" i="17"/>
  <c r="Z300" i="17"/>
  <c r="AC300" i="17"/>
  <c r="Y300" i="17"/>
  <c r="AG300" i="17"/>
  <c r="C917" i="17" l="1"/>
  <c r="AL916" i="17"/>
  <c r="B916" i="17"/>
  <c r="G916" i="17" s="1"/>
  <c r="A917" i="17"/>
  <c r="AE915" i="17"/>
  <c r="AA915" i="17"/>
  <c r="W915" i="17"/>
  <c r="AH915" i="17"/>
  <c r="AD915" i="17"/>
  <c r="Z915" i="17"/>
  <c r="AG915" i="17"/>
  <c r="AC915" i="17"/>
  <c r="Y915" i="17"/>
  <c r="AB915" i="17"/>
  <c r="X915" i="17"/>
  <c r="AF915" i="17"/>
  <c r="AE301" i="17"/>
  <c r="AA301" i="17"/>
  <c r="W301" i="17"/>
  <c r="AH301" i="17"/>
  <c r="AD301" i="17"/>
  <c r="Z301" i="17"/>
  <c r="AG301" i="17"/>
  <c r="AC301" i="17"/>
  <c r="Y301" i="17"/>
  <c r="AB301" i="17"/>
  <c r="X301" i="17"/>
  <c r="AF301" i="17"/>
  <c r="C303" i="17"/>
  <c r="AL302" i="17"/>
  <c r="B302" i="17"/>
  <c r="G302" i="17" s="1"/>
  <c r="C918" i="17" l="1"/>
  <c r="AL917" i="17"/>
  <c r="B917" i="17"/>
  <c r="G917" i="17" s="1"/>
  <c r="A918" i="17"/>
  <c r="AE916" i="17"/>
  <c r="AA916" i="17"/>
  <c r="W916" i="17"/>
  <c r="AH916" i="17"/>
  <c r="AD916" i="17"/>
  <c r="Z916" i="17"/>
  <c r="AG916" i="17"/>
  <c r="AC916" i="17"/>
  <c r="Y916" i="17"/>
  <c r="X916" i="17"/>
  <c r="AF916" i="17"/>
  <c r="AB916" i="17"/>
  <c r="AH302" i="17"/>
  <c r="AD302" i="17"/>
  <c r="Z302" i="17"/>
  <c r="AG302" i="17"/>
  <c r="AC302" i="17"/>
  <c r="Y302" i="17"/>
  <c r="AF302" i="17"/>
  <c r="AB302" i="17"/>
  <c r="X302" i="17"/>
  <c r="AA302" i="17"/>
  <c r="W302" i="17"/>
  <c r="AE302" i="17"/>
  <c r="B303" i="17"/>
  <c r="G303" i="17" s="1"/>
  <c r="AL303" i="17"/>
  <c r="C304" i="17"/>
  <c r="AE917" i="17" l="1"/>
  <c r="AA917" i="17"/>
  <c r="W917" i="17"/>
  <c r="AH917" i="17"/>
  <c r="AD917" i="17"/>
  <c r="Z917" i="17"/>
  <c r="AG917" i="17"/>
  <c r="AC917" i="17"/>
  <c r="Y917" i="17"/>
  <c r="AF917" i="17"/>
  <c r="AB917" i="17"/>
  <c r="X917" i="17"/>
  <c r="C919" i="17"/>
  <c r="AL918" i="17"/>
  <c r="B918" i="17"/>
  <c r="G918" i="17" s="1"/>
  <c r="A919" i="17"/>
  <c r="B304" i="17"/>
  <c r="G304" i="17" s="1"/>
  <c r="C305" i="17"/>
  <c r="AL304" i="17"/>
  <c r="AG303" i="17"/>
  <c r="AC303" i="17"/>
  <c r="Y303" i="17"/>
  <c r="AF303" i="17"/>
  <c r="AB303" i="17"/>
  <c r="X303" i="17"/>
  <c r="AE303" i="17"/>
  <c r="AA303" i="17"/>
  <c r="W303" i="17"/>
  <c r="AD303" i="17"/>
  <c r="AH303" i="17"/>
  <c r="Z303" i="17"/>
  <c r="C920" i="17" l="1"/>
  <c r="AL919" i="17"/>
  <c r="B919" i="17"/>
  <c r="G919" i="17" s="1"/>
  <c r="A920" i="17"/>
  <c r="AE918" i="17"/>
  <c r="AA918" i="17"/>
  <c r="W918" i="17"/>
  <c r="AH918" i="17"/>
  <c r="AD918" i="17"/>
  <c r="Z918" i="17"/>
  <c r="AG918" i="17"/>
  <c r="AC918" i="17"/>
  <c r="Y918" i="17"/>
  <c r="AF918" i="17"/>
  <c r="AB918" i="17"/>
  <c r="X918" i="17"/>
  <c r="C306" i="17"/>
  <c r="AL305" i="17"/>
  <c r="B305" i="17"/>
  <c r="G305" i="17" s="1"/>
  <c r="AF304" i="17"/>
  <c r="AB304" i="17"/>
  <c r="X304" i="17"/>
  <c r="AE304" i="17"/>
  <c r="AA304" i="17"/>
  <c r="W304" i="17"/>
  <c r="AH304" i="17"/>
  <c r="AD304" i="17"/>
  <c r="Z304" i="17"/>
  <c r="Y304" i="17"/>
  <c r="AG304" i="17"/>
  <c r="AC304" i="17"/>
  <c r="C921" i="17" l="1"/>
  <c r="AL920" i="17"/>
  <c r="B920" i="17"/>
  <c r="G920" i="17" s="1"/>
  <c r="A921" i="17"/>
  <c r="AE919" i="17"/>
  <c r="AA919" i="17"/>
  <c r="W919" i="17"/>
  <c r="AH919" i="17"/>
  <c r="AD919" i="17"/>
  <c r="Z919" i="17"/>
  <c r="AG919" i="17"/>
  <c r="AC919" i="17"/>
  <c r="Y919" i="17"/>
  <c r="AB919" i="17"/>
  <c r="X919" i="17"/>
  <c r="AF919" i="17"/>
  <c r="AE305" i="17"/>
  <c r="AA305" i="17"/>
  <c r="W305" i="17"/>
  <c r="AH305" i="17"/>
  <c r="AD305" i="17"/>
  <c r="Z305" i="17"/>
  <c r="AG305" i="17"/>
  <c r="AC305" i="17"/>
  <c r="Y305" i="17"/>
  <c r="X305" i="17"/>
  <c r="AF305" i="17"/>
  <c r="AB305" i="17"/>
  <c r="C307" i="17"/>
  <c r="AL306" i="17"/>
  <c r="B306" i="17"/>
  <c r="G306" i="17" s="1"/>
  <c r="C922" i="17" l="1"/>
  <c r="AL921" i="17"/>
  <c r="B921" i="17"/>
  <c r="G921" i="17" s="1"/>
  <c r="A922" i="17"/>
  <c r="AE920" i="17"/>
  <c r="AA920" i="17"/>
  <c r="W920" i="17"/>
  <c r="AH920" i="17"/>
  <c r="AD920" i="17"/>
  <c r="Z920" i="17"/>
  <c r="AG920" i="17"/>
  <c r="AC920" i="17"/>
  <c r="Y920" i="17"/>
  <c r="X920" i="17"/>
  <c r="AF920" i="17"/>
  <c r="AB920" i="17"/>
  <c r="AH306" i="17"/>
  <c r="AD306" i="17"/>
  <c r="Z306" i="17"/>
  <c r="AG306" i="17"/>
  <c r="AC306" i="17"/>
  <c r="Y306" i="17"/>
  <c r="AF306" i="17"/>
  <c r="AB306" i="17"/>
  <c r="X306" i="17"/>
  <c r="W306" i="17"/>
  <c r="AE306" i="17"/>
  <c r="AA306" i="17"/>
  <c r="B307" i="17"/>
  <c r="G307" i="17" s="1"/>
  <c r="C308" i="17"/>
  <c r="AL307" i="17"/>
  <c r="C923" i="17" l="1"/>
  <c r="AL922" i="17"/>
  <c r="B922" i="17"/>
  <c r="G922" i="17" s="1"/>
  <c r="A923" i="17"/>
  <c r="AE921" i="17"/>
  <c r="AA921" i="17"/>
  <c r="W921" i="17"/>
  <c r="AH921" i="17"/>
  <c r="AD921" i="17"/>
  <c r="Z921" i="17"/>
  <c r="AG921" i="17"/>
  <c r="AC921" i="17"/>
  <c r="Y921" i="17"/>
  <c r="AF921" i="17"/>
  <c r="AB921" i="17"/>
  <c r="X921" i="17"/>
  <c r="B308" i="17"/>
  <c r="G308" i="17" s="1"/>
  <c r="C309" i="17"/>
  <c r="AL308" i="17"/>
  <c r="AG307" i="17"/>
  <c r="AC307" i="17"/>
  <c r="Y307" i="17"/>
  <c r="AF307" i="17"/>
  <c r="AB307" i="17"/>
  <c r="X307" i="17"/>
  <c r="AE307" i="17"/>
  <c r="AA307" i="17"/>
  <c r="W307" i="17"/>
  <c r="Z307" i="17"/>
  <c r="AH307" i="17"/>
  <c r="AD307" i="17"/>
  <c r="C924" i="17" l="1"/>
  <c r="AL923" i="17"/>
  <c r="B923" i="17"/>
  <c r="G923" i="17" s="1"/>
  <c r="A924" i="17"/>
  <c r="AE922" i="17"/>
  <c r="AA922" i="17"/>
  <c r="W922" i="17"/>
  <c r="AH922" i="17"/>
  <c r="AD922" i="17"/>
  <c r="Z922" i="17"/>
  <c r="AG922" i="17"/>
  <c r="AC922" i="17"/>
  <c r="Y922" i="17"/>
  <c r="AF922" i="17"/>
  <c r="AB922" i="17"/>
  <c r="X922" i="17"/>
  <c r="C310" i="17"/>
  <c r="AL309" i="17"/>
  <c r="B309" i="17"/>
  <c r="G309" i="17" s="1"/>
  <c r="AF308" i="17"/>
  <c r="AB308" i="17"/>
  <c r="X308" i="17"/>
  <c r="AE308" i="17"/>
  <c r="AA308" i="17"/>
  <c r="W308" i="17"/>
  <c r="AH308" i="17"/>
  <c r="AD308" i="17"/>
  <c r="Z308" i="17"/>
  <c r="AC308" i="17"/>
  <c r="AG308" i="17"/>
  <c r="Y308" i="17"/>
  <c r="C925" i="17" l="1"/>
  <c r="AL924" i="17"/>
  <c r="B924" i="17"/>
  <c r="G924" i="17" s="1"/>
  <c r="A925" i="17"/>
  <c r="AE923" i="17"/>
  <c r="AA923" i="17"/>
  <c r="W923" i="17"/>
  <c r="AH923" i="17"/>
  <c r="AD923" i="17"/>
  <c r="Z923" i="17"/>
  <c r="AG923" i="17"/>
  <c r="AC923" i="17"/>
  <c r="Y923" i="17"/>
  <c r="AB923" i="17"/>
  <c r="X923" i="17"/>
  <c r="AF923" i="17"/>
  <c r="AE309" i="17"/>
  <c r="AA309" i="17"/>
  <c r="W309" i="17"/>
  <c r="AH309" i="17"/>
  <c r="AD309" i="17"/>
  <c r="Z309" i="17"/>
  <c r="AG309" i="17"/>
  <c r="AC309" i="17"/>
  <c r="Y309" i="17"/>
  <c r="AB309" i="17"/>
  <c r="AF309" i="17"/>
  <c r="X309" i="17"/>
  <c r="C311" i="17"/>
  <c r="AL310" i="17"/>
  <c r="B310" i="17"/>
  <c r="G310" i="17" s="1"/>
  <c r="C926" i="17" l="1"/>
  <c r="AL925" i="17"/>
  <c r="B925" i="17"/>
  <c r="G925" i="17" s="1"/>
  <c r="A926" i="17"/>
  <c r="AE924" i="17"/>
  <c r="AA924" i="17"/>
  <c r="W924" i="17"/>
  <c r="AH924" i="17"/>
  <c r="AD924" i="17"/>
  <c r="Z924" i="17"/>
  <c r="AG924" i="17"/>
  <c r="AC924" i="17"/>
  <c r="Y924" i="17"/>
  <c r="X924" i="17"/>
  <c r="AF924" i="17"/>
  <c r="AB924" i="17"/>
  <c r="AH310" i="17"/>
  <c r="AD310" i="17"/>
  <c r="Z310" i="17"/>
  <c r="AG310" i="17"/>
  <c r="AC310" i="17"/>
  <c r="Y310" i="17"/>
  <c r="AF310" i="17"/>
  <c r="AB310" i="17"/>
  <c r="X310" i="17"/>
  <c r="AA310" i="17"/>
  <c r="AE310" i="17"/>
  <c r="W310" i="17"/>
  <c r="B311" i="17"/>
  <c r="G311" i="17" s="1"/>
  <c r="AL311" i="17"/>
  <c r="C312" i="17"/>
  <c r="C927" i="17" l="1"/>
  <c r="AL926" i="17"/>
  <c r="B926" i="17"/>
  <c r="G926" i="17" s="1"/>
  <c r="A927" i="17"/>
  <c r="AE925" i="17"/>
  <c r="AA925" i="17"/>
  <c r="W925" i="17"/>
  <c r="AH925" i="17"/>
  <c r="AD925" i="17"/>
  <c r="Z925" i="17"/>
  <c r="AG925" i="17"/>
  <c r="AC925" i="17"/>
  <c r="Y925" i="17"/>
  <c r="AF925" i="17"/>
  <c r="AB925" i="17"/>
  <c r="X925" i="17"/>
  <c r="B312" i="17"/>
  <c r="G312" i="17" s="1"/>
  <c r="C313" i="17"/>
  <c r="AL312" i="17"/>
  <c r="AG311" i="17"/>
  <c r="AC311" i="17"/>
  <c r="Y311" i="17"/>
  <c r="AF311" i="17"/>
  <c r="AB311" i="17"/>
  <c r="X311" i="17"/>
  <c r="AE311" i="17"/>
  <c r="AA311" i="17"/>
  <c r="W311" i="17"/>
  <c r="AD311" i="17"/>
  <c r="Z311" i="17"/>
  <c r="AH311" i="17"/>
  <c r="AE926" i="17" l="1"/>
  <c r="AA926" i="17"/>
  <c r="W926" i="17"/>
  <c r="AH926" i="17"/>
  <c r="AD926" i="17"/>
  <c r="Z926" i="17"/>
  <c r="AG926" i="17"/>
  <c r="AC926" i="17"/>
  <c r="Y926" i="17"/>
  <c r="AF926" i="17"/>
  <c r="AB926" i="17"/>
  <c r="X926" i="17"/>
  <c r="C928" i="17"/>
  <c r="AL927" i="17"/>
  <c r="B927" i="17"/>
  <c r="G927" i="17" s="1"/>
  <c r="A928" i="17"/>
  <c r="C314" i="17"/>
  <c r="AL313" i="17"/>
  <c r="B313" i="17"/>
  <c r="G313" i="17" s="1"/>
  <c r="AF312" i="17"/>
  <c r="AB312" i="17"/>
  <c r="X312" i="17"/>
  <c r="AE312" i="17"/>
  <c r="AA312" i="17"/>
  <c r="W312" i="17"/>
  <c r="AH312" i="17"/>
  <c r="AD312" i="17"/>
  <c r="Z312" i="17"/>
  <c r="AG312" i="17"/>
  <c r="Y312" i="17"/>
  <c r="AC312" i="17"/>
  <c r="AE927" i="17" l="1"/>
  <c r="AA927" i="17"/>
  <c r="W927" i="17"/>
  <c r="AH927" i="17"/>
  <c r="AD927" i="17"/>
  <c r="Z927" i="17"/>
  <c r="AG927" i="17"/>
  <c r="AC927" i="17"/>
  <c r="Y927" i="17"/>
  <c r="AB927" i="17"/>
  <c r="X927" i="17"/>
  <c r="AF927" i="17"/>
  <c r="C929" i="17"/>
  <c r="AL928" i="17"/>
  <c r="B928" i="17"/>
  <c r="G928" i="17" s="1"/>
  <c r="A929" i="17"/>
  <c r="AE313" i="17"/>
  <c r="AA313" i="17"/>
  <c r="W313" i="17"/>
  <c r="AH313" i="17"/>
  <c r="AD313" i="17"/>
  <c r="Z313" i="17"/>
  <c r="AG313" i="17"/>
  <c r="AC313" i="17"/>
  <c r="Y313" i="17"/>
  <c r="AF313" i="17"/>
  <c r="X313" i="17"/>
  <c r="AB313" i="17"/>
  <c r="C315" i="17"/>
  <c r="AL314" i="17"/>
  <c r="B314" i="17"/>
  <c r="G314" i="17" s="1"/>
  <c r="AE928" i="17" l="1"/>
  <c r="AA928" i="17"/>
  <c r="W928" i="17"/>
  <c r="AH928" i="17"/>
  <c r="AD928" i="17"/>
  <c r="Z928" i="17"/>
  <c r="AG928" i="17"/>
  <c r="AC928" i="17"/>
  <c r="Y928" i="17"/>
  <c r="X928" i="17"/>
  <c r="AF928" i="17"/>
  <c r="AB928" i="17"/>
  <c r="C930" i="17"/>
  <c r="AL929" i="17"/>
  <c r="B929" i="17"/>
  <c r="G929" i="17" s="1"/>
  <c r="A930" i="17"/>
  <c r="AH314" i="17"/>
  <c r="AD314" i="17"/>
  <c r="Z314" i="17"/>
  <c r="AG314" i="17"/>
  <c r="AC314" i="17"/>
  <c r="Y314" i="17"/>
  <c r="AF314" i="17"/>
  <c r="AB314" i="17"/>
  <c r="X314" i="17"/>
  <c r="AE314" i="17"/>
  <c r="W314" i="17"/>
  <c r="AA314" i="17"/>
  <c r="B315" i="17"/>
  <c r="G315" i="17" s="1"/>
  <c r="C316" i="17"/>
  <c r="AL315" i="17"/>
  <c r="AE929" i="17" l="1"/>
  <c r="AA929" i="17"/>
  <c r="W929" i="17"/>
  <c r="AH929" i="17"/>
  <c r="AD929" i="17"/>
  <c r="Z929" i="17"/>
  <c r="AG929" i="17"/>
  <c r="AC929" i="17"/>
  <c r="Y929" i="17"/>
  <c r="AF929" i="17"/>
  <c r="AB929" i="17"/>
  <c r="X929" i="17"/>
  <c r="C931" i="17"/>
  <c r="AL930" i="17"/>
  <c r="B930" i="17"/>
  <c r="G930" i="17" s="1"/>
  <c r="A931" i="17"/>
  <c r="AG315" i="17"/>
  <c r="AC315" i="17"/>
  <c r="Y315" i="17"/>
  <c r="AF315" i="17"/>
  <c r="AB315" i="17"/>
  <c r="X315" i="17"/>
  <c r="AE315" i="17"/>
  <c r="AA315" i="17"/>
  <c r="W315" i="17"/>
  <c r="AH315" i="17"/>
  <c r="Z315" i="17"/>
  <c r="AD315" i="17"/>
  <c r="B316" i="17"/>
  <c r="G316" i="17" s="1"/>
  <c r="C317" i="17"/>
  <c r="AL316" i="17"/>
  <c r="C932" i="17" l="1"/>
  <c r="AL931" i="17"/>
  <c r="B931" i="17"/>
  <c r="G931" i="17" s="1"/>
  <c r="A932" i="17"/>
  <c r="AE930" i="17"/>
  <c r="AA930" i="17"/>
  <c r="W930" i="17"/>
  <c r="AH930" i="17"/>
  <c r="AD930" i="17"/>
  <c r="Z930" i="17"/>
  <c r="AG930" i="17"/>
  <c r="AC930" i="17"/>
  <c r="Y930" i="17"/>
  <c r="AF930" i="17"/>
  <c r="AB930" i="17"/>
  <c r="X930" i="17"/>
  <c r="AF316" i="17"/>
  <c r="AB316" i="17"/>
  <c r="X316" i="17"/>
  <c r="AE316" i="17"/>
  <c r="AA316" i="17"/>
  <c r="W316" i="17"/>
  <c r="AH316" i="17"/>
  <c r="AD316" i="17"/>
  <c r="Z316" i="17"/>
  <c r="AC316" i="17"/>
  <c r="AG316" i="17"/>
  <c r="Y316" i="17"/>
  <c r="C318" i="17"/>
  <c r="AL317" i="17"/>
  <c r="B317" i="17"/>
  <c r="G317" i="17" s="1"/>
  <c r="C933" i="17" l="1"/>
  <c r="AL932" i="17"/>
  <c r="B932" i="17"/>
  <c r="G932" i="17" s="1"/>
  <c r="A933" i="17"/>
  <c r="AE931" i="17"/>
  <c r="AA931" i="17"/>
  <c r="W931" i="17"/>
  <c r="AH931" i="17"/>
  <c r="AD931" i="17"/>
  <c r="Z931" i="17"/>
  <c r="AG931" i="17"/>
  <c r="AC931" i="17"/>
  <c r="Y931" i="17"/>
  <c r="AB931" i="17"/>
  <c r="X931" i="17"/>
  <c r="AF931" i="17"/>
  <c r="AE317" i="17"/>
  <c r="AA317" i="17"/>
  <c r="W317" i="17"/>
  <c r="AH317" i="17"/>
  <c r="AD317" i="17"/>
  <c r="Z317" i="17"/>
  <c r="AG317" i="17"/>
  <c r="AC317" i="17"/>
  <c r="Y317" i="17"/>
  <c r="AB317" i="17"/>
  <c r="AF317" i="17"/>
  <c r="X317" i="17"/>
  <c r="C319" i="17"/>
  <c r="AL318" i="17"/>
  <c r="B318" i="17"/>
  <c r="G318" i="17" s="1"/>
  <c r="C934" i="17" l="1"/>
  <c r="AL933" i="17"/>
  <c r="B933" i="17"/>
  <c r="G933" i="17" s="1"/>
  <c r="A934" i="17"/>
  <c r="AE932" i="17"/>
  <c r="AA932" i="17"/>
  <c r="W932" i="17"/>
  <c r="AH932" i="17"/>
  <c r="AD932" i="17"/>
  <c r="Z932" i="17"/>
  <c r="AG932" i="17"/>
  <c r="AC932" i="17"/>
  <c r="Y932" i="17"/>
  <c r="X932" i="17"/>
  <c r="AF932" i="17"/>
  <c r="AB932" i="17"/>
  <c r="AH318" i="17"/>
  <c r="AD318" i="17"/>
  <c r="Z318" i="17"/>
  <c r="AG318" i="17"/>
  <c r="AC318" i="17"/>
  <c r="Y318" i="17"/>
  <c r="AF318" i="17"/>
  <c r="AB318" i="17"/>
  <c r="X318" i="17"/>
  <c r="AA318" i="17"/>
  <c r="AE318" i="17"/>
  <c r="W318" i="17"/>
  <c r="B319" i="17"/>
  <c r="G319" i="17" s="1"/>
  <c r="AL319" i="17"/>
  <c r="C320" i="17"/>
  <c r="C935" i="17" l="1"/>
  <c r="AL934" i="17"/>
  <c r="B934" i="17"/>
  <c r="G934" i="17" s="1"/>
  <c r="A935" i="17"/>
  <c r="AE933" i="17"/>
  <c r="AA933" i="17"/>
  <c r="W933" i="17"/>
  <c r="AH933" i="17"/>
  <c r="AD933" i="17"/>
  <c r="Z933" i="17"/>
  <c r="AG933" i="17"/>
  <c r="AC933" i="17"/>
  <c r="Y933" i="17"/>
  <c r="AF933" i="17"/>
  <c r="AB933" i="17"/>
  <c r="X933" i="17"/>
  <c r="B320" i="17"/>
  <c r="G320" i="17" s="1"/>
  <c r="C321" i="17"/>
  <c r="AL320" i="17"/>
  <c r="AG319" i="17"/>
  <c r="AC319" i="17"/>
  <c r="Y319" i="17"/>
  <c r="AF319" i="17"/>
  <c r="AB319" i="17"/>
  <c r="X319" i="17"/>
  <c r="AE319" i="17"/>
  <c r="AA319" i="17"/>
  <c r="W319" i="17"/>
  <c r="AD319" i="17"/>
  <c r="AH319" i="17"/>
  <c r="Z319" i="17"/>
  <c r="C936" i="17" l="1"/>
  <c r="AL935" i="17"/>
  <c r="B935" i="17"/>
  <c r="G935" i="17" s="1"/>
  <c r="A936" i="17"/>
  <c r="AE934" i="17"/>
  <c r="AA934" i="17"/>
  <c r="W934" i="17"/>
  <c r="AH934" i="17"/>
  <c r="AD934" i="17"/>
  <c r="Z934" i="17"/>
  <c r="AG934" i="17"/>
  <c r="AC934" i="17"/>
  <c r="Y934" i="17"/>
  <c r="AF934" i="17"/>
  <c r="AB934" i="17"/>
  <c r="X934" i="17"/>
  <c r="C322" i="17"/>
  <c r="AL321" i="17"/>
  <c r="B321" i="17"/>
  <c r="G321" i="17" s="1"/>
  <c r="AF320" i="17"/>
  <c r="AB320" i="17"/>
  <c r="X320" i="17"/>
  <c r="AE320" i="17"/>
  <c r="AA320" i="17"/>
  <c r="W320" i="17"/>
  <c r="AH320" i="17"/>
  <c r="AD320" i="17"/>
  <c r="Z320" i="17"/>
  <c r="Y320" i="17"/>
  <c r="AG320" i="17"/>
  <c r="AC320" i="17"/>
  <c r="C937" i="17" l="1"/>
  <c r="AL936" i="17"/>
  <c r="B936" i="17"/>
  <c r="G936" i="17" s="1"/>
  <c r="A937" i="17"/>
  <c r="AE935" i="17"/>
  <c r="AA935" i="17"/>
  <c r="W935" i="17"/>
  <c r="AH935" i="17"/>
  <c r="AD935" i="17"/>
  <c r="Z935" i="17"/>
  <c r="AG935" i="17"/>
  <c r="AC935" i="17"/>
  <c r="Y935" i="17"/>
  <c r="AB935" i="17"/>
  <c r="X935" i="17"/>
  <c r="AF935" i="17"/>
  <c r="AE321" i="17"/>
  <c r="AA321" i="17"/>
  <c r="W321" i="17"/>
  <c r="AH321" i="17"/>
  <c r="AD321" i="17"/>
  <c r="Z321" i="17"/>
  <c r="AG321" i="17"/>
  <c r="AC321" i="17"/>
  <c r="Y321" i="17"/>
  <c r="X321" i="17"/>
  <c r="AF321" i="17"/>
  <c r="AB321" i="17"/>
  <c r="C323" i="17"/>
  <c r="AL322" i="17"/>
  <c r="B322" i="17"/>
  <c r="G322" i="17" s="1"/>
  <c r="C938" i="17" l="1"/>
  <c r="AL937" i="17"/>
  <c r="B937" i="17"/>
  <c r="G937" i="17" s="1"/>
  <c r="A938" i="17"/>
  <c r="AE936" i="17"/>
  <c r="AA936" i="17"/>
  <c r="W936" i="17"/>
  <c r="AH936" i="17"/>
  <c r="AD936" i="17"/>
  <c r="Z936" i="17"/>
  <c r="AG936" i="17"/>
  <c r="AC936" i="17"/>
  <c r="Y936" i="17"/>
  <c r="X936" i="17"/>
  <c r="AF936" i="17"/>
  <c r="AB936" i="17"/>
  <c r="AH322" i="17"/>
  <c r="AD322" i="17"/>
  <c r="Z322" i="17"/>
  <c r="AG322" i="17"/>
  <c r="AC322" i="17"/>
  <c r="Y322" i="17"/>
  <c r="AF322" i="17"/>
  <c r="AB322" i="17"/>
  <c r="X322" i="17"/>
  <c r="W322" i="17"/>
  <c r="AE322" i="17"/>
  <c r="AA322" i="17"/>
  <c r="B323" i="17"/>
  <c r="G323" i="17" s="1"/>
  <c r="C324" i="17"/>
  <c r="AL323" i="17"/>
  <c r="AE937" i="17" l="1"/>
  <c r="AA937" i="17"/>
  <c r="W937" i="17"/>
  <c r="AH937" i="17"/>
  <c r="AD937" i="17"/>
  <c r="Z937" i="17"/>
  <c r="AG937" i="17"/>
  <c r="AC937" i="17"/>
  <c r="Y937" i="17"/>
  <c r="AF937" i="17"/>
  <c r="AB937" i="17"/>
  <c r="X937" i="17"/>
  <c r="C939" i="17"/>
  <c r="AL938" i="17"/>
  <c r="B938" i="17"/>
  <c r="G938" i="17" s="1"/>
  <c r="A939" i="17"/>
  <c r="B324" i="17"/>
  <c r="G324" i="17" s="1"/>
  <c r="C325" i="17"/>
  <c r="AL324" i="17"/>
  <c r="AG323" i="17"/>
  <c r="AC323" i="17"/>
  <c r="Y323" i="17"/>
  <c r="AF323" i="17"/>
  <c r="AB323" i="17"/>
  <c r="X323" i="17"/>
  <c r="AE323" i="17"/>
  <c r="AA323" i="17"/>
  <c r="W323" i="17"/>
  <c r="Z323" i="17"/>
  <c r="AH323" i="17"/>
  <c r="AD323" i="17"/>
  <c r="AE938" i="17" l="1"/>
  <c r="AA938" i="17"/>
  <c r="W938" i="17"/>
  <c r="AH938" i="17"/>
  <c r="AD938" i="17"/>
  <c r="Z938" i="17"/>
  <c r="AG938" i="17"/>
  <c r="AC938" i="17"/>
  <c r="Y938" i="17"/>
  <c r="AF938" i="17"/>
  <c r="AB938" i="17"/>
  <c r="X938" i="17"/>
  <c r="C940" i="17"/>
  <c r="AL939" i="17"/>
  <c r="B939" i="17"/>
  <c r="G939" i="17" s="1"/>
  <c r="A940" i="17"/>
  <c r="C326" i="17"/>
  <c r="AL325" i="17"/>
  <c r="B325" i="17"/>
  <c r="G325" i="17" s="1"/>
  <c r="AF324" i="17"/>
  <c r="AB324" i="17"/>
  <c r="X324" i="17"/>
  <c r="AE324" i="17"/>
  <c r="AA324" i="17"/>
  <c r="W324" i="17"/>
  <c r="AH324" i="17"/>
  <c r="AD324" i="17"/>
  <c r="Z324" i="17"/>
  <c r="AC324" i="17"/>
  <c r="AG324" i="17"/>
  <c r="Y324" i="17"/>
  <c r="C941" i="17" l="1"/>
  <c r="AL940" i="17"/>
  <c r="B940" i="17"/>
  <c r="G940" i="17" s="1"/>
  <c r="A941" i="17"/>
  <c r="AE939" i="17"/>
  <c r="AA939" i="17"/>
  <c r="W939" i="17"/>
  <c r="AH939" i="17"/>
  <c r="AD939" i="17"/>
  <c r="Z939" i="17"/>
  <c r="AG939" i="17"/>
  <c r="AC939" i="17"/>
  <c r="Y939" i="17"/>
  <c r="AB939" i="17"/>
  <c r="X939" i="17"/>
  <c r="AF939" i="17"/>
  <c r="C327" i="17"/>
  <c r="AL326" i="17"/>
  <c r="B326" i="17"/>
  <c r="G326" i="17" s="1"/>
  <c r="AE325" i="17"/>
  <c r="AA325" i="17"/>
  <c r="W325" i="17"/>
  <c r="AH325" i="17"/>
  <c r="AD325" i="17"/>
  <c r="Z325" i="17"/>
  <c r="AG325" i="17"/>
  <c r="AC325" i="17"/>
  <c r="Y325" i="17"/>
  <c r="X325" i="17"/>
  <c r="AB325" i="17"/>
  <c r="AF325" i="17"/>
  <c r="C942" i="17" l="1"/>
  <c r="AL941" i="17"/>
  <c r="B941" i="17"/>
  <c r="G941" i="17" s="1"/>
  <c r="A942" i="17"/>
  <c r="AE940" i="17"/>
  <c r="AA940" i="17"/>
  <c r="W940" i="17"/>
  <c r="AH940" i="17"/>
  <c r="AD940" i="17"/>
  <c r="Z940" i="17"/>
  <c r="AG940" i="17"/>
  <c r="AC940" i="17"/>
  <c r="Y940" i="17"/>
  <c r="X940" i="17"/>
  <c r="AF940" i="17"/>
  <c r="AB940" i="17"/>
  <c r="AH326" i="17"/>
  <c r="AD326" i="17"/>
  <c r="Z326" i="17"/>
  <c r="AG326" i="17"/>
  <c r="AC326" i="17"/>
  <c r="Y326" i="17"/>
  <c r="AF326" i="17"/>
  <c r="AB326" i="17"/>
  <c r="X326" i="17"/>
  <c r="W326" i="17"/>
  <c r="AA326" i="17"/>
  <c r="AE326" i="17"/>
  <c r="B327" i="17"/>
  <c r="G327" i="17" s="1"/>
  <c r="AL327" i="17"/>
  <c r="C328" i="17"/>
  <c r="C943" i="17" l="1"/>
  <c r="AL942" i="17"/>
  <c r="B942" i="17"/>
  <c r="G942" i="17" s="1"/>
  <c r="A943" i="17"/>
  <c r="AE941" i="17"/>
  <c r="AA941" i="17"/>
  <c r="W941" i="17"/>
  <c r="AH941" i="17"/>
  <c r="AD941" i="17"/>
  <c r="Z941" i="17"/>
  <c r="AG941" i="17"/>
  <c r="AC941" i="17"/>
  <c r="Y941" i="17"/>
  <c r="AF941" i="17"/>
  <c r="AB941" i="17"/>
  <c r="X941" i="17"/>
  <c r="AG327" i="17"/>
  <c r="AC327" i="17"/>
  <c r="Y327" i="17"/>
  <c r="AF327" i="17"/>
  <c r="AB327" i="17"/>
  <c r="X327" i="17"/>
  <c r="AE327" i="17"/>
  <c r="AA327" i="17"/>
  <c r="W327" i="17"/>
  <c r="Z327" i="17"/>
  <c r="AH327" i="17"/>
  <c r="AD327" i="17"/>
  <c r="B328" i="17"/>
  <c r="G328" i="17" s="1"/>
  <c r="C329" i="17"/>
  <c r="AL328" i="17"/>
  <c r="C944" i="17" l="1"/>
  <c r="AL943" i="17"/>
  <c r="B943" i="17"/>
  <c r="G943" i="17" s="1"/>
  <c r="A944" i="17"/>
  <c r="AE942" i="17"/>
  <c r="AA942" i="17"/>
  <c r="W942" i="17"/>
  <c r="AH942" i="17"/>
  <c r="AD942" i="17"/>
  <c r="Z942" i="17"/>
  <c r="AG942" i="17"/>
  <c r="AC942" i="17"/>
  <c r="Y942" i="17"/>
  <c r="AF942" i="17"/>
  <c r="AB942" i="17"/>
  <c r="X942" i="17"/>
  <c r="C330" i="17"/>
  <c r="AL329" i="17"/>
  <c r="B329" i="17"/>
  <c r="G329" i="17" s="1"/>
  <c r="AF328" i="17"/>
  <c r="AB328" i="17"/>
  <c r="X328" i="17"/>
  <c r="AE328" i="17"/>
  <c r="AA328" i="17"/>
  <c r="W328" i="17"/>
  <c r="AH328" i="17"/>
  <c r="AD328" i="17"/>
  <c r="Z328" i="17"/>
  <c r="AG328" i="17"/>
  <c r="AC328" i="17"/>
  <c r="Y328" i="17"/>
  <c r="C945" i="17" l="1"/>
  <c r="AL944" i="17"/>
  <c r="B944" i="17"/>
  <c r="G944" i="17" s="1"/>
  <c r="A945" i="17"/>
  <c r="AE943" i="17"/>
  <c r="AA943" i="17"/>
  <c r="W943" i="17"/>
  <c r="AH943" i="17"/>
  <c r="AD943" i="17"/>
  <c r="Z943" i="17"/>
  <c r="AG943" i="17"/>
  <c r="AC943" i="17"/>
  <c r="Y943" i="17"/>
  <c r="AB943" i="17"/>
  <c r="X943" i="17"/>
  <c r="AF943" i="17"/>
  <c r="AE329" i="17"/>
  <c r="AA329" i="17"/>
  <c r="W329" i="17"/>
  <c r="AH329" i="17"/>
  <c r="AD329" i="17"/>
  <c r="Z329" i="17"/>
  <c r="AG329" i="17"/>
  <c r="AC329" i="17"/>
  <c r="Y329" i="17"/>
  <c r="AF329" i="17"/>
  <c r="AB329" i="17"/>
  <c r="X329" i="17"/>
  <c r="C331" i="17"/>
  <c r="AL330" i="17"/>
  <c r="B330" i="17"/>
  <c r="G330" i="17" s="1"/>
  <c r="C946" i="17" l="1"/>
  <c r="AL945" i="17"/>
  <c r="B945" i="17"/>
  <c r="G945" i="17" s="1"/>
  <c r="A946" i="17"/>
  <c r="AE944" i="17"/>
  <c r="AA944" i="17"/>
  <c r="W944" i="17"/>
  <c r="AH944" i="17"/>
  <c r="AD944" i="17"/>
  <c r="Z944" i="17"/>
  <c r="AG944" i="17"/>
  <c r="AC944" i="17"/>
  <c r="Y944" i="17"/>
  <c r="X944" i="17"/>
  <c r="AF944" i="17"/>
  <c r="AB944" i="17"/>
  <c r="B331" i="17"/>
  <c r="G331" i="17" s="1"/>
  <c r="AL331" i="17"/>
  <c r="C332" i="17"/>
  <c r="AH330" i="17"/>
  <c r="AD330" i="17"/>
  <c r="Z330" i="17"/>
  <c r="AG330" i="17"/>
  <c r="AC330" i="17"/>
  <c r="Y330" i="17"/>
  <c r="AF330" i="17"/>
  <c r="AB330" i="17"/>
  <c r="X330" i="17"/>
  <c r="AE330" i="17"/>
  <c r="AA330" i="17"/>
  <c r="W330" i="17"/>
  <c r="C947" i="17" l="1"/>
  <c r="AL946" i="17"/>
  <c r="B946" i="17"/>
  <c r="G946" i="17" s="1"/>
  <c r="A947" i="17"/>
  <c r="AE945" i="17"/>
  <c r="AA945" i="17"/>
  <c r="W945" i="17"/>
  <c r="AH945" i="17"/>
  <c r="AD945" i="17"/>
  <c r="Z945" i="17"/>
  <c r="AG945" i="17"/>
  <c r="AC945" i="17"/>
  <c r="Y945" i="17"/>
  <c r="AF945" i="17"/>
  <c r="AB945" i="17"/>
  <c r="X945" i="17"/>
  <c r="AG331" i="17"/>
  <c r="AC331" i="17"/>
  <c r="Y331" i="17"/>
  <c r="AF331" i="17"/>
  <c r="AB331" i="17"/>
  <c r="X331" i="17"/>
  <c r="AE331" i="17"/>
  <c r="AA331" i="17"/>
  <c r="W331" i="17"/>
  <c r="AH331" i="17"/>
  <c r="AD331" i="17"/>
  <c r="Z331" i="17"/>
  <c r="B332" i="17"/>
  <c r="G332" i="17" s="1"/>
  <c r="C333" i="17"/>
  <c r="AL332" i="17"/>
  <c r="C948" i="17" l="1"/>
  <c r="AL947" i="17"/>
  <c r="B947" i="17"/>
  <c r="G947" i="17" s="1"/>
  <c r="A948" i="17"/>
  <c r="AE946" i="17"/>
  <c r="AA946" i="17"/>
  <c r="W946" i="17"/>
  <c r="AH946" i="17"/>
  <c r="AD946" i="17"/>
  <c r="Z946" i="17"/>
  <c r="AG946" i="17"/>
  <c r="AC946" i="17"/>
  <c r="Y946" i="17"/>
  <c r="AF946" i="17"/>
  <c r="AB946" i="17"/>
  <c r="X946" i="17"/>
  <c r="AF332" i="17"/>
  <c r="AB332" i="17"/>
  <c r="X332" i="17"/>
  <c r="AE332" i="17"/>
  <c r="AA332" i="17"/>
  <c r="W332" i="17"/>
  <c r="AH332" i="17"/>
  <c r="AD332" i="17"/>
  <c r="Z332" i="17"/>
  <c r="AG332" i="17"/>
  <c r="AC332" i="17"/>
  <c r="Y332" i="17"/>
  <c r="C334" i="17"/>
  <c r="AL333" i="17"/>
  <c r="B333" i="17"/>
  <c r="G333" i="17" s="1"/>
  <c r="C949" i="17" l="1"/>
  <c r="AL948" i="17"/>
  <c r="B948" i="17"/>
  <c r="G948" i="17" s="1"/>
  <c r="A949" i="17"/>
  <c r="AE947" i="17"/>
  <c r="AA947" i="17"/>
  <c r="W947" i="17"/>
  <c r="AH947" i="17"/>
  <c r="AD947" i="17"/>
  <c r="Z947" i="17"/>
  <c r="AG947" i="17"/>
  <c r="AC947" i="17"/>
  <c r="Y947" i="17"/>
  <c r="AB947" i="17"/>
  <c r="X947" i="17"/>
  <c r="AF947" i="17"/>
  <c r="C335" i="17"/>
  <c r="AL334" i="17"/>
  <c r="B334" i="17"/>
  <c r="G334" i="17" s="1"/>
  <c r="AE333" i="17"/>
  <c r="AA333" i="17"/>
  <c r="W333" i="17"/>
  <c r="AH333" i="17"/>
  <c r="AD333" i="17"/>
  <c r="Z333" i="17"/>
  <c r="AG333" i="17"/>
  <c r="AC333" i="17"/>
  <c r="Y333" i="17"/>
  <c r="AF333" i="17"/>
  <c r="AB333" i="17"/>
  <c r="X333" i="17"/>
  <c r="C950" i="17" l="1"/>
  <c r="AL949" i="17"/>
  <c r="B949" i="17"/>
  <c r="G949" i="17" s="1"/>
  <c r="A950" i="17"/>
  <c r="AE948" i="17"/>
  <c r="AA948" i="17"/>
  <c r="W948" i="17"/>
  <c r="AH948" i="17"/>
  <c r="AD948" i="17"/>
  <c r="Z948" i="17"/>
  <c r="AG948" i="17"/>
  <c r="AC948" i="17"/>
  <c r="Y948" i="17"/>
  <c r="X948" i="17"/>
  <c r="AF948" i="17"/>
  <c r="AB948" i="17"/>
  <c r="AH334" i="17"/>
  <c r="AD334" i="17"/>
  <c r="Z334" i="17"/>
  <c r="AG334" i="17"/>
  <c r="AC334" i="17"/>
  <c r="Y334" i="17"/>
  <c r="AF334" i="17"/>
  <c r="AB334" i="17"/>
  <c r="X334" i="17"/>
  <c r="AE334" i="17"/>
  <c r="AA334" i="17"/>
  <c r="W334" i="17"/>
  <c r="B335" i="17"/>
  <c r="G335" i="17" s="1"/>
  <c r="C336" i="17"/>
  <c r="AL335" i="17"/>
  <c r="C951" i="17" l="1"/>
  <c r="AL950" i="17"/>
  <c r="B950" i="17"/>
  <c r="G950" i="17" s="1"/>
  <c r="A951" i="17"/>
  <c r="AE949" i="17"/>
  <c r="AA949" i="17"/>
  <c r="W949" i="17"/>
  <c r="AH949" i="17"/>
  <c r="AD949" i="17"/>
  <c r="Z949" i="17"/>
  <c r="AG949" i="17"/>
  <c r="AC949" i="17"/>
  <c r="Y949" i="17"/>
  <c r="AF949" i="17"/>
  <c r="AB949" i="17"/>
  <c r="X949" i="17"/>
  <c r="B336" i="17"/>
  <c r="G336" i="17" s="1"/>
  <c r="C337" i="17"/>
  <c r="AL336" i="17"/>
  <c r="AG335" i="17"/>
  <c r="AC335" i="17"/>
  <c r="Y335" i="17"/>
  <c r="AF335" i="17"/>
  <c r="AB335" i="17"/>
  <c r="X335" i="17"/>
  <c r="AE335" i="17"/>
  <c r="AA335" i="17"/>
  <c r="W335" i="17"/>
  <c r="AH335" i="17"/>
  <c r="AD335" i="17"/>
  <c r="Z335" i="17"/>
  <c r="C952" i="17" l="1"/>
  <c r="AL951" i="17"/>
  <c r="B951" i="17"/>
  <c r="G951" i="17" s="1"/>
  <c r="A952" i="17"/>
  <c r="AE950" i="17"/>
  <c r="AA950" i="17"/>
  <c r="W950" i="17"/>
  <c r="AH950" i="17"/>
  <c r="AD950" i="17"/>
  <c r="Z950" i="17"/>
  <c r="AG950" i="17"/>
  <c r="AC950" i="17"/>
  <c r="Y950" i="17"/>
  <c r="AF950" i="17"/>
  <c r="AB950" i="17"/>
  <c r="X950" i="17"/>
  <c r="AF336" i="17"/>
  <c r="AB336" i="17"/>
  <c r="X336" i="17"/>
  <c r="AE336" i="17"/>
  <c r="AA336" i="17"/>
  <c r="W336" i="17"/>
  <c r="AH336" i="17"/>
  <c r="AD336" i="17"/>
  <c r="Z336" i="17"/>
  <c r="AC336" i="17"/>
  <c r="Y336" i="17"/>
  <c r="AG336" i="17"/>
  <c r="C338" i="17"/>
  <c r="AL337" i="17"/>
  <c r="B337" i="17"/>
  <c r="G337" i="17" s="1"/>
  <c r="C953" i="17" l="1"/>
  <c r="AL952" i="17"/>
  <c r="B952" i="17"/>
  <c r="G952" i="17" s="1"/>
  <c r="A953" i="17"/>
  <c r="AE951" i="17"/>
  <c r="AA951" i="17"/>
  <c r="W951" i="17"/>
  <c r="AH951" i="17"/>
  <c r="AD951" i="17"/>
  <c r="Z951" i="17"/>
  <c r="AG951" i="17"/>
  <c r="AC951" i="17"/>
  <c r="Y951" i="17"/>
  <c r="AB951" i="17"/>
  <c r="X951" i="17"/>
  <c r="AF951" i="17"/>
  <c r="AE337" i="17"/>
  <c r="AA337" i="17"/>
  <c r="W337" i="17"/>
  <c r="AH337" i="17"/>
  <c r="AD337" i="17"/>
  <c r="Z337" i="17"/>
  <c r="AG337" i="17"/>
  <c r="AC337" i="17"/>
  <c r="Y337" i="17"/>
  <c r="AB337" i="17"/>
  <c r="X337" i="17"/>
  <c r="AF337" i="17"/>
  <c r="C339" i="17"/>
  <c r="AL338" i="17"/>
  <c r="B338" i="17"/>
  <c r="G338" i="17" s="1"/>
  <c r="C954" i="17" l="1"/>
  <c r="AL953" i="17"/>
  <c r="B953" i="17"/>
  <c r="G953" i="17" s="1"/>
  <c r="A954" i="17"/>
  <c r="AE952" i="17"/>
  <c r="AA952" i="17"/>
  <c r="W952" i="17"/>
  <c r="AH952" i="17"/>
  <c r="AD952" i="17"/>
  <c r="Z952" i="17"/>
  <c r="AG952" i="17"/>
  <c r="AC952" i="17"/>
  <c r="Y952" i="17"/>
  <c r="X952" i="17"/>
  <c r="AF952" i="17"/>
  <c r="AB952" i="17"/>
  <c r="AH338" i="17"/>
  <c r="AD338" i="17"/>
  <c r="Z338" i="17"/>
  <c r="AG338" i="17"/>
  <c r="AC338" i="17"/>
  <c r="Y338" i="17"/>
  <c r="AF338" i="17"/>
  <c r="AB338" i="17"/>
  <c r="X338" i="17"/>
  <c r="AA338" i="17"/>
  <c r="W338" i="17"/>
  <c r="AE338" i="17"/>
  <c r="B339" i="17"/>
  <c r="G339" i="17" s="1"/>
  <c r="AL339" i="17"/>
  <c r="C340" i="17"/>
  <c r="C955" i="17" l="1"/>
  <c r="AL954" i="17"/>
  <c r="B954" i="17"/>
  <c r="G954" i="17" s="1"/>
  <c r="A955" i="17"/>
  <c r="AE953" i="17"/>
  <c r="AA953" i="17"/>
  <c r="W953" i="17"/>
  <c r="AH953" i="17"/>
  <c r="AD953" i="17"/>
  <c r="Z953" i="17"/>
  <c r="AG953" i="17"/>
  <c r="AC953" i="17"/>
  <c r="Y953" i="17"/>
  <c r="AF953" i="17"/>
  <c r="AB953" i="17"/>
  <c r="X953" i="17"/>
  <c r="B340" i="17"/>
  <c r="G340" i="17" s="1"/>
  <c r="C341" i="17"/>
  <c r="AL340" i="17"/>
  <c r="AG339" i="17"/>
  <c r="AC339" i="17"/>
  <c r="Y339" i="17"/>
  <c r="AF339" i="17"/>
  <c r="AB339" i="17"/>
  <c r="X339" i="17"/>
  <c r="AE339" i="17"/>
  <c r="AA339" i="17"/>
  <c r="W339" i="17"/>
  <c r="AD339" i="17"/>
  <c r="Z339" i="17"/>
  <c r="AH339" i="17"/>
  <c r="C956" i="17" l="1"/>
  <c r="AL955" i="17"/>
  <c r="B955" i="17"/>
  <c r="G955" i="17" s="1"/>
  <c r="A956" i="17"/>
  <c r="AE954" i="17"/>
  <c r="AA954" i="17"/>
  <c r="W954" i="17"/>
  <c r="AH954" i="17"/>
  <c r="AD954" i="17"/>
  <c r="Z954" i="17"/>
  <c r="AG954" i="17"/>
  <c r="AC954" i="17"/>
  <c r="Y954" i="17"/>
  <c r="AF954" i="17"/>
  <c r="AB954" i="17"/>
  <c r="X954" i="17"/>
  <c r="C342" i="17"/>
  <c r="AL341" i="17"/>
  <c r="B341" i="17"/>
  <c r="G341" i="17" s="1"/>
  <c r="AF340" i="17"/>
  <c r="AB340" i="17"/>
  <c r="X340" i="17"/>
  <c r="AE340" i="17"/>
  <c r="AA340" i="17"/>
  <c r="W340" i="17"/>
  <c r="AH340" i="17"/>
  <c r="AD340" i="17"/>
  <c r="Z340" i="17"/>
  <c r="Y340" i="17"/>
  <c r="AG340" i="17"/>
  <c r="AC340" i="17"/>
  <c r="C957" i="17" l="1"/>
  <c r="AL956" i="17"/>
  <c r="B956" i="17"/>
  <c r="G956" i="17" s="1"/>
  <c r="A957" i="17"/>
  <c r="AE955" i="17"/>
  <c r="AA955" i="17"/>
  <c r="W955" i="17"/>
  <c r="AH955" i="17"/>
  <c r="AD955" i="17"/>
  <c r="Z955" i="17"/>
  <c r="AG955" i="17"/>
  <c r="AC955" i="17"/>
  <c r="Y955" i="17"/>
  <c r="AB955" i="17"/>
  <c r="X955" i="17"/>
  <c r="AF955" i="17"/>
  <c r="C343" i="17"/>
  <c r="AL342" i="17"/>
  <c r="B342" i="17"/>
  <c r="G342" i="17" s="1"/>
  <c r="AE341" i="17"/>
  <c r="AA341" i="17"/>
  <c r="W341" i="17"/>
  <c r="AH341" i="17"/>
  <c r="AD341" i="17"/>
  <c r="Z341" i="17"/>
  <c r="AG341" i="17"/>
  <c r="AC341" i="17"/>
  <c r="Y341" i="17"/>
  <c r="X341" i="17"/>
  <c r="AF341" i="17"/>
  <c r="AB341" i="17"/>
  <c r="C958" i="17" l="1"/>
  <c r="AL957" i="17"/>
  <c r="B957" i="17"/>
  <c r="G957" i="17" s="1"/>
  <c r="A958" i="17"/>
  <c r="AE956" i="17"/>
  <c r="AA956" i="17"/>
  <c r="W956" i="17"/>
  <c r="AH956" i="17"/>
  <c r="AD956" i="17"/>
  <c r="Z956" i="17"/>
  <c r="AG956" i="17"/>
  <c r="AC956" i="17"/>
  <c r="Y956" i="17"/>
  <c r="X956" i="17"/>
  <c r="AF956" i="17"/>
  <c r="AB956" i="17"/>
  <c r="AH342" i="17"/>
  <c r="AD342" i="17"/>
  <c r="Z342" i="17"/>
  <c r="AG342" i="17"/>
  <c r="AC342" i="17"/>
  <c r="Y342" i="17"/>
  <c r="AF342" i="17"/>
  <c r="AB342" i="17"/>
  <c r="X342" i="17"/>
  <c r="W342" i="17"/>
  <c r="AE342" i="17"/>
  <c r="AA342" i="17"/>
  <c r="B343" i="17"/>
  <c r="G343" i="17" s="1"/>
  <c r="AL343" i="17"/>
  <c r="C344" i="17"/>
  <c r="C959" i="17" l="1"/>
  <c r="AL958" i="17"/>
  <c r="B958" i="17"/>
  <c r="G958" i="17" s="1"/>
  <c r="A959" i="17"/>
  <c r="AE957" i="17"/>
  <c r="AA957" i="17"/>
  <c r="W957" i="17"/>
  <c r="AH957" i="17"/>
  <c r="AD957" i="17"/>
  <c r="Z957" i="17"/>
  <c r="AG957" i="17"/>
  <c r="AC957" i="17"/>
  <c r="Y957" i="17"/>
  <c r="AF957" i="17"/>
  <c r="AB957" i="17"/>
  <c r="X957" i="17"/>
  <c r="AG343" i="17"/>
  <c r="AC343" i="17"/>
  <c r="Y343" i="17"/>
  <c r="AF343" i="17"/>
  <c r="AB343" i="17"/>
  <c r="X343" i="17"/>
  <c r="AE343" i="17"/>
  <c r="AA343" i="17"/>
  <c r="W343" i="17"/>
  <c r="Z343" i="17"/>
  <c r="AH343" i="17"/>
  <c r="AD343" i="17"/>
  <c r="B344" i="17"/>
  <c r="G344" i="17" s="1"/>
  <c r="C345" i="17"/>
  <c r="AL344" i="17"/>
  <c r="C960" i="17" l="1"/>
  <c r="AL959" i="17"/>
  <c r="B959" i="17"/>
  <c r="G959" i="17" s="1"/>
  <c r="A960" i="17"/>
  <c r="AE958" i="17"/>
  <c r="AA958" i="17"/>
  <c r="W958" i="17"/>
  <c r="AH958" i="17"/>
  <c r="AD958" i="17"/>
  <c r="Z958" i="17"/>
  <c r="AG958" i="17"/>
  <c r="AC958" i="17"/>
  <c r="Y958" i="17"/>
  <c r="AF958" i="17"/>
  <c r="AB958" i="17"/>
  <c r="X958" i="17"/>
  <c r="AF344" i="17"/>
  <c r="AB344" i="17"/>
  <c r="X344" i="17"/>
  <c r="AE344" i="17"/>
  <c r="AA344" i="17"/>
  <c r="W344" i="17"/>
  <c r="AH344" i="17"/>
  <c r="AD344" i="17"/>
  <c r="Z344" i="17"/>
  <c r="AG344" i="17"/>
  <c r="AC344" i="17"/>
  <c r="Y344" i="17"/>
  <c r="C346" i="17"/>
  <c r="AL345" i="17"/>
  <c r="B345" i="17"/>
  <c r="G345" i="17" s="1"/>
  <c r="C961" i="17" l="1"/>
  <c r="AL960" i="17"/>
  <c r="B960" i="17"/>
  <c r="G960" i="17" s="1"/>
  <c r="A961" i="17"/>
  <c r="AE959" i="17"/>
  <c r="AA959" i="17"/>
  <c r="W959" i="17"/>
  <c r="AH959" i="17"/>
  <c r="AD959" i="17"/>
  <c r="Z959" i="17"/>
  <c r="AG959" i="17"/>
  <c r="AC959" i="17"/>
  <c r="Y959" i="17"/>
  <c r="AB959" i="17"/>
  <c r="X959" i="17"/>
  <c r="AF959" i="17"/>
  <c r="AE345" i="17"/>
  <c r="AA345" i="17"/>
  <c r="W345" i="17"/>
  <c r="AH345" i="17"/>
  <c r="AD345" i="17"/>
  <c r="Z345" i="17"/>
  <c r="AG345" i="17"/>
  <c r="AC345" i="17"/>
  <c r="Y345" i="17"/>
  <c r="AF345" i="17"/>
  <c r="AB345" i="17"/>
  <c r="X345" i="17"/>
  <c r="C347" i="17"/>
  <c r="AL346" i="17"/>
  <c r="B346" i="17"/>
  <c r="G346" i="17" s="1"/>
  <c r="C962" i="17" l="1"/>
  <c r="AL961" i="17"/>
  <c r="B961" i="17"/>
  <c r="G961" i="17" s="1"/>
  <c r="A962" i="17"/>
  <c r="AE960" i="17"/>
  <c r="AA960" i="17"/>
  <c r="W960" i="17"/>
  <c r="AH960" i="17"/>
  <c r="AD960" i="17"/>
  <c r="Z960" i="17"/>
  <c r="AG960" i="17"/>
  <c r="AC960" i="17"/>
  <c r="Y960" i="17"/>
  <c r="X960" i="17"/>
  <c r="AF960" i="17"/>
  <c r="AB960" i="17"/>
  <c r="AH346" i="17"/>
  <c r="AD346" i="17"/>
  <c r="Z346" i="17"/>
  <c r="AG346" i="17"/>
  <c r="AC346" i="17"/>
  <c r="Y346" i="17"/>
  <c r="AF346" i="17"/>
  <c r="AB346" i="17"/>
  <c r="X346" i="17"/>
  <c r="AE346" i="17"/>
  <c r="AA346" i="17"/>
  <c r="W346" i="17"/>
  <c r="B347" i="17"/>
  <c r="G347" i="17" s="1"/>
  <c r="AL347" i="17"/>
  <c r="C348" i="17"/>
  <c r="C963" i="17" l="1"/>
  <c r="AL962" i="17"/>
  <c r="B962" i="17"/>
  <c r="G962" i="17" s="1"/>
  <c r="A963" i="17"/>
  <c r="AE961" i="17"/>
  <c r="AA961" i="17"/>
  <c r="W961" i="17"/>
  <c r="AH961" i="17"/>
  <c r="AD961" i="17"/>
  <c r="Z961" i="17"/>
  <c r="AG961" i="17"/>
  <c r="AC961" i="17"/>
  <c r="Y961" i="17"/>
  <c r="AF961" i="17"/>
  <c r="AB961" i="17"/>
  <c r="X961" i="17"/>
  <c r="AG347" i="17"/>
  <c r="AC347" i="17"/>
  <c r="Y347" i="17"/>
  <c r="AF347" i="17"/>
  <c r="AB347" i="17"/>
  <c r="X347" i="17"/>
  <c r="AE347" i="17"/>
  <c r="AA347" i="17"/>
  <c r="W347" i="17"/>
  <c r="AH347" i="17"/>
  <c r="AD347" i="17"/>
  <c r="Z347" i="17"/>
  <c r="B348" i="17"/>
  <c r="G348" i="17" s="1"/>
  <c r="C349" i="17"/>
  <c r="AL348" i="17"/>
  <c r="C964" i="17" l="1"/>
  <c r="AL963" i="17"/>
  <c r="B963" i="17"/>
  <c r="G963" i="17" s="1"/>
  <c r="A964" i="17"/>
  <c r="AE962" i="17"/>
  <c r="AA962" i="17"/>
  <c r="W962" i="17"/>
  <c r="AH962" i="17"/>
  <c r="AD962" i="17"/>
  <c r="Z962" i="17"/>
  <c r="AG962" i="17"/>
  <c r="AC962" i="17"/>
  <c r="Y962" i="17"/>
  <c r="AF962" i="17"/>
  <c r="AB962" i="17"/>
  <c r="X962" i="17"/>
  <c r="C350" i="17"/>
  <c r="AL349" i="17"/>
  <c r="B349" i="17"/>
  <c r="G349" i="17" s="1"/>
  <c r="AF348" i="17"/>
  <c r="AB348" i="17"/>
  <c r="X348" i="17"/>
  <c r="AE348" i="17"/>
  <c r="AA348" i="17"/>
  <c r="W348" i="17"/>
  <c r="AH348" i="17"/>
  <c r="AD348" i="17"/>
  <c r="Z348" i="17"/>
  <c r="AG348" i="17"/>
  <c r="AC348" i="17"/>
  <c r="Y348" i="17"/>
  <c r="C965" i="17" l="1"/>
  <c r="AL964" i="17"/>
  <c r="B964" i="17"/>
  <c r="G964" i="17" s="1"/>
  <c r="A965" i="17"/>
  <c r="AE963" i="17"/>
  <c r="AA963" i="17"/>
  <c r="W963" i="17"/>
  <c r="AH963" i="17"/>
  <c r="AD963" i="17"/>
  <c r="Z963" i="17"/>
  <c r="AG963" i="17"/>
  <c r="AC963" i="17"/>
  <c r="Y963" i="17"/>
  <c r="AB963" i="17"/>
  <c r="X963" i="17"/>
  <c r="AF963" i="17"/>
  <c r="AE349" i="17"/>
  <c r="AA349" i="17"/>
  <c r="W349" i="17"/>
  <c r="AH349" i="17"/>
  <c r="AD349" i="17"/>
  <c r="Z349" i="17"/>
  <c r="AG349" i="17"/>
  <c r="AC349" i="17"/>
  <c r="Y349" i="17"/>
  <c r="AF349" i="17"/>
  <c r="AB349" i="17"/>
  <c r="X349" i="17"/>
  <c r="C351" i="17"/>
  <c r="AL350" i="17"/>
  <c r="B350" i="17"/>
  <c r="G350" i="17" s="1"/>
  <c r="C966" i="17" l="1"/>
  <c r="AL965" i="17"/>
  <c r="B965" i="17"/>
  <c r="G965" i="17" s="1"/>
  <c r="A966" i="17"/>
  <c r="AE964" i="17"/>
  <c r="AA964" i="17"/>
  <c r="W964" i="17"/>
  <c r="AH964" i="17"/>
  <c r="AD964" i="17"/>
  <c r="Z964" i="17"/>
  <c r="AG964" i="17"/>
  <c r="AC964" i="17"/>
  <c r="Y964" i="17"/>
  <c r="X964" i="17"/>
  <c r="AF964" i="17"/>
  <c r="AB964" i="17"/>
  <c r="AH350" i="17"/>
  <c r="AD350" i="17"/>
  <c r="Z350" i="17"/>
  <c r="AG350" i="17"/>
  <c r="AC350" i="17"/>
  <c r="Y350" i="17"/>
  <c r="AF350" i="17"/>
  <c r="AB350" i="17"/>
  <c r="X350" i="17"/>
  <c r="AE350" i="17"/>
  <c r="AA350" i="17"/>
  <c r="W350" i="17"/>
  <c r="B351" i="17"/>
  <c r="G351" i="17" s="1"/>
  <c r="C352" i="17"/>
  <c r="AL351" i="17"/>
  <c r="C967" i="17" l="1"/>
  <c r="AL966" i="17"/>
  <c r="B966" i="17"/>
  <c r="G966" i="17" s="1"/>
  <c r="A967" i="17"/>
  <c r="AE965" i="17"/>
  <c r="AA965" i="17"/>
  <c r="W965" i="17"/>
  <c r="AH965" i="17"/>
  <c r="AD965" i="17"/>
  <c r="Z965" i="17"/>
  <c r="AG965" i="17"/>
  <c r="AC965" i="17"/>
  <c r="Y965" i="17"/>
  <c r="AF965" i="17"/>
  <c r="AB965" i="17"/>
  <c r="X965" i="17"/>
  <c r="AG351" i="17"/>
  <c r="AC351" i="17"/>
  <c r="Y351" i="17"/>
  <c r="AF351" i="17"/>
  <c r="AB351" i="17"/>
  <c r="X351" i="17"/>
  <c r="AE351" i="17"/>
  <c r="AA351" i="17"/>
  <c r="W351" i="17"/>
  <c r="AH351" i="17"/>
  <c r="AD351" i="17"/>
  <c r="Z351" i="17"/>
  <c r="B352" i="17"/>
  <c r="G352" i="17" s="1"/>
  <c r="C353" i="17"/>
  <c r="AL352" i="17"/>
  <c r="C968" i="17" l="1"/>
  <c r="AL967" i="17"/>
  <c r="B967" i="17"/>
  <c r="G967" i="17" s="1"/>
  <c r="A968" i="17"/>
  <c r="AE966" i="17"/>
  <c r="AA966" i="17"/>
  <c r="W966" i="17"/>
  <c r="AH966" i="17"/>
  <c r="AD966" i="17"/>
  <c r="Z966" i="17"/>
  <c r="AG966" i="17"/>
  <c r="AC966" i="17"/>
  <c r="Y966" i="17"/>
  <c r="AF966" i="17"/>
  <c r="AB966" i="17"/>
  <c r="X966" i="17"/>
  <c r="AF352" i="17"/>
  <c r="AB352" i="17"/>
  <c r="X352" i="17"/>
  <c r="AE352" i="17"/>
  <c r="AA352" i="17"/>
  <c r="W352" i="17"/>
  <c r="AH352" i="17"/>
  <c r="AD352" i="17"/>
  <c r="Z352" i="17"/>
  <c r="AC352" i="17"/>
  <c r="Y352" i="17"/>
  <c r="AG352" i="17"/>
  <c r="C354" i="17"/>
  <c r="AL353" i="17"/>
  <c r="B353" i="17"/>
  <c r="G353" i="17" s="1"/>
  <c r="C969" i="17" l="1"/>
  <c r="AL968" i="17"/>
  <c r="B968" i="17"/>
  <c r="G968" i="17" s="1"/>
  <c r="A969" i="17"/>
  <c r="AE967" i="17"/>
  <c r="AA967" i="17"/>
  <c r="W967" i="17"/>
  <c r="AH967" i="17"/>
  <c r="AD967" i="17"/>
  <c r="Z967" i="17"/>
  <c r="AG967" i="17"/>
  <c r="AC967" i="17"/>
  <c r="Y967" i="17"/>
  <c r="AB967" i="17"/>
  <c r="X967" i="17"/>
  <c r="AF967" i="17"/>
  <c r="AE353" i="17"/>
  <c r="AA353" i="17"/>
  <c r="W353" i="17"/>
  <c r="AH353" i="17"/>
  <c r="AD353" i="17"/>
  <c r="Z353" i="17"/>
  <c r="AG353" i="17"/>
  <c r="AC353" i="17"/>
  <c r="Y353" i="17"/>
  <c r="AB353" i="17"/>
  <c r="X353" i="17"/>
  <c r="AF353" i="17"/>
  <c r="C355" i="17"/>
  <c r="AL354" i="17"/>
  <c r="B354" i="17"/>
  <c r="G354" i="17" s="1"/>
  <c r="C970" i="17" l="1"/>
  <c r="AL969" i="17"/>
  <c r="B969" i="17"/>
  <c r="G969" i="17" s="1"/>
  <c r="A970" i="17"/>
  <c r="AE968" i="17"/>
  <c r="AA968" i="17"/>
  <c r="W968" i="17"/>
  <c r="AH968" i="17"/>
  <c r="AD968" i="17"/>
  <c r="Z968" i="17"/>
  <c r="AG968" i="17"/>
  <c r="AC968" i="17"/>
  <c r="Y968" i="17"/>
  <c r="X968" i="17"/>
  <c r="AF968" i="17"/>
  <c r="AB968" i="17"/>
  <c r="AH354" i="17"/>
  <c r="AD354" i="17"/>
  <c r="Z354" i="17"/>
  <c r="AG354" i="17"/>
  <c r="AC354" i="17"/>
  <c r="Y354" i="17"/>
  <c r="AF354" i="17"/>
  <c r="AB354" i="17"/>
  <c r="X354" i="17"/>
  <c r="AA354" i="17"/>
  <c r="W354" i="17"/>
  <c r="AE354" i="17"/>
  <c r="B355" i="17"/>
  <c r="G355" i="17" s="1"/>
  <c r="AL355" i="17"/>
  <c r="C356" i="17"/>
  <c r="C971" i="17" l="1"/>
  <c r="AL970" i="17"/>
  <c r="B970" i="17"/>
  <c r="G970" i="17" s="1"/>
  <c r="A971" i="17"/>
  <c r="AE969" i="17"/>
  <c r="AA969" i="17"/>
  <c r="W969" i="17"/>
  <c r="AH969" i="17"/>
  <c r="AD969" i="17"/>
  <c r="Z969" i="17"/>
  <c r="AG969" i="17"/>
  <c r="AC969" i="17"/>
  <c r="Y969" i="17"/>
  <c r="AF969" i="17"/>
  <c r="AB969" i="17"/>
  <c r="X969" i="17"/>
  <c r="AG355" i="17"/>
  <c r="AC355" i="17"/>
  <c r="Y355" i="17"/>
  <c r="AF355" i="17"/>
  <c r="AB355" i="17"/>
  <c r="X355" i="17"/>
  <c r="AE355" i="17"/>
  <c r="AA355" i="17"/>
  <c r="W355" i="17"/>
  <c r="AD355" i="17"/>
  <c r="Z355" i="17"/>
  <c r="AH355" i="17"/>
  <c r="B356" i="17"/>
  <c r="G356" i="17" s="1"/>
  <c r="C357" i="17"/>
  <c r="AL356" i="17"/>
  <c r="C972" i="17" l="1"/>
  <c r="AL971" i="17"/>
  <c r="B971" i="17"/>
  <c r="G971" i="17" s="1"/>
  <c r="A972" i="17"/>
  <c r="AE970" i="17"/>
  <c r="AA970" i="17"/>
  <c r="W970" i="17"/>
  <c r="AH970" i="17"/>
  <c r="AD970" i="17"/>
  <c r="Z970" i="17"/>
  <c r="AG970" i="17"/>
  <c r="AC970" i="17"/>
  <c r="Y970" i="17"/>
  <c r="AF970" i="17"/>
  <c r="AB970" i="17"/>
  <c r="X970" i="17"/>
  <c r="AF356" i="17"/>
  <c r="AB356" i="17"/>
  <c r="X356" i="17"/>
  <c r="AE356" i="17"/>
  <c r="AA356" i="17"/>
  <c r="W356" i="17"/>
  <c r="AH356" i="17"/>
  <c r="AD356" i="17"/>
  <c r="Z356" i="17"/>
  <c r="Y356" i="17"/>
  <c r="AG356" i="17"/>
  <c r="AC356" i="17"/>
  <c r="C358" i="17"/>
  <c r="AL357" i="17"/>
  <c r="B357" i="17"/>
  <c r="G357" i="17" s="1"/>
  <c r="C973" i="17" l="1"/>
  <c r="AL972" i="17"/>
  <c r="B972" i="17"/>
  <c r="G972" i="17" s="1"/>
  <c r="A973" i="17"/>
  <c r="AE971" i="17"/>
  <c r="AA971" i="17"/>
  <c r="W971" i="17"/>
  <c r="AH971" i="17"/>
  <c r="AD971" i="17"/>
  <c r="Z971" i="17"/>
  <c r="AG971" i="17"/>
  <c r="AC971" i="17"/>
  <c r="Y971" i="17"/>
  <c r="AB971" i="17"/>
  <c r="X971" i="17"/>
  <c r="AF971" i="17"/>
  <c r="AE357" i="17"/>
  <c r="AA357" i="17"/>
  <c r="W357" i="17"/>
  <c r="AH357" i="17"/>
  <c r="AD357" i="17"/>
  <c r="Z357" i="17"/>
  <c r="AG357" i="17"/>
  <c r="AC357" i="17"/>
  <c r="Y357" i="17"/>
  <c r="X357" i="17"/>
  <c r="AF357" i="17"/>
  <c r="AB357" i="17"/>
  <c r="C359" i="17"/>
  <c r="AL358" i="17"/>
  <c r="B358" i="17"/>
  <c r="G358" i="17" s="1"/>
  <c r="AE972" i="17" l="1"/>
  <c r="AA972" i="17"/>
  <c r="W972" i="17"/>
  <c r="AH972" i="17"/>
  <c r="AD972" i="17"/>
  <c r="Z972" i="17"/>
  <c r="AG972" i="17"/>
  <c r="AC972" i="17"/>
  <c r="Y972" i="17"/>
  <c r="X972" i="17"/>
  <c r="AF972" i="17"/>
  <c r="AB972" i="17"/>
  <c r="C974" i="17"/>
  <c r="AL973" i="17"/>
  <c r="B973" i="17"/>
  <c r="G973" i="17" s="1"/>
  <c r="A974" i="17"/>
  <c r="AH358" i="17"/>
  <c r="AD358" i="17"/>
  <c r="Z358" i="17"/>
  <c r="AG358" i="17"/>
  <c r="AC358" i="17"/>
  <c r="Y358" i="17"/>
  <c r="AF358" i="17"/>
  <c r="AB358" i="17"/>
  <c r="X358" i="17"/>
  <c r="W358" i="17"/>
  <c r="AE358" i="17"/>
  <c r="AA358" i="17"/>
  <c r="B359" i="17"/>
  <c r="G359" i="17" s="1"/>
  <c r="AL359" i="17"/>
  <c r="C360" i="17"/>
  <c r="AE973" i="17" l="1"/>
  <c r="AA973" i="17"/>
  <c r="W973" i="17"/>
  <c r="AH973" i="17"/>
  <c r="AD973" i="17"/>
  <c r="Z973" i="17"/>
  <c r="AG973" i="17"/>
  <c r="AC973" i="17"/>
  <c r="Y973" i="17"/>
  <c r="AF973" i="17"/>
  <c r="AB973" i="17"/>
  <c r="X973" i="17"/>
  <c r="C975" i="17"/>
  <c r="AL974" i="17"/>
  <c r="A975" i="17"/>
  <c r="B974" i="17"/>
  <c r="G974" i="17" s="1"/>
  <c r="AG359" i="17"/>
  <c r="AC359" i="17"/>
  <c r="Y359" i="17"/>
  <c r="AF359" i="17"/>
  <c r="AB359" i="17"/>
  <c r="X359" i="17"/>
  <c r="AE359" i="17"/>
  <c r="AA359" i="17"/>
  <c r="W359" i="17"/>
  <c r="Z359" i="17"/>
  <c r="AH359" i="17"/>
  <c r="AD359" i="17"/>
  <c r="B360" i="17"/>
  <c r="G360" i="17" s="1"/>
  <c r="C361" i="17"/>
  <c r="AL360" i="17"/>
  <c r="C976" i="17" l="1"/>
  <c r="AL975" i="17"/>
  <c r="B975" i="17"/>
  <c r="G975" i="17" s="1"/>
  <c r="A976" i="17"/>
  <c r="AH974" i="17"/>
  <c r="AD974" i="17"/>
  <c r="Z974" i="17"/>
  <c r="AG974" i="17"/>
  <c r="AC974" i="17"/>
  <c r="Y974" i="17"/>
  <c r="AF974" i="17"/>
  <c r="X974" i="17"/>
  <c r="AE974" i="17"/>
  <c r="W974" i="17"/>
  <c r="AB974" i="17"/>
  <c r="AA974" i="17"/>
  <c r="AF360" i="17"/>
  <c r="AB360" i="17"/>
  <c r="X360" i="17"/>
  <c r="AE360" i="17"/>
  <c r="AA360" i="17"/>
  <c r="W360" i="17"/>
  <c r="AH360" i="17"/>
  <c r="AD360" i="17"/>
  <c r="Z360" i="17"/>
  <c r="AG360" i="17"/>
  <c r="AC360" i="17"/>
  <c r="Y360" i="17"/>
  <c r="C362" i="17"/>
  <c r="AL361" i="17"/>
  <c r="B361" i="17"/>
  <c r="G361" i="17" s="1"/>
  <c r="AH975" i="17" l="1"/>
  <c r="AD975" i="17"/>
  <c r="Z975" i="17"/>
  <c r="AG975" i="17"/>
  <c r="AC975" i="17"/>
  <c r="Y975" i="17"/>
  <c r="AE975" i="17"/>
  <c r="W975" i="17"/>
  <c r="AB975" i="17"/>
  <c r="AA975" i="17"/>
  <c r="AF975" i="17"/>
  <c r="X975" i="17"/>
  <c r="C977" i="17"/>
  <c r="AL976" i="17"/>
  <c r="B976" i="17"/>
  <c r="G976" i="17" s="1"/>
  <c r="A977" i="17"/>
  <c r="AE361" i="17"/>
  <c r="AA361" i="17"/>
  <c r="W361" i="17"/>
  <c r="AH361" i="17"/>
  <c r="AD361" i="17"/>
  <c r="Z361" i="17"/>
  <c r="AG361" i="17"/>
  <c r="AC361" i="17"/>
  <c r="Y361" i="17"/>
  <c r="AF361" i="17"/>
  <c r="AB361" i="17"/>
  <c r="X361" i="17"/>
  <c r="C363" i="17"/>
  <c r="AL362" i="17"/>
  <c r="B362" i="17"/>
  <c r="G362" i="17" s="1"/>
  <c r="C978" i="17" l="1"/>
  <c r="AL977" i="17"/>
  <c r="B977" i="17"/>
  <c r="G977" i="17" s="1"/>
  <c r="A978" i="17"/>
  <c r="AH976" i="17"/>
  <c r="AD976" i="17"/>
  <c r="Z976" i="17"/>
  <c r="AG976" i="17"/>
  <c r="AC976" i="17"/>
  <c r="Y976" i="17"/>
  <c r="AB976" i="17"/>
  <c r="AA976" i="17"/>
  <c r="AF976" i="17"/>
  <c r="X976" i="17"/>
  <c r="AE976" i="17"/>
  <c r="W976" i="17"/>
  <c r="AH362" i="17"/>
  <c r="AD362" i="17"/>
  <c r="Z362" i="17"/>
  <c r="AG362" i="17"/>
  <c r="AC362" i="17"/>
  <c r="Y362" i="17"/>
  <c r="AF362" i="17"/>
  <c r="AB362" i="17"/>
  <c r="X362" i="17"/>
  <c r="AE362" i="17"/>
  <c r="AA362" i="17"/>
  <c r="W362" i="17"/>
  <c r="B363" i="17"/>
  <c r="G363" i="17" s="1"/>
  <c r="AL363" i="17"/>
  <c r="C364" i="17"/>
  <c r="C979" i="17" l="1"/>
  <c r="AL978" i="17"/>
  <c r="B978" i="17"/>
  <c r="G978" i="17" s="1"/>
  <c r="A979" i="17"/>
  <c r="AH977" i="17"/>
  <c r="AD977" i="17"/>
  <c r="Z977" i="17"/>
  <c r="AG977" i="17"/>
  <c r="AC977" i="17"/>
  <c r="Y977" i="17"/>
  <c r="AA977" i="17"/>
  <c r="AF977" i="17"/>
  <c r="X977" i="17"/>
  <c r="AE977" i="17"/>
  <c r="W977" i="17"/>
  <c r="AB977" i="17"/>
  <c r="AG363" i="17"/>
  <c r="AC363" i="17"/>
  <c r="Y363" i="17"/>
  <c r="AF363" i="17"/>
  <c r="AB363" i="17"/>
  <c r="X363" i="17"/>
  <c r="AE363" i="17"/>
  <c r="AA363" i="17"/>
  <c r="W363" i="17"/>
  <c r="AH363" i="17"/>
  <c r="AD363" i="17"/>
  <c r="Z363" i="17"/>
  <c r="B364" i="17"/>
  <c r="G364" i="17" s="1"/>
  <c r="C365" i="17"/>
  <c r="AL364" i="17"/>
  <c r="AH978" i="17" l="1"/>
  <c r="AD978" i="17"/>
  <c r="Z978" i="17"/>
  <c r="AG978" i="17"/>
  <c r="AC978" i="17"/>
  <c r="Y978" i="17"/>
  <c r="AF978" i="17"/>
  <c r="X978" i="17"/>
  <c r="AE978" i="17"/>
  <c r="W978" i="17"/>
  <c r="AB978" i="17"/>
  <c r="AA978" i="17"/>
  <c r="C980" i="17"/>
  <c r="AL979" i="17"/>
  <c r="B979" i="17"/>
  <c r="G979" i="17" s="1"/>
  <c r="A980" i="17"/>
  <c r="C366" i="17"/>
  <c r="AL365" i="17"/>
  <c r="B365" i="17"/>
  <c r="G365" i="17" s="1"/>
  <c r="AF364" i="17"/>
  <c r="AB364" i="17"/>
  <c r="X364" i="17"/>
  <c r="AE364" i="17"/>
  <c r="AA364" i="17"/>
  <c r="W364" i="17"/>
  <c r="AH364" i="17"/>
  <c r="AD364" i="17"/>
  <c r="Z364" i="17"/>
  <c r="AG364" i="17"/>
  <c r="AC364" i="17"/>
  <c r="Y364" i="17"/>
  <c r="AH979" i="17" l="1"/>
  <c r="AD979" i="17"/>
  <c r="Z979" i="17"/>
  <c r="AG979" i="17"/>
  <c r="AC979" i="17"/>
  <c r="Y979" i="17"/>
  <c r="AE979" i="17"/>
  <c r="W979" i="17"/>
  <c r="AB979" i="17"/>
  <c r="AA979" i="17"/>
  <c r="AF979" i="17"/>
  <c r="X979" i="17"/>
  <c r="C981" i="17"/>
  <c r="AL980" i="17"/>
  <c r="B980" i="17"/>
  <c r="G980" i="17" s="1"/>
  <c r="A981" i="17"/>
  <c r="AE365" i="17"/>
  <c r="AA365" i="17"/>
  <c r="W365" i="17"/>
  <c r="AH365" i="17"/>
  <c r="AD365" i="17"/>
  <c r="Z365" i="17"/>
  <c r="AG365" i="17"/>
  <c r="AC365" i="17"/>
  <c r="Y365" i="17"/>
  <c r="AF365" i="17"/>
  <c r="AB365" i="17"/>
  <c r="X365" i="17"/>
  <c r="C367" i="17"/>
  <c r="AL366" i="17"/>
  <c r="B366" i="17"/>
  <c r="G366" i="17" s="1"/>
  <c r="C982" i="17" l="1"/>
  <c r="AL981" i="17"/>
  <c r="B981" i="17"/>
  <c r="G981" i="17" s="1"/>
  <c r="A982" i="17"/>
  <c r="AH980" i="17"/>
  <c r="AD980" i="17"/>
  <c r="Z980" i="17"/>
  <c r="AG980" i="17"/>
  <c r="AC980" i="17"/>
  <c r="Y980" i="17"/>
  <c r="AF980" i="17"/>
  <c r="AB980" i="17"/>
  <c r="X980" i="17"/>
  <c r="AE980" i="17"/>
  <c r="AA980" i="17"/>
  <c r="W980" i="17"/>
  <c r="AH366" i="17"/>
  <c r="AD366" i="17"/>
  <c r="Z366" i="17"/>
  <c r="AG366" i="17"/>
  <c r="AC366" i="17"/>
  <c r="Y366" i="17"/>
  <c r="AF366" i="17"/>
  <c r="AB366" i="17"/>
  <c r="X366" i="17"/>
  <c r="AE366" i="17"/>
  <c r="AA366" i="17"/>
  <c r="W366" i="17"/>
  <c r="B367" i="17"/>
  <c r="G367" i="17" s="1"/>
  <c r="C368" i="17"/>
  <c r="AL367" i="17"/>
  <c r="AH981" i="17" l="1"/>
  <c r="AD981" i="17"/>
  <c r="Z981" i="17"/>
  <c r="AG981" i="17"/>
  <c r="AC981" i="17"/>
  <c r="Y981" i="17"/>
  <c r="AF981" i="17"/>
  <c r="AB981" i="17"/>
  <c r="X981" i="17"/>
  <c r="AE981" i="17"/>
  <c r="AA981" i="17"/>
  <c r="W981" i="17"/>
  <c r="C983" i="17"/>
  <c r="AL982" i="17"/>
  <c r="B982" i="17"/>
  <c r="G982" i="17" s="1"/>
  <c r="A983" i="17"/>
  <c r="B368" i="17"/>
  <c r="G368" i="17" s="1"/>
  <c r="C369" i="17"/>
  <c r="AL368" i="17"/>
  <c r="AG367" i="17"/>
  <c r="AC367" i="17"/>
  <c r="Y367" i="17"/>
  <c r="AF367" i="17"/>
  <c r="AB367" i="17"/>
  <c r="X367" i="17"/>
  <c r="AE367" i="17"/>
  <c r="AA367" i="17"/>
  <c r="W367" i="17"/>
  <c r="AH367" i="17"/>
  <c r="AD367" i="17"/>
  <c r="Z367" i="17"/>
  <c r="C984" i="17" l="1"/>
  <c r="AL983" i="17"/>
  <c r="B983" i="17"/>
  <c r="G983" i="17" s="1"/>
  <c r="A984" i="17"/>
  <c r="AH982" i="17"/>
  <c r="AD982" i="17"/>
  <c r="Z982" i="17"/>
  <c r="AG982" i="17"/>
  <c r="AC982" i="17"/>
  <c r="Y982" i="17"/>
  <c r="AF982" i="17"/>
  <c r="AB982" i="17"/>
  <c r="X982" i="17"/>
  <c r="AE982" i="17"/>
  <c r="AA982" i="17"/>
  <c r="W982" i="17"/>
  <c r="AF368" i="17"/>
  <c r="AB368" i="17"/>
  <c r="X368" i="17"/>
  <c r="AE368" i="17"/>
  <c r="AA368" i="17"/>
  <c r="W368" i="17"/>
  <c r="AH368" i="17"/>
  <c r="AD368" i="17"/>
  <c r="Z368" i="17"/>
  <c r="AC368" i="17"/>
  <c r="Y368" i="17"/>
  <c r="AG368" i="17"/>
  <c r="C370" i="17"/>
  <c r="AL369" i="17"/>
  <c r="B369" i="17"/>
  <c r="G369" i="17" s="1"/>
  <c r="AH983" i="17" l="1"/>
  <c r="AD983" i="17"/>
  <c r="Z983" i="17"/>
  <c r="AG983" i="17"/>
  <c r="AC983" i="17"/>
  <c r="Y983" i="17"/>
  <c r="AF983" i="17"/>
  <c r="AB983" i="17"/>
  <c r="X983" i="17"/>
  <c r="AE983" i="17"/>
  <c r="AA983" i="17"/>
  <c r="W983" i="17"/>
  <c r="C985" i="17"/>
  <c r="AL984" i="17"/>
  <c r="B984" i="17"/>
  <c r="G984" i="17" s="1"/>
  <c r="A985" i="17"/>
  <c r="AE369" i="17"/>
  <c r="AA369" i="17"/>
  <c r="W369" i="17"/>
  <c r="AH369" i="17"/>
  <c r="AD369" i="17"/>
  <c r="Z369" i="17"/>
  <c r="AG369" i="17"/>
  <c r="AC369" i="17"/>
  <c r="Y369" i="17"/>
  <c r="AB369" i="17"/>
  <c r="X369" i="17"/>
  <c r="AF369" i="17"/>
  <c r="C371" i="17"/>
  <c r="AL370" i="17"/>
  <c r="B370" i="17"/>
  <c r="G370" i="17" s="1"/>
  <c r="C986" i="17" l="1"/>
  <c r="AL985" i="17"/>
  <c r="B985" i="17"/>
  <c r="G985" i="17" s="1"/>
  <c r="A986" i="17"/>
  <c r="AH984" i="17"/>
  <c r="AD984" i="17"/>
  <c r="Z984" i="17"/>
  <c r="AG984" i="17"/>
  <c r="AC984" i="17"/>
  <c r="Y984" i="17"/>
  <c r="AF984" i="17"/>
  <c r="AB984" i="17"/>
  <c r="X984" i="17"/>
  <c r="AE984" i="17"/>
  <c r="AA984" i="17"/>
  <c r="W984" i="17"/>
  <c r="AH370" i="17"/>
  <c r="AD370" i="17"/>
  <c r="Z370" i="17"/>
  <c r="AG370" i="17"/>
  <c r="AC370" i="17"/>
  <c r="Y370" i="17"/>
  <c r="AF370" i="17"/>
  <c r="AB370" i="17"/>
  <c r="X370" i="17"/>
  <c r="AA370" i="17"/>
  <c r="W370" i="17"/>
  <c r="AE370" i="17"/>
  <c r="B371" i="17"/>
  <c r="G371" i="17" s="1"/>
  <c r="AL371" i="17"/>
  <c r="C372" i="17"/>
  <c r="C987" i="17" l="1"/>
  <c r="AL986" i="17"/>
  <c r="B986" i="17"/>
  <c r="G986" i="17" s="1"/>
  <c r="A987" i="17"/>
  <c r="AH985" i="17"/>
  <c r="AD985" i="17"/>
  <c r="Z985" i="17"/>
  <c r="AG985" i="17"/>
  <c r="AC985" i="17"/>
  <c r="Y985" i="17"/>
  <c r="AF985" i="17"/>
  <c r="AB985" i="17"/>
  <c r="X985" i="17"/>
  <c r="AE985" i="17"/>
  <c r="AA985" i="17"/>
  <c r="W985" i="17"/>
  <c r="AG371" i="17"/>
  <c r="AC371" i="17"/>
  <c r="Y371" i="17"/>
  <c r="AF371" i="17"/>
  <c r="AB371" i="17"/>
  <c r="X371" i="17"/>
  <c r="AE371" i="17"/>
  <c r="AA371" i="17"/>
  <c r="W371" i="17"/>
  <c r="AD371" i="17"/>
  <c r="Z371" i="17"/>
  <c r="AH371" i="17"/>
  <c r="B372" i="17"/>
  <c r="G372" i="17" s="1"/>
  <c r="C373" i="17"/>
  <c r="AL372" i="17"/>
  <c r="C988" i="17" l="1"/>
  <c r="AL987" i="17"/>
  <c r="B987" i="17"/>
  <c r="G987" i="17" s="1"/>
  <c r="A988" i="17"/>
  <c r="AH986" i="17"/>
  <c r="AD986" i="17"/>
  <c r="Z986" i="17"/>
  <c r="AG986" i="17"/>
  <c r="AC986" i="17"/>
  <c r="Y986" i="17"/>
  <c r="AF986" i="17"/>
  <c r="AB986" i="17"/>
  <c r="X986" i="17"/>
  <c r="AE986" i="17"/>
  <c r="AA986" i="17"/>
  <c r="W986" i="17"/>
  <c r="C374" i="17"/>
  <c r="AL373" i="17"/>
  <c r="B373" i="17"/>
  <c r="G373" i="17" s="1"/>
  <c r="AF372" i="17"/>
  <c r="AB372" i="17"/>
  <c r="X372" i="17"/>
  <c r="AE372" i="17"/>
  <c r="AA372" i="17"/>
  <c r="W372" i="17"/>
  <c r="AH372" i="17"/>
  <c r="AD372" i="17"/>
  <c r="Z372" i="17"/>
  <c r="Y372" i="17"/>
  <c r="AG372" i="17"/>
  <c r="AC372" i="17"/>
  <c r="AH987" i="17" l="1"/>
  <c r="AD987" i="17"/>
  <c r="Z987" i="17"/>
  <c r="AG987" i="17"/>
  <c r="AC987" i="17"/>
  <c r="Y987" i="17"/>
  <c r="AF987" i="17"/>
  <c r="AB987" i="17"/>
  <c r="X987" i="17"/>
  <c r="AE987" i="17"/>
  <c r="AA987" i="17"/>
  <c r="W987" i="17"/>
  <c r="C989" i="17"/>
  <c r="AL988" i="17"/>
  <c r="B988" i="17"/>
  <c r="G988" i="17" s="1"/>
  <c r="A989" i="17"/>
  <c r="AE373" i="17"/>
  <c r="AA373" i="17"/>
  <c r="W373" i="17"/>
  <c r="AH373" i="17"/>
  <c r="AD373" i="17"/>
  <c r="Z373" i="17"/>
  <c r="AG373" i="17"/>
  <c r="AC373" i="17"/>
  <c r="Y373" i="17"/>
  <c r="X373" i="17"/>
  <c r="AF373" i="17"/>
  <c r="AB373" i="17"/>
  <c r="C375" i="17"/>
  <c r="AL374" i="17"/>
  <c r="B374" i="17"/>
  <c r="G374" i="17" s="1"/>
  <c r="AH988" i="17" l="1"/>
  <c r="AD988" i="17"/>
  <c r="Z988" i="17"/>
  <c r="AG988" i="17"/>
  <c r="AC988" i="17"/>
  <c r="Y988" i="17"/>
  <c r="AF988" i="17"/>
  <c r="AB988" i="17"/>
  <c r="X988" i="17"/>
  <c r="AE988" i="17"/>
  <c r="AA988" i="17"/>
  <c r="W988" i="17"/>
  <c r="C990" i="17"/>
  <c r="AL989" i="17"/>
  <c r="B989" i="17"/>
  <c r="G989" i="17" s="1"/>
  <c r="A990" i="17"/>
  <c r="AH374" i="17"/>
  <c r="AD374" i="17"/>
  <c r="Z374" i="17"/>
  <c r="AG374" i="17"/>
  <c r="AC374" i="17"/>
  <c r="Y374" i="17"/>
  <c r="AF374" i="17"/>
  <c r="AB374" i="17"/>
  <c r="X374" i="17"/>
  <c r="W374" i="17"/>
  <c r="AE374" i="17"/>
  <c r="AA374" i="17"/>
  <c r="B375" i="17"/>
  <c r="G375" i="17" s="1"/>
  <c r="AL375" i="17"/>
  <c r="C376" i="17"/>
  <c r="AH989" i="17" l="1"/>
  <c r="AD989" i="17"/>
  <c r="Z989" i="17"/>
  <c r="AG989" i="17"/>
  <c r="AC989" i="17"/>
  <c r="Y989" i="17"/>
  <c r="AF989" i="17"/>
  <c r="AB989" i="17"/>
  <c r="X989" i="17"/>
  <c r="AE989" i="17"/>
  <c r="AA989" i="17"/>
  <c r="W989" i="17"/>
  <c r="C991" i="17"/>
  <c r="AL990" i="17"/>
  <c r="B990" i="17"/>
  <c r="G990" i="17" s="1"/>
  <c r="A991" i="17"/>
  <c r="AG375" i="17"/>
  <c r="AC375" i="17"/>
  <c r="Y375" i="17"/>
  <c r="AF375" i="17"/>
  <c r="AB375" i="17"/>
  <c r="X375" i="17"/>
  <c r="AE375" i="17"/>
  <c r="AA375" i="17"/>
  <c r="W375" i="17"/>
  <c r="Z375" i="17"/>
  <c r="AH375" i="17"/>
  <c r="AD375" i="17"/>
  <c r="B376" i="17"/>
  <c r="G376" i="17" s="1"/>
  <c r="C377" i="17"/>
  <c r="AL376" i="17"/>
  <c r="C992" i="17" l="1"/>
  <c r="AL991" i="17"/>
  <c r="B991" i="17"/>
  <c r="G991" i="17" s="1"/>
  <c r="A992" i="17"/>
  <c r="AH990" i="17"/>
  <c r="AD990" i="17"/>
  <c r="Z990" i="17"/>
  <c r="AG990" i="17"/>
  <c r="AC990" i="17"/>
  <c r="Y990" i="17"/>
  <c r="AF990" i="17"/>
  <c r="AB990" i="17"/>
  <c r="X990" i="17"/>
  <c r="AE990" i="17"/>
  <c r="AA990" i="17"/>
  <c r="W990" i="17"/>
  <c r="C378" i="17"/>
  <c r="AL377" i="17"/>
  <c r="B377" i="17"/>
  <c r="G377" i="17" s="1"/>
  <c r="AF376" i="17"/>
  <c r="AB376" i="17"/>
  <c r="X376" i="17"/>
  <c r="AE376" i="17"/>
  <c r="AA376" i="17"/>
  <c r="W376" i="17"/>
  <c r="AH376" i="17"/>
  <c r="AD376" i="17"/>
  <c r="Z376" i="17"/>
  <c r="AG376" i="17"/>
  <c r="AC376" i="17"/>
  <c r="Y376" i="17"/>
  <c r="AH991" i="17" l="1"/>
  <c r="AD991" i="17"/>
  <c r="Z991" i="17"/>
  <c r="AG991" i="17"/>
  <c r="AC991" i="17"/>
  <c r="Y991" i="17"/>
  <c r="AF991" i="17"/>
  <c r="AB991" i="17"/>
  <c r="X991" i="17"/>
  <c r="AE991" i="17"/>
  <c r="AA991" i="17"/>
  <c r="W991" i="17"/>
  <c r="C993" i="17"/>
  <c r="AL992" i="17"/>
  <c r="B992" i="17"/>
  <c r="G992" i="17" s="1"/>
  <c r="A993" i="17"/>
  <c r="AE377" i="17"/>
  <c r="AA377" i="17"/>
  <c r="W377" i="17"/>
  <c r="AH377" i="17"/>
  <c r="AD377" i="17"/>
  <c r="Z377" i="17"/>
  <c r="AG377" i="17"/>
  <c r="AC377" i="17"/>
  <c r="Y377" i="17"/>
  <c r="AF377" i="17"/>
  <c r="AB377" i="17"/>
  <c r="X377" i="17"/>
  <c r="C379" i="17"/>
  <c r="AL378" i="17"/>
  <c r="B378" i="17"/>
  <c r="G378" i="17" s="1"/>
  <c r="C994" i="17" l="1"/>
  <c r="AL993" i="17"/>
  <c r="B993" i="17"/>
  <c r="G993" i="17" s="1"/>
  <c r="A994" i="17"/>
  <c r="AH992" i="17"/>
  <c r="AD992" i="17"/>
  <c r="Z992" i="17"/>
  <c r="AG992" i="17"/>
  <c r="AC992" i="17"/>
  <c r="Y992" i="17"/>
  <c r="AF992" i="17"/>
  <c r="AB992" i="17"/>
  <c r="X992" i="17"/>
  <c r="AE992" i="17"/>
  <c r="AA992" i="17"/>
  <c r="W992" i="17"/>
  <c r="AH378" i="17"/>
  <c r="AD378" i="17"/>
  <c r="Z378" i="17"/>
  <c r="AG378" i="17"/>
  <c r="AC378" i="17"/>
  <c r="Y378" i="17"/>
  <c r="AF378" i="17"/>
  <c r="AB378" i="17"/>
  <c r="X378" i="17"/>
  <c r="AE378" i="17"/>
  <c r="AA378" i="17"/>
  <c r="W378" i="17"/>
  <c r="B379" i="17"/>
  <c r="G379" i="17" s="1"/>
  <c r="AL379" i="17"/>
  <c r="C380" i="17"/>
  <c r="AH993" i="17" l="1"/>
  <c r="AD993" i="17"/>
  <c r="Z993" i="17"/>
  <c r="AG993" i="17"/>
  <c r="AC993" i="17"/>
  <c r="Y993" i="17"/>
  <c r="AF993" i="17"/>
  <c r="AB993" i="17"/>
  <c r="X993" i="17"/>
  <c r="AE993" i="17"/>
  <c r="AA993" i="17"/>
  <c r="W993" i="17"/>
  <c r="C995" i="17"/>
  <c r="AL994" i="17"/>
  <c r="B994" i="17"/>
  <c r="G994" i="17" s="1"/>
  <c r="A995" i="17"/>
  <c r="AG379" i="17"/>
  <c r="AC379" i="17"/>
  <c r="Y379" i="17"/>
  <c r="AF379" i="17"/>
  <c r="AB379" i="17"/>
  <c r="X379" i="17"/>
  <c r="AE379" i="17"/>
  <c r="AA379" i="17"/>
  <c r="W379" i="17"/>
  <c r="AD379" i="17"/>
  <c r="AH379" i="17"/>
  <c r="Z379" i="17"/>
  <c r="B380" i="17"/>
  <c r="G380" i="17" s="1"/>
  <c r="C381" i="17"/>
  <c r="AL380" i="17"/>
  <c r="C996" i="17" l="1"/>
  <c r="AL995" i="17"/>
  <c r="B995" i="17"/>
  <c r="G995" i="17" s="1"/>
  <c r="A996" i="17"/>
  <c r="AH994" i="17"/>
  <c r="AD994" i="17"/>
  <c r="Z994" i="17"/>
  <c r="AG994" i="17"/>
  <c r="AC994" i="17"/>
  <c r="Y994" i="17"/>
  <c r="AF994" i="17"/>
  <c r="AB994" i="17"/>
  <c r="X994" i="17"/>
  <c r="AE994" i="17"/>
  <c r="AA994" i="17"/>
  <c r="W994" i="17"/>
  <c r="C382" i="17"/>
  <c r="AL381" i="17"/>
  <c r="B381" i="17"/>
  <c r="G381" i="17" s="1"/>
  <c r="AF380" i="17"/>
  <c r="AB380" i="17"/>
  <c r="X380" i="17"/>
  <c r="AE380" i="17"/>
  <c r="AA380" i="17"/>
  <c r="W380" i="17"/>
  <c r="AH380" i="17"/>
  <c r="AD380" i="17"/>
  <c r="Z380" i="17"/>
  <c r="Y380" i="17"/>
  <c r="AC380" i="17"/>
  <c r="AG380" i="17"/>
  <c r="C997" i="17" l="1"/>
  <c r="AL996" i="17"/>
  <c r="B996" i="17"/>
  <c r="G996" i="17" s="1"/>
  <c r="A997" i="17"/>
  <c r="AH995" i="17"/>
  <c r="AD995" i="17"/>
  <c r="Z995" i="17"/>
  <c r="AG995" i="17"/>
  <c r="AC995" i="17"/>
  <c r="Y995" i="17"/>
  <c r="AF995" i="17"/>
  <c r="AB995" i="17"/>
  <c r="X995" i="17"/>
  <c r="AE995" i="17"/>
  <c r="AA995" i="17"/>
  <c r="W995" i="17"/>
  <c r="AE381" i="17"/>
  <c r="AA381" i="17"/>
  <c r="W381" i="17"/>
  <c r="AH381" i="17"/>
  <c r="AD381" i="17"/>
  <c r="Z381" i="17"/>
  <c r="AG381" i="17"/>
  <c r="AC381" i="17"/>
  <c r="Y381" i="17"/>
  <c r="X381" i="17"/>
  <c r="AF381" i="17"/>
  <c r="AB381" i="17"/>
  <c r="C383" i="17"/>
  <c r="AL382" i="17"/>
  <c r="B382" i="17"/>
  <c r="G382" i="17" s="1"/>
  <c r="AH996" i="17" l="1"/>
  <c r="AD996" i="17"/>
  <c r="Z996" i="17"/>
  <c r="AG996" i="17"/>
  <c r="AC996" i="17"/>
  <c r="Y996" i="17"/>
  <c r="AF996" i="17"/>
  <c r="AB996" i="17"/>
  <c r="X996" i="17"/>
  <c r="AE996" i="17"/>
  <c r="AA996" i="17"/>
  <c r="W996" i="17"/>
  <c r="C998" i="17"/>
  <c r="AL997" i="17"/>
  <c r="B997" i="17"/>
  <c r="G997" i="17" s="1"/>
  <c r="A998" i="17"/>
  <c r="AH382" i="17"/>
  <c r="AD382" i="17"/>
  <c r="Z382" i="17"/>
  <c r="AG382" i="17"/>
  <c r="AC382" i="17"/>
  <c r="Y382" i="17"/>
  <c r="AF382" i="17"/>
  <c r="AB382" i="17"/>
  <c r="X382" i="17"/>
  <c r="W382" i="17"/>
  <c r="AE382" i="17"/>
  <c r="AA382" i="17"/>
  <c r="B383" i="17"/>
  <c r="G383" i="17" s="1"/>
  <c r="C384" i="17"/>
  <c r="AL383" i="17"/>
  <c r="AH997" i="17" l="1"/>
  <c r="AD997" i="17"/>
  <c r="Z997" i="17"/>
  <c r="AG997" i="17"/>
  <c r="AC997" i="17"/>
  <c r="Y997" i="17"/>
  <c r="AF997" i="17"/>
  <c r="AB997" i="17"/>
  <c r="X997" i="17"/>
  <c r="AE997" i="17"/>
  <c r="AA997" i="17"/>
  <c r="W997" i="17"/>
  <c r="C999" i="17"/>
  <c r="AL998" i="17"/>
  <c r="B998" i="17"/>
  <c r="G998" i="17" s="1"/>
  <c r="A999" i="17"/>
  <c r="B384" i="17"/>
  <c r="G384" i="17" s="1"/>
  <c r="C385" i="17"/>
  <c r="AL384" i="17"/>
  <c r="AG383" i="17"/>
  <c r="AC383" i="17"/>
  <c r="Y383" i="17"/>
  <c r="AF383" i="17"/>
  <c r="AB383" i="17"/>
  <c r="X383" i="17"/>
  <c r="AE383" i="17"/>
  <c r="AA383" i="17"/>
  <c r="W383" i="17"/>
  <c r="Z383" i="17"/>
  <c r="AH383" i="17"/>
  <c r="AD383" i="17"/>
  <c r="AH998" i="17" l="1"/>
  <c r="AD998" i="17"/>
  <c r="Z998" i="17"/>
  <c r="AG998" i="17"/>
  <c r="AC998" i="17"/>
  <c r="Y998" i="17"/>
  <c r="AF998" i="17"/>
  <c r="AB998" i="17"/>
  <c r="X998" i="17"/>
  <c r="AE998" i="17"/>
  <c r="AA998" i="17"/>
  <c r="W998" i="17"/>
  <c r="C1000" i="17"/>
  <c r="AL999" i="17"/>
  <c r="B999" i="17"/>
  <c r="G999" i="17" s="1"/>
  <c r="A1000" i="17"/>
  <c r="C386" i="17"/>
  <c r="AL385" i="17"/>
  <c r="B385" i="17"/>
  <c r="G385" i="17" s="1"/>
  <c r="AF384" i="17"/>
  <c r="AB384" i="17"/>
  <c r="X384" i="17"/>
  <c r="AE384" i="17"/>
  <c r="AA384" i="17"/>
  <c r="W384" i="17"/>
  <c r="AH384" i="17"/>
  <c r="AD384" i="17"/>
  <c r="Z384" i="17"/>
  <c r="AC384" i="17"/>
  <c r="AG384" i="17"/>
  <c r="Y384" i="17"/>
  <c r="C1001" i="17" l="1"/>
  <c r="AL1000" i="17"/>
  <c r="B1000" i="17"/>
  <c r="G1000" i="17" s="1"/>
  <c r="A1001" i="17"/>
  <c r="AH999" i="17"/>
  <c r="AD999" i="17"/>
  <c r="Z999" i="17"/>
  <c r="AG999" i="17"/>
  <c r="AC999" i="17"/>
  <c r="Y999" i="17"/>
  <c r="AF999" i="17"/>
  <c r="AB999" i="17"/>
  <c r="X999" i="17"/>
  <c r="AE999" i="17"/>
  <c r="AA999" i="17"/>
  <c r="W999" i="17"/>
  <c r="AE385" i="17"/>
  <c r="AA385" i="17"/>
  <c r="W385" i="17"/>
  <c r="AH385" i="17"/>
  <c r="AD385" i="17"/>
  <c r="Z385" i="17"/>
  <c r="AG385" i="17"/>
  <c r="AC385" i="17"/>
  <c r="Y385" i="17"/>
  <c r="AB385" i="17"/>
  <c r="AF385" i="17"/>
  <c r="X385" i="17"/>
  <c r="C387" i="17"/>
  <c r="AL386" i="17"/>
  <c r="B386" i="17"/>
  <c r="G386" i="17" s="1"/>
  <c r="C1002" i="17" l="1"/>
  <c r="AL1001" i="17"/>
  <c r="B1001" i="17"/>
  <c r="G1001" i="17" s="1"/>
  <c r="A1002" i="17"/>
  <c r="AH1000" i="17"/>
  <c r="AD1000" i="17"/>
  <c r="Z1000" i="17"/>
  <c r="AG1000" i="17"/>
  <c r="AC1000" i="17"/>
  <c r="Y1000" i="17"/>
  <c r="AF1000" i="17"/>
  <c r="AB1000" i="17"/>
  <c r="X1000" i="17"/>
  <c r="AE1000" i="17"/>
  <c r="AA1000" i="17"/>
  <c r="W1000" i="17"/>
  <c r="B387" i="17"/>
  <c r="G387" i="17" s="1"/>
  <c r="AL387" i="17"/>
  <c r="C388" i="17"/>
  <c r="AH386" i="17"/>
  <c r="AD386" i="17"/>
  <c r="Z386" i="17"/>
  <c r="AG386" i="17"/>
  <c r="AC386" i="17"/>
  <c r="Y386" i="17"/>
  <c r="AF386" i="17"/>
  <c r="AB386" i="17"/>
  <c r="X386" i="17"/>
  <c r="AA386" i="17"/>
  <c r="AE386" i="17"/>
  <c r="W386" i="17"/>
  <c r="AH1001" i="17" l="1"/>
  <c r="AD1001" i="17"/>
  <c r="Z1001" i="17"/>
  <c r="AG1001" i="17"/>
  <c r="AC1001" i="17"/>
  <c r="Y1001" i="17"/>
  <c r="AF1001" i="17"/>
  <c r="AB1001" i="17"/>
  <c r="X1001" i="17"/>
  <c r="AE1001" i="17"/>
  <c r="AA1001" i="17"/>
  <c r="W1001" i="17"/>
  <c r="C1003" i="17"/>
  <c r="AL1002" i="17"/>
  <c r="B1002" i="17"/>
  <c r="G1002" i="17" s="1"/>
  <c r="A1003" i="17"/>
  <c r="AG387" i="17"/>
  <c r="AC387" i="17"/>
  <c r="Y387" i="17"/>
  <c r="AF387" i="17"/>
  <c r="AB387" i="17"/>
  <c r="X387" i="17"/>
  <c r="AE387" i="17"/>
  <c r="AA387" i="17"/>
  <c r="W387" i="17"/>
  <c r="AD387" i="17"/>
  <c r="AH387" i="17"/>
  <c r="Z387" i="17"/>
  <c r="B388" i="17"/>
  <c r="G388" i="17" s="1"/>
  <c r="C389" i="17"/>
  <c r="AL388" i="17"/>
  <c r="AH1002" i="17" l="1"/>
  <c r="AD1002" i="17"/>
  <c r="Z1002" i="17"/>
  <c r="AG1002" i="17"/>
  <c r="AC1002" i="17"/>
  <c r="Y1002" i="17"/>
  <c r="AF1002" i="17"/>
  <c r="AB1002" i="17"/>
  <c r="X1002" i="17"/>
  <c r="AE1002" i="17"/>
  <c r="AA1002" i="17"/>
  <c r="W1002" i="17"/>
  <c r="C1004" i="17"/>
  <c r="AL1003" i="17"/>
  <c r="B1003" i="17"/>
  <c r="G1003" i="17" s="1"/>
  <c r="A1004" i="17"/>
  <c r="C390" i="17"/>
  <c r="AL389" i="17"/>
  <c r="B389" i="17"/>
  <c r="G389" i="17" s="1"/>
  <c r="AF388" i="17"/>
  <c r="AB388" i="17"/>
  <c r="X388" i="17"/>
  <c r="AE388" i="17"/>
  <c r="AA388" i="17"/>
  <c r="W388" i="17"/>
  <c r="AH388" i="17"/>
  <c r="AD388" i="17"/>
  <c r="Z388" i="17"/>
  <c r="AG388" i="17"/>
  <c r="Y388" i="17"/>
  <c r="AC388" i="17"/>
  <c r="AH1003" i="17" l="1"/>
  <c r="AD1003" i="17"/>
  <c r="Z1003" i="17"/>
  <c r="AG1003" i="17"/>
  <c r="AC1003" i="17"/>
  <c r="Y1003" i="17"/>
  <c r="AF1003" i="17"/>
  <c r="AB1003" i="17"/>
  <c r="X1003" i="17"/>
  <c r="AE1003" i="17"/>
  <c r="AA1003" i="17"/>
  <c r="W1003" i="17"/>
  <c r="C1005" i="17"/>
  <c r="AL1004" i="17"/>
  <c r="B1004" i="17"/>
  <c r="G1004" i="17" s="1"/>
  <c r="A1005" i="17"/>
  <c r="AE389" i="17"/>
  <c r="AA389" i="17"/>
  <c r="W389" i="17"/>
  <c r="AH389" i="17"/>
  <c r="AD389" i="17"/>
  <c r="Z389" i="17"/>
  <c r="AG389" i="17"/>
  <c r="AC389" i="17"/>
  <c r="Y389" i="17"/>
  <c r="AF389" i="17"/>
  <c r="X389" i="17"/>
  <c r="AB389" i="17"/>
  <c r="C391" i="17"/>
  <c r="AL390" i="17"/>
  <c r="B390" i="17"/>
  <c r="G390" i="17" s="1"/>
  <c r="C1006" i="17" l="1"/>
  <c r="AL1005" i="17"/>
  <c r="B1005" i="17"/>
  <c r="G1005" i="17" s="1"/>
  <c r="A1006" i="17"/>
  <c r="AH1004" i="17"/>
  <c r="AD1004" i="17"/>
  <c r="Z1004" i="17"/>
  <c r="AG1004" i="17"/>
  <c r="AC1004" i="17"/>
  <c r="Y1004" i="17"/>
  <c r="AF1004" i="17"/>
  <c r="AB1004" i="17"/>
  <c r="X1004" i="17"/>
  <c r="AE1004" i="17"/>
  <c r="AA1004" i="17"/>
  <c r="W1004" i="17"/>
  <c r="AH390" i="17"/>
  <c r="AD390" i="17"/>
  <c r="Z390" i="17"/>
  <c r="AG390" i="17"/>
  <c r="AC390" i="17"/>
  <c r="Y390" i="17"/>
  <c r="AF390" i="17"/>
  <c r="AB390" i="17"/>
  <c r="X390" i="17"/>
  <c r="AE390" i="17"/>
  <c r="W390" i="17"/>
  <c r="AA390" i="17"/>
  <c r="B391" i="17"/>
  <c r="G391" i="17" s="1"/>
  <c r="C392" i="17"/>
  <c r="AL391" i="17"/>
  <c r="C1007" i="17" l="1"/>
  <c r="AL1006" i="17"/>
  <c r="B1006" i="17"/>
  <c r="G1006" i="17" s="1"/>
  <c r="A1007" i="17"/>
  <c r="AH1005" i="17"/>
  <c r="AD1005" i="17"/>
  <c r="Z1005" i="17"/>
  <c r="AG1005" i="17"/>
  <c r="AC1005" i="17"/>
  <c r="Y1005" i="17"/>
  <c r="AF1005" i="17"/>
  <c r="AB1005" i="17"/>
  <c r="X1005" i="17"/>
  <c r="AE1005" i="17"/>
  <c r="AA1005" i="17"/>
  <c r="W1005" i="17"/>
  <c r="B392" i="17"/>
  <c r="G392" i="17" s="1"/>
  <c r="C393" i="17"/>
  <c r="AL392" i="17"/>
  <c r="AG391" i="17"/>
  <c r="AC391" i="17"/>
  <c r="Y391" i="17"/>
  <c r="AF391" i="17"/>
  <c r="AB391" i="17"/>
  <c r="X391" i="17"/>
  <c r="AE391" i="17"/>
  <c r="AA391" i="17"/>
  <c r="W391" i="17"/>
  <c r="AH391" i="17"/>
  <c r="Z391" i="17"/>
  <c r="AD391" i="17"/>
  <c r="C1008" i="17" l="1"/>
  <c r="AL1007" i="17"/>
  <c r="B1007" i="17"/>
  <c r="G1007" i="17" s="1"/>
  <c r="A1008" i="17"/>
  <c r="AH1006" i="17"/>
  <c r="AD1006" i="17"/>
  <c r="Z1006" i="17"/>
  <c r="AG1006" i="17"/>
  <c r="AC1006" i="17"/>
  <c r="Y1006" i="17"/>
  <c r="AF1006" i="17"/>
  <c r="AB1006" i="17"/>
  <c r="X1006" i="17"/>
  <c r="AE1006" i="17"/>
  <c r="AA1006" i="17"/>
  <c r="W1006" i="17"/>
  <c r="C394" i="17"/>
  <c r="AL393" i="17"/>
  <c r="B393" i="17"/>
  <c r="G393" i="17" s="1"/>
  <c r="AF392" i="17"/>
  <c r="AB392" i="17"/>
  <c r="X392" i="17"/>
  <c r="AE392" i="17"/>
  <c r="AA392" i="17"/>
  <c r="W392" i="17"/>
  <c r="AH392" i="17"/>
  <c r="AD392" i="17"/>
  <c r="Z392" i="17"/>
  <c r="AC392" i="17"/>
  <c r="Y392" i="17"/>
  <c r="AG392" i="17"/>
  <c r="AH1007" i="17" l="1"/>
  <c r="AD1007" i="17"/>
  <c r="Z1007" i="17"/>
  <c r="AG1007" i="17"/>
  <c r="AC1007" i="17"/>
  <c r="Y1007" i="17"/>
  <c r="AF1007" i="17"/>
  <c r="AB1007" i="17"/>
  <c r="X1007" i="17"/>
  <c r="AE1007" i="17"/>
  <c r="AA1007" i="17"/>
  <c r="W1007" i="17"/>
  <c r="C1009" i="17"/>
  <c r="AL1008" i="17"/>
  <c r="B1008" i="17"/>
  <c r="G1008" i="17" s="1"/>
  <c r="A1009" i="17"/>
  <c r="C395" i="17"/>
  <c r="AL394" i="17"/>
  <c r="B394" i="17"/>
  <c r="G394" i="17" s="1"/>
  <c r="AE393" i="17"/>
  <c r="AA393" i="17"/>
  <c r="W393" i="17"/>
  <c r="AH393" i="17"/>
  <c r="AD393" i="17"/>
  <c r="Z393" i="17"/>
  <c r="AG393" i="17"/>
  <c r="AC393" i="17"/>
  <c r="Y393" i="17"/>
  <c r="AB393" i="17"/>
  <c r="X393" i="17"/>
  <c r="AF393" i="17"/>
  <c r="C1010" i="17" l="1"/>
  <c r="AL1009" i="17"/>
  <c r="B1009" i="17"/>
  <c r="G1009" i="17" s="1"/>
  <c r="A1010" i="17"/>
  <c r="AH1008" i="17"/>
  <c r="AD1008" i="17"/>
  <c r="Z1008" i="17"/>
  <c r="AG1008" i="17"/>
  <c r="AC1008" i="17"/>
  <c r="Y1008" i="17"/>
  <c r="AF1008" i="17"/>
  <c r="AB1008" i="17"/>
  <c r="X1008" i="17"/>
  <c r="AE1008" i="17"/>
  <c r="AA1008" i="17"/>
  <c r="W1008" i="17"/>
  <c r="AH394" i="17"/>
  <c r="AD394" i="17"/>
  <c r="Z394" i="17"/>
  <c r="AG394" i="17"/>
  <c r="AC394" i="17"/>
  <c r="Y394" i="17"/>
  <c r="AF394" i="17"/>
  <c r="AB394" i="17"/>
  <c r="X394" i="17"/>
  <c r="AA394" i="17"/>
  <c r="W394" i="17"/>
  <c r="AE394" i="17"/>
  <c r="B395" i="17"/>
  <c r="G395" i="17" s="1"/>
  <c r="AL395" i="17"/>
  <c r="C396" i="17"/>
  <c r="AH1009" i="17" l="1"/>
  <c r="AD1009" i="17"/>
  <c r="Z1009" i="17"/>
  <c r="AG1009" i="17"/>
  <c r="AC1009" i="17"/>
  <c r="Y1009" i="17"/>
  <c r="AF1009" i="17"/>
  <c r="AB1009" i="17"/>
  <c r="X1009" i="17"/>
  <c r="AE1009" i="17"/>
  <c r="AA1009" i="17"/>
  <c r="W1009" i="17"/>
  <c r="C1011" i="17"/>
  <c r="AL1010" i="17"/>
  <c r="B1010" i="17"/>
  <c r="G1010" i="17" s="1"/>
  <c r="A1011" i="17"/>
  <c r="B396" i="17"/>
  <c r="G396" i="17" s="1"/>
  <c r="C397" i="17"/>
  <c r="AL396" i="17"/>
  <c r="AG395" i="17"/>
  <c r="AC395" i="17"/>
  <c r="Y395" i="17"/>
  <c r="AF395" i="17"/>
  <c r="AB395" i="17"/>
  <c r="X395" i="17"/>
  <c r="AE395" i="17"/>
  <c r="AA395" i="17"/>
  <c r="W395" i="17"/>
  <c r="AD395" i="17"/>
  <c r="AH395" i="17"/>
  <c r="Z395" i="17"/>
  <c r="AH1010" i="17" l="1"/>
  <c r="AD1010" i="17"/>
  <c r="Z1010" i="17"/>
  <c r="AG1010" i="17"/>
  <c r="AC1010" i="17"/>
  <c r="Y1010" i="17"/>
  <c r="AF1010" i="17"/>
  <c r="AB1010" i="17"/>
  <c r="X1010" i="17"/>
  <c r="AE1010" i="17"/>
  <c r="AA1010" i="17"/>
  <c r="W1010" i="17"/>
  <c r="C1012" i="17"/>
  <c r="AL1011" i="17"/>
  <c r="B1011" i="17"/>
  <c r="G1011" i="17" s="1"/>
  <c r="A1012" i="17"/>
  <c r="AF396" i="17"/>
  <c r="AB396" i="17"/>
  <c r="X396" i="17"/>
  <c r="AE396" i="17"/>
  <c r="AA396" i="17"/>
  <c r="W396" i="17"/>
  <c r="AH396" i="17"/>
  <c r="AD396" i="17"/>
  <c r="Z396" i="17"/>
  <c r="Y396" i="17"/>
  <c r="AG396" i="17"/>
  <c r="AC396" i="17"/>
  <c r="C398" i="17"/>
  <c r="AL397" i="17"/>
  <c r="B397" i="17"/>
  <c r="G397" i="17" s="1"/>
  <c r="C1013" i="17" l="1"/>
  <c r="AL1012" i="17"/>
  <c r="B1012" i="17"/>
  <c r="G1012" i="17" s="1"/>
  <c r="A1013" i="17"/>
  <c r="AH1011" i="17"/>
  <c r="AD1011" i="17"/>
  <c r="Z1011" i="17"/>
  <c r="AG1011" i="17"/>
  <c r="AC1011" i="17"/>
  <c r="Y1011" i="17"/>
  <c r="AF1011" i="17"/>
  <c r="AB1011" i="17"/>
  <c r="X1011" i="17"/>
  <c r="AE1011" i="17"/>
  <c r="AA1011" i="17"/>
  <c r="W1011" i="17"/>
  <c r="AE397" i="17"/>
  <c r="AA397" i="17"/>
  <c r="W397" i="17"/>
  <c r="AH397" i="17"/>
  <c r="AD397" i="17"/>
  <c r="Z397" i="17"/>
  <c r="AG397" i="17"/>
  <c r="AC397" i="17"/>
  <c r="Y397" i="17"/>
  <c r="X397" i="17"/>
  <c r="AF397" i="17"/>
  <c r="AB397" i="17"/>
  <c r="C399" i="17"/>
  <c r="AL398" i="17"/>
  <c r="B398" i="17"/>
  <c r="G398" i="17" s="1"/>
  <c r="AH1012" i="17" l="1"/>
  <c r="AD1012" i="17"/>
  <c r="Z1012" i="17"/>
  <c r="AG1012" i="17"/>
  <c r="AC1012" i="17"/>
  <c r="Y1012" i="17"/>
  <c r="AF1012" i="17"/>
  <c r="AB1012" i="17"/>
  <c r="X1012" i="17"/>
  <c r="AE1012" i="17"/>
  <c r="AA1012" i="17"/>
  <c r="W1012" i="17"/>
  <c r="C1014" i="17"/>
  <c r="AL1013" i="17"/>
  <c r="B1013" i="17"/>
  <c r="G1013" i="17" s="1"/>
  <c r="A1014" i="17"/>
  <c r="AH398" i="17"/>
  <c r="AD398" i="17"/>
  <c r="Z398" i="17"/>
  <c r="AG398" i="17"/>
  <c r="AC398" i="17"/>
  <c r="Y398" i="17"/>
  <c r="AF398" i="17"/>
  <c r="AB398" i="17"/>
  <c r="X398" i="17"/>
  <c r="W398" i="17"/>
  <c r="AE398" i="17"/>
  <c r="AA398" i="17"/>
  <c r="B399" i="17"/>
  <c r="G399" i="17" s="1"/>
  <c r="C400" i="17"/>
  <c r="AL399" i="17"/>
  <c r="C1015" i="17" l="1"/>
  <c r="AL1014" i="17"/>
  <c r="B1014" i="17"/>
  <c r="G1014" i="17" s="1"/>
  <c r="A1015" i="17"/>
  <c r="AH1013" i="17"/>
  <c r="AD1013" i="17"/>
  <c r="Z1013" i="17"/>
  <c r="AG1013" i="17"/>
  <c r="AC1013" i="17"/>
  <c r="Y1013" i="17"/>
  <c r="AF1013" i="17"/>
  <c r="AB1013" i="17"/>
  <c r="X1013" i="17"/>
  <c r="AE1013" i="17"/>
  <c r="AA1013" i="17"/>
  <c r="W1013" i="17"/>
  <c r="AG399" i="17"/>
  <c r="AC399" i="17"/>
  <c r="Y399" i="17"/>
  <c r="AF399" i="17"/>
  <c r="AB399" i="17"/>
  <c r="X399" i="17"/>
  <c r="AE399" i="17"/>
  <c r="AA399" i="17"/>
  <c r="W399" i="17"/>
  <c r="Z399" i="17"/>
  <c r="AH399" i="17"/>
  <c r="AD399" i="17"/>
  <c r="B400" i="17"/>
  <c r="G400" i="17" s="1"/>
  <c r="C401" i="17"/>
  <c r="AL400" i="17"/>
  <c r="AH1014" i="17" l="1"/>
  <c r="AD1014" i="17"/>
  <c r="Z1014" i="17"/>
  <c r="AG1014" i="17"/>
  <c r="AC1014" i="17"/>
  <c r="Y1014" i="17"/>
  <c r="AF1014" i="17"/>
  <c r="AB1014" i="17"/>
  <c r="X1014" i="17"/>
  <c r="AE1014" i="17"/>
  <c r="AA1014" i="17"/>
  <c r="W1014" i="17"/>
  <c r="C1016" i="17"/>
  <c r="AL1015" i="17"/>
  <c r="B1015" i="17"/>
  <c r="G1015" i="17" s="1"/>
  <c r="A1016" i="17"/>
  <c r="AF400" i="17"/>
  <c r="AB400" i="17"/>
  <c r="X400" i="17"/>
  <c r="AE400" i="17"/>
  <c r="AA400" i="17"/>
  <c r="W400" i="17"/>
  <c r="AH400" i="17"/>
  <c r="AD400" i="17"/>
  <c r="Z400" i="17"/>
  <c r="AC400" i="17"/>
  <c r="AG400" i="17"/>
  <c r="Y400" i="17"/>
  <c r="C402" i="17"/>
  <c r="AL401" i="17"/>
  <c r="B401" i="17"/>
  <c r="G401" i="17" s="1"/>
  <c r="AH1015" i="17" l="1"/>
  <c r="AD1015" i="17"/>
  <c r="Z1015" i="17"/>
  <c r="AG1015" i="17"/>
  <c r="AC1015" i="17"/>
  <c r="Y1015" i="17"/>
  <c r="AF1015" i="17"/>
  <c r="AB1015" i="17"/>
  <c r="X1015" i="17"/>
  <c r="AE1015" i="17"/>
  <c r="AA1015" i="17"/>
  <c r="W1015" i="17"/>
  <c r="C1017" i="17"/>
  <c r="AL1016" i="17"/>
  <c r="B1016" i="17"/>
  <c r="G1016" i="17" s="1"/>
  <c r="A1017" i="17"/>
  <c r="AE401" i="17"/>
  <c r="AA401" i="17"/>
  <c r="W401" i="17"/>
  <c r="AH401" i="17"/>
  <c r="AD401" i="17"/>
  <c r="Z401" i="17"/>
  <c r="AG401" i="17"/>
  <c r="AC401" i="17"/>
  <c r="Y401" i="17"/>
  <c r="AB401" i="17"/>
  <c r="AF401" i="17"/>
  <c r="X401" i="17"/>
  <c r="C403" i="17"/>
  <c r="AL402" i="17"/>
  <c r="B402" i="17"/>
  <c r="G402" i="17" s="1"/>
  <c r="AH1016" i="17" l="1"/>
  <c r="AD1016" i="17"/>
  <c r="Z1016" i="17"/>
  <c r="AG1016" i="17"/>
  <c r="AC1016" i="17"/>
  <c r="Y1016" i="17"/>
  <c r="AF1016" i="17"/>
  <c r="AB1016" i="17"/>
  <c r="X1016" i="17"/>
  <c r="AE1016" i="17"/>
  <c r="AA1016" i="17"/>
  <c r="W1016" i="17"/>
  <c r="C1018" i="17"/>
  <c r="AL1017" i="17"/>
  <c r="B1017" i="17"/>
  <c r="G1017" i="17" s="1"/>
  <c r="A1018" i="17"/>
  <c r="AH402" i="17"/>
  <c r="AD402" i="17"/>
  <c r="Z402" i="17"/>
  <c r="AG402" i="17"/>
  <c r="AC402" i="17"/>
  <c r="Y402" i="17"/>
  <c r="AF402" i="17"/>
  <c r="AB402" i="17"/>
  <c r="X402" i="17"/>
  <c r="AA402" i="17"/>
  <c r="AE402" i="17"/>
  <c r="W402" i="17"/>
  <c r="B403" i="17"/>
  <c r="G403" i="17" s="1"/>
  <c r="AL403" i="17"/>
  <c r="C404" i="17"/>
  <c r="C1019" i="17" l="1"/>
  <c r="AL1018" i="17"/>
  <c r="B1018" i="17"/>
  <c r="G1018" i="17" s="1"/>
  <c r="A1019" i="17"/>
  <c r="AH1017" i="17"/>
  <c r="AD1017" i="17"/>
  <c r="Z1017" i="17"/>
  <c r="AG1017" i="17"/>
  <c r="AC1017" i="17"/>
  <c r="Y1017" i="17"/>
  <c r="AF1017" i="17"/>
  <c r="AB1017" i="17"/>
  <c r="X1017" i="17"/>
  <c r="AE1017" i="17"/>
  <c r="AA1017" i="17"/>
  <c r="W1017" i="17"/>
  <c r="AG403" i="17"/>
  <c r="AC403" i="17"/>
  <c r="Y403" i="17"/>
  <c r="AF403" i="17"/>
  <c r="AB403" i="17"/>
  <c r="X403" i="17"/>
  <c r="AE403" i="17"/>
  <c r="AA403" i="17"/>
  <c r="W403" i="17"/>
  <c r="AD403" i="17"/>
  <c r="Z403" i="17"/>
  <c r="AH403" i="17"/>
  <c r="B404" i="17"/>
  <c r="G404" i="17" s="1"/>
  <c r="C405" i="17"/>
  <c r="AL404" i="17"/>
  <c r="C1020" i="17" l="1"/>
  <c r="AL1019" i="17"/>
  <c r="B1019" i="17"/>
  <c r="G1019" i="17" s="1"/>
  <c r="A1020" i="17"/>
  <c r="AH1018" i="17"/>
  <c r="AD1018" i="17"/>
  <c r="Z1018" i="17"/>
  <c r="AG1018" i="17"/>
  <c r="AC1018" i="17"/>
  <c r="Y1018" i="17"/>
  <c r="AF1018" i="17"/>
  <c r="AB1018" i="17"/>
  <c r="X1018" i="17"/>
  <c r="AE1018" i="17"/>
  <c r="AA1018" i="17"/>
  <c r="W1018" i="17"/>
  <c r="C406" i="17"/>
  <c r="AL405" i="17"/>
  <c r="B405" i="17"/>
  <c r="G405" i="17" s="1"/>
  <c r="AF404" i="17"/>
  <c r="AB404" i="17"/>
  <c r="X404" i="17"/>
  <c r="AE404" i="17"/>
  <c r="AA404" i="17"/>
  <c r="W404" i="17"/>
  <c r="AH404" i="17"/>
  <c r="AD404" i="17"/>
  <c r="Z404" i="17"/>
  <c r="AG404" i="17"/>
  <c r="Y404" i="17"/>
  <c r="AC404" i="17"/>
  <c r="AH1019" i="17" l="1"/>
  <c r="AD1019" i="17"/>
  <c r="Z1019" i="17"/>
  <c r="AG1019" i="17"/>
  <c r="AC1019" i="17"/>
  <c r="Y1019" i="17"/>
  <c r="AF1019" i="17"/>
  <c r="AB1019" i="17"/>
  <c r="X1019" i="17"/>
  <c r="AE1019" i="17"/>
  <c r="AA1019" i="17"/>
  <c r="W1019" i="17"/>
  <c r="C1021" i="17"/>
  <c r="AL1020" i="17"/>
  <c r="B1020" i="17"/>
  <c r="G1020" i="17" s="1"/>
  <c r="A1021" i="17"/>
  <c r="C407" i="17"/>
  <c r="AL406" i="17"/>
  <c r="B406" i="17"/>
  <c r="G406" i="17" s="1"/>
  <c r="AE405" i="17"/>
  <c r="AA405" i="17"/>
  <c r="W405" i="17"/>
  <c r="AH405" i="17"/>
  <c r="AD405" i="17"/>
  <c r="Z405" i="17"/>
  <c r="AG405" i="17"/>
  <c r="AC405" i="17"/>
  <c r="Y405" i="17"/>
  <c r="AF405" i="17"/>
  <c r="X405" i="17"/>
  <c r="AB405" i="17"/>
  <c r="C1022" i="17" l="1"/>
  <c r="AL1021" i="17"/>
  <c r="A1022" i="17"/>
  <c r="B1021" i="17"/>
  <c r="G1021" i="17" s="1"/>
  <c r="AH1020" i="17"/>
  <c r="AD1020" i="17"/>
  <c r="Z1020" i="17"/>
  <c r="AG1020" i="17"/>
  <c r="AC1020" i="17"/>
  <c r="Y1020" i="17"/>
  <c r="AF1020" i="17"/>
  <c r="AB1020" i="17"/>
  <c r="X1020" i="17"/>
  <c r="AE1020" i="17"/>
  <c r="AA1020" i="17"/>
  <c r="W1020" i="17"/>
  <c r="AH406" i="17"/>
  <c r="AD406" i="17"/>
  <c r="Z406" i="17"/>
  <c r="AG406" i="17"/>
  <c r="AC406" i="17"/>
  <c r="Y406" i="17"/>
  <c r="AF406" i="17"/>
  <c r="AB406" i="17"/>
  <c r="X406" i="17"/>
  <c r="AE406" i="17"/>
  <c r="W406" i="17"/>
  <c r="AA406" i="17"/>
  <c r="B407" i="17"/>
  <c r="G407" i="17" s="1"/>
  <c r="C408" i="17"/>
  <c r="AL407" i="17"/>
  <c r="AH1021" i="17" l="1"/>
  <c r="AD1021" i="17"/>
  <c r="Z1021" i="17"/>
  <c r="AG1021" i="17"/>
  <c r="AC1021" i="17"/>
  <c r="Y1021" i="17"/>
  <c r="AF1021" i="17"/>
  <c r="AB1021" i="17"/>
  <c r="X1021" i="17"/>
  <c r="AE1021" i="17"/>
  <c r="AA1021" i="17"/>
  <c r="W1021" i="17"/>
  <c r="C1023" i="17"/>
  <c r="AL1022" i="17"/>
  <c r="B1022" i="17"/>
  <c r="G1022" i="17" s="1"/>
  <c r="A1023" i="17"/>
  <c r="B408" i="17"/>
  <c r="G408" i="17" s="1"/>
  <c r="C409" i="17"/>
  <c r="AL408" i="17"/>
  <c r="AG407" i="17"/>
  <c r="AC407" i="17"/>
  <c r="Y407" i="17"/>
  <c r="AF407" i="17"/>
  <c r="AB407" i="17"/>
  <c r="X407" i="17"/>
  <c r="AE407" i="17"/>
  <c r="AA407" i="17"/>
  <c r="W407" i="17"/>
  <c r="AH407" i="17"/>
  <c r="Z407" i="17"/>
  <c r="AD407" i="17"/>
  <c r="C1024" i="17" l="1"/>
  <c r="AL1023" i="17"/>
  <c r="B1023" i="17"/>
  <c r="G1023" i="17" s="1"/>
  <c r="A1024" i="17"/>
  <c r="AH1022" i="17"/>
  <c r="AD1022" i="17"/>
  <c r="Z1022" i="17"/>
  <c r="AG1022" i="17"/>
  <c r="AC1022" i="17"/>
  <c r="Y1022" i="17"/>
  <c r="AA1022" i="17"/>
  <c r="AF1022" i="17"/>
  <c r="X1022" i="17"/>
  <c r="AE1022" i="17"/>
  <c r="W1022" i="17"/>
  <c r="AB1022" i="17"/>
  <c r="C410" i="17"/>
  <c r="AL409" i="17"/>
  <c r="B409" i="17"/>
  <c r="G409" i="17" s="1"/>
  <c r="AF408" i="17"/>
  <c r="AB408" i="17"/>
  <c r="X408" i="17"/>
  <c r="AE408" i="17"/>
  <c r="AA408" i="17"/>
  <c r="W408" i="17"/>
  <c r="AH408" i="17"/>
  <c r="Z408" i="17"/>
  <c r="AG408" i="17"/>
  <c r="Y408" i="17"/>
  <c r="AD408" i="17"/>
  <c r="AC408" i="17"/>
  <c r="AH1023" i="17" l="1"/>
  <c r="AD1023" i="17"/>
  <c r="Z1023" i="17"/>
  <c r="AG1023" i="17"/>
  <c r="AC1023" i="17"/>
  <c r="Y1023" i="17"/>
  <c r="AF1023" i="17"/>
  <c r="X1023" i="17"/>
  <c r="AE1023" i="17"/>
  <c r="W1023" i="17"/>
  <c r="AB1023" i="17"/>
  <c r="AA1023" i="17"/>
  <c r="C1025" i="17"/>
  <c r="AL1024" i="17"/>
  <c r="B1024" i="17"/>
  <c r="G1024" i="17" s="1"/>
  <c r="A1025" i="17"/>
  <c r="AE409" i="17"/>
  <c r="AA409" i="17"/>
  <c r="W409" i="17"/>
  <c r="AH409" i="17"/>
  <c r="AD409" i="17"/>
  <c r="Z409" i="17"/>
  <c r="AF409" i="17"/>
  <c r="X409" i="17"/>
  <c r="AC409" i="17"/>
  <c r="AB409" i="17"/>
  <c r="Y409" i="17"/>
  <c r="AG409" i="17"/>
  <c r="C411" i="17"/>
  <c r="AL410" i="17"/>
  <c r="B410" i="17"/>
  <c r="G410" i="17" s="1"/>
  <c r="C1026" i="17" l="1"/>
  <c r="AL1025" i="17"/>
  <c r="B1025" i="17"/>
  <c r="G1025" i="17" s="1"/>
  <c r="A1026" i="17"/>
  <c r="AH1024" i="17"/>
  <c r="AD1024" i="17"/>
  <c r="Z1024" i="17"/>
  <c r="AG1024" i="17"/>
  <c r="AC1024" i="17"/>
  <c r="Y1024" i="17"/>
  <c r="AE1024" i="17"/>
  <c r="W1024" i="17"/>
  <c r="AB1024" i="17"/>
  <c r="AA1024" i="17"/>
  <c r="AF1024" i="17"/>
  <c r="X1024" i="17"/>
  <c r="B411" i="17"/>
  <c r="G411" i="17" s="1"/>
  <c r="C412" i="17"/>
  <c r="AL411" i="17"/>
  <c r="AH410" i="17"/>
  <c r="AD410" i="17"/>
  <c r="Z410" i="17"/>
  <c r="AG410" i="17"/>
  <c r="AC410" i="17"/>
  <c r="Y410" i="17"/>
  <c r="AE410" i="17"/>
  <c r="W410" i="17"/>
  <c r="AB410" i="17"/>
  <c r="AA410" i="17"/>
  <c r="X410" i="17"/>
  <c r="AF410" i="17"/>
  <c r="AH1025" i="17" l="1"/>
  <c r="AD1025" i="17"/>
  <c r="Z1025" i="17"/>
  <c r="AG1025" i="17"/>
  <c r="AC1025" i="17"/>
  <c r="Y1025" i="17"/>
  <c r="AB1025" i="17"/>
  <c r="AA1025" i="17"/>
  <c r="AF1025" i="17"/>
  <c r="X1025" i="17"/>
  <c r="AE1025" i="17"/>
  <c r="W1025" i="17"/>
  <c r="C1027" i="17"/>
  <c r="AL1026" i="17"/>
  <c r="B1026" i="17"/>
  <c r="G1026" i="17" s="1"/>
  <c r="A1027" i="17"/>
  <c r="AG411" i="17"/>
  <c r="AC411" i="17"/>
  <c r="Y411" i="17"/>
  <c r="AF411" i="17"/>
  <c r="AB411" i="17"/>
  <c r="X411" i="17"/>
  <c r="AE411" i="17"/>
  <c r="W411" i="17"/>
  <c r="AD411" i="17"/>
  <c r="AA411" i="17"/>
  <c r="Z411" i="17"/>
  <c r="AH411" i="17"/>
  <c r="B412" i="17"/>
  <c r="G412" i="17" s="1"/>
  <c r="AL412" i="17"/>
  <c r="C413" i="17"/>
  <c r="C1028" i="17" l="1"/>
  <c r="AL1027" i="17"/>
  <c r="B1027" i="17"/>
  <c r="G1027" i="17" s="1"/>
  <c r="A1028" i="17"/>
  <c r="AH1026" i="17"/>
  <c r="AD1026" i="17"/>
  <c r="Z1026" i="17"/>
  <c r="AG1026" i="17"/>
  <c r="AC1026" i="17"/>
  <c r="Y1026" i="17"/>
  <c r="AA1026" i="17"/>
  <c r="AF1026" i="17"/>
  <c r="X1026" i="17"/>
  <c r="AE1026" i="17"/>
  <c r="W1026" i="17"/>
  <c r="AB1026" i="17"/>
  <c r="C414" i="17"/>
  <c r="AL413" i="17"/>
  <c r="B413" i="17"/>
  <c r="G413" i="17" s="1"/>
  <c r="AF412" i="17"/>
  <c r="AB412" i="17"/>
  <c r="X412" i="17"/>
  <c r="AE412" i="17"/>
  <c r="AA412" i="17"/>
  <c r="W412" i="17"/>
  <c r="AD412" i="17"/>
  <c r="AC412" i="17"/>
  <c r="AH412" i="17"/>
  <c r="Z412" i="17"/>
  <c r="Y412" i="17"/>
  <c r="AG412" i="17"/>
  <c r="AH1027" i="17" l="1"/>
  <c r="AD1027" i="17"/>
  <c r="Z1027" i="17"/>
  <c r="AG1027" i="17"/>
  <c r="AC1027" i="17"/>
  <c r="Y1027" i="17"/>
  <c r="AF1027" i="17"/>
  <c r="X1027" i="17"/>
  <c r="AE1027" i="17"/>
  <c r="W1027" i="17"/>
  <c r="AB1027" i="17"/>
  <c r="AA1027" i="17"/>
  <c r="C1029" i="17"/>
  <c r="AL1028" i="17"/>
  <c r="B1028" i="17"/>
  <c r="G1028" i="17" s="1"/>
  <c r="A1029" i="17"/>
  <c r="C415" i="17"/>
  <c r="AL414" i="17"/>
  <c r="B414" i="17"/>
  <c r="G414" i="17" s="1"/>
  <c r="AE413" i="17"/>
  <c r="AA413" i="17"/>
  <c r="W413" i="17"/>
  <c r="AH413" i="17"/>
  <c r="AD413" i="17"/>
  <c r="Z413" i="17"/>
  <c r="AB413" i="17"/>
  <c r="AG413" i="17"/>
  <c r="Y413" i="17"/>
  <c r="AF413" i="17"/>
  <c r="X413" i="17"/>
  <c r="AC413" i="17"/>
  <c r="C1030" i="17" l="1"/>
  <c r="AL1029" i="17"/>
  <c r="B1029" i="17"/>
  <c r="G1029" i="17" s="1"/>
  <c r="A1030" i="17"/>
  <c r="AH1028" i="17"/>
  <c r="AD1028" i="17"/>
  <c r="Z1028" i="17"/>
  <c r="AG1028" i="17"/>
  <c r="AC1028" i="17"/>
  <c r="Y1028" i="17"/>
  <c r="AE1028" i="17"/>
  <c r="W1028" i="17"/>
  <c r="AB1028" i="17"/>
  <c r="AA1028" i="17"/>
  <c r="AF1028" i="17"/>
  <c r="X1028" i="17"/>
  <c r="B415" i="17"/>
  <c r="G415" i="17" s="1"/>
  <c r="AL415" i="17"/>
  <c r="C416" i="17"/>
  <c r="AH414" i="17"/>
  <c r="AD414" i="17"/>
  <c r="Z414" i="17"/>
  <c r="AG414" i="17"/>
  <c r="AC414" i="17"/>
  <c r="Y414" i="17"/>
  <c r="AA414" i="17"/>
  <c r="AF414" i="17"/>
  <c r="X414" i="17"/>
  <c r="AE414" i="17"/>
  <c r="W414" i="17"/>
  <c r="AB414" i="17"/>
  <c r="C1031" i="17" l="1"/>
  <c r="AL1030" i="17"/>
  <c r="B1030" i="17"/>
  <c r="G1030" i="17" s="1"/>
  <c r="A1031" i="17"/>
  <c r="AH1029" i="17"/>
  <c r="AD1029" i="17"/>
  <c r="Z1029" i="17"/>
  <c r="AG1029" i="17"/>
  <c r="AC1029" i="17"/>
  <c r="Y1029" i="17"/>
  <c r="AB1029" i="17"/>
  <c r="AA1029" i="17"/>
  <c r="AF1029" i="17"/>
  <c r="X1029" i="17"/>
  <c r="AE1029" i="17"/>
  <c r="W1029" i="17"/>
  <c r="AG415" i="17"/>
  <c r="AC415" i="17"/>
  <c r="Y415" i="17"/>
  <c r="AF415" i="17"/>
  <c r="AB415" i="17"/>
  <c r="X415" i="17"/>
  <c r="AA415" i="17"/>
  <c r="AH415" i="17"/>
  <c r="Z415" i="17"/>
  <c r="AE415" i="17"/>
  <c r="W415" i="17"/>
  <c r="AD415" i="17"/>
  <c r="B416" i="17"/>
  <c r="G416" i="17" s="1"/>
  <c r="C417" i="17"/>
  <c r="AL416" i="17"/>
  <c r="C1032" i="17" l="1"/>
  <c r="AL1031" i="17"/>
  <c r="B1031" i="17"/>
  <c r="G1031" i="17" s="1"/>
  <c r="A1032" i="17"/>
  <c r="AH1030" i="17"/>
  <c r="AD1030" i="17"/>
  <c r="Z1030" i="17"/>
  <c r="AG1030" i="17"/>
  <c r="AC1030" i="17"/>
  <c r="Y1030" i="17"/>
  <c r="AA1030" i="17"/>
  <c r="AF1030" i="17"/>
  <c r="X1030" i="17"/>
  <c r="AE1030" i="17"/>
  <c r="W1030" i="17"/>
  <c r="AB1030" i="17"/>
  <c r="C418" i="17"/>
  <c r="AL417" i="17"/>
  <c r="B417" i="17"/>
  <c r="G417" i="17" s="1"/>
  <c r="AF416" i="17"/>
  <c r="AB416" i="17"/>
  <c r="X416" i="17"/>
  <c r="AE416" i="17"/>
  <c r="AA416" i="17"/>
  <c r="W416" i="17"/>
  <c r="AH416" i="17"/>
  <c r="Z416" i="17"/>
  <c r="AG416" i="17"/>
  <c r="Y416" i="17"/>
  <c r="AD416" i="17"/>
  <c r="AC416" i="17"/>
  <c r="AH1031" i="17" l="1"/>
  <c r="AD1031" i="17"/>
  <c r="Z1031" i="17"/>
  <c r="AG1031" i="17"/>
  <c r="AC1031" i="17"/>
  <c r="Y1031" i="17"/>
  <c r="AF1031" i="17"/>
  <c r="X1031" i="17"/>
  <c r="AE1031" i="17"/>
  <c r="W1031" i="17"/>
  <c r="AB1031" i="17"/>
  <c r="AA1031" i="17"/>
  <c r="C1033" i="17"/>
  <c r="AL1032" i="17"/>
  <c r="B1032" i="17"/>
  <c r="G1032" i="17" s="1"/>
  <c r="A1033" i="17"/>
  <c r="AE417" i="17"/>
  <c r="AA417" i="17"/>
  <c r="W417" i="17"/>
  <c r="AH417" i="17"/>
  <c r="AD417" i="17"/>
  <c r="Z417" i="17"/>
  <c r="AF417" i="17"/>
  <c r="X417" i="17"/>
  <c r="AC417" i="17"/>
  <c r="AB417" i="17"/>
  <c r="AG417" i="17"/>
  <c r="Y417" i="17"/>
  <c r="C419" i="17"/>
  <c r="AL418" i="17"/>
  <c r="B418" i="17"/>
  <c r="G418" i="17" s="1"/>
  <c r="C1034" i="17" l="1"/>
  <c r="AL1033" i="17"/>
  <c r="B1033" i="17"/>
  <c r="G1033" i="17" s="1"/>
  <c r="A1034" i="17"/>
  <c r="AE1032" i="17"/>
  <c r="AA1032" i="17"/>
  <c r="W1032" i="17"/>
  <c r="AH1032" i="17"/>
  <c r="AD1032" i="17"/>
  <c r="Z1032" i="17"/>
  <c r="AG1032" i="17"/>
  <c r="AC1032" i="17"/>
  <c r="Y1032" i="17"/>
  <c r="AF1032" i="17"/>
  <c r="AB1032" i="17"/>
  <c r="X1032" i="17"/>
  <c r="B419" i="17"/>
  <c r="G419" i="17" s="1"/>
  <c r="C420" i="17"/>
  <c r="AL419" i="17"/>
  <c r="AH418" i="17"/>
  <c r="AD418" i="17"/>
  <c r="Z418" i="17"/>
  <c r="AG418" i="17"/>
  <c r="AC418" i="17"/>
  <c r="Y418" i="17"/>
  <c r="AE418" i="17"/>
  <c r="W418" i="17"/>
  <c r="AB418" i="17"/>
  <c r="AA418" i="17"/>
  <c r="AF418" i="17"/>
  <c r="X418" i="17"/>
  <c r="AE1033" i="17" l="1"/>
  <c r="AA1033" i="17"/>
  <c r="W1033" i="17"/>
  <c r="AH1033" i="17"/>
  <c r="AD1033" i="17"/>
  <c r="Z1033" i="17"/>
  <c r="AG1033" i="17"/>
  <c r="AC1033" i="17"/>
  <c r="Y1033" i="17"/>
  <c r="AF1033" i="17"/>
  <c r="AB1033" i="17"/>
  <c r="X1033" i="17"/>
  <c r="C1035" i="17"/>
  <c r="AL1034" i="17"/>
  <c r="B1034" i="17"/>
  <c r="G1034" i="17" s="1"/>
  <c r="A1035" i="17"/>
  <c r="B420" i="17"/>
  <c r="G420" i="17" s="1"/>
  <c r="AL420" i="17"/>
  <c r="C421" i="17"/>
  <c r="AG419" i="17"/>
  <c r="AC419" i="17"/>
  <c r="Y419" i="17"/>
  <c r="AF419" i="17"/>
  <c r="AB419" i="17"/>
  <c r="X419" i="17"/>
  <c r="AE419" i="17"/>
  <c r="W419" i="17"/>
  <c r="AD419" i="17"/>
  <c r="AA419" i="17"/>
  <c r="AH419" i="17"/>
  <c r="Z419" i="17"/>
  <c r="AE1034" i="17" l="1"/>
  <c r="AA1034" i="17"/>
  <c r="W1034" i="17"/>
  <c r="AH1034" i="17"/>
  <c r="AD1034" i="17"/>
  <c r="Z1034" i="17"/>
  <c r="AG1034" i="17"/>
  <c r="AC1034" i="17"/>
  <c r="Y1034" i="17"/>
  <c r="AB1034" i="17"/>
  <c r="X1034" i="17"/>
  <c r="AF1034" i="17"/>
  <c r="C1036" i="17"/>
  <c r="AL1035" i="17"/>
  <c r="B1035" i="17"/>
  <c r="G1035" i="17" s="1"/>
  <c r="A1036" i="17"/>
  <c r="AF420" i="17"/>
  <c r="AB420" i="17"/>
  <c r="X420" i="17"/>
  <c r="AE420" i="17"/>
  <c r="AA420" i="17"/>
  <c r="W420" i="17"/>
  <c r="AD420" i="17"/>
  <c r="AC420" i="17"/>
  <c r="AH420" i="17"/>
  <c r="Z420" i="17"/>
  <c r="AG420" i="17"/>
  <c r="Y420" i="17"/>
  <c r="C422" i="17"/>
  <c r="AL421" i="17"/>
  <c r="B421" i="17"/>
  <c r="G421" i="17" s="1"/>
  <c r="C1037" i="17" l="1"/>
  <c r="AL1036" i="17"/>
  <c r="B1036" i="17"/>
  <c r="G1036" i="17" s="1"/>
  <c r="A1037" i="17"/>
  <c r="AE1035" i="17"/>
  <c r="AA1035" i="17"/>
  <c r="W1035" i="17"/>
  <c r="AH1035" i="17"/>
  <c r="AD1035" i="17"/>
  <c r="Z1035" i="17"/>
  <c r="AG1035" i="17"/>
  <c r="AC1035" i="17"/>
  <c r="Y1035" i="17"/>
  <c r="X1035" i="17"/>
  <c r="AF1035" i="17"/>
  <c r="AB1035" i="17"/>
  <c r="C423" i="17"/>
  <c r="AL422" i="17"/>
  <c r="B422" i="17"/>
  <c r="G422" i="17" s="1"/>
  <c r="AE421" i="17"/>
  <c r="AA421" i="17"/>
  <c r="W421" i="17"/>
  <c r="AH421" i="17"/>
  <c r="AD421" i="17"/>
  <c r="Z421" i="17"/>
  <c r="AB421" i="17"/>
  <c r="AG421" i="17"/>
  <c r="Y421" i="17"/>
  <c r="AF421" i="17"/>
  <c r="X421" i="17"/>
  <c r="AC421" i="17"/>
  <c r="C1038" i="17" l="1"/>
  <c r="AL1037" i="17"/>
  <c r="B1037" i="17"/>
  <c r="G1037" i="17" s="1"/>
  <c r="A1038" i="17"/>
  <c r="AE1036" i="17"/>
  <c r="AA1036" i="17"/>
  <c r="W1036" i="17"/>
  <c r="AH1036" i="17"/>
  <c r="AD1036" i="17"/>
  <c r="Z1036" i="17"/>
  <c r="AG1036" i="17"/>
  <c r="AC1036" i="17"/>
  <c r="Y1036" i="17"/>
  <c r="AF1036" i="17"/>
  <c r="AB1036" i="17"/>
  <c r="X1036" i="17"/>
  <c r="B423" i="17"/>
  <c r="G423" i="17" s="1"/>
  <c r="AL423" i="17"/>
  <c r="C424" i="17"/>
  <c r="AH422" i="17"/>
  <c r="AD422" i="17"/>
  <c r="Z422" i="17"/>
  <c r="AG422" i="17"/>
  <c r="AC422" i="17"/>
  <c r="Y422" i="17"/>
  <c r="AA422" i="17"/>
  <c r="AF422" i="17"/>
  <c r="X422" i="17"/>
  <c r="AE422" i="17"/>
  <c r="W422" i="17"/>
  <c r="AB422" i="17"/>
  <c r="C1039" i="17" l="1"/>
  <c r="AL1038" i="17"/>
  <c r="B1038" i="17"/>
  <c r="G1038" i="17" s="1"/>
  <c r="A1039" i="17"/>
  <c r="AE1037" i="17"/>
  <c r="AA1037" i="17"/>
  <c r="W1037" i="17"/>
  <c r="AH1037" i="17"/>
  <c r="AD1037" i="17"/>
  <c r="Z1037" i="17"/>
  <c r="AG1037" i="17"/>
  <c r="AC1037" i="17"/>
  <c r="Y1037" i="17"/>
  <c r="AF1037" i="17"/>
  <c r="AB1037" i="17"/>
  <c r="X1037" i="17"/>
  <c r="AG423" i="17"/>
  <c r="AC423" i="17"/>
  <c r="Y423" i="17"/>
  <c r="AF423" i="17"/>
  <c r="AB423" i="17"/>
  <c r="X423" i="17"/>
  <c r="AA423" i="17"/>
  <c r="AH423" i="17"/>
  <c r="Z423" i="17"/>
  <c r="AE423" i="17"/>
  <c r="W423" i="17"/>
  <c r="AD423" i="17"/>
  <c r="B424" i="17"/>
  <c r="G424" i="17" s="1"/>
  <c r="C425" i="17"/>
  <c r="AL424" i="17"/>
  <c r="C1040" i="17" l="1"/>
  <c r="AL1039" i="17"/>
  <c r="B1039" i="17"/>
  <c r="G1039" i="17" s="1"/>
  <c r="A1040" i="17"/>
  <c r="AE1038" i="17"/>
  <c r="AA1038" i="17"/>
  <c r="W1038" i="17"/>
  <c r="AH1038" i="17"/>
  <c r="AD1038" i="17"/>
  <c r="Z1038" i="17"/>
  <c r="AG1038" i="17"/>
  <c r="AC1038" i="17"/>
  <c r="Y1038" i="17"/>
  <c r="AB1038" i="17"/>
  <c r="X1038" i="17"/>
  <c r="AF1038" i="17"/>
  <c r="C426" i="17"/>
  <c r="AL425" i="17"/>
  <c r="B425" i="17"/>
  <c r="G425" i="17" s="1"/>
  <c r="AF424" i="17"/>
  <c r="AB424" i="17"/>
  <c r="X424" i="17"/>
  <c r="AE424" i="17"/>
  <c r="AA424" i="17"/>
  <c r="W424" i="17"/>
  <c r="AH424" i="17"/>
  <c r="Z424" i="17"/>
  <c r="AG424" i="17"/>
  <c r="Y424" i="17"/>
  <c r="AD424" i="17"/>
  <c r="AC424" i="17"/>
  <c r="C1041" i="17" l="1"/>
  <c r="AL1040" i="17"/>
  <c r="B1040" i="17"/>
  <c r="G1040" i="17" s="1"/>
  <c r="A1041" i="17"/>
  <c r="AE1039" i="17"/>
  <c r="AA1039" i="17"/>
  <c r="W1039" i="17"/>
  <c r="AH1039" i="17"/>
  <c r="AD1039" i="17"/>
  <c r="Z1039" i="17"/>
  <c r="AG1039" i="17"/>
  <c r="AC1039" i="17"/>
  <c r="Y1039" i="17"/>
  <c r="X1039" i="17"/>
  <c r="AF1039" i="17"/>
  <c r="AB1039" i="17"/>
  <c r="AE425" i="17"/>
  <c r="AA425" i="17"/>
  <c r="W425" i="17"/>
  <c r="AH425" i="17"/>
  <c r="AD425" i="17"/>
  <c r="Z425" i="17"/>
  <c r="AG425" i="17"/>
  <c r="AC425" i="17"/>
  <c r="Y425" i="17"/>
  <c r="AF425" i="17"/>
  <c r="AB425" i="17"/>
  <c r="X425" i="17"/>
  <c r="C427" i="17"/>
  <c r="AL426" i="17"/>
  <c r="B426" i="17"/>
  <c r="G426" i="17" s="1"/>
  <c r="C1042" i="17" l="1"/>
  <c r="AL1041" i="17"/>
  <c r="B1041" i="17"/>
  <c r="G1041" i="17" s="1"/>
  <c r="A1042" i="17"/>
  <c r="AE1040" i="17"/>
  <c r="AA1040" i="17"/>
  <c r="W1040" i="17"/>
  <c r="AH1040" i="17"/>
  <c r="AD1040" i="17"/>
  <c r="Z1040" i="17"/>
  <c r="AG1040" i="17"/>
  <c r="AC1040" i="17"/>
  <c r="Y1040" i="17"/>
  <c r="AF1040" i="17"/>
  <c r="AB1040" i="17"/>
  <c r="X1040" i="17"/>
  <c r="AH426" i="17"/>
  <c r="AD426" i="17"/>
  <c r="Z426" i="17"/>
  <c r="AG426" i="17"/>
  <c r="AC426" i="17"/>
  <c r="Y426" i="17"/>
  <c r="AF426" i="17"/>
  <c r="AB426" i="17"/>
  <c r="X426" i="17"/>
  <c r="AE426" i="17"/>
  <c r="AA426" i="17"/>
  <c r="W426" i="17"/>
  <c r="B427" i="17"/>
  <c r="G427" i="17" s="1"/>
  <c r="C428" i="17"/>
  <c r="AL427" i="17"/>
  <c r="AE1041" i="17" l="1"/>
  <c r="AA1041" i="17"/>
  <c r="W1041" i="17"/>
  <c r="AH1041" i="17"/>
  <c r="AD1041" i="17"/>
  <c r="Z1041" i="17"/>
  <c r="AG1041" i="17"/>
  <c r="AC1041" i="17"/>
  <c r="Y1041" i="17"/>
  <c r="AF1041" i="17"/>
  <c r="AB1041" i="17"/>
  <c r="X1041" i="17"/>
  <c r="C1043" i="17"/>
  <c r="AL1042" i="17"/>
  <c r="B1042" i="17"/>
  <c r="G1042" i="17" s="1"/>
  <c r="A1043" i="17"/>
  <c r="B428" i="17"/>
  <c r="G428" i="17" s="1"/>
  <c r="C429" i="17"/>
  <c r="AL428" i="17"/>
  <c r="AG427" i="17"/>
  <c r="AC427" i="17"/>
  <c r="Y427" i="17"/>
  <c r="AF427" i="17"/>
  <c r="AB427" i="17"/>
  <c r="X427" i="17"/>
  <c r="AE427" i="17"/>
  <c r="AA427" i="17"/>
  <c r="W427" i="17"/>
  <c r="AH427" i="17"/>
  <c r="AD427" i="17"/>
  <c r="Z427" i="17"/>
  <c r="AE1042" i="17" l="1"/>
  <c r="AA1042" i="17"/>
  <c r="W1042" i="17"/>
  <c r="AH1042" i="17"/>
  <c r="AD1042" i="17"/>
  <c r="Z1042" i="17"/>
  <c r="AG1042" i="17"/>
  <c r="AC1042" i="17"/>
  <c r="Y1042" i="17"/>
  <c r="AB1042" i="17"/>
  <c r="X1042" i="17"/>
  <c r="AF1042" i="17"/>
  <c r="C1044" i="17"/>
  <c r="AL1043" i="17"/>
  <c r="B1043" i="17"/>
  <c r="G1043" i="17" s="1"/>
  <c r="A1044" i="17"/>
  <c r="C430" i="17"/>
  <c r="AL429" i="17"/>
  <c r="B429" i="17"/>
  <c r="G429" i="17" s="1"/>
  <c r="AF428" i="17"/>
  <c r="AB428" i="17"/>
  <c r="X428" i="17"/>
  <c r="AE428" i="17"/>
  <c r="AA428" i="17"/>
  <c r="W428" i="17"/>
  <c r="AH428" i="17"/>
  <c r="AD428" i="17"/>
  <c r="Z428" i="17"/>
  <c r="AC428" i="17"/>
  <c r="Y428" i="17"/>
  <c r="AG428" i="17"/>
  <c r="AE1043" i="17" l="1"/>
  <c r="AA1043" i="17"/>
  <c r="W1043" i="17"/>
  <c r="AH1043" i="17"/>
  <c r="AD1043" i="17"/>
  <c r="Z1043" i="17"/>
  <c r="AG1043" i="17"/>
  <c r="AC1043" i="17"/>
  <c r="Y1043" i="17"/>
  <c r="X1043" i="17"/>
  <c r="AF1043" i="17"/>
  <c r="AB1043" i="17"/>
  <c r="C1045" i="17"/>
  <c r="AL1044" i="17"/>
  <c r="B1044" i="17"/>
  <c r="G1044" i="17" s="1"/>
  <c r="A1045" i="17"/>
  <c r="AE429" i="17"/>
  <c r="AA429" i="17"/>
  <c r="W429" i="17"/>
  <c r="AH429" i="17"/>
  <c r="AD429" i="17"/>
  <c r="Z429" i="17"/>
  <c r="AG429" i="17"/>
  <c r="AC429" i="17"/>
  <c r="Y429" i="17"/>
  <c r="AB429" i="17"/>
  <c r="X429" i="17"/>
  <c r="AF429" i="17"/>
  <c r="C431" i="17"/>
  <c r="AL430" i="17"/>
  <c r="B430" i="17"/>
  <c r="G430" i="17" s="1"/>
  <c r="C1046" i="17" l="1"/>
  <c r="AL1045" i="17"/>
  <c r="B1045" i="17"/>
  <c r="G1045" i="17" s="1"/>
  <c r="A1046" i="17"/>
  <c r="AE1044" i="17"/>
  <c r="AA1044" i="17"/>
  <c r="W1044" i="17"/>
  <c r="AH1044" i="17"/>
  <c r="AD1044" i="17"/>
  <c r="Z1044" i="17"/>
  <c r="AG1044" i="17"/>
  <c r="AC1044" i="17"/>
  <c r="Y1044" i="17"/>
  <c r="AF1044" i="17"/>
  <c r="AB1044" i="17"/>
  <c r="X1044" i="17"/>
  <c r="AH430" i="17"/>
  <c r="AD430" i="17"/>
  <c r="Z430" i="17"/>
  <c r="AG430" i="17"/>
  <c r="AC430" i="17"/>
  <c r="Y430" i="17"/>
  <c r="AF430" i="17"/>
  <c r="AB430" i="17"/>
  <c r="X430" i="17"/>
  <c r="AA430" i="17"/>
  <c r="W430" i="17"/>
  <c r="AE430" i="17"/>
  <c r="B431" i="17"/>
  <c r="G431" i="17" s="1"/>
  <c r="AL431" i="17"/>
  <c r="C432" i="17"/>
  <c r="C1047" i="17" l="1"/>
  <c r="AL1046" i="17"/>
  <c r="B1046" i="17"/>
  <c r="G1046" i="17" s="1"/>
  <c r="A1047" i="17"/>
  <c r="AE1045" i="17"/>
  <c r="AA1045" i="17"/>
  <c r="W1045" i="17"/>
  <c r="AH1045" i="17"/>
  <c r="AD1045" i="17"/>
  <c r="Z1045" i="17"/>
  <c r="AG1045" i="17"/>
  <c r="AC1045" i="17"/>
  <c r="Y1045" i="17"/>
  <c r="AF1045" i="17"/>
  <c r="AB1045" i="17"/>
  <c r="X1045" i="17"/>
  <c r="AG431" i="17"/>
  <c r="AC431" i="17"/>
  <c r="Y431" i="17"/>
  <c r="AF431" i="17"/>
  <c r="AB431" i="17"/>
  <c r="X431" i="17"/>
  <c r="AE431" i="17"/>
  <c r="AA431" i="17"/>
  <c r="W431" i="17"/>
  <c r="AD431" i="17"/>
  <c r="Z431" i="17"/>
  <c r="AH431" i="17"/>
  <c r="B432" i="17"/>
  <c r="G432" i="17" s="1"/>
  <c r="C433" i="17"/>
  <c r="AL432" i="17"/>
  <c r="C1048" i="17" l="1"/>
  <c r="AL1047" i="17"/>
  <c r="B1047" i="17"/>
  <c r="G1047" i="17" s="1"/>
  <c r="A1048" i="17"/>
  <c r="AE1046" i="17"/>
  <c r="AA1046" i="17"/>
  <c r="W1046" i="17"/>
  <c r="AH1046" i="17"/>
  <c r="AD1046" i="17"/>
  <c r="Z1046" i="17"/>
  <c r="AG1046" i="17"/>
  <c r="AC1046" i="17"/>
  <c r="Y1046" i="17"/>
  <c r="AB1046" i="17"/>
  <c r="X1046" i="17"/>
  <c r="AF1046" i="17"/>
  <c r="C434" i="17"/>
  <c r="AL433" i="17"/>
  <c r="B433" i="17"/>
  <c r="G433" i="17" s="1"/>
  <c r="AF432" i="17"/>
  <c r="AB432" i="17"/>
  <c r="X432" i="17"/>
  <c r="AE432" i="17"/>
  <c r="AA432" i="17"/>
  <c r="W432" i="17"/>
  <c r="AH432" i="17"/>
  <c r="AD432" i="17"/>
  <c r="Z432" i="17"/>
  <c r="Y432" i="17"/>
  <c r="AG432" i="17"/>
  <c r="AC432" i="17"/>
  <c r="AE1047" i="17" l="1"/>
  <c r="AA1047" i="17"/>
  <c r="W1047" i="17"/>
  <c r="AH1047" i="17"/>
  <c r="AD1047" i="17"/>
  <c r="Z1047" i="17"/>
  <c r="AG1047" i="17"/>
  <c r="AC1047" i="17"/>
  <c r="Y1047" i="17"/>
  <c r="X1047" i="17"/>
  <c r="AF1047" i="17"/>
  <c r="AB1047" i="17"/>
  <c r="C1049" i="17"/>
  <c r="AL1048" i="17"/>
  <c r="B1048" i="17"/>
  <c r="G1048" i="17" s="1"/>
  <c r="A1049" i="17"/>
  <c r="AE433" i="17"/>
  <c r="AA433" i="17"/>
  <c r="W433" i="17"/>
  <c r="AH433" i="17"/>
  <c r="AD433" i="17"/>
  <c r="Z433" i="17"/>
  <c r="AG433" i="17"/>
  <c r="AC433" i="17"/>
  <c r="Y433" i="17"/>
  <c r="X433" i="17"/>
  <c r="AF433" i="17"/>
  <c r="AB433" i="17"/>
  <c r="C435" i="17"/>
  <c r="AL434" i="17"/>
  <c r="B434" i="17"/>
  <c r="G434" i="17" s="1"/>
  <c r="AE1048" i="17" l="1"/>
  <c r="AA1048" i="17"/>
  <c r="W1048" i="17"/>
  <c r="AH1048" i="17"/>
  <c r="AD1048" i="17"/>
  <c r="Z1048" i="17"/>
  <c r="AG1048" i="17"/>
  <c r="AC1048" i="17"/>
  <c r="Y1048" i="17"/>
  <c r="AF1048" i="17"/>
  <c r="AB1048" i="17"/>
  <c r="X1048" i="17"/>
  <c r="C1050" i="17"/>
  <c r="AL1049" i="17"/>
  <c r="B1049" i="17"/>
  <c r="G1049" i="17" s="1"/>
  <c r="A1050" i="17"/>
  <c r="AH434" i="17"/>
  <c r="AD434" i="17"/>
  <c r="Z434" i="17"/>
  <c r="AG434" i="17"/>
  <c r="AC434" i="17"/>
  <c r="Y434" i="17"/>
  <c r="AF434" i="17"/>
  <c r="AB434" i="17"/>
  <c r="X434" i="17"/>
  <c r="W434" i="17"/>
  <c r="AE434" i="17"/>
  <c r="AA434" i="17"/>
  <c r="B435" i="17"/>
  <c r="G435" i="17" s="1"/>
  <c r="AL435" i="17"/>
  <c r="C436" i="17"/>
  <c r="C1051" i="17" l="1"/>
  <c r="AL1050" i="17"/>
  <c r="B1050" i="17"/>
  <c r="G1050" i="17" s="1"/>
  <c r="A1051" i="17"/>
  <c r="AE1049" i="17"/>
  <c r="AA1049" i="17"/>
  <c r="W1049" i="17"/>
  <c r="AH1049" i="17"/>
  <c r="AD1049" i="17"/>
  <c r="Z1049" i="17"/>
  <c r="AG1049" i="17"/>
  <c r="AC1049" i="17"/>
  <c r="Y1049" i="17"/>
  <c r="AF1049" i="17"/>
  <c r="AB1049" i="17"/>
  <c r="X1049" i="17"/>
  <c r="AG435" i="17"/>
  <c r="AC435" i="17"/>
  <c r="Y435" i="17"/>
  <c r="AF435" i="17"/>
  <c r="AB435" i="17"/>
  <c r="X435" i="17"/>
  <c r="AE435" i="17"/>
  <c r="AA435" i="17"/>
  <c r="W435" i="17"/>
  <c r="Z435" i="17"/>
  <c r="AH435" i="17"/>
  <c r="AD435" i="17"/>
  <c r="B436" i="17"/>
  <c r="G436" i="17" s="1"/>
  <c r="C437" i="17"/>
  <c r="AL436" i="17"/>
  <c r="C1052" i="17" l="1"/>
  <c r="AL1051" i="17"/>
  <c r="B1051" i="17"/>
  <c r="G1051" i="17" s="1"/>
  <c r="A1052" i="17"/>
  <c r="AE1050" i="17"/>
  <c r="AA1050" i="17"/>
  <c r="W1050" i="17"/>
  <c r="AH1050" i="17"/>
  <c r="AD1050" i="17"/>
  <c r="Z1050" i="17"/>
  <c r="AG1050" i="17"/>
  <c r="AC1050" i="17"/>
  <c r="Y1050" i="17"/>
  <c r="AB1050" i="17"/>
  <c r="X1050" i="17"/>
  <c r="AF1050" i="17"/>
  <c r="AF436" i="17"/>
  <c r="AB436" i="17"/>
  <c r="X436" i="17"/>
  <c r="AE436" i="17"/>
  <c r="AA436" i="17"/>
  <c r="W436" i="17"/>
  <c r="AH436" i="17"/>
  <c r="AD436" i="17"/>
  <c r="Z436" i="17"/>
  <c r="AG436" i="17"/>
  <c r="AC436" i="17"/>
  <c r="Y436" i="17"/>
  <c r="C438" i="17"/>
  <c r="AL437" i="17"/>
  <c r="B437" i="17"/>
  <c r="G437" i="17" s="1"/>
  <c r="C1053" i="17" l="1"/>
  <c r="AL1052" i="17"/>
  <c r="B1052" i="17"/>
  <c r="G1052" i="17" s="1"/>
  <c r="A1053" i="17"/>
  <c r="AE1051" i="17"/>
  <c r="AA1051" i="17"/>
  <c r="W1051" i="17"/>
  <c r="AH1051" i="17"/>
  <c r="AD1051" i="17"/>
  <c r="Z1051" i="17"/>
  <c r="AG1051" i="17"/>
  <c r="AC1051" i="17"/>
  <c r="Y1051" i="17"/>
  <c r="X1051" i="17"/>
  <c r="AF1051" i="17"/>
  <c r="AB1051" i="17"/>
  <c r="AE437" i="17"/>
  <c r="AA437" i="17"/>
  <c r="W437" i="17"/>
  <c r="AH437" i="17"/>
  <c r="AD437" i="17"/>
  <c r="Z437" i="17"/>
  <c r="AG437" i="17"/>
  <c r="AC437" i="17"/>
  <c r="Y437" i="17"/>
  <c r="AF437" i="17"/>
  <c r="AB437" i="17"/>
  <c r="X437" i="17"/>
  <c r="C439" i="17"/>
  <c r="AL438" i="17"/>
  <c r="B438" i="17"/>
  <c r="G438" i="17" s="1"/>
  <c r="C1054" i="17" l="1"/>
  <c r="AL1053" i="17"/>
  <c r="B1053" i="17"/>
  <c r="G1053" i="17" s="1"/>
  <c r="A1054" i="17"/>
  <c r="AE1052" i="17"/>
  <c r="AA1052" i="17"/>
  <c r="W1052" i="17"/>
  <c r="AH1052" i="17"/>
  <c r="AD1052" i="17"/>
  <c r="Z1052" i="17"/>
  <c r="AG1052" i="17"/>
  <c r="AC1052" i="17"/>
  <c r="Y1052" i="17"/>
  <c r="AF1052" i="17"/>
  <c r="AB1052" i="17"/>
  <c r="X1052" i="17"/>
  <c r="AH438" i="17"/>
  <c r="AD438" i="17"/>
  <c r="Z438" i="17"/>
  <c r="AG438" i="17"/>
  <c r="AC438" i="17"/>
  <c r="Y438" i="17"/>
  <c r="AF438" i="17"/>
  <c r="AB438" i="17"/>
  <c r="X438" i="17"/>
  <c r="AE438" i="17"/>
  <c r="AA438" i="17"/>
  <c r="W438" i="17"/>
  <c r="B439" i="17"/>
  <c r="G439" i="17" s="1"/>
  <c r="AL439" i="17"/>
  <c r="C440" i="17"/>
  <c r="C1055" i="17" l="1"/>
  <c r="AL1054" i="17"/>
  <c r="B1054" i="17"/>
  <c r="G1054" i="17" s="1"/>
  <c r="A1055" i="17"/>
  <c r="AE1053" i="17"/>
  <c r="AA1053" i="17"/>
  <c r="W1053" i="17"/>
  <c r="AH1053" i="17"/>
  <c r="AD1053" i="17"/>
  <c r="Z1053" i="17"/>
  <c r="AG1053" i="17"/>
  <c r="AC1053" i="17"/>
  <c r="Y1053" i="17"/>
  <c r="AF1053" i="17"/>
  <c r="AB1053" i="17"/>
  <c r="X1053" i="17"/>
  <c r="B440" i="17"/>
  <c r="G440" i="17" s="1"/>
  <c r="C441" i="17"/>
  <c r="AL440" i="17"/>
  <c r="AG439" i="17"/>
  <c r="AC439" i="17"/>
  <c r="Y439" i="17"/>
  <c r="AF439" i="17"/>
  <c r="AB439" i="17"/>
  <c r="X439" i="17"/>
  <c r="AE439" i="17"/>
  <c r="AA439" i="17"/>
  <c r="W439" i="17"/>
  <c r="AH439" i="17"/>
  <c r="AD439" i="17"/>
  <c r="Z439" i="17"/>
  <c r="C1056" i="17" l="1"/>
  <c r="AL1055" i="17"/>
  <c r="B1055" i="17"/>
  <c r="G1055" i="17" s="1"/>
  <c r="A1056" i="17"/>
  <c r="AE1054" i="17"/>
  <c r="AA1054" i="17"/>
  <c r="W1054" i="17"/>
  <c r="AH1054" i="17"/>
  <c r="AD1054" i="17"/>
  <c r="Z1054" i="17"/>
  <c r="AG1054" i="17"/>
  <c r="AC1054" i="17"/>
  <c r="Y1054" i="17"/>
  <c r="AB1054" i="17"/>
  <c r="X1054" i="17"/>
  <c r="AF1054" i="17"/>
  <c r="C442" i="17"/>
  <c r="AL441" i="17"/>
  <c r="B441" i="17"/>
  <c r="G441" i="17" s="1"/>
  <c r="AF440" i="17"/>
  <c r="AB440" i="17"/>
  <c r="X440" i="17"/>
  <c r="AE440" i="17"/>
  <c r="AA440" i="17"/>
  <c r="W440" i="17"/>
  <c r="AH440" i="17"/>
  <c r="AD440" i="17"/>
  <c r="Z440" i="17"/>
  <c r="AG440" i="17"/>
  <c r="AC440" i="17"/>
  <c r="Y440" i="17"/>
  <c r="C1057" i="17" l="1"/>
  <c r="AL1056" i="17"/>
  <c r="B1056" i="17"/>
  <c r="G1056" i="17" s="1"/>
  <c r="A1057" i="17"/>
  <c r="AE1055" i="17"/>
  <c r="AA1055" i="17"/>
  <c r="W1055" i="17"/>
  <c r="AH1055" i="17"/>
  <c r="AD1055" i="17"/>
  <c r="Z1055" i="17"/>
  <c r="AG1055" i="17"/>
  <c r="AC1055" i="17"/>
  <c r="Y1055" i="17"/>
  <c r="X1055" i="17"/>
  <c r="AF1055" i="17"/>
  <c r="AB1055" i="17"/>
  <c r="AE441" i="17"/>
  <c r="AA441" i="17"/>
  <c r="W441" i="17"/>
  <c r="AH441" i="17"/>
  <c r="AD441" i="17"/>
  <c r="Z441" i="17"/>
  <c r="AG441" i="17"/>
  <c r="AC441" i="17"/>
  <c r="Y441" i="17"/>
  <c r="AF441" i="17"/>
  <c r="AB441" i="17"/>
  <c r="X441" i="17"/>
  <c r="C443" i="17"/>
  <c r="AL442" i="17"/>
  <c r="B442" i="17"/>
  <c r="G442" i="17" s="1"/>
  <c r="C1058" i="17" l="1"/>
  <c r="AL1057" i="17"/>
  <c r="B1057" i="17"/>
  <c r="G1057" i="17" s="1"/>
  <c r="A1058" i="17"/>
  <c r="AE1056" i="17"/>
  <c r="AA1056" i="17"/>
  <c r="W1056" i="17"/>
  <c r="AH1056" i="17"/>
  <c r="AD1056" i="17"/>
  <c r="Z1056" i="17"/>
  <c r="AG1056" i="17"/>
  <c r="AC1056" i="17"/>
  <c r="Y1056" i="17"/>
  <c r="AF1056" i="17"/>
  <c r="AB1056" i="17"/>
  <c r="X1056" i="17"/>
  <c r="AH442" i="17"/>
  <c r="AD442" i="17"/>
  <c r="Z442" i="17"/>
  <c r="AG442" i="17"/>
  <c r="AC442" i="17"/>
  <c r="Y442" i="17"/>
  <c r="AF442" i="17"/>
  <c r="AB442" i="17"/>
  <c r="X442" i="17"/>
  <c r="AE442" i="17"/>
  <c r="AA442" i="17"/>
  <c r="W442" i="17"/>
  <c r="B443" i="17"/>
  <c r="G443" i="17" s="1"/>
  <c r="C444" i="17"/>
  <c r="AL443" i="17"/>
  <c r="C1059" i="17" l="1"/>
  <c r="AL1058" i="17"/>
  <c r="B1058" i="17"/>
  <c r="G1058" i="17" s="1"/>
  <c r="A1059" i="17"/>
  <c r="AE1057" i="17"/>
  <c r="AA1057" i="17"/>
  <c r="W1057" i="17"/>
  <c r="AH1057" i="17"/>
  <c r="AD1057" i="17"/>
  <c r="Z1057" i="17"/>
  <c r="AG1057" i="17"/>
  <c r="AC1057" i="17"/>
  <c r="Y1057" i="17"/>
  <c r="AF1057" i="17"/>
  <c r="AB1057" i="17"/>
  <c r="X1057" i="17"/>
  <c r="B444" i="17"/>
  <c r="G444" i="17" s="1"/>
  <c r="C445" i="17"/>
  <c r="AL444" i="17"/>
  <c r="AG443" i="17"/>
  <c r="AC443" i="17"/>
  <c r="Y443" i="17"/>
  <c r="AF443" i="17"/>
  <c r="AB443" i="17"/>
  <c r="X443" i="17"/>
  <c r="AE443" i="17"/>
  <c r="AA443" i="17"/>
  <c r="W443" i="17"/>
  <c r="AH443" i="17"/>
  <c r="AD443" i="17"/>
  <c r="Z443" i="17"/>
  <c r="C1060" i="17" l="1"/>
  <c r="AL1059" i="17"/>
  <c r="B1059" i="17"/>
  <c r="G1059" i="17" s="1"/>
  <c r="A1060" i="17"/>
  <c r="AE1058" i="17"/>
  <c r="AA1058" i="17"/>
  <c r="W1058" i="17"/>
  <c r="AH1058" i="17"/>
  <c r="AD1058" i="17"/>
  <c r="Z1058" i="17"/>
  <c r="AG1058" i="17"/>
  <c r="AC1058" i="17"/>
  <c r="Y1058" i="17"/>
  <c r="AB1058" i="17"/>
  <c r="X1058" i="17"/>
  <c r="AF1058" i="17"/>
  <c r="C446" i="17"/>
  <c r="AL445" i="17"/>
  <c r="B445" i="17"/>
  <c r="G445" i="17" s="1"/>
  <c r="AF444" i="17"/>
  <c r="AB444" i="17"/>
  <c r="X444" i="17"/>
  <c r="AE444" i="17"/>
  <c r="AA444" i="17"/>
  <c r="W444" i="17"/>
  <c r="AH444" i="17"/>
  <c r="AD444" i="17"/>
  <c r="Z444" i="17"/>
  <c r="AC444" i="17"/>
  <c r="Y444" i="17"/>
  <c r="AG444" i="17"/>
  <c r="C1061" i="17" l="1"/>
  <c r="AL1060" i="17"/>
  <c r="B1060" i="17"/>
  <c r="G1060" i="17" s="1"/>
  <c r="A1061" i="17"/>
  <c r="AE1059" i="17"/>
  <c r="AA1059" i="17"/>
  <c r="W1059" i="17"/>
  <c r="AH1059" i="17"/>
  <c r="AD1059" i="17"/>
  <c r="Z1059" i="17"/>
  <c r="AG1059" i="17"/>
  <c r="AC1059" i="17"/>
  <c r="Y1059" i="17"/>
  <c r="X1059" i="17"/>
  <c r="AF1059" i="17"/>
  <c r="AB1059" i="17"/>
  <c r="C447" i="17"/>
  <c r="AL446" i="17"/>
  <c r="B446" i="17"/>
  <c r="G446" i="17" s="1"/>
  <c r="AE445" i="17"/>
  <c r="AA445" i="17"/>
  <c r="W445" i="17"/>
  <c r="AH445" i="17"/>
  <c r="AD445" i="17"/>
  <c r="Z445" i="17"/>
  <c r="AG445" i="17"/>
  <c r="AC445" i="17"/>
  <c r="Y445" i="17"/>
  <c r="AB445" i="17"/>
  <c r="X445" i="17"/>
  <c r="AF445" i="17"/>
  <c r="C1062" i="17" l="1"/>
  <c r="AL1061" i="17"/>
  <c r="B1061" i="17"/>
  <c r="G1061" i="17" s="1"/>
  <c r="A1062" i="17"/>
  <c r="AE1060" i="17"/>
  <c r="AA1060" i="17"/>
  <c r="W1060" i="17"/>
  <c r="AH1060" i="17"/>
  <c r="AD1060" i="17"/>
  <c r="Z1060" i="17"/>
  <c r="AG1060" i="17"/>
  <c r="AC1060" i="17"/>
  <c r="Y1060" i="17"/>
  <c r="AF1060" i="17"/>
  <c r="AB1060" i="17"/>
  <c r="X1060" i="17"/>
  <c r="AH446" i="17"/>
  <c r="AD446" i="17"/>
  <c r="Z446" i="17"/>
  <c r="AG446" i="17"/>
  <c r="AC446" i="17"/>
  <c r="Y446" i="17"/>
  <c r="AF446" i="17"/>
  <c r="AB446" i="17"/>
  <c r="X446" i="17"/>
  <c r="AA446" i="17"/>
  <c r="W446" i="17"/>
  <c r="AE446" i="17"/>
  <c r="B447" i="17"/>
  <c r="G447" i="17" s="1"/>
  <c r="AL447" i="17"/>
  <c r="C448" i="17"/>
  <c r="C1063" i="17" l="1"/>
  <c r="AL1062" i="17"/>
  <c r="B1062" i="17"/>
  <c r="G1062" i="17" s="1"/>
  <c r="A1063" i="17"/>
  <c r="AE1061" i="17"/>
  <c r="AA1061" i="17"/>
  <c r="W1061" i="17"/>
  <c r="AH1061" i="17"/>
  <c r="AD1061" i="17"/>
  <c r="Z1061" i="17"/>
  <c r="AG1061" i="17"/>
  <c r="AC1061" i="17"/>
  <c r="Y1061" i="17"/>
  <c r="AF1061" i="17"/>
  <c r="AB1061" i="17"/>
  <c r="X1061" i="17"/>
  <c r="B448" i="17"/>
  <c r="G448" i="17" s="1"/>
  <c r="C449" i="17"/>
  <c r="AL448" i="17"/>
  <c r="AG447" i="17"/>
  <c r="AC447" i="17"/>
  <c r="Y447" i="17"/>
  <c r="AF447" i="17"/>
  <c r="AB447" i="17"/>
  <c r="X447" i="17"/>
  <c r="AE447" i="17"/>
  <c r="AA447" i="17"/>
  <c r="W447" i="17"/>
  <c r="AD447" i="17"/>
  <c r="Z447" i="17"/>
  <c r="AH447" i="17"/>
  <c r="C1064" i="17" l="1"/>
  <c r="AL1063" i="17"/>
  <c r="B1063" i="17"/>
  <c r="G1063" i="17" s="1"/>
  <c r="A1064" i="17"/>
  <c r="AE1062" i="17"/>
  <c r="AA1062" i="17"/>
  <c r="W1062" i="17"/>
  <c r="AH1062" i="17"/>
  <c r="AD1062" i="17"/>
  <c r="Z1062" i="17"/>
  <c r="AG1062" i="17"/>
  <c r="AC1062" i="17"/>
  <c r="Y1062" i="17"/>
  <c r="AB1062" i="17"/>
  <c r="X1062" i="17"/>
  <c r="AF1062" i="17"/>
  <c r="AF448" i="17"/>
  <c r="AB448" i="17"/>
  <c r="X448" i="17"/>
  <c r="AE448" i="17"/>
  <c r="AA448" i="17"/>
  <c r="W448" i="17"/>
  <c r="AH448" i="17"/>
  <c r="AD448" i="17"/>
  <c r="Z448" i="17"/>
  <c r="Y448" i="17"/>
  <c r="AG448" i="17"/>
  <c r="AC448" i="17"/>
  <c r="C450" i="17"/>
  <c r="AL449" i="17"/>
  <c r="B449" i="17"/>
  <c r="G449" i="17" s="1"/>
  <c r="C1065" i="17" l="1"/>
  <c r="AL1064" i="17"/>
  <c r="B1064" i="17"/>
  <c r="G1064" i="17" s="1"/>
  <c r="A1065" i="17"/>
  <c r="AE1063" i="17"/>
  <c r="AA1063" i="17"/>
  <c r="W1063" i="17"/>
  <c r="AH1063" i="17"/>
  <c r="AD1063" i="17"/>
  <c r="Z1063" i="17"/>
  <c r="AG1063" i="17"/>
  <c r="AC1063" i="17"/>
  <c r="Y1063" i="17"/>
  <c r="X1063" i="17"/>
  <c r="AF1063" i="17"/>
  <c r="AB1063" i="17"/>
  <c r="AE449" i="17"/>
  <c r="AA449" i="17"/>
  <c r="W449" i="17"/>
  <c r="AH449" i="17"/>
  <c r="AD449" i="17"/>
  <c r="Z449" i="17"/>
  <c r="AG449" i="17"/>
  <c r="AC449" i="17"/>
  <c r="Y449" i="17"/>
  <c r="X449" i="17"/>
  <c r="AF449" i="17"/>
  <c r="AB449" i="17"/>
  <c r="C451" i="17"/>
  <c r="AL450" i="17"/>
  <c r="B450" i="17"/>
  <c r="G450" i="17" s="1"/>
  <c r="C1066" i="17" l="1"/>
  <c r="AL1065" i="17"/>
  <c r="B1065" i="17"/>
  <c r="G1065" i="17" s="1"/>
  <c r="A1066" i="17"/>
  <c r="AE1064" i="17"/>
  <c r="AA1064" i="17"/>
  <c r="W1064" i="17"/>
  <c r="AH1064" i="17"/>
  <c r="AD1064" i="17"/>
  <c r="Z1064" i="17"/>
  <c r="AG1064" i="17"/>
  <c r="AC1064" i="17"/>
  <c r="Y1064" i="17"/>
  <c r="AF1064" i="17"/>
  <c r="AB1064" i="17"/>
  <c r="X1064" i="17"/>
  <c r="AH450" i="17"/>
  <c r="AD450" i="17"/>
  <c r="Z450" i="17"/>
  <c r="AG450" i="17"/>
  <c r="AC450" i="17"/>
  <c r="Y450" i="17"/>
  <c r="AF450" i="17"/>
  <c r="AB450" i="17"/>
  <c r="X450" i="17"/>
  <c r="W450" i="17"/>
  <c r="AE450" i="17"/>
  <c r="AA450" i="17"/>
  <c r="B451" i="17"/>
  <c r="G451" i="17" s="1"/>
  <c r="AL451" i="17"/>
  <c r="C452" i="17"/>
  <c r="C1067" i="17" l="1"/>
  <c r="AL1066" i="17"/>
  <c r="B1066" i="17"/>
  <c r="G1066" i="17" s="1"/>
  <c r="A1067" i="17"/>
  <c r="AE1065" i="17"/>
  <c r="AA1065" i="17"/>
  <c r="W1065" i="17"/>
  <c r="AH1065" i="17"/>
  <c r="AD1065" i="17"/>
  <c r="Z1065" i="17"/>
  <c r="AG1065" i="17"/>
  <c r="AC1065" i="17"/>
  <c r="Y1065" i="17"/>
  <c r="AF1065" i="17"/>
  <c r="AB1065" i="17"/>
  <c r="X1065" i="17"/>
  <c r="B452" i="17"/>
  <c r="G452" i="17" s="1"/>
  <c r="C453" i="17"/>
  <c r="AL452" i="17"/>
  <c r="AG451" i="17"/>
  <c r="AC451" i="17"/>
  <c r="Y451" i="17"/>
  <c r="AF451" i="17"/>
  <c r="AB451" i="17"/>
  <c r="X451" i="17"/>
  <c r="AE451" i="17"/>
  <c r="AA451" i="17"/>
  <c r="W451" i="17"/>
  <c r="Z451" i="17"/>
  <c r="AH451" i="17"/>
  <c r="AD451" i="17"/>
  <c r="C1068" i="17" l="1"/>
  <c r="AL1067" i="17"/>
  <c r="B1067" i="17"/>
  <c r="G1067" i="17" s="1"/>
  <c r="A1068" i="17"/>
  <c r="AE1066" i="17"/>
  <c r="AA1066" i="17"/>
  <c r="W1066" i="17"/>
  <c r="AH1066" i="17"/>
  <c r="AD1066" i="17"/>
  <c r="Z1066" i="17"/>
  <c r="AG1066" i="17"/>
  <c r="AC1066" i="17"/>
  <c r="Y1066" i="17"/>
  <c r="AB1066" i="17"/>
  <c r="X1066" i="17"/>
  <c r="AF1066" i="17"/>
  <c r="AF452" i="17"/>
  <c r="AB452" i="17"/>
  <c r="X452" i="17"/>
  <c r="AE452" i="17"/>
  <c r="AA452" i="17"/>
  <c r="W452" i="17"/>
  <c r="AH452" i="17"/>
  <c r="AD452" i="17"/>
  <c r="Z452" i="17"/>
  <c r="AG452" i="17"/>
  <c r="AC452" i="17"/>
  <c r="Y452" i="17"/>
  <c r="C454" i="17"/>
  <c r="AL453" i="17"/>
  <c r="B453" i="17"/>
  <c r="G453" i="17" s="1"/>
  <c r="C1069" i="17" l="1"/>
  <c r="AL1068" i="17"/>
  <c r="B1068" i="17"/>
  <c r="G1068" i="17" s="1"/>
  <c r="A1069" i="17"/>
  <c r="AE1067" i="17"/>
  <c r="AA1067" i="17"/>
  <c r="W1067" i="17"/>
  <c r="AH1067" i="17"/>
  <c r="AD1067" i="17"/>
  <c r="Z1067" i="17"/>
  <c r="AG1067" i="17"/>
  <c r="AC1067" i="17"/>
  <c r="Y1067" i="17"/>
  <c r="X1067" i="17"/>
  <c r="AF1067" i="17"/>
  <c r="AB1067" i="17"/>
  <c r="AE453" i="17"/>
  <c r="AA453" i="17"/>
  <c r="W453" i="17"/>
  <c r="AH453" i="17"/>
  <c r="AD453" i="17"/>
  <c r="Z453" i="17"/>
  <c r="AG453" i="17"/>
  <c r="AC453" i="17"/>
  <c r="Y453" i="17"/>
  <c r="AF453" i="17"/>
  <c r="AB453" i="17"/>
  <c r="X453" i="17"/>
  <c r="C455" i="17"/>
  <c r="AL454" i="17"/>
  <c r="B454" i="17"/>
  <c r="G454" i="17" s="1"/>
  <c r="C1070" i="17" l="1"/>
  <c r="AL1069" i="17"/>
  <c r="B1069" i="17"/>
  <c r="G1069" i="17" s="1"/>
  <c r="A1070" i="17"/>
  <c r="AE1068" i="17"/>
  <c r="AA1068" i="17"/>
  <c r="W1068" i="17"/>
  <c r="AH1068" i="17"/>
  <c r="AD1068" i="17"/>
  <c r="Z1068" i="17"/>
  <c r="AG1068" i="17"/>
  <c r="AC1068" i="17"/>
  <c r="Y1068" i="17"/>
  <c r="AF1068" i="17"/>
  <c r="AB1068" i="17"/>
  <c r="X1068" i="17"/>
  <c r="AH454" i="17"/>
  <c r="AD454" i="17"/>
  <c r="Z454" i="17"/>
  <c r="AG454" i="17"/>
  <c r="AC454" i="17"/>
  <c r="Y454" i="17"/>
  <c r="AF454" i="17"/>
  <c r="AB454" i="17"/>
  <c r="X454" i="17"/>
  <c r="AE454" i="17"/>
  <c r="AA454" i="17"/>
  <c r="W454" i="17"/>
  <c r="B455" i="17"/>
  <c r="G455" i="17" s="1"/>
  <c r="AL455" i="17"/>
  <c r="C456" i="17"/>
  <c r="C1071" i="17" l="1"/>
  <c r="AL1070" i="17"/>
  <c r="B1070" i="17"/>
  <c r="G1070" i="17" s="1"/>
  <c r="A1071" i="17"/>
  <c r="AE1069" i="17"/>
  <c r="AA1069" i="17"/>
  <c r="W1069" i="17"/>
  <c r="AH1069" i="17"/>
  <c r="AD1069" i="17"/>
  <c r="Z1069" i="17"/>
  <c r="AG1069" i="17"/>
  <c r="AC1069" i="17"/>
  <c r="Y1069" i="17"/>
  <c r="AF1069" i="17"/>
  <c r="AB1069" i="17"/>
  <c r="X1069" i="17"/>
  <c r="AG455" i="17"/>
  <c r="AC455" i="17"/>
  <c r="Y455" i="17"/>
  <c r="AF455" i="17"/>
  <c r="AB455" i="17"/>
  <c r="X455" i="17"/>
  <c r="AE455" i="17"/>
  <c r="AA455" i="17"/>
  <c r="W455" i="17"/>
  <c r="AH455" i="17"/>
  <c r="AD455" i="17"/>
  <c r="Z455" i="17"/>
  <c r="B456" i="17"/>
  <c r="G456" i="17" s="1"/>
  <c r="C457" i="17"/>
  <c r="AL456" i="17"/>
  <c r="C1072" i="17" l="1"/>
  <c r="AL1071" i="17"/>
  <c r="B1071" i="17"/>
  <c r="G1071" i="17" s="1"/>
  <c r="A1072" i="17"/>
  <c r="AE1070" i="17"/>
  <c r="AA1070" i="17"/>
  <c r="W1070" i="17"/>
  <c r="AH1070" i="17"/>
  <c r="AD1070" i="17"/>
  <c r="Z1070" i="17"/>
  <c r="AG1070" i="17"/>
  <c r="AC1070" i="17"/>
  <c r="Y1070" i="17"/>
  <c r="AB1070" i="17"/>
  <c r="X1070" i="17"/>
  <c r="AF1070" i="17"/>
  <c r="C458" i="17"/>
  <c r="AL457" i="17"/>
  <c r="B457" i="17"/>
  <c r="G457" i="17" s="1"/>
  <c r="AF456" i="17"/>
  <c r="AB456" i="17"/>
  <c r="X456" i="17"/>
  <c r="AE456" i="17"/>
  <c r="AA456" i="17"/>
  <c r="W456" i="17"/>
  <c r="AH456" i="17"/>
  <c r="AD456" i="17"/>
  <c r="Z456" i="17"/>
  <c r="AG456" i="17"/>
  <c r="AC456" i="17"/>
  <c r="Y456" i="17"/>
  <c r="AE1071" i="17" l="1"/>
  <c r="AA1071" i="17"/>
  <c r="W1071" i="17"/>
  <c r="AH1071" i="17"/>
  <c r="AD1071" i="17"/>
  <c r="Z1071" i="17"/>
  <c r="AG1071" i="17"/>
  <c r="AC1071" i="17"/>
  <c r="Y1071" i="17"/>
  <c r="X1071" i="17"/>
  <c r="AF1071" i="17"/>
  <c r="AB1071" i="17"/>
  <c r="C1073" i="17"/>
  <c r="AL1072" i="17"/>
  <c r="B1072" i="17"/>
  <c r="G1072" i="17" s="1"/>
  <c r="A1073" i="17"/>
  <c r="AE457" i="17"/>
  <c r="AA457" i="17"/>
  <c r="W457" i="17"/>
  <c r="AH457" i="17"/>
  <c r="AD457" i="17"/>
  <c r="Z457" i="17"/>
  <c r="AG457" i="17"/>
  <c r="AC457" i="17"/>
  <c r="Y457" i="17"/>
  <c r="AF457" i="17"/>
  <c r="AB457" i="17"/>
  <c r="X457" i="17"/>
  <c r="C459" i="17"/>
  <c r="AL458" i="17"/>
  <c r="B458" i="17"/>
  <c r="G458" i="17" s="1"/>
  <c r="C1074" i="17" l="1"/>
  <c r="AL1073" i="17"/>
  <c r="B1073" i="17"/>
  <c r="G1073" i="17" s="1"/>
  <c r="A1074" i="17"/>
  <c r="AE1072" i="17"/>
  <c r="AA1072" i="17"/>
  <c r="W1072" i="17"/>
  <c r="AH1072" i="17"/>
  <c r="AD1072" i="17"/>
  <c r="Z1072" i="17"/>
  <c r="AG1072" i="17"/>
  <c r="AC1072" i="17"/>
  <c r="Y1072" i="17"/>
  <c r="AF1072" i="17"/>
  <c r="AB1072" i="17"/>
  <c r="X1072" i="17"/>
  <c r="AH458" i="17"/>
  <c r="AD458" i="17"/>
  <c r="Z458" i="17"/>
  <c r="AG458" i="17"/>
  <c r="AC458" i="17"/>
  <c r="Y458" i="17"/>
  <c r="AF458" i="17"/>
  <c r="AB458" i="17"/>
  <c r="X458" i="17"/>
  <c r="AE458" i="17"/>
  <c r="AA458" i="17"/>
  <c r="W458" i="17"/>
  <c r="B459" i="17"/>
  <c r="G459" i="17" s="1"/>
  <c r="C460" i="17"/>
  <c r="AL459" i="17"/>
  <c r="C1075" i="17" l="1"/>
  <c r="AL1074" i="17"/>
  <c r="B1074" i="17"/>
  <c r="G1074" i="17" s="1"/>
  <c r="A1075" i="17"/>
  <c r="AE1073" i="17"/>
  <c r="AA1073" i="17"/>
  <c r="W1073" i="17"/>
  <c r="AH1073" i="17"/>
  <c r="AD1073" i="17"/>
  <c r="Z1073" i="17"/>
  <c r="AG1073" i="17"/>
  <c r="AC1073" i="17"/>
  <c r="Y1073" i="17"/>
  <c r="AF1073" i="17"/>
  <c r="AB1073" i="17"/>
  <c r="X1073" i="17"/>
  <c r="AG459" i="17"/>
  <c r="AC459" i="17"/>
  <c r="Y459" i="17"/>
  <c r="AF459" i="17"/>
  <c r="AB459" i="17"/>
  <c r="X459" i="17"/>
  <c r="AE459" i="17"/>
  <c r="AA459" i="17"/>
  <c r="W459" i="17"/>
  <c r="AH459" i="17"/>
  <c r="AD459" i="17"/>
  <c r="Z459" i="17"/>
  <c r="B460" i="17"/>
  <c r="G460" i="17" s="1"/>
  <c r="C461" i="17"/>
  <c r="AL460" i="17"/>
  <c r="C1076" i="17" l="1"/>
  <c r="AL1075" i="17"/>
  <c r="B1075" i="17"/>
  <c r="G1075" i="17" s="1"/>
  <c r="A1076" i="17"/>
  <c r="AE1074" i="17"/>
  <c r="AA1074" i="17"/>
  <c r="W1074" i="17"/>
  <c r="AH1074" i="17"/>
  <c r="AD1074" i="17"/>
  <c r="Z1074" i="17"/>
  <c r="AG1074" i="17"/>
  <c r="AC1074" i="17"/>
  <c r="Y1074" i="17"/>
  <c r="AB1074" i="17"/>
  <c r="X1074" i="17"/>
  <c r="AF1074" i="17"/>
  <c r="C462" i="17"/>
  <c r="AL461" i="17"/>
  <c r="B461" i="17"/>
  <c r="G461" i="17" s="1"/>
  <c r="AF460" i="17"/>
  <c r="AB460" i="17"/>
  <c r="X460" i="17"/>
  <c r="AE460" i="17"/>
  <c r="AA460" i="17"/>
  <c r="W460" i="17"/>
  <c r="AH460" i="17"/>
  <c r="AD460" i="17"/>
  <c r="Z460" i="17"/>
  <c r="AC460" i="17"/>
  <c r="Y460" i="17"/>
  <c r="AG460" i="17"/>
  <c r="C1077" i="17" l="1"/>
  <c r="AL1076" i="17"/>
  <c r="B1076" i="17"/>
  <c r="G1076" i="17" s="1"/>
  <c r="A1077" i="17"/>
  <c r="AE1075" i="17"/>
  <c r="AA1075" i="17"/>
  <c r="W1075" i="17"/>
  <c r="AH1075" i="17"/>
  <c r="AD1075" i="17"/>
  <c r="Z1075" i="17"/>
  <c r="AG1075" i="17"/>
  <c r="AC1075" i="17"/>
  <c r="Y1075" i="17"/>
  <c r="X1075" i="17"/>
  <c r="AF1075" i="17"/>
  <c r="AB1075" i="17"/>
  <c r="AE461" i="17"/>
  <c r="AA461" i="17"/>
  <c r="W461" i="17"/>
  <c r="AH461" i="17"/>
  <c r="AD461" i="17"/>
  <c r="Z461" i="17"/>
  <c r="AG461" i="17"/>
  <c r="AC461" i="17"/>
  <c r="Y461" i="17"/>
  <c r="AB461" i="17"/>
  <c r="X461" i="17"/>
  <c r="AF461" i="17"/>
  <c r="C463" i="17"/>
  <c r="AL462" i="17"/>
  <c r="B462" i="17"/>
  <c r="G462" i="17" s="1"/>
  <c r="A1078" i="17" l="1"/>
  <c r="AL1077" i="17"/>
  <c r="B1077" i="17"/>
  <c r="G1077" i="17" s="1"/>
  <c r="C1078" i="17"/>
  <c r="AE1076" i="17"/>
  <c r="AA1076" i="17"/>
  <c r="W1076" i="17"/>
  <c r="AH1076" i="17"/>
  <c r="AD1076" i="17"/>
  <c r="Z1076" i="17"/>
  <c r="AG1076" i="17"/>
  <c r="AC1076" i="17"/>
  <c r="Y1076" i="17"/>
  <c r="AF1076" i="17"/>
  <c r="AB1076" i="17"/>
  <c r="X1076" i="17"/>
  <c r="AH462" i="17"/>
  <c r="AD462" i="17"/>
  <c r="Z462" i="17"/>
  <c r="AG462" i="17"/>
  <c r="AC462" i="17"/>
  <c r="Y462" i="17"/>
  <c r="AF462" i="17"/>
  <c r="AB462" i="17"/>
  <c r="X462" i="17"/>
  <c r="AA462" i="17"/>
  <c r="W462" i="17"/>
  <c r="AE462" i="17"/>
  <c r="B463" i="17"/>
  <c r="G463" i="17" s="1"/>
  <c r="AL463" i="17"/>
  <c r="C464" i="17"/>
  <c r="B1078" i="17" l="1"/>
  <c r="G1078" i="17" s="1"/>
  <c r="C1079" i="17"/>
  <c r="A1079" i="17"/>
  <c r="AL1078" i="17"/>
  <c r="AG1077" i="17"/>
  <c r="AC1077" i="17"/>
  <c r="Y1077" i="17"/>
  <c r="AH1077" i="17"/>
  <c r="AB1077" i="17"/>
  <c r="W1077" i="17"/>
  <c r="AF1077" i="17"/>
  <c r="AA1077" i="17"/>
  <c r="AE1077" i="17"/>
  <c r="Z1077" i="17"/>
  <c r="AD1077" i="17"/>
  <c r="X1077" i="17"/>
  <c r="AG463" i="17"/>
  <c r="AC463" i="17"/>
  <c r="Y463" i="17"/>
  <c r="AF463" i="17"/>
  <c r="AB463" i="17"/>
  <c r="X463" i="17"/>
  <c r="AE463" i="17"/>
  <c r="AA463" i="17"/>
  <c r="W463" i="17"/>
  <c r="AD463" i="17"/>
  <c r="Z463" i="17"/>
  <c r="AH463" i="17"/>
  <c r="B464" i="17"/>
  <c r="G464" i="17" s="1"/>
  <c r="C465" i="17"/>
  <c r="AL464" i="17"/>
  <c r="AG1078" i="17" l="1"/>
  <c r="AC1078" i="17"/>
  <c r="Y1078" i="17"/>
  <c r="AD1078" i="17"/>
  <c r="X1078" i="17"/>
  <c r="AH1078" i="17"/>
  <c r="AB1078" i="17"/>
  <c r="W1078" i="17"/>
  <c r="AF1078" i="17"/>
  <c r="AA1078" i="17"/>
  <c r="AE1078" i="17"/>
  <c r="Z1078" i="17"/>
  <c r="B1079" i="17"/>
  <c r="G1079" i="17" s="1"/>
  <c r="C1080" i="17"/>
  <c r="A1080" i="17"/>
  <c r="AL1079" i="17"/>
  <c r="C466" i="17"/>
  <c r="AL465" i="17"/>
  <c r="B465" i="17"/>
  <c r="G465" i="17" s="1"/>
  <c r="AF464" i="17"/>
  <c r="AB464" i="17"/>
  <c r="X464" i="17"/>
  <c r="AE464" i="17"/>
  <c r="AA464" i="17"/>
  <c r="W464" i="17"/>
  <c r="AH464" i="17"/>
  <c r="AD464" i="17"/>
  <c r="Z464" i="17"/>
  <c r="Y464" i="17"/>
  <c r="AG464" i="17"/>
  <c r="AC464" i="17"/>
  <c r="AG1079" i="17" l="1"/>
  <c r="AC1079" i="17"/>
  <c r="Y1079" i="17"/>
  <c r="AE1079" i="17"/>
  <c r="Z1079" i="17"/>
  <c r="AD1079" i="17"/>
  <c r="X1079" i="17"/>
  <c r="AH1079" i="17"/>
  <c r="AB1079" i="17"/>
  <c r="W1079" i="17"/>
  <c r="AF1079" i="17"/>
  <c r="AA1079" i="17"/>
  <c r="B1080" i="17"/>
  <c r="G1080" i="17" s="1"/>
  <c r="AL1080" i="17"/>
  <c r="C1081" i="17"/>
  <c r="A1081" i="17"/>
  <c r="AE465" i="17"/>
  <c r="AA465" i="17"/>
  <c r="W465" i="17"/>
  <c r="AH465" i="17"/>
  <c r="AD465" i="17"/>
  <c r="Z465" i="17"/>
  <c r="AG465" i="17"/>
  <c r="AC465" i="17"/>
  <c r="Y465" i="17"/>
  <c r="X465" i="17"/>
  <c r="AF465" i="17"/>
  <c r="AB465" i="17"/>
  <c r="C467" i="17"/>
  <c r="AL466" i="17"/>
  <c r="B466" i="17"/>
  <c r="G466" i="17" s="1"/>
  <c r="B1081" i="17" l="1"/>
  <c r="G1081" i="17" s="1"/>
  <c r="A1082" i="17"/>
  <c r="C1082" i="17"/>
  <c r="AL1081" i="17"/>
  <c r="AG1080" i="17"/>
  <c r="AC1080" i="17"/>
  <c r="Y1080" i="17"/>
  <c r="AF1080" i="17"/>
  <c r="AA1080" i="17"/>
  <c r="AE1080" i="17"/>
  <c r="Z1080" i="17"/>
  <c r="AD1080" i="17"/>
  <c r="X1080" i="17"/>
  <c r="AB1080" i="17"/>
  <c r="W1080" i="17"/>
  <c r="AH1080" i="17"/>
  <c r="B467" i="17"/>
  <c r="G467" i="17" s="1"/>
  <c r="AL467" i="17"/>
  <c r="C468" i="17"/>
  <c r="AH466" i="17"/>
  <c r="AD466" i="17"/>
  <c r="Z466" i="17"/>
  <c r="AG466" i="17"/>
  <c r="AC466" i="17"/>
  <c r="Y466" i="17"/>
  <c r="AF466" i="17"/>
  <c r="AB466" i="17"/>
  <c r="X466" i="17"/>
  <c r="W466" i="17"/>
  <c r="AE466" i="17"/>
  <c r="AA466" i="17"/>
  <c r="AG1081" i="17" l="1"/>
  <c r="AC1081" i="17"/>
  <c r="Y1081" i="17"/>
  <c r="AF1081" i="17"/>
  <c r="AB1081" i="17"/>
  <c r="X1081" i="17"/>
  <c r="AD1081" i="17"/>
  <c r="AA1081" i="17"/>
  <c r="AH1081" i="17"/>
  <c r="Z1081" i="17"/>
  <c r="W1081" i="17"/>
  <c r="AE1081" i="17"/>
  <c r="B1082" i="17"/>
  <c r="G1082" i="17" s="1"/>
  <c r="A1083" i="17"/>
  <c r="C1083" i="17"/>
  <c r="AL1082" i="17"/>
  <c r="AG467" i="17"/>
  <c r="AC467" i="17"/>
  <c r="Y467" i="17"/>
  <c r="AF467" i="17"/>
  <c r="AB467" i="17"/>
  <c r="X467" i="17"/>
  <c r="AE467" i="17"/>
  <c r="AA467" i="17"/>
  <c r="W467" i="17"/>
  <c r="Z467" i="17"/>
  <c r="AH467" i="17"/>
  <c r="AD467" i="17"/>
  <c r="B468" i="17"/>
  <c r="G468" i="17" s="1"/>
  <c r="C469" i="17"/>
  <c r="AL468" i="17"/>
  <c r="AG1082" i="17" l="1"/>
  <c r="AC1082" i="17"/>
  <c r="Y1082" i="17"/>
  <c r="AF1082" i="17"/>
  <c r="AB1082" i="17"/>
  <c r="X1082" i="17"/>
  <c r="AH1082" i="17"/>
  <c r="Z1082" i="17"/>
  <c r="AE1082" i="17"/>
  <c r="W1082" i="17"/>
  <c r="AD1082" i="17"/>
  <c r="AA1082" i="17"/>
  <c r="B1083" i="17"/>
  <c r="G1083" i="17" s="1"/>
  <c r="A1084" i="17"/>
  <c r="C1084" i="17"/>
  <c r="AL1083" i="17"/>
  <c r="AF468" i="17"/>
  <c r="AB468" i="17"/>
  <c r="X468" i="17"/>
  <c r="AE468" i="17"/>
  <c r="AA468" i="17"/>
  <c r="W468" i="17"/>
  <c r="AH468" i="17"/>
  <c r="AD468" i="17"/>
  <c r="Z468" i="17"/>
  <c r="AG468" i="17"/>
  <c r="AC468" i="17"/>
  <c r="Y468" i="17"/>
  <c r="C470" i="17"/>
  <c r="AL469" i="17"/>
  <c r="B469" i="17"/>
  <c r="G469" i="17" s="1"/>
  <c r="C1085" i="17" l="1"/>
  <c r="AL1084" i="17"/>
  <c r="B1084" i="17"/>
  <c r="G1084" i="17" s="1"/>
  <c r="A1085" i="17"/>
  <c r="AG1083" i="17"/>
  <c r="AC1083" i="17"/>
  <c r="Y1083" i="17"/>
  <c r="AF1083" i="17"/>
  <c r="AB1083" i="17"/>
  <c r="X1083" i="17"/>
  <c r="AD1083" i="17"/>
  <c r="AA1083" i="17"/>
  <c r="AH1083" i="17"/>
  <c r="Z1083" i="17"/>
  <c r="W1083" i="17"/>
  <c r="AE1083" i="17"/>
  <c r="AE469" i="17"/>
  <c r="AA469" i="17"/>
  <c r="W469" i="17"/>
  <c r="AH469" i="17"/>
  <c r="AD469" i="17"/>
  <c r="Z469" i="17"/>
  <c r="AG469" i="17"/>
  <c r="AC469" i="17"/>
  <c r="Y469" i="17"/>
  <c r="AF469" i="17"/>
  <c r="AB469" i="17"/>
  <c r="X469" i="17"/>
  <c r="C471" i="17"/>
  <c r="AL470" i="17"/>
  <c r="B470" i="17"/>
  <c r="G470" i="17" s="1"/>
  <c r="C1086" i="17" l="1"/>
  <c r="AL1085" i="17"/>
  <c r="B1085" i="17"/>
  <c r="G1085" i="17" s="1"/>
  <c r="A1086" i="17"/>
  <c r="AH1084" i="17"/>
  <c r="AD1084" i="17"/>
  <c r="AG1084" i="17"/>
  <c r="AC1084" i="17"/>
  <c r="Y1084" i="17"/>
  <c r="AF1084" i="17"/>
  <c r="AB1084" i="17"/>
  <c r="X1084" i="17"/>
  <c r="Z1084" i="17"/>
  <c r="W1084" i="17"/>
  <c r="AE1084" i="17"/>
  <c r="AA1084" i="17"/>
  <c r="AH470" i="17"/>
  <c r="AD470" i="17"/>
  <c r="Z470" i="17"/>
  <c r="AG470" i="17"/>
  <c r="AC470" i="17"/>
  <c r="Y470" i="17"/>
  <c r="AF470" i="17"/>
  <c r="AB470" i="17"/>
  <c r="X470" i="17"/>
  <c r="AE470" i="17"/>
  <c r="AA470" i="17"/>
  <c r="W470" i="17"/>
  <c r="B471" i="17"/>
  <c r="G471" i="17" s="1"/>
  <c r="AL471" i="17"/>
  <c r="C472" i="17"/>
  <c r="C1087" i="17" l="1"/>
  <c r="AL1086" i="17"/>
  <c r="B1086" i="17"/>
  <c r="G1086" i="17" s="1"/>
  <c r="A1087" i="17"/>
  <c r="AH1085" i="17"/>
  <c r="AD1085" i="17"/>
  <c r="Z1085" i="17"/>
  <c r="AG1085" i="17"/>
  <c r="AC1085" i="17"/>
  <c r="Y1085" i="17"/>
  <c r="AF1085" i="17"/>
  <c r="AB1085" i="17"/>
  <c r="X1085" i="17"/>
  <c r="W1085" i="17"/>
  <c r="AE1085" i="17"/>
  <c r="AA1085" i="17"/>
  <c r="B472" i="17"/>
  <c r="G472" i="17" s="1"/>
  <c r="C473" i="17"/>
  <c r="AL472" i="17"/>
  <c r="AG471" i="17"/>
  <c r="AC471" i="17"/>
  <c r="Y471" i="17"/>
  <c r="AF471" i="17"/>
  <c r="AB471" i="17"/>
  <c r="X471" i="17"/>
  <c r="AE471" i="17"/>
  <c r="AA471" i="17"/>
  <c r="W471" i="17"/>
  <c r="AH471" i="17"/>
  <c r="AD471" i="17"/>
  <c r="Z471" i="17"/>
  <c r="C1088" i="17" l="1"/>
  <c r="AL1087" i="17"/>
  <c r="B1087" i="17"/>
  <c r="G1087" i="17" s="1"/>
  <c r="A1088" i="17"/>
  <c r="AH1086" i="17"/>
  <c r="AD1086" i="17"/>
  <c r="Z1086" i="17"/>
  <c r="AG1086" i="17"/>
  <c r="AC1086" i="17"/>
  <c r="Y1086" i="17"/>
  <c r="AF1086" i="17"/>
  <c r="AB1086" i="17"/>
  <c r="X1086" i="17"/>
  <c r="W1086" i="17"/>
  <c r="AE1086" i="17"/>
  <c r="AA1086" i="17"/>
  <c r="AF472" i="17"/>
  <c r="AB472" i="17"/>
  <c r="X472" i="17"/>
  <c r="AE472" i="17"/>
  <c r="AA472" i="17"/>
  <c r="W472" i="17"/>
  <c r="AH472" i="17"/>
  <c r="AD472" i="17"/>
  <c r="Z472" i="17"/>
  <c r="AG472" i="17"/>
  <c r="AC472" i="17"/>
  <c r="Y472" i="17"/>
  <c r="C474" i="17"/>
  <c r="AL473" i="17"/>
  <c r="B473" i="17"/>
  <c r="G473" i="17" s="1"/>
  <c r="AH1087" i="17" l="1"/>
  <c r="AD1087" i="17"/>
  <c r="Z1087" i="17"/>
  <c r="AG1087" i="17"/>
  <c r="AC1087" i="17"/>
  <c r="Y1087" i="17"/>
  <c r="AF1087" i="17"/>
  <c r="AB1087" i="17"/>
  <c r="X1087" i="17"/>
  <c r="W1087" i="17"/>
  <c r="AE1087" i="17"/>
  <c r="AA1087" i="17"/>
  <c r="C1089" i="17"/>
  <c r="AL1088" i="17"/>
  <c r="B1088" i="17"/>
  <c r="G1088" i="17" s="1"/>
  <c r="A1089" i="17"/>
  <c r="AE473" i="17"/>
  <c r="AA473" i="17"/>
  <c r="W473" i="17"/>
  <c r="AH473" i="17"/>
  <c r="AD473" i="17"/>
  <c r="Z473" i="17"/>
  <c r="AG473" i="17"/>
  <c r="AC473" i="17"/>
  <c r="Y473" i="17"/>
  <c r="AF473" i="17"/>
  <c r="AB473" i="17"/>
  <c r="X473" i="17"/>
  <c r="C475" i="17"/>
  <c r="AL474" i="17"/>
  <c r="B474" i="17"/>
  <c r="G474" i="17" s="1"/>
  <c r="C1090" i="17" l="1"/>
  <c r="AL1089" i="17"/>
  <c r="B1089" i="17"/>
  <c r="G1089" i="17" s="1"/>
  <c r="A1090" i="17"/>
  <c r="AH1088" i="17"/>
  <c r="AD1088" i="17"/>
  <c r="Z1088" i="17"/>
  <c r="AG1088" i="17"/>
  <c r="AC1088" i="17"/>
  <c r="Y1088" i="17"/>
  <c r="AF1088" i="17"/>
  <c r="AB1088" i="17"/>
  <c r="X1088" i="17"/>
  <c r="W1088" i="17"/>
  <c r="AE1088" i="17"/>
  <c r="AA1088" i="17"/>
  <c r="AH474" i="17"/>
  <c r="AD474" i="17"/>
  <c r="Z474" i="17"/>
  <c r="AG474" i="17"/>
  <c r="AC474" i="17"/>
  <c r="Y474" i="17"/>
  <c r="AF474" i="17"/>
  <c r="AB474" i="17"/>
  <c r="X474" i="17"/>
  <c r="AE474" i="17"/>
  <c r="AA474" i="17"/>
  <c r="W474" i="17"/>
  <c r="B475" i="17"/>
  <c r="G475" i="17" s="1"/>
  <c r="C476" i="17"/>
  <c r="AL475" i="17"/>
  <c r="AH1089" i="17" l="1"/>
  <c r="AD1089" i="17"/>
  <c r="Z1089" i="17"/>
  <c r="AG1089" i="17"/>
  <c r="AC1089" i="17"/>
  <c r="Y1089" i="17"/>
  <c r="AF1089" i="17"/>
  <c r="AB1089" i="17"/>
  <c r="X1089" i="17"/>
  <c r="W1089" i="17"/>
  <c r="AE1089" i="17"/>
  <c r="AA1089" i="17"/>
  <c r="C1091" i="17"/>
  <c r="AL1090" i="17"/>
  <c r="B1090" i="17"/>
  <c r="G1090" i="17" s="1"/>
  <c r="A1091" i="17"/>
  <c r="B476" i="17"/>
  <c r="G476" i="17" s="1"/>
  <c r="C477" i="17"/>
  <c r="AL476" i="17"/>
  <c r="AG475" i="17"/>
  <c r="AC475" i="17"/>
  <c r="Y475" i="17"/>
  <c r="AF475" i="17"/>
  <c r="AB475" i="17"/>
  <c r="X475" i="17"/>
  <c r="AE475" i="17"/>
  <c r="AA475" i="17"/>
  <c r="W475" i="17"/>
  <c r="AH475" i="17"/>
  <c r="AD475" i="17"/>
  <c r="Z475" i="17"/>
  <c r="AH1090" i="17" l="1"/>
  <c r="AD1090" i="17"/>
  <c r="Z1090" i="17"/>
  <c r="AG1090" i="17"/>
  <c r="AC1090" i="17"/>
  <c r="Y1090" i="17"/>
  <c r="AF1090" i="17"/>
  <c r="AB1090" i="17"/>
  <c r="X1090" i="17"/>
  <c r="W1090" i="17"/>
  <c r="AE1090" i="17"/>
  <c r="AA1090" i="17"/>
  <c r="C1092" i="17"/>
  <c r="AL1091" i="17"/>
  <c r="B1091" i="17"/>
  <c r="G1091" i="17" s="1"/>
  <c r="A1092" i="17"/>
  <c r="C478" i="17"/>
  <c r="AL477" i="17"/>
  <c r="B477" i="17"/>
  <c r="G477" i="17" s="1"/>
  <c r="AF476" i="17"/>
  <c r="AB476" i="17"/>
  <c r="X476" i="17"/>
  <c r="AE476" i="17"/>
  <c r="AA476" i="17"/>
  <c r="W476" i="17"/>
  <c r="AH476" i="17"/>
  <c r="AD476" i="17"/>
  <c r="Z476" i="17"/>
  <c r="AC476" i="17"/>
  <c r="Y476" i="17"/>
  <c r="AG476" i="17"/>
  <c r="C1093" i="17" l="1"/>
  <c r="AL1092" i="17"/>
  <c r="B1092" i="17"/>
  <c r="G1092" i="17" s="1"/>
  <c r="A1093" i="17"/>
  <c r="AH1091" i="17"/>
  <c r="AD1091" i="17"/>
  <c r="Z1091" i="17"/>
  <c r="AG1091" i="17"/>
  <c r="AC1091" i="17"/>
  <c r="Y1091" i="17"/>
  <c r="AF1091" i="17"/>
  <c r="AB1091" i="17"/>
  <c r="X1091" i="17"/>
  <c r="W1091" i="17"/>
  <c r="AE1091" i="17"/>
  <c r="AA1091" i="17"/>
  <c r="C479" i="17"/>
  <c r="AL478" i="17"/>
  <c r="B478" i="17"/>
  <c r="G478" i="17" s="1"/>
  <c r="AE477" i="17"/>
  <c r="AA477" i="17"/>
  <c r="W477" i="17"/>
  <c r="AH477" i="17"/>
  <c r="AD477" i="17"/>
  <c r="Z477" i="17"/>
  <c r="AG477" i="17"/>
  <c r="AC477" i="17"/>
  <c r="Y477" i="17"/>
  <c r="AB477" i="17"/>
  <c r="X477" i="17"/>
  <c r="AF477" i="17"/>
  <c r="C1094" i="17" l="1"/>
  <c r="AL1093" i="17"/>
  <c r="B1093" i="17"/>
  <c r="G1093" i="17" s="1"/>
  <c r="A1094" i="17"/>
  <c r="AH1092" i="17"/>
  <c r="AD1092" i="17"/>
  <c r="Z1092" i="17"/>
  <c r="AG1092" i="17"/>
  <c r="AC1092" i="17"/>
  <c r="Y1092" i="17"/>
  <c r="AF1092" i="17"/>
  <c r="AB1092" i="17"/>
  <c r="X1092" i="17"/>
  <c r="W1092" i="17"/>
  <c r="AE1092" i="17"/>
  <c r="AA1092" i="17"/>
  <c r="AH478" i="17"/>
  <c r="AD478" i="17"/>
  <c r="Z478" i="17"/>
  <c r="AG478" i="17"/>
  <c r="AC478" i="17"/>
  <c r="Y478" i="17"/>
  <c r="AF478" i="17"/>
  <c r="AB478" i="17"/>
  <c r="X478" i="17"/>
  <c r="AA478" i="17"/>
  <c r="W478" i="17"/>
  <c r="AE478" i="17"/>
  <c r="B479" i="17"/>
  <c r="G479" i="17" s="1"/>
  <c r="AL479" i="17"/>
  <c r="C480" i="17"/>
  <c r="AH1093" i="17" l="1"/>
  <c r="AD1093" i="17"/>
  <c r="Z1093" i="17"/>
  <c r="AG1093" i="17"/>
  <c r="AC1093" i="17"/>
  <c r="Y1093" i="17"/>
  <c r="AF1093" i="17"/>
  <c r="AB1093" i="17"/>
  <c r="X1093" i="17"/>
  <c r="W1093" i="17"/>
  <c r="AE1093" i="17"/>
  <c r="AA1093" i="17"/>
  <c r="C1095" i="17"/>
  <c r="AL1094" i="17"/>
  <c r="B1094" i="17"/>
  <c r="G1094" i="17" s="1"/>
  <c r="A1095" i="17"/>
  <c r="B480" i="17"/>
  <c r="G480" i="17" s="1"/>
  <c r="C481" i="17"/>
  <c r="AL480" i="17"/>
  <c r="AG479" i="17"/>
  <c r="AC479" i="17"/>
  <c r="Y479" i="17"/>
  <c r="AF479" i="17"/>
  <c r="AB479" i="17"/>
  <c r="X479" i="17"/>
  <c r="AE479" i="17"/>
  <c r="AA479" i="17"/>
  <c r="W479" i="17"/>
  <c r="AD479" i="17"/>
  <c r="Z479" i="17"/>
  <c r="AH479" i="17"/>
  <c r="AH1094" i="17" l="1"/>
  <c r="AD1094" i="17"/>
  <c r="Z1094" i="17"/>
  <c r="AG1094" i="17"/>
  <c r="AC1094" i="17"/>
  <c r="Y1094" i="17"/>
  <c r="AF1094" i="17"/>
  <c r="AB1094" i="17"/>
  <c r="X1094" i="17"/>
  <c r="W1094" i="17"/>
  <c r="AE1094" i="17"/>
  <c r="AA1094" i="17"/>
  <c r="C1096" i="17"/>
  <c r="AL1095" i="17"/>
  <c r="B1095" i="17"/>
  <c r="G1095" i="17" s="1"/>
  <c r="A1096" i="17"/>
  <c r="AF480" i="17"/>
  <c r="AB480" i="17"/>
  <c r="X480" i="17"/>
  <c r="AE480" i="17"/>
  <c r="AA480" i="17"/>
  <c r="W480" i="17"/>
  <c r="AH480" i="17"/>
  <c r="AD480" i="17"/>
  <c r="Z480" i="17"/>
  <c r="Y480" i="17"/>
  <c r="AG480" i="17"/>
  <c r="AC480" i="17"/>
  <c r="C482" i="17"/>
  <c r="AL481" i="17"/>
  <c r="B481" i="17"/>
  <c r="G481" i="17" s="1"/>
  <c r="C1097" i="17" l="1"/>
  <c r="AL1096" i="17"/>
  <c r="B1096" i="17"/>
  <c r="G1096" i="17" s="1"/>
  <c r="A1097" i="17"/>
  <c r="AH1095" i="17"/>
  <c r="AD1095" i="17"/>
  <c r="Z1095" i="17"/>
  <c r="AG1095" i="17"/>
  <c r="AC1095" i="17"/>
  <c r="Y1095" i="17"/>
  <c r="AF1095" i="17"/>
  <c r="AB1095" i="17"/>
  <c r="X1095" i="17"/>
  <c r="W1095" i="17"/>
  <c r="AE1095" i="17"/>
  <c r="AA1095" i="17"/>
  <c r="C483" i="17"/>
  <c r="AL482" i="17"/>
  <c r="B482" i="17"/>
  <c r="G482" i="17" s="1"/>
  <c r="AE481" i="17"/>
  <c r="AA481" i="17"/>
  <c r="W481" i="17"/>
  <c r="AH481" i="17"/>
  <c r="AD481" i="17"/>
  <c r="Z481" i="17"/>
  <c r="AG481" i="17"/>
  <c r="AC481" i="17"/>
  <c r="Y481" i="17"/>
  <c r="X481" i="17"/>
  <c r="AF481" i="17"/>
  <c r="AB481" i="17"/>
  <c r="AH1096" i="17" l="1"/>
  <c r="AD1096" i="17"/>
  <c r="Z1096" i="17"/>
  <c r="AG1096" i="17"/>
  <c r="AC1096" i="17"/>
  <c r="Y1096" i="17"/>
  <c r="AF1096" i="17"/>
  <c r="AB1096" i="17"/>
  <c r="X1096" i="17"/>
  <c r="W1096" i="17"/>
  <c r="AE1096" i="17"/>
  <c r="AA1096" i="17"/>
  <c r="C1098" i="17"/>
  <c r="AL1097" i="17"/>
  <c r="B1097" i="17"/>
  <c r="G1097" i="17" s="1"/>
  <c r="A1098" i="17"/>
  <c r="AH482" i="17"/>
  <c r="AD482" i="17"/>
  <c r="Z482" i="17"/>
  <c r="AG482" i="17"/>
  <c r="AC482" i="17"/>
  <c r="Y482" i="17"/>
  <c r="AF482" i="17"/>
  <c r="AB482" i="17"/>
  <c r="X482" i="17"/>
  <c r="W482" i="17"/>
  <c r="AE482" i="17"/>
  <c r="AA482" i="17"/>
  <c r="B483" i="17"/>
  <c r="G483" i="17" s="1"/>
  <c r="AL483" i="17"/>
  <c r="C484" i="17"/>
  <c r="C1099" i="17" l="1"/>
  <c r="AL1098" i="17"/>
  <c r="B1098" i="17"/>
  <c r="G1098" i="17" s="1"/>
  <c r="A1099" i="17"/>
  <c r="AH1097" i="17"/>
  <c r="AD1097" i="17"/>
  <c r="Z1097" i="17"/>
  <c r="AG1097" i="17"/>
  <c r="AC1097" i="17"/>
  <c r="Y1097" i="17"/>
  <c r="AF1097" i="17"/>
  <c r="AB1097" i="17"/>
  <c r="X1097" i="17"/>
  <c r="W1097" i="17"/>
  <c r="AE1097" i="17"/>
  <c r="AA1097" i="17"/>
  <c r="AG483" i="17"/>
  <c r="AC483" i="17"/>
  <c r="Y483" i="17"/>
  <c r="AF483" i="17"/>
  <c r="AB483" i="17"/>
  <c r="X483" i="17"/>
  <c r="AE483" i="17"/>
  <c r="AA483" i="17"/>
  <c r="W483" i="17"/>
  <c r="Z483" i="17"/>
  <c r="AH483" i="17"/>
  <c r="AD483" i="17"/>
  <c r="B484" i="17"/>
  <c r="G484" i="17" s="1"/>
  <c r="C485" i="17"/>
  <c r="AL484" i="17"/>
  <c r="AH1098" i="17" l="1"/>
  <c r="AD1098" i="17"/>
  <c r="Z1098" i="17"/>
  <c r="AG1098" i="17"/>
  <c r="AC1098" i="17"/>
  <c r="Y1098" i="17"/>
  <c r="AF1098" i="17"/>
  <c r="AB1098" i="17"/>
  <c r="X1098" i="17"/>
  <c r="W1098" i="17"/>
  <c r="AE1098" i="17"/>
  <c r="AA1098" i="17"/>
  <c r="C1100" i="17"/>
  <c r="AL1099" i="17"/>
  <c r="B1099" i="17"/>
  <c r="G1099" i="17" s="1"/>
  <c r="A1100" i="17"/>
  <c r="C486" i="17"/>
  <c r="AL485" i="17"/>
  <c r="B485" i="17"/>
  <c r="G485" i="17" s="1"/>
  <c r="AF484" i="17"/>
  <c r="AB484" i="17"/>
  <c r="X484" i="17"/>
  <c r="AE484" i="17"/>
  <c r="AA484" i="17"/>
  <c r="W484" i="17"/>
  <c r="AH484" i="17"/>
  <c r="AD484" i="17"/>
  <c r="Z484" i="17"/>
  <c r="AG484" i="17"/>
  <c r="AC484" i="17"/>
  <c r="Y484" i="17"/>
  <c r="C1101" i="17" l="1"/>
  <c r="AL1100" i="17"/>
  <c r="B1100" i="17"/>
  <c r="G1100" i="17" s="1"/>
  <c r="A1101" i="17"/>
  <c r="AH1099" i="17"/>
  <c r="AD1099" i="17"/>
  <c r="Z1099" i="17"/>
  <c r="AG1099" i="17"/>
  <c r="AC1099" i="17"/>
  <c r="Y1099" i="17"/>
  <c r="AF1099" i="17"/>
  <c r="AB1099" i="17"/>
  <c r="X1099" i="17"/>
  <c r="W1099" i="17"/>
  <c r="AE1099" i="17"/>
  <c r="AA1099" i="17"/>
  <c r="AE485" i="17"/>
  <c r="AA485" i="17"/>
  <c r="W485" i="17"/>
  <c r="AH485" i="17"/>
  <c r="AD485" i="17"/>
  <c r="Z485" i="17"/>
  <c r="AG485" i="17"/>
  <c r="AC485" i="17"/>
  <c r="Y485" i="17"/>
  <c r="AF485" i="17"/>
  <c r="AB485" i="17"/>
  <c r="X485" i="17"/>
  <c r="C487" i="17"/>
  <c r="AL486" i="17"/>
  <c r="B486" i="17"/>
  <c r="G486" i="17" s="1"/>
  <c r="AH1100" i="17" l="1"/>
  <c r="AD1100" i="17"/>
  <c r="Z1100" i="17"/>
  <c r="AG1100" i="17"/>
  <c r="AC1100" i="17"/>
  <c r="Y1100" i="17"/>
  <c r="AF1100" i="17"/>
  <c r="AB1100" i="17"/>
  <c r="X1100" i="17"/>
  <c r="W1100" i="17"/>
  <c r="AE1100" i="17"/>
  <c r="AA1100" i="17"/>
  <c r="C1102" i="17"/>
  <c r="AL1101" i="17"/>
  <c r="B1101" i="17"/>
  <c r="G1101" i="17" s="1"/>
  <c r="A1102" i="17"/>
  <c r="AH486" i="17"/>
  <c r="AD486" i="17"/>
  <c r="Z486" i="17"/>
  <c r="AG486" i="17"/>
  <c r="AC486" i="17"/>
  <c r="Y486" i="17"/>
  <c r="AF486" i="17"/>
  <c r="AB486" i="17"/>
  <c r="X486" i="17"/>
  <c r="AE486" i="17"/>
  <c r="AA486" i="17"/>
  <c r="W486" i="17"/>
  <c r="B487" i="17"/>
  <c r="G487" i="17" s="1"/>
  <c r="AL487" i="17"/>
  <c r="C488" i="17"/>
  <c r="AH1101" i="17" l="1"/>
  <c r="AD1101" i="17"/>
  <c r="Z1101" i="17"/>
  <c r="AG1101" i="17"/>
  <c r="AC1101" i="17"/>
  <c r="Y1101" i="17"/>
  <c r="AF1101" i="17"/>
  <c r="AB1101" i="17"/>
  <c r="X1101" i="17"/>
  <c r="W1101" i="17"/>
  <c r="AE1101" i="17"/>
  <c r="AA1101" i="17"/>
  <c r="C1103" i="17"/>
  <c r="AL1102" i="17"/>
  <c r="B1102" i="17"/>
  <c r="G1102" i="17" s="1"/>
  <c r="A1103" i="17"/>
  <c r="AG487" i="17"/>
  <c r="AC487" i="17"/>
  <c r="Y487" i="17"/>
  <c r="AF487" i="17"/>
  <c r="AB487" i="17"/>
  <c r="X487" i="17"/>
  <c r="AE487" i="17"/>
  <c r="AA487" i="17"/>
  <c r="W487" i="17"/>
  <c r="AH487" i="17"/>
  <c r="AD487" i="17"/>
  <c r="Z487" i="17"/>
  <c r="B488" i="17"/>
  <c r="G488" i="17" s="1"/>
  <c r="C489" i="17"/>
  <c r="AL488" i="17"/>
  <c r="AH1102" i="17" l="1"/>
  <c r="AD1102" i="17"/>
  <c r="Z1102" i="17"/>
  <c r="AG1102" i="17"/>
  <c r="AC1102" i="17"/>
  <c r="Y1102" i="17"/>
  <c r="AF1102" i="17"/>
  <c r="AB1102" i="17"/>
  <c r="X1102" i="17"/>
  <c r="W1102" i="17"/>
  <c r="AE1102" i="17"/>
  <c r="AA1102" i="17"/>
  <c r="C1104" i="17"/>
  <c r="AL1103" i="17"/>
  <c r="B1103" i="17"/>
  <c r="G1103" i="17" s="1"/>
  <c r="A1104" i="17"/>
  <c r="AF488" i="17"/>
  <c r="AB488" i="17"/>
  <c r="X488" i="17"/>
  <c r="AE488" i="17"/>
  <c r="AA488" i="17"/>
  <c r="W488" i="17"/>
  <c r="AH488" i="17"/>
  <c r="AD488" i="17"/>
  <c r="Z488" i="17"/>
  <c r="AG488" i="17"/>
  <c r="AC488" i="17"/>
  <c r="Y488" i="17"/>
  <c r="C490" i="17"/>
  <c r="AL489" i="17"/>
  <c r="B489" i="17"/>
  <c r="G489" i="17" s="1"/>
  <c r="C1105" i="17" l="1"/>
  <c r="AL1104" i="17"/>
  <c r="B1104" i="17"/>
  <c r="G1104" i="17" s="1"/>
  <c r="A1105" i="17"/>
  <c r="AH1103" i="17"/>
  <c r="AD1103" i="17"/>
  <c r="Z1103" i="17"/>
  <c r="AG1103" i="17"/>
  <c r="AC1103" i="17"/>
  <c r="Y1103" i="17"/>
  <c r="AF1103" i="17"/>
  <c r="AB1103" i="17"/>
  <c r="X1103" i="17"/>
  <c r="W1103" i="17"/>
  <c r="AE1103" i="17"/>
  <c r="AA1103" i="17"/>
  <c r="AE489" i="17"/>
  <c r="AA489" i="17"/>
  <c r="W489" i="17"/>
  <c r="AH489" i="17"/>
  <c r="AD489" i="17"/>
  <c r="Z489" i="17"/>
  <c r="AG489" i="17"/>
  <c r="AC489" i="17"/>
  <c r="Y489" i="17"/>
  <c r="AF489" i="17"/>
  <c r="AB489" i="17"/>
  <c r="X489" i="17"/>
  <c r="C491" i="17"/>
  <c r="AL490" i="17"/>
  <c r="B490" i="17"/>
  <c r="G490" i="17" s="1"/>
  <c r="AH1104" i="17" l="1"/>
  <c r="AD1104" i="17"/>
  <c r="Z1104" i="17"/>
  <c r="AG1104" i="17"/>
  <c r="AC1104" i="17"/>
  <c r="Y1104" i="17"/>
  <c r="AF1104" i="17"/>
  <c r="AB1104" i="17"/>
  <c r="X1104" i="17"/>
  <c r="W1104" i="17"/>
  <c r="AE1104" i="17"/>
  <c r="AA1104" i="17"/>
  <c r="C1106" i="17"/>
  <c r="AL1105" i="17"/>
  <c r="B1105" i="17"/>
  <c r="G1105" i="17" s="1"/>
  <c r="A1106" i="17"/>
  <c r="B491" i="17"/>
  <c r="G491" i="17" s="1"/>
  <c r="C492" i="17"/>
  <c r="AL491" i="17"/>
  <c r="AH490" i="17"/>
  <c r="AD490" i="17"/>
  <c r="Z490" i="17"/>
  <c r="AG490" i="17"/>
  <c r="AC490" i="17"/>
  <c r="Y490" i="17"/>
  <c r="AF490" i="17"/>
  <c r="AB490" i="17"/>
  <c r="X490" i="17"/>
  <c r="AE490" i="17"/>
  <c r="AA490" i="17"/>
  <c r="W490" i="17"/>
  <c r="C1107" i="17" l="1"/>
  <c r="AL1106" i="17"/>
  <c r="B1106" i="17"/>
  <c r="G1106" i="17" s="1"/>
  <c r="A1107" i="17"/>
  <c r="AH1105" i="17"/>
  <c r="AD1105" i="17"/>
  <c r="Z1105" i="17"/>
  <c r="AG1105" i="17"/>
  <c r="AC1105" i="17"/>
  <c r="Y1105" i="17"/>
  <c r="AF1105" i="17"/>
  <c r="AB1105" i="17"/>
  <c r="X1105" i="17"/>
  <c r="W1105" i="17"/>
  <c r="AE1105" i="17"/>
  <c r="AA1105" i="17"/>
  <c r="AG491" i="17"/>
  <c r="AC491" i="17"/>
  <c r="Y491" i="17"/>
  <c r="AF491" i="17"/>
  <c r="AB491" i="17"/>
  <c r="X491" i="17"/>
  <c r="AE491" i="17"/>
  <c r="AA491" i="17"/>
  <c r="W491" i="17"/>
  <c r="AH491" i="17"/>
  <c r="AD491" i="17"/>
  <c r="Z491" i="17"/>
  <c r="B492" i="17"/>
  <c r="G492" i="17" s="1"/>
  <c r="C493" i="17"/>
  <c r="AL492" i="17"/>
  <c r="C1108" i="17" l="1"/>
  <c r="AL1107" i="17"/>
  <c r="B1107" i="17"/>
  <c r="G1107" i="17" s="1"/>
  <c r="A1108" i="17"/>
  <c r="AH1106" i="17"/>
  <c r="AD1106" i="17"/>
  <c r="Z1106" i="17"/>
  <c r="AG1106" i="17"/>
  <c r="AC1106" i="17"/>
  <c r="Y1106" i="17"/>
  <c r="AF1106" i="17"/>
  <c r="AB1106" i="17"/>
  <c r="X1106" i="17"/>
  <c r="W1106" i="17"/>
  <c r="AE1106" i="17"/>
  <c r="AA1106" i="17"/>
  <c r="C494" i="17"/>
  <c r="AL493" i="17"/>
  <c r="B493" i="17"/>
  <c r="G493" i="17" s="1"/>
  <c r="AF492" i="17"/>
  <c r="AB492" i="17"/>
  <c r="X492" i="17"/>
  <c r="AE492" i="17"/>
  <c r="AA492" i="17"/>
  <c r="W492" i="17"/>
  <c r="AH492" i="17"/>
  <c r="AD492" i="17"/>
  <c r="Z492" i="17"/>
  <c r="AC492" i="17"/>
  <c r="Y492" i="17"/>
  <c r="AG492" i="17"/>
  <c r="AH1107" i="17" l="1"/>
  <c r="AD1107" i="17"/>
  <c r="Z1107" i="17"/>
  <c r="AG1107" i="17"/>
  <c r="AC1107" i="17"/>
  <c r="Y1107" i="17"/>
  <c r="AF1107" i="17"/>
  <c r="AB1107" i="17"/>
  <c r="X1107" i="17"/>
  <c r="W1107" i="17"/>
  <c r="AE1107" i="17"/>
  <c r="AA1107" i="17"/>
  <c r="C1109" i="17"/>
  <c r="AL1108" i="17"/>
  <c r="B1108" i="17"/>
  <c r="G1108" i="17" s="1"/>
  <c r="A1109" i="17"/>
  <c r="C495" i="17"/>
  <c r="AL494" i="17"/>
  <c r="B494" i="17"/>
  <c r="G494" i="17" s="1"/>
  <c r="AE493" i="17"/>
  <c r="AA493" i="17"/>
  <c r="W493" i="17"/>
  <c r="AH493" i="17"/>
  <c r="AD493" i="17"/>
  <c r="Z493" i="17"/>
  <c r="AG493" i="17"/>
  <c r="AC493" i="17"/>
  <c r="Y493" i="17"/>
  <c r="AB493" i="17"/>
  <c r="X493" i="17"/>
  <c r="AF493" i="17"/>
  <c r="C1110" i="17" l="1"/>
  <c r="AL1109" i="17"/>
  <c r="B1109" i="17"/>
  <c r="G1109" i="17" s="1"/>
  <c r="A1110" i="17"/>
  <c r="AH1108" i="17"/>
  <c r="AD1108" i="17"/>
  <c r="Z1108" i="17"/>
  <c r="AG1108" i="17"/>
  <c r="AC1108" i="17"/>
  <c r="Y1108" i="17"/>
  <c r="AF1108" i="17"/>
  <c r="AB1108" i="17"/>
  <c r="X1108" i="17"/>
  <c r="W1108" i="17"/>
  <c r="AE1108" i="17"/>
  <c r="AA1108" i="17"/>
  <c r="AH494" i="17"/>
  <c r="AD494" i="17"/>
  <c r="Z494" i="17"/>
  <c r="AG494" i="17"/>
  <c r="AC494" i="17"/>
  <c r="Y494" i="17"/>
  <c r="AF494" i="17"/>
  <c r="AB494" i="17"/>
  <c r="X494" i="17"/>
  <c r="AA494" i="17"/>
  <c r="W494" i="17"/>
  <c r="AE494" i="17"/>
  <c r="B495" i="17"/>
  <c r="G495" i="17" s="1"/>
  <c r="AL495" i="17"/>
  <c r="C496" i="17"/>
  <c r="C1111" i="17" l="1"/>
  <c r="AL1110" i="17"/>
  <c r="B1110" i="17"/>
  <c r="G1110" i="17" s="1"/>
  <c r="A1111" i="17"/>
  <c r="AH1109" i="17"/>
  <c r="AD1109" i="17"/>
  <c r="Z1109" i="17"/>
  <c r="AG1109" i="17"/>
  <c r="AC1109" i="17"/>
  <c r="Y1109" i="17"/>
  <c r="AF1109" i="17"/>
  <c r="AB1109" i="17"/>
  <c r="X1109" i="17"/>
  <c r="W1109" i="17"/>
  <c r="AE1109" i="17"/>
  <c r="AA1109" i="17"/>
  <c r="AG495" i="17"/>
  <c r="AC495" i="17"/>
  <c r="Y495" i="17"/>
  <c r="AF495" i="17"/>
  <c r="AB495" i="17"/>
  <c r="X495" i="17"/>
  <c r="AE495" i="17"/>
  <c r="AA495" i="17"/>
  <c r="W495" i="17"/>
  <c r="AD495" i="17"/>
  <c r="Z495" i="17"/>
  <c r="AH495" i="17"/>
  <c r="B496" i="17"/>
  <c r="G496" i="17" s="1"/>
  <c r="C497" i="17"/>
  <c r="AL496" i="17"/>
  <c r="C1112" i="17" l="1"/>
  <c r="AL1111" i="17"/>
  <c r="B1111" i="17"/>
  <c r="G1111" i="17" s="1"/>
  <c r="A1112" i="17"/>
  <c r="AH1110" i="17"/>
  <c r="AD1110" i="17"/>
  <c r="Z1110" i="17"/>
  <c r="AG1110" i="17"/>
  <c r="AC1110" i="17"/>
  <c r="Y1110" i="17"/>
  <c r="AF1110" i="17"/>
  <c r="AB1110" i="17"/>
  <c r="X1110" i="17"/>
  <c r="W1110" i="17"/>
  <c r="AE1110" i="17"/>
  <c r="AA1110" i="17"/>
  <c r="AF496" i="17"/>
  <c r="AB496" i="17"/>
  <c r="X496" i="17"/>
  <c r="AE496" i="17"/>
  <c r="AA496" i="17"/>
  <c r="W496" i="17"/>
  <c r="AH496" i="17"/>
  <c r="AD496" i="17"/>
  <c r="Z496" i="17"/>
  <c r="Y496" i="17"/>
  <c r="AG496" i="17"/>
  <c r="AC496" i="17"/>
  <c r="C498" i="17"/>
  <c r="AL497" i="17"/>
  <c r="B497" i="17"/>
  <c r="G497" i="17" s="1"/>
  <c r="C1113" i="17" l="1"/>
  <c r="AL1112" i="17"/>
  <c r="B1112" i="17"/>
  <c r="G1112" i="17" s="1"/>
  <c r="A1113" i="17"/>
  <c r="AH1111" i="17"/>
  <c r="AD1111" i="17"/>
  <c r="Z1111" i="17"/>
  <c r="AG1111" i="17"/>
  <c r="AC1111" i="17"/>
  <c r="Y1111" i="17"/>
  <c r="AF1111" i="17"/>
  <c r="AB1111" i="17"/>
  <c r="X1111" i="17"/>
  <c r="W1111" i="17"/>
  <c r="AE1111" i="17"/>
  <c r="AA1111" i="17"/>
  <c r="C499" i="17"/>
  <c r="AL498" i="17"/>
  <c r="B498" i="17"/>
  <c r="G498" i="17" s="1"/>
  <c r="AE497" i="17"/>
  <c r="AA497" i="17"/>
  <c r="W497" i="17"/>
  <c r="AH497" i="17"/>
  <c r="AD497" i="17"/>
  <c r="Z497" i="17"/>
  <c r="AG497" i="17"/>
  <c r="AC497" i="17"/>
  <c r="Y497" i="17"/>
  <c r="X497" i="17"/>
  <c r="AF497" i="17"/>
  <c r="AB497" i="17"/>
  <c r="AH1112" i="17" l="1"/>
  <c r="AD1112" i="17"/>
  <c r="Z1112" i="17"/>
  <c r="AG1112" i="17"/>
  <c r="AC1112" i="17"/>
  <c r="Y1112" i="17"/>
  <c r="AF1112" i="17"/>
  <c r="AB1112" i="17"/>
  <c r="X1112" i="17"/>
  <c r="W1112" i="17"/>
  <c r="AE1112" i="17"/>
  <c r="AA1112" i="17"/>
  <c r="C1114" i="17"/>
  <c r="AL1113" i="17"/>
  <c r="B1113" i="17"/>
  <c r="G1113" i="17" s="1"/>
  <c r="A1114" i="17"/>
  <c r="AH498" i="17"/>
  <c r="AD498" i="17"/>
  <c r="Z498" i="17"/>
  <c r="AG498" i="17"/>
  <c r="AC498" i="17"/>
  <c r="Y498" i="17"/>
  <c r="AF498" i="17"/>
  <c r="AB498" i="17"/>
  <c r="X498" i="17"/>
  <c r="W498" i="17"/>
  <c r="AE498" i="17"/>
  <c r="AA498" i="17"/>
  <c r="B499" i="17"/>
  <c r="G499" i="17" s="1"/>
  <c r="AL499" i="17"/>
  <c r="C500" i="17"/>
  <c r="C1115" i="17" l="1"/>
  <c r="AL1114" i="17"/>
  <c r="B1114" i="17"/>
  <c r="G1114" i="17" s="1"/>
  <c r="A1115" i="17"/>
  <c r="AH1113" i="17"/>
  <c r="AD1113" i="17"/>
  <c r="Z1113" i="17"/>
  <c r="AG1113" i="17"/>
  <c r="AC1113" i="17"/>
  <c r="Y1113" i="17"/>
  <c r="AF1113" i="17"/>
  <c r="AB1113" i="17"/>
  <c r="X1113" i="17"/>
  <c r="W1113" i="17"/>
  <c r="AE1113" i="17"/>
  <c r="AA1113" i="17"/>
  <c r="B500" i="17"/>
  <c r="G500" i="17" s="1"/>
  <c r="C501" i="17"/>
  <c r="AL500" i="17"/>
  <c r="AG499" i="17"/>
  <c r="AC499" i="17"/>
  <c r="Y499" i="17"/>
  <c r="AF499" i="17"/>
  <c r="AB499" i="17"/>
  <c r="X499" i="17"/>
  <c r="AE499" i="17"/>
  <c r="AA499" i="17"/>
  <c r="W499" i="17"/>
  <c r="Z499" i="17"/>
  <c r="AH499" i="17"/>
  <c r="AD499" i="17"/>
  <c r="AH1114" i="17" l="1"/>
  <c r="AD1114" i="17"/>
  <c r="Z1114" i="17"/>
  <c r="AG1114" i="17"/>
  <c r="AC1114" i="17"/>
  <c r="Y1114" i="17"/>
  <c r="AF1114" i="17"/>
  <c r="AB1114" i="17"/>
  <c r="X1114" i="17"/>
  <c r="W1114" i="17"/>
  <c r="AE1114" i="17"/>
  <c r="AA1114" i="17"/>
  <c r="C1116" i="17"/>
  <c r="AL1115" i="17"/>
  <c r="B1115" i="17"/>
  <c r="G1115" i="17" s="1"/>
  <c r="A1116" i="17"/>
  <c r="C502" i="17"/>
  <c r="AL501" i="17"/>
  <c r="B501" i="17"/>
  <c r="G501" i="17" s="1"/>
  <c r="AF500" i="17"/>
  <c r="AB500" i="17"/>
  <c r="X500" i="17"/>
  <c r="AE500" i="17"/>
  <c r="AA500" i="17"/>
  <c r="W500" i="17"/>
  <c r="AH500" i="17"/>
  <c r="AD500" i="17"/>
  <c r="Z500" i="17"/>
  <c r="AG500" i="17"/>
  <c r="AC500" i="17"/>
  <c r="Y500" i="17"/>
  <c r="AH1115" i="17" l="1"/>
  <c r="AD1115" i="17"/>
  <c r="Z1115" i="17"/>
  <c r="AG1115" i="17"/>
  <c r="AC1115" i="17"/>
  <c r="Y1115" i="17"/>
  <c r="AF1115" i="17"/>
  <c r="AB1115" i="17"/>
  <c r="X1115" i="17"/>
  <c r="W1115" i="17"/>
  <c r="AE1115" i="17"/>
  <c r="AA1115" i="17"/>
  <c r="C1117" i="17"/>
  <c r="AL1116" i="17"/>
  <c r="B1116" i="17"/>
  <c r="G1116" i="17" s="1"/>
  <c r="A1117" i="17"/>
  <c r="AE501" i="17"/>
  <c r="AA501" i="17"/>
  <c r="W501" i="17"/>
  <c r="AH501" i="17"/>
  <c r="AD501" i="17"/>
  <c r="Z501" i="17"/>
  <c r="AG501" i="17"/>
  <c r="AC501" i="17"/>
  <c r="Y501" i="17"/>
  <c r="AF501" i="17"/>
  <c r="AB501" i="17"/>
  <c r="X501" i="17"/>
  <c r="C503" i="17"/>
  <c r="AL502" i="17"/>
  <c r="B502" i="17"/>
  <c r="G502" i="17" s="1"/>
  <c r="AH1116" i="17" l="1"/>
  <c r="AD1116" i="17"/>
  <c r="Z1116" i="17"/>
  <c r="AG1116" i="17"/>
  <c r="AC1116" i="17"/>
  <c r="Y1116" i="17"/>
  <c r="AF1116" i="17"/>
  <c r="AB1116" i="17"/>
  <c r="X1116" i="17"/>
  <c r="W1116" i="17"/>
  <c r="AE1116" i="17"/>
  <c r="AA1116" i="17"/>
  <c r="C1118" i="17"/>
  <c r="AL1117" i="17"/>
  <c r="B1117" i="17"/>
  <c r="G1117" i="17" s="1"/>
  <c r="A1118" i="17"/>
  <c r="AH502" i="17"/>
  <c r="AD502" i="17"/>
  <c r="Z502" i="17"/>
  <c r="AG502" i="17"/>
  <c r="AC502" i="17"/>
  <c r="Y502" i="17"/>
  <c r="AF502" i="17"/>
  <c r="AB502" i="17"/>
  <c r="X502" i="17"/>
  <c r="AE502" i="17"/>
  <c r="AA502" i="17"/>
  <c r="W502" i="17"/>
  <c r="B503" i="17"/>
  <c r="G503" i="17" s="1"/>
  <c r="AL503" i="17"/>
  <c r="C504" i="17"/>
  <c r="C1119" i="17" l="1"/>
  <c r="AL1118" i="17"/>
  <c r="B1118" i="17"/>
  <c r="G1118" i="17" s="1"/>
  <c r="A1119" i="17"/>
  <c r="AH1117" i="17"/>
  <c r="AD1117" i="17"/>
  <c r="Z1117" i="17"/>
  <c r="AG1117" i="17"/>
  <c r="AC1117" i="17"/>
  <c r="Y1117" i="17"/>
  <c r="AF1117" i="17"/>
  <c r="AB1117" i="17"/>
  <c r="X1117" i="17"/>
  <c r="W1117" i="17"/>
  <c r="AE1117" i="17"/>
  <c r="AA1117" i="17"/>
  <c r="B504" i="17"/>
  <c r="G504" i="17" s="1"/>
  <c r="C505" i="17"/>
  <c r="AL504" i="17"/>
  <c r="AG503" i="17"/>
  <c r="AC503" i="17"/>
  <c r="Y503" i="17"/>
  <c r="AF503" i="17"/>
  <c r="AB503" i="17"/>
  <c r="X503" i="17"/>
  <c r="AE503" i="17"/>
  <c r="AA503" i="17"/>
  <c r="W503" i="17"/>
  <c r="AH503" i="17"/>
  <c r="AD503" i="17"/>
  <c r="Z503" i="17"/>
  <c r="C1120" i="17" l="1"/>
  <c r="AL1119" i="17"/>
  <c r="B1119" i="17"/>
  <c r="G1119" i="17" s="1"/>
  <c r="A1120" i="17"/>
  <c r="AH1118" i="17"/>
  <c r="AD1118" i="17"/>
  <c r="Z1118" i="17"/>
  <c r="AG1118" i="17"/>
  <c r="AC1118" i="17"/>
  <c r="Y1118" i="17"/>
  <c r="AF1118" i="17"/>
  <c r="AB1118" i="17"/>
  <c r="X1118" i="17"/>
  <c r="W1118" i="17"/>
  <c r="AE1118" i="17"/>
  <c r="AA1118" i="17"/>
  <c r="C506" i="17"/>
  <c r="AL505" i="17"/>
  <c r="B505" i="17"/>
  <c r="G505" i="17" s="1"/>
  <c r="AF504" i="17"/>
  <c r="AB504" i="17"/>
  <c r="X504" i="17"/>
  <c r="AE504" i="17"/>
  <c r="AA504" i="17"/>
  <c r="W504" i="17"/>
  <c r="AH504" i="17"/>
  <c r="AD504" i="17"/>
  <c r="Z504" i="17"/>
  <c r="AG504" i="17"/>
  <c r="AC504" i="17"/>
  <c r="Y504" i="17"/>
  <c r="AH1119" i="17" l="1"/>
  <c r="AD1119" i="17"/>
  <c r="Z1119" i="17"/>
  <c r="AG1119" i="17"/>
  <c r="AC1119" i="17"/>
  <c r="Y1119" i="17"/>
  <c r="AF1119" i="17"/>
  <c r="AB1119" i="17"/>
  <c r="X1119" i="17"/>
  <c r="W1119" i="17"/>
  <c r="AE1119" i="17"/>
  <c r="AA1119" i="17"/>
  <c r="C1121" i="17"/>
  <c r="AL1120" i="17"/>
  <c r="B1120" i="17"/>
  <c r="G1120" i="17" s="1"/>
  <c r="A1121" i="17"/>
  <c r="C507" i="17"/>
  <c r="AL506" i="17"/>
  <c r="B506" i="17"/>
  <c r="G506" i="17" s="1"/>
  <c r="AE505" i="17"/>
  <c r="AA505" i="17"/>
  <c r="W505" i="17"/>
  <c r="AH505" i="17"/>
  <c r="AD505" i="17"/>
  <c r="Z505" i="17"/>
  <c r="AG505" i="17"/>
  <c r="AC505" i="17"/>
  <c r="Y505" i="17"/>
  <c r="AF505" i="17"/>
  <c r="AB505" i="17"/>
  <c r="X505" i="17"/>
  <c r="AH1120" i="17" l="1"/>
  <c r="AD1120" i="17"/>
  <c r="Z1120" i="17"/>
  <c r="AG1120" i="17"/>
  <c r="AC1120" i="17"/>
  <c r="Y1120" i="17"/>
  <c r="AF1120" i="17"/>
  <c r="AB1120" i="17"/>
  <c r="X1120" i="17"/>
  <c r="W1120" i="17"/>
  <c r="AE1120" i="17"/>
  <c r="AA1120" i="17"/>
  <c r="C1122" i="17"/>
  <c r="AL1121" i="17"/>
  <c r="B1121" i="17"/>
  <c r="G1121" i="17" s="1"/>
  <c r="A1122" i="17"/>
  <c r="AH506" i="17"/>
  <c r="AD506" i="17"/>
  <c r="Z506" i="17"/>
  <c r="AG506" i="17"/>
  <c r="AC506" i="17"/>
  <c r="Y506" i="17"/>
  <c r="AF506" i="17"/>
  <c r="AB506" i="17"/>
  <c r="X506" i="17"/>
  <c r="AE506" i="17"/>
  <c r="AA506" i="17"/>
  <c r="W506" i="17"/>
  <c r="B507" i="17"/>
  <c r="G507" i="17" s="1"/>
  <c r="C508" i="17"/>
  <c r="AL507" i="17"/>
  <c r="AH1121" i="17" l="1"/>
  <c r="AD1121" i="17"/>
  <c r="Z1121" i="17"/>
  <c r="AG1121" i="17"/>
  <c r="AC1121" i="17"/>
  <c r="Y1121" i="17"/>
  <c r="AF1121" i="17"/>
  <c r="AB1121" i="17"/>
  <c r="X1121" i="17"/>
  <c r="W1121" i="17"/>
  <c r="AE1121" i="17"/>
  <c r="AA1121" i="17"/>
  <c r="C1123" i="17"/>
  <c r="AL1122" i="17"/>
  <c r="B1122" i="17"/>
  <c r="G1122" i="17" s="1"/>
  <c r="A1123" i="17"/>
  <c r="B508" i="17"/>
  <c r="G508" i="17" s="1"/>
  <c r="C509" i="17"/>
  <c r="AL508" i="17"/>
  <c r="AG507" i="17"/>
  <c r="AC507" i="17"/>
  <c r="Y507" i="17"/>
  <c r="AF507" i="17"/>
  <c r="AB507" i="17"/>
  <c r="X507" i="17"/>
  <c r="AE507" i="17"/>
  <c r="AA507" i="17"/>
  <c r="W507" i="17"/>
  <c r="AH507" i="17"/>
  <c r="AD507" i="17"/>
  <c r="Z507" i="17"/>
  <c r="C1124" i="17" l="1"/>
  <c r="AL1123" i="17"/>
  <c r="B1123" i="17"/>
  <c r="G1123" i="17" s="1"/>
  <c r="A1124" i="17"/>
  <c r="AH1122" i="17"/>
  <c r="AD1122" i="17"/>
  <c r="Z1122" i="17"/>
  <c r="AG1122" i="17"/>
  <c r="AC1122" i="17"/>
  <c r="Y1122" i="17"/>
  <c r="AF1122" i="17"/>
  <c r="AB1122" i="17"/>
  <c r="X1122" i="17"/>
  <c r="W1122" i="17"/>
  <c r="AE1122" i="17"/>
  <c r="AA1122" i="17"/>
  <c r="C510" i="17"/>
  <c r="AL509" i="17"/>
  <c r="B509" i="17"/>
  <c r="G509" i="17" s="1"/>
  <c r="AF508" i="17"/>
  <c r="AB508" i="17"/>
  <c r="X508" i="17"/>
  <c r="AE508" i="17"/>
  <c r="AA508" i="17"/>
  <c r="W508" i="17"/>
  <c r="AH508" i="17"/>
  <c r="AD508" i="17"/>
  <c r="Z508" i="17"/>
  <c r="AC508" i="17"/>
  <c r="Y508" i="17"/>
  <c r="AG508" i="17"/>
  <c r="C1125" i="17" l="1"/>
  <c r="AL1124" i="17"/>
  <c r="B1124" i="17"/>
  <c r="G1124" i="17" s="1"/>
  <c r="A1125" i="17"/>
  <c r="AH1123" i="17"/>
  <c r="AD1123" i="17"/>
  <c r="Z1123" i="17"/>
  <c r="AG1123" i="17"/>
  <c r="AC1123" i="17"/>
  <c r="Y1123" i="17"/>
  <c r="AF1123" i="17"/>
  <c r="AB1123" i="17"/>
  <c r="X1123" i="17"/>
  <c r="W1123" i="17"/>
  <c r="AE1123" i="17"/>
  <c r="AA1123" i="17"/>
  <c r="AE509" i="17"/>
  <c r="AA509" i="17"/>
  <c r="W509" i="17"/>
  <c r="AH509" i="17"/>
  <c r="AD509" i="17"/>
  <c r="Z509" i="17"/>
  <c r="AG509" i="17"/>
  <c r="AC509" i="17"/>
  <c r="Y509" i="17"/>
  <c r="AB509" i="17"/>
  <c r="X509" i="17"/>
  <c r="AF509" i="17"/>
  <c r="C511" i="17"/>
  <c r="AL510" i="17"/>
  <c r="B510" i="17"/>
  <c r="G510" i="17" s="1"/>
  <c r="C1126" i="17" l="1"/>
  <c r="AL1125" i="17"/>
  <c r="B1125" i="17"/>
  <c r="G1125" i="17" s="1"/>
  <c r="A1126" i="17"/>
  <c r="AH1124" i="17"/>
  <c r="AD1124" i="17"/>
  <c r="Z1124" i="17"/>
  <c r="AG1124" i="17"/>
  <c r="AC1124" i="17"/>
  <c r="Y1124" i="17"/>
  <c r="AF1124" i="17"/>
  <c r="AB1124" i="17"/>
  <c r="X1124" i="17"/>
  <c r="W1124" i="17"/>
  <c r="AE1124" i="17"/>
  <c r="AA1124" i="17"/>
  <c r="AH510" i="17"/>
  <c r="AD510" i="17"/>
  <c r="Z510" i="17"/>
  <c r="AG510" i="17"/>
  <c r="AC510" i="17"/>
  <c r="Y510" i="17"/>
  <c r="AF510" i="17"/>
  <c r="AB510" i="17"/>
  <c r="X510" i="17"/>
  <c r="AA510" i="17"/>
  <c r="W510" i="17"/>
  <c r="AE510" i="17"/>
  <c r="B511" i="17"/>
  <c r="G511" i="17" s="1"/>
  <c r="AL511" i="17"/>
  <c r="C512" i="17"/>
  <c r="C1127" i="17" l="1"/>
  <c r="AL1126" i="17"/>
  <c r="B1126" i="17"/>
  <c r="G1126" i="17" s="1"/>
  <c r="A1127" i="17"/>
  <c r="AH1125" i="17"/>
  <c r="AD1125" i="17"/>
  <c r="Z1125" i="17"/>
  <c r="AG1125" i="17"/>
  <c r="AC1125" i="17"/>
  <c r="Y1125" i="17"/>
  <c r="AF1125" i="17"/>
  <c r="AB1125" i="17"/>
  <c r="X1125" i="17"/>
  <c r="W1125" i="17"/>
  <c r="AE1125" i="17"/>
  <c r="AA1125" i="17"/>
  <c r="B512" i="17"/>
  <c r="G512" i="17" s="1"/>
  <c r="C513" i="17"/>
  <c r="AL512" i="17"/>
  <c r="AG511" i="17"/>
  <c r="AC511" i="17"/>
  <c r="Y511" i="17"/>
  <c r="AF511" i="17"/>
  <c r="AB511" i="17"/>
  <c r="X511" i="17"/>
  <c r="AE511" i="17"/>
  <c r="AA511" i="17"/>
  <c r="W511" i="17"/>
  <c r="AD511" i="17"/>
  <c r="Z511" i="17"/>
  <c r="AH511" i="17"/>
  <c r="C1128" i="17" l="1"/>
  <c r="AL1127" i="17"/>
  <c r="B1127" i="17"/>
  <c r="G1127" i="17" s="1"/>
  <c r="A1128" i="17"/>
  <c r="AH1126" i="17"/>
  <c r="AD1126" i="17"/>
  <c r="Z1126" i="17"/>
  <c r="AG1126" i="17"/>
  <c r="AC1126" i="17"/>
  <c r="Y1126" i="17"/>
  <c r="AF1126" i="17"/>
  <c r="AB1126" i="17"/>
  <c r="X1126" i="17"/>
  <c r="W1126" i="17"/>
  <c r="AE1126" i="17"/>
  <c r="AA1126" i="17"/>
  <c r="C514" i="17"/>
  <c r="AL513" i="17"/>
  <c r="B513" i="17"/>
  <c r="G513" i="17" s="1"/>
  <c r="AF512" i="17"/>
  <c r="AB512" i="17"/>
  <c r="X512" i="17"/>
  <c r="AE512" i="17"/>
  <c r="AA512" i="17"/>
  <c r="W512" i="17"/>
  <c r="AH512" i="17"/>
  <c r="AD512" i="17"/>
  <c r="Z512" i="17"/>
  <c r="Y512" i="17"/>
  <c r="AG512" i="17"/>
  <c r="AC512" i="17"/>
  <c r="AH1127" i="17" l="1"/>
  <c r="AD1127" i="17"/>
  <c r="Z1127" i="17"/>
  <c r="AG1127" i="17"/>
  <c r="AC1127" i="17"/>
  <c r="Y1127" i="17"/>
  <c r="AF1127" i="17"/>
  <c r="AB1127" i="17"/>
  <c r="X1127" i="17"/>
  <c r="W1127" i="17"/>
  <c r="AE1127" i="17"/>
  <c r="AA1127" i="17"/>
  <c r="C1129" i="17"/>
  <c r="AL1128" i="17"/>
  <c r="B1128" i="17"/>
  <c r="G1128" i="17" s="1"/>
  <c r="A1129" i="17"/>
  <c r="AE513" i="17"/>
  <c r="AA513" i="17"/>
  <c r="W513" i="17"/>
  <c r="AH513" i="17"/>
  <c r="AD513" i="17"/>
  <c r="Z513" i="17"/>
  <c r="AG513" i="17"/>
  <c r="AC513" i="17"/>
  <c r="Y513" i="17"/>
  <c r="X513" i="17"/>
  <c r="AF513" i="17"/>
  <c r="AB513" i="17"/>
  <c r="C515" i="17"/>
  <c r="AL514" i="17"/>
  <c r="B514" i="17"/>
  <c r="G514" i="17" s="1"/>
  <c r="C1130" i="17" l="1"/>
  <c r="AL1129" i="17"/>
  <c r="B1129" i="17"/>
  <c r="G1129" i="17" s="1"/>
  <c r="A1130" i="17"/>
  <c r="AH1128" i="17"/>
  <c r="AD1128" i="17"/>
  <c r="Z1128" i="17"/>
  <c r="AG1128" i="17"/>
  <c r="AC1128" i="17"/>
  <c r="Y1128" i="17"/>
  <c r="AF1128" i="17"/>
  <c r="AB1128" i="17"/>
  <c r="X1128" i="17"/>
  <c r="W1128" i="17"/>
  <c r="AE1128" i="17"/>
  <c r="AA1128" i="17"/>
  <c r="AH514" i="17"/>
  <c r="AD514" i="17"/>
  <c r="Z514" i="17"/>
  <c r="AG514" i="17"/>
  <c r="AC514" i="17"/>
  <c r="Y514" i="17"/>
  <c r="AF514" i="17"/>
  <c r="AB514" i="17"/>
  <c r="X514" i="17"/>
  <c r="W514" i="17"/>
  <c r="AE514" i="17"/>
  <c r="AA514" i="17"/>
  <c r="B515" i="17"/>
  <c r="G515" i="17" s="1"/>
  <c r="AL515" i="17"/>
  <c r="C516" i="17"/>
  <c r="C1131" i="17" l="1"/>
  <c r="AL1130" i="17"/>
  <c r="B1130" i="17"/>
  <c r="G1130" i="17" s="1"/>
  <c r="A1131" i="17"/>
  <c r="AH1129" i="17"/>
  <c r="AD1129" i="17"/>
  <c r="Z1129" i="17"/>
  <c r="AG1129" i="17"/>
  <c r="AC1129" i="17"/>
  <c r="Y1129" i="17"/>
  <c r="AF1129" i="17"/>
  <c r="AB1129" i="17"/>
  <c r="X1129" i="17"/>
  <c r="W1129" i="17"/>
  <c r="AE1129" i="17"/>
  <c r="AA1129" i="17"/>
  <c r="B516" i="17"/>
  <c r="G516" i="17" s="1"/>
  <c r="C517" i="17"/>
  <c r="AL516" i="17"/>
  <c r="AG515" i="17"/>
  <c r="AC515" i="17"/>
  <c r="Y515" i="17"/>
  <c r="AF515" i="17"/>
  <c r="AB515" i="17"/>
  <c r="X515" i="17"/>
  <c r="AE515" i="17"/>
  <c r="AA515" i="17"/>
  <c r="W515" i="17"/>
  <c r="Z515" i="17"/>
  <c r="AH515" i="17"/>
  <c r="AD515" i="17"/>
  <c r="C1132" i="17" l="1"/>
  <c r="AL1131" i="17"/>
  <c r="B1131" i="17"/>
  <c r="G1131" i="17" s="1"/>
  <c r="A1132" i="17"/>
  <c r="AH1130" i="17"/>
  <c r="AD1130" i="17"/>
  <c r="Z1130" i="17"/>
  <c r="AG1130" i="17"/>
  <c r="AC1130" i="17"/>
  <c r="Y1130" i="17"/>
  <c r="AF1130" i="17"/>
  <c r="AB1130" i="17"/>
  <c r="X1130" i="17"/>
  <c r="W1130" i="17"/>
  <c r="AE1130" i="17"/>
  <c r="AA1130" i="17"/>
  <c r="C518" i="17"/>
  <c r="AL517" i="17"/>
  <c r="B517" i="17"/>
  <c r="G517" i="17" s="1"/>
  <c r="AF516" i="17"/>
  <c r="AB516" i="17"/>
  <c r="X516" i="17"/>
  <c r="AE516" i="17"/>
  <c r="AA516" i="17"/>
  <c r="W516" i="17"/>
  <c r="AH516" i="17"/>
  <c r="AD516" i="17"/>
  <c r="Z516" i="17"/>
  <c r="AG516" i="17"/>
  <c r="AC516" i="17"/>
  <c r="Y516" i="17"/>
  <c r="AH1131" i="17" l="1"/>
  <c r="AD1131" i="17"/>
  <c r="Z1131" i="17"/>
  <c r="AG1131" i="17"/>
  <c r="AC1131" i="17"/>
  <c r="Y1131" i="17"/>
  <c r="AF1131" i="17"/>
  <c r="AB1131" i="17"/>
  <c r="X1131" i="17"/>
  <c r="W1131" i="17"/>
  <c r="AE1131" i="17"/>
  <c r="AA1131" i="17"/>
  <c r="C1133" i="17"/>
  <c r="AL1132" i="17"/>
  <c r="B1132" i="17"/>
  <c r="G1132" i="17" s="1"/>
  <c r="A1133" i="17"/>
  <c r="AE517" i="17"/>
  <c r="AA517" i="17"/>
  <c r="W517" i="17"/>
  <c r="AH517" i="17"/>
  <c r="AD517" i="17"/>
  <c r="Z517" i="17"/>
  <c r="AG517" i="17"/>
  <c r="AC517" i="17"/>
  <c r="Y517" i="17"/>
  <c r="AF517" i="17"/>
  <c r="AB517" i="17"/>
  <c r="X517" i="17"/>
  <c r="C519" i="17"/>
  <c r="AL518" i="17"/>
  <c r="B518" i="17"/>
  <c r="G518" i="17" s="1"/>
  <c r="C1134" i="17" l="1"/>
  <c r="AL1133" i="17"/>
  <c r="B1133" i="17"/>
  <c r="G1133" i="17" s="1"/>
  <c r="A1134" i="17"/>
  <c r="AH1132" i="17"/>
  <c r="AD1132" i="17"/>
  <c r="Z1132" i="17"/>
  <c r="AG1132" i="17"/>
  <c r="AC1132" i="17"/>
  <c r="Y1132" i="17"/>
  <c r="AF1132" i="17"/>
  <c r="AB1132" i="17"/>
  <c r="X1132" i="17"/>
  <c r="W1132" i="17"/>
  <c r="AE1132" i="17"/>
  <c r="AA1132" i="17"/>
  <c r="B519" i="17"/>
  <c r="G519" i="17" s="1"/>
  <c r="AL519" i="17"/>
  <c r="C520" i="17"/>
  <c r="AH518" i="17"/>
  <c r="AD518" i="17"/>
  <c r="Z518" i="17"/>
  <c r="AG518" i="17"/>
  <c r="AC518" i="17"/>
  <c r="Y518" i="17"/>
  <c r="AF518" i="17"/>
  <c r="AB518" i="17"/>
  <c r="X518" i="17"/>
  <c r="AE518" i="17"/>
  <c r="AA518" i="17"/>
  <c r="W518" i="17"/>
  <c r="AH1133" i="17" l="1"/>
  <c r="AD1133" i="17"/>
  <c r="Z1133" i="17"/>
  <c r="AG1133" i="17"/>
  <c r="AC1133" i="17"/>
  <c r="Y1133" i="17"/>
  <c r="AF1133" i="17"/>
  <c r="AB1133" i="17"/>
  <c r="X1133" i="17"/>
  <c r="W1133" i="17"/>
  <c r="AE1133" i="17"/>
  <c r="AA1133" i="17"/>
  <c r="C1135" i="17"/>
  <c r="AL1134" i="17"/>
  <c r="B1134" i="17"/>
  <c r="G1134" i="17" s="1"/>
  <c r="A1135" i="17"/>
  <c r="AG519" i="17"/>
  <c r="AC519" i="17"/>
  <c r="Y519" i="17"/>
  <c r="AF519" i="17"/>
  <c r="AB519" i="17"/>
  <c r="X519" i="17"/>
  <c r="AE519" i="17"/>
  <c r="AA519" i="17"/>
  <c r="W519" i="17"/>
  <c r="AH519" i="17"/>
  <c r="AD519" i="17"/>
  <c r="Z519" i="17"/>
  <c r="B520" i="17"/>
  <c r="G520" i="17" s="1"/>
  <c r="C521" i="17"/>
  <c r="AL520" i="17"/>
  <c r="C1136" i="17" l="1"/>
  <c r="AL1135" i="17"/>
  <c r="B1135" i="17"/>
  <c r="G1135" i="17" s="1"/>
  <c r="A1136" i="17"/>
  <c r="AH1134" i="17"/>
  <c r="AD1134" i="17"/>
  <c r="Z1134" i="17"/>
  <c r="AG1134" i="17"/>
  <c r="AC1134" i="17"/>
  <c r="Y1134" i="17"/>
  <c r="AF1134" i="17"/>
  <c r="AB1134" i="17"/>
  <c r="X1134" i="17"/>
  <c r="W1134" i="17"/>
  <c r="AE1134" i="17"/>
  <c r="AA1134" i="17"/>
  <c r="C522" i="17"/>
  <c r="AL521" i="17"/>
  <c r="B521" i="17"/>
  <c r="G521" i="17" s="1"/>
  <c r="AF520" i="17"/>
  <c r="AB520" i="17"/>
  <c r="X520" i="17"/>
  <c r="AE520" i="17"/>
  <c r="AA520" i="17"/>
  <c r="W520" i="17"/>
  <c r="AH520" i="17"/>
  <c r="AD520" i="17"/>
  <c r="Z520" i="17"/>
  <c r="AG520" i="17"/>
  <c r="AC520" i="17"/>
  <c r="Y520" i="17"/>
  <c r="AH1135" i="17" l="1"/>
  <c r="AD1135" i="17"/>
  <c r="Z1135" i="17"/>
  <c r="AG1135" i="17"/>
  <c r="AC1135" i="17"/>
  <c r="Y1135" i="17"/>
  <c r="AF1135" i="17"/>
  <c r="AB1135" i="17"/>
  <c r="X1135" i="17"/>
  <c r="W1135" i="17"/>
  <c r="AE1135" i="17"/>
  <c r="AA1135" i="17"/>
  <c r="C1137" i="17"/>
  <c r="AL1136" i="17"/>
  <c r="B1136" i="17"/>
  <c r="G1136" i="17" s="1"/>
  <c r="A1137" i="17"/>
  <c r="AE521" i="17"/>
  <c r="AA521" i="17"/>
  <c r="W521" i="17"/>
  <c r="AH521" i="17"/>
  <c r="AD521" i="17"/>
  <c r="Z521" i="17"/>
  <c r="AG521" i="17"/>
  <c r="AC521" i="17"/>
  <c r="Y521" i="17"/>
  <c r="AF521" i="17"/>
  <c r="AB521" i="17"/>
  <c r="X521" i="17"/>
  <c r="C523" i="17"/>
  <c r="AL522" i="17"/>
  <c r="B522" i="17"/>
  <c r="G522" i="17" s="1"/>
  <c r="AH1136" i="17" l="1"/>
  <c r="AD1136" i="17"/>
  <c r="Z1136" i="17"/>
  <c r="AG1136" i="17"/>
  <c r="AC1136" i="17"/>
  <c r="Y1136" i="17"/>
  <c r="AF1136" i="17"/>
  <c r="AB1136" i="17"/>
  <c r="X1136" i="17"/>
  <c r="W1136" i="17"/>
  <c r="AE1136" i="17"/>
  <c r="AA1136" i="17"/>
  <c r="C1138" i="17"/>
  <c r="AL1137" i="17"/>
  <c r="B1137" i="17"/>
  <c r="G1137" i="17" s="1"/>
  <c r="A1138" i="17"/>
  <c r="AH522" i="17"/>
  <c r="AD522" i="17"/>
  <c r="Z522" i="17"/>
  <c r="AG522" i="17"/>
  <c r="AC522" i="17"/>
  <c r="Y522" i="17"/>
  <c r="AF522" i="17"/>
  <c r="AB522" i="17"/>
  <c r="X522" i="17"/>
  <c r="AE522" i="17"/>
  <c r="AA522" i="17"/>
  <c r="W522" i="17"/>
  <c r="B523" i="17"/>
  <c r="G523" i="17" s="1"/>
  <c r="C524" i="17"/>
  <c r="AL523" i="17"/>
  <c r="C1139" i="17" l="1"/>
  <c r="AL1138" i="17"/>
  <c r="B1138" i="17"/>
  <c r="G1138" i="17" s="1"/>
  <c r="A1139" i="17"/>
  <c r="AH1137" i="17"/>
  <c r="AD1137" i="17"/>
  <c r="Z1137" i="17"/>
  <c r="AG1137" i="17"/>
  <c r="AC1137" i="17"/>
  <c r="Y1137" i="17"/>
  <c r="AF1137" i="17"/>
  <c r="AB1137" i="17"/>
  <c r="X1137" i="17"/>
  <c r="W1137" i="17"/>
  <c r="AE1137" i="17"/>
  <c r="AA1137" i="17"/>
  <c r="B524" i="17"/>
  <c r="G524" i="17" s="1"/>
  <c r="C525" i="17"/>
  <c r="AL524" i="17"/>
  <c r="AG523" i="17"/>
  <c r="AC523" i="17"/>
  <c r="Y523" i="17"/>
  <c r="AF523" i="17"/>
  <c r="AB523" i="17"/>
  <c r="X523" i="17"/>
  <c r="AE523" i="17"/>
  <c r="AA523" i="17"/>
  <c r="W523" i="17"/>
  <c r="AH523" i="17"/>
  <c r="AD523" i="17"/>
  <c r="Z523" i="17"/>
  <c r="C1140" i="17" l="1"/>
  <c r="AL1139" i="17"/>
  <c r="B1139" i="17"/>
  <c r="G1139" i="17" s="1"/>
  <c r="A1140" i="17"/>
  <c r="AH1138" i="17"/>
  <c r="AD1138" i="17"/>
  <c r="Z1138" i="17"/>
  <c r="AG1138" i="17"/>
  <c r="AC1138" i="17"/>
  <c r="Y1138" i="17"/>
  <c r="AF1138" i="17"/>
  <c r="AB1138" i="17"/>
  <c r="X1138" i="17"/>
  <c r="W1138" i="17"/>
  <c r="AE1138" i="17"/>
  <c r="AA1138" i="17"/>
  <c r="C526" i="17"/>
  <c r="AL525" i="17"/>
  <c r="B525" i="17"/>
  <c r="G525" i="17" s="1"/>
  <c r="AF524" i="17"/>
  <c r="AB524" i="17"/>
  <c r="X524" i="17"/>
  <c r="AE524" i="17"/>
  <c r="AA524" i="17"/>
  <c r="W524" i="17"/>
  <c r="AH524" i="17"/>
  <c r="AD524" i="17"/>
  <c r="Z524" i="17"/>
  <c r="AC524" i="17"/>
  <c r="Y524" i="17"/>
  <c r="AG524" i="17"/>
  <c r="AH1139" i="17" l="1"/>
  <c r="AD1139" i="17"/>
  <c r="Z1139" i="17"/>
  <c r="AG1139" i="17"/>
  <c r="AC1139" i="17"/>
  <c r="Y1139" i="17"/>
  <c r="AF1139" i="17"/>
  <c r="AB1139" i="17"/>
  <c r="X1139" i="17"/>
  <c r="W1139" i="17"/>
  <c r="AE1139" i="17"/>
  <c r="AA1139" i="17"/>
  <c r="C1141" i="17"/>
  <c r="AL1140" i="17"/>
  <c r="B1140" i="17"/>
  <c r="G1140" i="17" s="1"/>
  <c r="A1141" i="17"/>
  <c r="AE525" i="17"/>
  <c r="AA525" i="17"/>
  <c r="W525" i="17"/>
  <c r="AH525" i="17"/>
  <c r="AD525" i="17"/>
  <c r="Z525" i="17"/>
  <c r="AG525" i="17"/>
  <c r="AC525" i="17"/>
  <c r="Y525" i="17"/>
  <c r="AB525" i="17"/>
  <c r="X525" i="17"/>
  <c r="AF525" i="17"/>
  <c r="C527" i="17"/>
  <c r="AL526" i="17"/>
  <c r="B526" i="17"/>
  <c r="G526" i="17" s="1"/>
  <c r="C1142" i="17" l="1"/>
  <c r="AL1141" i="17"/>
  <c r="B1141" i="17"/>
  <c r="G1141" i="17" s="1"/>
  <c r="A1142" i="17"/>
  <c r="AH1140" i="17"/>
  <c r="AD1140" i="17"/>
  <c r="Z1140" i="17"/>
  <c r="AG1140" i="17"/>
  <c r="AC1140" i="17"/>
  <c r="Y1140" i="17"/>
  <c r="AF1140" i="17"/>
  <c r="AB1140" i="17"/>
  <c r="X1140" i="17"/>
  <c r="W1140" i="17"/>
  <c r="AE1140" i="17"/>
  <c r="AA1140" i="17"/>
  <c r="AH526" i="17"/>
  <c r="AD526" i="17"/>
  <c r="Z526" i="17"/>
  <c r="AG526" i="17"/>
  <c r="AC526" i="17"/>
  <c r="Y526" i="17"/>
  <c r="AF526" i="17"/>
  <c r="AB526" i="17"/>
  <c r="X526" i="17"/>
  <c r="AA526" i="17"/>
  <c r="W526" i="17"/>
  <c r="AE526" i="17"/>
  <c r="B527" i="17"/>
  <c r="G527" i="17" s="1"/>
  <c r="AL527" i="17"/>
  <c r="C528" i="17"/>
  <c r="C1143" i="17" l="1"/>
  <c r="AL1142" i="17"/>
  <c r="B1142" i="17"/>
  <c r="G1142" i="17" s="1"/>
  <c r="A1143" i="17"/>
  <c r="AH1141" i="17"/>
  <c r="AD1141" i="17"/>
  <c r="Z1141" i="17"/>
  <c r="AG1141" i="17"/>
  <c r="AC1141" i="17"/>
  <c r="Y1141" i="17"/>
  <c r="AF1141" i="17"/>
  <c r="AB1141" i="17"/>
  <c r="X1141" i="17"/>
  <c r="W1141" i="17"/>
  <c r="AE1141" i="17"/>
  <c r="AA1141" i="17"/>
  <c r="AG527" i="17"/>
  <c r="AC527" i="17"/>
  <c r="Y527" i="17"/>
  <c r="AF527" i="17"/>
  <c r="AB527" i="17"/>
  <c r="X527" i="17"/>
  <c r="AE527" i="17"/>
  <c r="AA527" i="17"/>
  <c r="W527" i="17"/>
  <c r="AD527" i="17"/>
  <c r="Z527" i="17"/>
  <c r="AH527" i="17"/>
  <c r="B528" i="17"/>
  <c r="G528" i="17" s="1"/>
  <c r="C529" i="17"/>
  <c r="AL528" i="17"/>
  <c r="C1144" i="17" l="1"/>
  <c r="AL1143" i="17"/>
  <c r="B1143" i="17"/>
  <c r="G1143" i="17" s="1"/>
  <c r="A1144" i="17"/>
  <c r="AH1142" i="17"/>
  <c r="AD1142" i="17"/>
  <c r="Z1142" i="17"/>
  <c r="AG1142" i="17"/>
  <c r="AC1142" i="17"/>
  <c r="Y1142" i="17"/>
  <c r="AA1142" i="17"/>
  <c r="AF1142" i="17"/>
  <c r="X1142" i="17"/>
  <c r="AE1142" i="17"/>
  <c r="W1142" i="17"/>
  <c r="AB1142" i="17"/>
  <c r="AF528" i="17"/>
  <c r="AB528" i="17"/>
  <c r="X528" i="17"/>
  <c r="AE528" i="17"/>
  <c r="AA528" i="17"/>
  <c r="W528" i="17"/>
  <c r="AH528" i="17"/>
  <c r="AD528" i="17"/>
  <c r="Z528" i="17"/>
  <c r="Y528" i="17"/>
  <c r="AG528" i="17"/>
  <c r="AC528" i="17"/>
  <c r="C530" i="17"/>
  <c r="AL529" i="17"/>
  <c r="B529" i="17"/>
  <c r="G529" i="17" s="1"/>
  <c r="C1145" i="17" l="1"/>
  <c r="AL1144" i="17"/>
  <c r="B1144" i="17"/>
  <c r="G1144" i="17" s="1"/>
  <c r="A1145" i="17"/>
  <c r="AH1143" i="17"/>
  <c r="AD1143" i="17"/>
  <c r="Z1143" i="17"/>
  <c r="AG1143" i="17"/>
  <c r="AC1143" i="17"/>
  <c r="Y1143" i="17"/>
  <c r="AF1143" i="17"/>
  <c r="X1143" i="17"/>
  <c r="AE1143" i="17"/>
  <c r="W1143" i="17"/>
  <c r="AB1143" i="17"/>
  <c r="AA1143" i="17"/>
  <c r="AE529" i="17"/>
  <c r="AA529" i="17"/>
  <c r="W529" i="17"/>
  <c r="AH529" i="17"/>
  <c r="AD529" i="17"/>
  <c r="Z529" i="17"/>
  <c r="AG529" i="17"/>
  <c r="AC529" i="17"/>
  <c r="Y529" i="17"/>
  <c r="X529" i="17"/>
  <c r="AF529" i="17"/>
  <c r="AB529" i="17"/>
  <c r="C531" i="17"/>
  <c r="AL530" i="17"/>
  <c r="B530" i="17"/>
  <c r="G530" i="17" s="1"/>
  <c r="AH1144" i="17" l="1"/>
  <c r="AD1144" i="17"/>
  <c r="Z1144" i="17"/>
  <c r="AG1144" i="17"/>
  <c r="AC1144" i="17"/>
  <c r="Y1144" i="17"/>
  <c r="AE1144" i="17"/>
  <c r="W1144" i="17"/>
  <c r="AB1144" i="17"/>
  <c r="AA1144" i="17"/>
  <c r="AF1144" i="17"/>
  <c r="X1144" i="17"/>
  <c r="C1146" i="17"/>
  <c r="AL1145" i="17"/>
  <c r="B1145" i="17"/>
  <c r="G1145" i="17" s="1"/>
  <c r="A1146" i="17"/>
  <c r="AH530" i="17"/>
  <c r="AD530" i="17"/>
  <c r="Z530" i="17"/>
  <c r="AG530" i="17"/>
  <c r="AC530" i="17"/>
  <c r="Y530" i="17"/>
  <c r="AF530" i="17"/>
  <c r="AB530" i="17"/>
  <c r="X530" i="17"/>
  <c r="W530" i="17"/>
  <c r="AE530" i="17"/>
  <c r="AA530" i="17"/>
  <c r="B531" i="17"/>
  <c r="G531" i="17" s="1"/>
  <c r="AL531" i="17"/>
  <c r="C532" i="17"/>
  <c r="C1147" i="17" l="1"/>
  <c r="AL1146" i="17"/>
  <c r="B1146" i="17"/>
  <c r="G1146" i="17" s="1"/>
  <c r="A1147" i="17"/>
  <c r="AH1145" i="17"/>
  <c r="AD1145" i="17"/>
  <c r="Z1145" i="17"/>
  <c r="AG1145" i="17"/>
  <c r="AC1145" i="17"/>
  <c r="Y1145" i="17"/>
  <c r="AB1145" i="17"/>
  <c r="AA1145" i="17"/>
  <c r="AF1145" i="17"/>
  <c r="X1145" i="17"/>
  <c r="AE1145" i="17"/>
  <c r="W1145" i="17"/>
  <c r="B532" i="17"/>
  <c r="G532" i="17" s="1"/>
  <c r="C533" i="17"/>
  <c r="AL532" i="17"/>
  <c r="AG531" i="17"/>
  <c r="AC531" i="17"/>
  <c r="Y531" i="17"/>
  <c r="AF531" i="17"/>
  <c r="AB531" i="17"/>
  <c r="X531" i="17"/>
  <c r="AE531" i="17"/>
  <c r="AA531" i="17"/>
  <c r="W531" i="17"/>
  <c r="Z531" i="17"/>
  <c r="AH531" i="17"/>
  <c r="AD531" i="17"/>
  <c r="C1148" i="17" l="1"/>
  <c r="AL1147" i="17"/>
  <c r="B1147" i="17"/>
  <c r="G1147" i="17" s="1"/>
  <c r="A1148" i="17"/>
  <c r="AH1146" i="17"/>
  <c r="AD1146" i="17"/>
  <c r="Z1146" i="17"/>
  <c r="AG1146" i="17"/>
  <c r="AC1146" i="17"/>
  <c r="Y1146" i="17"/>
  <c r="AA1146" i="17"/>
  <c r="AF1146" i="17"/>
  <c r="X1146" i="17"/>
  <c r="AE1146" i="17"/>
  <c r="W1146" i="17"/>
  <c r="AB1146" i="17"/>
  <c r="AF532" i="17"/>
  <c r="AB532" i="17"/>
  <c r="X532" i="17"/>
  <c r="AE532" i="17"/>
  <c r="AA532" i="17"/>
  <c r="W532" i="17"/>
  <c r="AH532" i="17"/>
  <c r="AD532" i="17"/>
  <c r="Z532" i="17"/>
  <c r="AG532" i="17"/>
  <c r="AC532" i="17"/>
  <c r="Y532" i="17"/>
  <c r="C534" i="17"/>
  <c r="AL533" i="17"/>
  <c r="B533" i="17"/>
  <c r="G533" i="17" s="1"/>
  <c r="C1149" i="17" l="1"/>
  <c r="AL1148" i="17"/>
  <c r="B1148" i="17"/>
  <c r="G1148" i="17" s="1"/>
  <c r="A1149" i="17"/>
  <c r="AH1147" i="17"/>
  <c r="AD1147" i="17"/>
  <c r="Z1147" i="17"/>
  <c r="AG1147" i="17"/>
  <c r="AC1147" i="17"/>
  <c r="Y1147" i="17"/>
  <c r="AF1147" i="17"/>
  <c r="X1147" i="17"/>
  <c r="AE1147" i="17"/>
  <c r="W1147" i="17"/>
  <c r="AB1147" i="17"/>
  <c r="AA1147" i="17"/>
  <c r="AE533" i="17"/>
  <c r="AA533" i="17"/>
  <c r="W533" i="17"/>
  <c r="AH533" i="17"/>
  <c r="AD533" i="17"/>
  <c r="Z533" i="17"/>
  <c r="AG533" i="17"/>
  <c r="AC533" i="17"/>
  <c r="Y533" i="17"/>
  <c r="AF533" i="17"/>
  <c r="AB533" i="17"/>
  <c r="X533" i="17"/>
  <c r="C535" i="17"/>
  <c r="AL534" i="17"/>
  <c r="B534" i="17"/>
  <c r="G534" i="17" s="1"/>
  <c r="AH1148" i="17" l="1"/>
  <c r="AD1148" i="17"/>
  <c r="Z1148" i="17"/>
  <c r="AG1148" i="17"/>
  <c r="AC1148" i="17"/>
  <c r="Y1148" i="17"/>
  <c r="AE1148" i="17"/>
  <c r="W1148" i="17"/>
  <c r="AB1148" i="17"/>
  <c r="AA1148" i="17"/>
  <c r="AF1148" i="17"/>
  <c r="X1148" i="17"/>
  <c r="C1150" i="17"/>
  <c r="AL1149" i="17"/>
  <c r="B1149" i="17"/>
  <c r="G1149" i="17" s="1"/>
  <c r="A1150" i="17"/>
  <c r="AH534" i="17"/>
  <c r="AD534" i="17"/>
  <c r="Z534" i="17"/>
  <c r="AG534" i="17"/>
  <c r="AC534" i="17"/>
  <c r="Y534" i="17"/>
  <c r="AF534" i="17"/>
  <c r="AB534" i="17"/>
  <c r="X534" i="17"/>
  <c r="AE534" i="17"/>
  <c r="AA534" i="17"/>
  <c r="W534" i="17"/>
  <c r="B535" i="17"/>
  <c r="G535" i="17" s="1"/>
  <c r="AL535" i="17"/>
  <c r="C536" i="17"/>
  <c r="AH1149" i="17" l="1"/>
  <c r="AD1149" i="17"/>
  <c r="Z1149" i="17"/>
  <c r="AG1149" i="17"/>
  <c r="AC1149" i="17"/>
  <c r="Y1149" i="17"/>
  <c r="AB1149" i="17"/>
  <c r="AA1149" i="17"/>
  <c r="AF1149" i="17"/>
  <c r="X1149" i="17"/>
  <c r="AE1149" i="17"/>
  <c r="W1149" i="17"/>
  <c r="C1151" i="17"/>
  <c r="AL1150" i="17"/>
  <c r="B1150" i="17"/>
  <c r="G1150" i="17" s="1"/>
  <c r="A1151" i="17"/>
  <c r="B536" i="17"/>
  <c r="G536" i="17" s="1"/>
  <c r="C537" i="17"/>
  <c r="AL536" i="17"/>
  <c r="AG535" i="17"/>
  <c r="AC535" i="17"/>
  <c r="Y535" i="17"/>
  <c r="AF535" i="17"/>
  <c r="AB535" i="17"/>
  <c r="X535" i="17"/>
  <c r="AE535" i="17"/>
  <c r="AA535" i="17"/>
  <c r="W535" i="17"/>
  <c r="AH535" i="17"/>
  <c r="AD535" i="17"/>
  <c r="Z535" i="17"/>
  <c r="AE1150" i="17" l="1"/>
  <c r="AA1150" i="17"/>
  <c r="W1150" i="17"/>
  <c r="AH1150" i="17"/>
  <c r="AD1150" i="17"/>
  <c r="Z1150" i="17"/>
  <c r="AG1150" i="17"/>
  <c r="AC1150" i="17"/>
  <c r="Y1150" i="17"/>
  <c r="AF1150" i="17"/>
  <c r="AB1150" i="17"/>
  <c r="X1150" i="17"/>
  <c r="C1152" i="17"/>
  <c r="AL1151" i="17"/>
  <c r="B1151" i="17"/>
  <c r="G1151" i="17" s="1"/>
  <c r="A1152" i="17"/>
  <c r="C538" i="17"/>
  <c r="AL537" i="17"/>
  <c r="B537" i="17"/>
  <c r="G537" i="17" s="1"/>
  <c r="AF536" i="17"/>
  <c r="AB536" i="17"/>
  <c r="X536" i="17"/>
  <c r="AE536" i="17"/>
  <c r="AA536" i="17"/>
  <c r="W536" i="17"/>
  <c r="AH536" i="17"/>
  <c r="AD536" i="17"/>
  <c r="Z536" i="17"/>
  <c r="AG536" i="17"/>
  <c r="AC536" i="17"/>
  <c r="Y536" i="17"/>
  <c r="C1153" i="17" l="1"/>
  <c r="AL1152" i="17"/>
  <c r="B1152" i="17"/>
  <c r="G1152" i="17" s="1"/>
  <c r="A1153" i="17"/>
  <c r="AE1151" i="17"/>
  <c r="AA1151" i="17"/>
  <c r="W1151" i="17"/>
  <c r="AH1151" i="17"/>
  <c r="AD1151" i="17"/>
  <c r="Z1151" i="17"/>
  <c r="AG1151" i="17"/>
  <c r="AC1151" i="17"/>
  <c r="Y1151" i="17"/>
  <c r="AF1151" i="17"/>
  <c r="AB1151" i="17"/>
  <c r="X1151" i="17"/>
  <c r="AE537" i="17"/>
  <c r="AA537" i="17"/>
  <c r="W537" i="17"/>
  <c r="AH537" i="17"/>
  <c r="AD537" i="17"/>
  <c r="Z537" i="17"/>
  <c r="AG537" i="17"/>
  <c r="AC537" i="17"/>
  <c r="Y537" i="17"/>
  <c r="AF537" i="17"/>
  <c r="AB537" i="17"/>
  <c r="X537" i="17"/>
  <c r="C539" i="17"/>
  <c r="AL538" i="17"/>
  <c r="B538" i="17"/>
  <c r="G538" i="17" s="1"/>
  <c r="C1154" i="17" l="1"/>
  <c r="AL1153" i="17"/>
  <c r="B1153" i="17"/>
  <c r="G1153" i="17" s="1"/>
  <c r="A1154" i="17"/>
  <c r="AE1152" i="17"/>
  <c r="AA1152" i="17"/>
  <c r="W1152" i="17"/>
  <c r="AH1152" i="17"/>
  <c r="AD1152" i="17"/>
  <c r="Z1152" i="17"/>
  <c r="AG1152" i="17"/>
  <c r="AC1152" i="17"/>
  <c r="Y1152" i="17"/>
  <c r="AB1152" i="17"/>
  <c r="X1152" i="17"/>
  <c r="AF1152" i="17"/>
  <c r="AH538" i="17"/>
  <c r="AD538" i="17"/>
  <c r="Z538" i="17"/>
  <c r="AG538" i="17"/>
  <c r="AC538" i="17"/>
  <c r="Y538" i="17"/>
  <c r="AF538" i="17"/>
  <c r="AB538" i="17"/>
  <c r="X538" i="17"/>
  <c r="AE538" i="17"/>
  <c r="AA538" i="17"/>
  <c r="W538" i="17"/>
  <c r="B539" i="17"/>
  <c r="G539" i="17" s="1"/>
  <c r="C540" i="17"/>
  <c r="AL539" i="17"/>
  <c r="C1155" i="17" l="1"/>
  <c r="AL1154" i="17"/>
  <c r="B1154" i="17"/>
  <c r="G1154" i="17" s="1"/>
  <c r="A1155" i="17"/>
  <c r="AE1153" i="17"/>
  <c r="AA1153" i="17"/>
  <c r="W1153" i="17"/>
  <c r="AH1153" i="17"/>
  <c r="AD1153" i="17"/>
  <c r="Z1153" i="17"/>
  <c r="AG1153" i="17"/>
  <c r="AC1153" i="17"/>
  <c r="Y1153" i="17"/>
  <c r="X1153" i="17"/>
  <c r="AF1153" i="17"/>
  <c r="AB1153" i="17"/>
  <c r="B540" i="17"/>
  <c r="G540" i="17" s="1"/>
  <c r="C541" i="17"/>
  <c r="AL540" i="17"/>
  <c r="AG539" i="17"/>
  <c r="AC539" i="17"/>
  <c r="Y539" i="17"/>
  <c r="AF539" i="17"/>
  <c r="AB539" i="17"/>
  <c r="X539" i="17"/>
  <c r="AE539" i="17"/>
  <c r="AA539" i="17"/>
  <c r="W539" i="17"/>
  <c r="AH539" i="17"/>
  <c r="AD539" i="17"/>
  <c r="Z539" i="17"/>
  <c r="C1156" i="17" l="1"/>
  <c r="AL1155" i="17"/>
  <c r="B1155" i="17"/>
  <c r="G1155" i="17" s="1"/>
  <c r="A1156" i="17"/>
  <c r="AE1154" i="17"/>
  <c r="AA1154" i="17"/>
  <c r="W1154" i="17"/>
  <c r="AH1154" i="17"/>
  <c r="AD1154" i="17"/>
  <c r="Z1154" i="17"/>
  <c r="AG1154" i="17"/>
  <c r="AC1154" i="17"/>
  <c r="Y1154" i="17"/>
  <c r="AF1154" i="17"/>
  <c r="AB1154" i="17"/>
  <c r="X1154" i="17"/>
  <c r="AF540" i="17"/>
  <c r="AB540" i="17"/>
  <c r="X540" i="17"/>
  <c r="AE540" i="17"/>
  <c r="AA540" i="17"/>
  <c r="W540" i="17"/>
  <c r="AH540" i="17"/>
  <c r="AD540" i="17"/>
  <c r="Z540" i="17"/>
  <c r="AC540" i="17"/>
  <c r="Y540" i="17"/>
  <c r="AG540" i="17"/>
  <c r="C542" i="17"/>
  <c r="AL541" i="17"/>
  <c r="B541" i="17"/>
  <c r="G541" i="17" s="1"/>
  <c r="C1157" i="17" l="1"/>
  <c r="AL1156" i="17"/>
  <c r="B1156" i="17"/>
  <c r="G1156" i="17" s="1"/>
  <c r="A1157" i="17"/>
  <c r="AE1155" i="17"/>
  <c r="AA1155" i="17"/>
  <c r="W1155" i="17"/>
  <c r="AH1155" i="17"/>
  <c r="AD1155" i="17"/>
  <c r="Z1155" i="17"/>
  <c r="AG1155" i="17"/>
  <c r="AC1155" i="17"/>
  <c r="Y1155" i="17"/>
  <c r="AF1155" i="17"/>
  <c r="AB1155" i="17"/>
  <c r="X1155" i="17"/>
  <c r="AE541" i="17"/>
  <c r="AA541" i="17"/>
  <c r="W541" i="17"/>
  <c r="AH541" i="17"/>
  <c r="AD541" i="17"/>
  <c r="Z541" i="17"/>
  <c r="AG541" i="17"/>
  <c r="AC541" i="17"/>
  <c r="Y541" i="17"/>
  <c r="AB541" i="17"/>
  <c r="X541" i="17"/>
  <c r="AF541" i="17"/>
  <c r="C543" i="17"/>
  <c r="AL542" i="17"/>
  <c r="B542" i="17"/>
  <c r="G542" i="17" s="1"/>
  <c r="C1158" i="17" l="1"/>
  <c r="AL1157" i="17"/>
  <c r="B1157" i="17"/>
  <c r="G1157" i="17" s="1"/>
  <c r="A1158" i="17"/>
  <c r="AE1156" i="17"/>
  <c r="AA1156" i="17"/>
  <c r="W1156" i="17"/>
  <c r="AH1156" i="17"/>
  <c r="AD1156" i="17"/>
  <c r="Z1156" i="17"/>
  <c r="AG1156" i="17"/>
  <c r="AC1156" i="17"/>
  <c r="Y1156" i="17"/>
  <c r="AB1156" i="17"/>
  <c r="X1156" i="17"/>
  <c r="AF1156" i="17"/>
  <c r="B543" i="17"/>
  <c r="G543" i="17" s="1"/>
  <c r="AL543" i="17"/>
  <c r="C544" i="17"/>
  <c r="AH542" i="17"/>
  <c r="AD542" i="17"/>
  <c r="Z542" i="17"/>
  <c r="AG542" i="17"/>
  <c r="AC542" i="17"/>
  <c r="Y542" i="17"/>
  <c r="AF542" i="17"/>
  <c r="AB542" i="17"/>
  <c r="X542" i="17"/>
  <c r="AA542" i="17"/>
  <c r="W542" i="17"/>
  <c r="AE542" i="17"/>
  <c r="C1159" i="17" l="1"/>
  <c r="AL1158" i="17"/>
  <c r="B1158" i="17"/>
  <c r="G1158" i="17" s="1"/>
  <c r="A1159" i="17"/>
  <c r="AE1157" i="17"/>
  <c r="AA1157" i="17"/>
  <c r="W1157" i="17"/>
  <c r="AH1157" i="17"/>
  <c r="AD1157" i="17"/>
  <c r="Z1157" i="17"/>
  <c r="AG1157" i="17"/>
  <c r="AC1157" i="17"/>
  <c r="Y1157" i="17"/>
  <c r="X1157" i="17"/>
  <c r="AF1157" i="17"/>
  <c r="AB1157" i="17"/>
  <c r="AG543" i="17"/>
  <c r="AC543" i="17"/>
  <c r="Y543" i="17"/>
  <c r="AF543" i="17"/>
  <c r="AB543" i="17"/>
  <c r="X543" i="17"/>
  <c r="AE543" i="17"/>
  <c r="AA543" i="17"/>
  <c r="W543" i="17"/>
  <c r="AD543" i="17"/>
  <c r="Z543" i="17"/>
  <c r="AH543" i="17"/>
  <c r="B544" i="17"/>
  <c r="G544" i="17" s="1"/>
  <c r="C545" i="17"/>
  <c r="AL544" i="17"/>
  <c r="AL1159" i="17" l="1"/>
  <c r="C1160" i="17"/>
  <c r="B1159" i="17"/>
  <c r="G1159" i="17" s="1"/>
  <c r="A1160" i="17"/>
  <c r="AE1158" i="17"/>
  <c r="AA1158" i="17"/>
  <c r="W1158" i="17"/>
  <c r="AH1158" i="17"/>
  <c r="AD1158" i="17"/>
  <c r="Z1158" i="17"/>
  <c r="AG1158" i="17"/>
  <c r="AC1158" i="17"/>
  <c r="Y1158" i="17"/>
  <c r="AF1158" i="17"/>
  <c r="AB1158" i="17"/>
  <c r="X1158" i="17"/>
  <c r="C546" i="17"/>
  <c r="AL545" i="17"/>
  <c r="B545" i="17"/>
  <c r="G545" i="17" s="1"/>
  <c r="AF544" i="17"/>
  <c r="AB544" i="17"/>
  <c r="X544" i="17"/>
  <c r="AE544" i="17"/>
  <c r="AA544" i="17"/>
  <c r="W544" i="17"/>
  <c r="AH544" i="17"/>
  <c r="AD544" i="17"/>
  <c r="Z544" i="17"/>
  <c r="Y544" i="17"/>
  <c r="AG544" i="17"/>
  <c r="AC544" i="17"/>
  <c r="AL1160" i="17" l="1"/>
  <c r="C1161" i="17"/>
  <c r="B1160" i="17"/>
  <c r="G1160" i="17" s="1"/>
  <c r="A1161" i="17"/>
  <c r="AE1159" i="17"/>
  <c r="AA1159" i="17"/>
  <c r="W1159" i="17"/>
  <c r="AG1159" i="17"/>
  <c r="AB1159" i="17"/>
  <c r="AF1159" i="17"/>
  <c r="Z1159" i="17"/>
  <c r="AD1159" i="17"/>
  <c r="Y1159" i="17"/>
  <c r="AH1159" i="17"/>
  <c r="AC1159" i="17"/>
  <c r="X1159" i="17"/>
  <c r="AE545" i="17"/>
  <c r="AA545" i="17"/>
  <c r="W545" i="17"/>
  <c r="AH545" i="17"/>
  <c r="AD545" i="17"/>
  <c r="Z545" i="17"/>
  <c r="AG545" i="17"/>
  <c r="AC545" i="17"/>
  <c r="Y545" i="17"/>
  <c r="X545" i="17"/>
  <c r="AF545" i="17"/>
  <c r="AB545" i="17"/>
  <c r="C547" i="17"/>
  <c r="AL546" i="17"/>
  <c r="B546" i="17"/>
  <c r="G546" i="17" s="1"/>
  <c r="AE1160" i="17" l="1"/>
  <c r="AA1160" i="17"/>
  <c r="W1160" i="17"/>
  <c r="AG1160" i="17"/>
  <c r="AB1160" i="17"/>
  <c r="AF1160" i="17"/>
  <c r="Z1160" i="17"/>
  <c r="AD1160" i="17"/>
  <c r="Y1160" i="17"/>
  <c r="AC1160" i="17"/>
  <c r="X1160" i="17"/>
  <c r="AH1160" i="17"/>
  <c r="AL1161" i="17"/>
  <c r="C1162" i="17"/>
  <c r="B1161" i="17"/>
  <c r="G1161" i="17" s="1"/>
  <c r="A1162" i="17"/>
  <c r="AH546" i="17"/>
  <c r="AD546" i="17"/>
  <c r="Z546" i="17"/>
  <c r="AG546" i="17"/>
  <c r="AC546" i="17"/>
  <c r="Y546" i="17"/>
  <c r="AF546" i="17"/>
  <c r="AB546" i="17"/>
  <c r="X546" i="17"/>
  <c r="W546" i="17"/>
  <c r="AE546" i="17"/>
  <c r="AA546" i="17"/>
  <c r="B547" i="17"/>
  <c r="G547" i="17" s="1"/>
  <c r="AL547" i="17"/>
  <c r="C548" i="17"/>
  <c r="AE1161" i="17" l="1"/>
  <c r="AA1161" i="17"/>
  <c r="W1161" i="17"/>
  <c r="AG1161" i="17"/>
  <c r="AB1161" i="17"/>
  <c r="AF1161" i="17"/>
  <c r="Z1161" i="17"/>
  <c r="AD1161" i="17"/>
  <c r="Y1161" i="17"/>
  <c r="AH1161" i="17"/>
  <c r="AC1161" i="17"/>
  <c r="X1161" i="17"/>
  <c r="AL1162" i="17"/>
  <c r="C1163" i="17"/>
  <c r="B1162" i="17"/>
  <c r="G1162" i="17" s="1"/>
  <c r="A1163" i="17"/>
  <c r="AG547" i="17"/>
  <c r="AC547" i="17"/>
  <c r="Y547" i="17"/>
  <c r="AF547" i="17"/>
  <c r="AB547" i="17"/>
  <c r="X547" i="17"/>
  <c r="AE547" i="17"/>
  <c r="AA547" i="17"/>
  <c r="W547" i="17"/>
  <c r="Z547" i="17"/>
  <c r="AH547" i="17"/>
  <c r="AD547" i="17"/>
  <c r="B548" i="17"/>
  <c r="G548" i="17" s="1"/>
  <c r="C549" i="17"/>
  <c r="AL548" i="17"/>
  <c r="AL1163" i="17" l="1"/>
  <c r="C1164" i="17"/>
  <c r="B1163" i="17"/>
  <c r="G1163" i="17" s="1"/>
  <c r="A1164" i="17"/>
  <c r="AE1162" i="17"/>
  <c r="AA1162" i="17"/>
  <c r="W1162" i="17"/>
  <c r="AG1162" i="17"/>
  <c r="AB1162" i="17"/>
  <c r="AF1162" i="17"/>
  <c r="Z1162" i="17"/>
  <c r="AD1162" i="17"/>
  <c r="Y1162" i="17"/>
  <c r="AC1162" i="17"/>
  <c r="X1162" i="17"/>
  <c r="AH1162" i="17"/>
  <c r="C550" i="17"/>
  <c r="AL549" i="17"/>
  <c r="B549" i="17"/>
  <c r="G549" i="17" s="1"/>
  <c r="AF548" i="17"/>
  <c r="AB548" i="17"/>
  <c r="X548" i="17"/>
  <c r="AE548" i="17"/>
  <c r="AA548" i="17"/>
  <c r="W548" i="17"/>
  <c r="AH548" i="17"/>
  <c r="AD548" i="17"/>
  <c r="Z548" i="17"/>
  <c r="AG548" i="17"/>
  <c r="AC548" i="17"/>
  <c r="Y548" i="17"/>
  <c r="AE1163" i="17" l="1"/>
  <c r="AA1163" i="17"/>
  <c r="W1163" i="17"/>
  <c r="AG1163" i="17"/>
  <c r="AB1163" i="17"/>
  <c r="AF1163" i="17"/>
  <c r="Z1163" i="17"/>
  <c r="AD1163" i="17"/>
  <c r="Y1163" i="17"/>
  <c r="AH1163" i="17"/>
  <c r="AC1163" i="17"/>
  <c r="X1163" i="17"/>
  <c r="AL1164" i="17"/>
  <c r="C1165" i="17"/>
  <c r="B1164" i="17"/>
  <c r="G1164" i="17" s="1"/>
  <c r="A1165" i="17"/>
  <c r="AE549" i="17"/>
  <c r="AA549" i="17"/>
  <c r="W549" i="17"/>
  <c r="AH549" i="17"/>
  <c r="AD549" i="17"/>
  <c r="Z549" i="17"/>
  <c r="AG549" i="17"/>
  <c r="AC549" i="17"/>
  <c r="Y549" i="17"/>
  <c r="AF549" i="17"/>
  <c r="AB549" i="17"/>
  <c r="X549" i="17"/>
  <c r="C551" i="17"/>
  <c r="AL550" i="17"/>
  <c r="B550" i="17"/>
  <c r="G550" i="17" s="1"/>
  <c r="AL1165" i="17" l="1"/>
  <c r="C1166" i="17"/>
  <c r="B1165" i="17"/>
  <c r="G1165" i="17" s="1"/>
  <c r="A1166" i="17"/>
  <c r="AE1164" i="17"/>
  <c r="AA1164" i="17"/>
  <c r="W1164" i="17"/>
  <c r="AG1164" i="17"/>
  <c r="AB1164" i="17"/>
  <c r="AF1164" i="17"/>
  <c r="Z1164" i="17"/>
  <c r="AD1164" i="17"/>
  <c r="Y1164" i="17"/>
  <c r="AC1164" i="17"/>
  <c r="X1164" i="17"/>
  <c r="AH1164" i="17"/>
  <c r="AH550" i="17"/>
  <c r="AD550" i="17"/>
  <c r="Z550" i="17"/>
  <c r="AG550" i="17"/>
  <c r="AC550" i="17"/>
  <c r="Y550" i="17"/>
  <c r="AF550" i="17"/>
  <c r="AB550" i="17"/>
  <c r="X550" i="17"/>
  <c r="AE550" i="17"/>
  <c r="AA550" i="17"/>
  <c r="W550" i="17"/>
  <c r="B551" i="17"/>
  <c r="G551" i="17" s="1"/>
  <c r="AL551" i="17"/>
  <c r="C552" i="17"/>
  <c r="AE1165" i="17" l="1"/>
  <c r="AA1165" i="17"/>
  <c r="W1165" i="17"/>
  <c r="AG1165" i="17"/>
  <c r="AB1165" i="17"/>
  <c r="AF1165" i="17"/>
  <c r="Z1165" i="17"/>
  <c r="AD1165" i="17"/>
  <c r="Y1165" i="17"/>
  <c r="AH1165" i="17"/>
  <c r="AC1165" i="17"/>
  <c r="X1165" i="17"/>
  <c r="AL1166" i="17"/>
  <c r="C1167" i="17"/>
  <c r="B1166" i="17"/>
  <c r="G1166" i="17" s="1"/>
  <c r="A1167" i="17"/>
  <c r="AG551" i="17"/>
  <c r="AC551" i="17"/>
  <c r="Y551" i="17"/>
  <c r="AF551" i="17"/>
  <c r="AB551" i="17"/>
  <c r="X551" i="17"/>
  <c r="AE551" i="17"/>
  <c r="AA551" i="17"/>
  <c r="W551" i="17"/>
  <c r="AH551" i="17"/>
  <c r="AD551" i="17"/>
  <c r="Z551" i="17"/>
  <c r="B552" i="17"/>
  <c r="G552" i="17" s="1"/>
  <c r="C553" i="17"/>
  <c r="AL552" i="17"/>
  <c r="AE1166" i="17" l="1"/>
  <c r="AA1166" i="17"/>
  <c r="W1166" i="17"/>
  <c r="AG1166" i="17"/>
  <c r="AB1166" i="17"/>
  <c r="AF1166" i="17"/>
  <c r="Z1166" i="17"/>
  <c r="AD1166" i="17"/>
  <c r="Y1166" i="17"/>
  <c r="AC1166" i="17"/>
  <c r="X1166" i="17"/>
  <c r="AH1166" i="17"/>
  <c r="C1168" i="17"/>
  <c r="A1168" i="17"/>
  <c r="AL1167" i="17"/>
  <c r="B1167" i="17"/>
  <c r="G1167" i="17" s="1"/>
  <c r="C554" i="17"/>
  <c r="AL553" i="17"/>
  <c r="B553" i="17"/>
  <c r="G553" i="17" s="1"/>
  <c r="AF552" i="17"/>
  <c r="AB552" i="17"/>
  <c r="X552" i="17"/>
  <c r="AE552" i="17"/>
  <c r="AA552" i="17"/>
  <c r="W552" i="17"/>
  <c r="AH552" i="17"/>
  <c r="AD552" i="17"/>
  <c r="Z552" i="17"/>
  <c r="AG552" i="17"/>
  <c r="AC552" i="17"/>
  <c r="Y552" i="17"/>
  <c r="AG1167" i="17" l="1"/>
  <c r="AE1167" i="17"/>
  <c r="AA1167" i="17"/>
  <c r="W1167" i="17"/>
  <c r="AH1167" i="17"/>
  <c r="AB1167" i="17"/>
  <c r="AF1167" i="17"/>
  <c r="Z1167" i="17"/>
  <c r="AD1167" i="17"/>
  <c r="Y1167" i="17"/>
  <c r="AC1167" i="17"/>
  <c r="X1167" i="17"/>
  <c r="B1168" i="17"/>
  <c r="G1168" i="17" s="1"/>
  <c r="C1169" i="17"/>
  <c r="AL1168" i="17"/>
  <c r="A1169" i="17"/>
  <c r="AE553" i="17"/>
  <c r="AA553" i="17"/>
  <c r="W553" i="17"/>
  <c r="AH553" i="17"/>
  <c r="AD553" i="17"/>
  <c r="Z553" i="17"/>
  <c r="AG553" i="17"/>
  <c r="AC553" i="17"/>
  <c r="Y553" i="17"/>
  <c r="AF553" i="17"/>
  <c r="AB553" i="17"/>
  <c r="X553" i="17"/>
  <c r="C555" i="17"/>
  <c r="AL554" i="17"/>
  <c r="B554" i="17"/>
  <c r="G554" i="17" s="1"/>
  <c r="B1169" i="17" l="1"/>
  <c r="G1169" i="17" s="1"/>
  <c r="A1170" i="17"/>
  <c r="AL1169" i="17"/>
  <c r="C1170" i="17"/>
  <c r="AG1168" i="17"/>
  <c r="AC1168" i="17"/>
  <c r="Y1168" i="17"/>
  <c r="AE1168" i="17"/>
  <c r="AA1168" i="17"/>
  <c r="W1168" i="17"/>
  <c r="AB1168" i="17"/>
  <c r="AH1168" i="17"/>
  <c r="Z1168" i="17"/>
  <c r="AF1168" i="17"/>
  <c r="X1168" i="17"/>
  <c r="AD1168" i="17"/>
  <c r="B555" i="17"/>
  <c r="G555" i="17" s="1"/>
  <c r="C556" i="17"/>
  <c r="AL555" i="17"/>
  <c r="AH554" i="17"/>
  <c r="AD554" i="17"/>
  <c r="Z554" i="17"/>
  <c r="AG554" i="17"/>
  <c r="AC554" i="17"/>
  <c r="Y554" i="17"/>
  <c r="AF554" i="17"/>
  <c r="AB554" i="17"/>
  <c r="X554" i="17"/>
  <c r="AE554" i="17"/>
  <c r="AA554" i="17"/>
  <c r="W554" i="17"/>
  <c r="B1170" i="17" l="1"/>
  <c r="G1170" i="17" s="1"/>
  <c r="C1171" i="17"/>
  <c r="A1171" i="17"/>
  <c r="AL1170" i="17"/>
  <c r="AG1169" i="17"/>
  <c r="AC1169" i="17"/>
  <c r="Y1169" i="17"/>
  <c r="AE1169" i="17"/>
  <c r="AA1169" i="17"/>
  <c r="W1169" i="17"/>
  <c r="AD1169" i="17"/>
  <c r="AB1169" i="17"/>
  <c r="AH1169" i="17"/>
  <c r="Z1169" i="17"/>
  <c r="AF1169" i="17"/>
  <c r="X1169" i="17"/>
  <c r="AG555" i="17"/>
  <c r="AC555" i="17"/>
  <c r="Y555" i="17"/>
  <c r="AF555" i="17"/>
  <c r="AB555" i="17"/>
  <c r="X555" i="17"/>
  <c r="AE555" i="17"/>
  <c r="AA555" i="17"/>
  <c r="W555" i="17"/>
  <c r="AH555" i="17"/>
  <c r="AD555" i="17"/>
  <c r="Z555" i="17"/>
  <c r="B556" i="17"/>
  <c r="G556" i="17" s="1"/>
  <c r="C557" i="17"/>
  <c r="AL556" i="17"/>
  <c r="AG1170" i="17" l="1"/>
  <c r="AC1170" i="17"/>
  <c r="Y1170" i="17"/>
  <c r="AE1170" i="17"/>
  <c r="AA1170" i="17"/>
  <c r="W1170" i="17"/>
  <c r="AF1170" i="17"/>
  <c r="X1170" i="17"/>
  <c r="AD1170" i="17"/>
  <c r="AB1170" i="17"/>
  <c r="Z1170" i="17"/>
  <c r="AH1170" i="17"/>
  <c r="B1171" i="17"/>
  <c r="G1171" i="17" s="1"/>
  <c r="C1172" i="17"/>
  <c r="A1172" i="17"/>
  <c r="AL1171" i="17"/>
  <c r="C558" i="17"/>
  <c r="AL557" i="17"/>
  <c r="B557" i="17"/>
  <c r="G557" i="17" s="1"/>
  <c r="AF556" i="17"/>
  <c r="AB556" i="17"/>
  <c r="X556" i="17"/>
  <c r="AE556" i="17"/>
  <c r="AA556" i="17"/>
  <c r="W556" i="17"/>
  <c r="AH556" i="17"/>
  <c r="AD556" i="17"/>
  <c r="Z556" i="17"/>
  <c r="AC556" i="17"/>
  <c r="Y556" i="17"/>
  <c r="AG556" i="17"/>
  <c r="AG1171" i="17" l="1"/>
  <c r="AC1171" i="17"/>
  <c r="Y1171" i="17"/>
  <c r="AE1171" i="17"/>
  <c r="AA1171" i="17"/>
  <c r="W1171" i="17"/>
  <c r="AH1171" i="17"/>
  <c r="Z1171" i="17"/>
  <c r="AF1171" i="17"/>
  <c r="X1171" i="17"/>
  <c r="AD1171" i="17"/>
  <c r="AB1171" i="17"/>
  <c r="B1172" i="17"/>
  <c r="G1172" i="17" s="1"/>
  <c r="C1173" i="17"/>
  <c r="AL1172" i="17"/>
  <c r="A1173" i="17"/>
  <c r="C559" i="17"/>
  <c r="AL558" i="17"/>
  <c r="B558" i="17"/>
  <c r="G558" i="17" s="1"/>
  <c r="AE557" i="17"/>
  <c r="AA557" i="17"/>
  <c r="W557" i="17"/>
  <c r="AH557" i="17"/>
  <c r="AD557" i="17"/>
  <c r="Z557" i="17"/>
  <c r="AG557" i="17"/>
  <c r="AC557" i="17"/>
  <c r="Y557" i="17"/>
  <c r="AB557" i="17"/>
  <c r="X557" i="17"/>
  <c r="AF557" i="17"/>
  <c r="B1173" i="17" l="1"/>
  <c r="G1173" i="17" s="1"/>
  <c r="A1174" i="17"/>
  <c r="C1174" i="17"/>
  <c r="AL1173" i="17"/>
  <c r="AG1172" i="17"/>
  <c r="AC1172" i="17"/>
  <c r="Y1172" i="17"/>
  <c r="AE1172" i="17"/>
  <c r="AA1172" i="17"/>
  <c r="W1172" i="17"/>
  <c r="AB1172" i="17"/>
  <c r="AH1172" i="17"/>
  <c r="Z1172" i="17"/>
  <c r="AF1172" i="17"/>
  <c r="X1172" i="17"/>
  <c r="AD1172" i="17"/>
  <c r="AH558" i="17"/>
  <c r="AD558" i="17"/>
  <c r="Z558" i="17"/>
  <c r="AG558" i="17"/>
  <c r="AC558" i="17"/>
  <c r="Y558" i="17"/>
  <c r="AF558" i="17"/>
  <c r="AB558" i="17"/>
  <c r="X558" i="17"/>
  <c r="AA558" i="17"/>
  <c r="W558" i="17"/>
  <c r="AE558" i="17"/>
  <c r="B559" i="17"/>
  <c r="G559" i="17" s="1"/>
  <c r="AL559" i="17"/>
  <c r="C560" i="17"/>
  <c r="B1174" i="17" l="1"/>
  <c r="G1174" i="17" s="1"/>
  <c r="A1175" i="17"/>
  <c r="AL1174" i="17"/>
  <c r="C1175" i="17"/>
  <c r="AG1173" i="17"/>
  <c r="AC1173" i="17"/>
  <c r="Y1173" i="17"/>
  <c r="AF1173" i="17"/>
  <c r="AB1173" i="17"/>
  <c r="X1173" i="17"/>
  <c r="AE1173" i="17"/>
  <c r="AA1173" i="17"/>
  <c r="W1173" i="17"/>
  <c r="AH1173" i="17"/>
  <c r="AD1173" i="17"/>
  <c r="Z1173" i="17"/>
  <c r="AG559" i="17"/>
  <c r="AC559" i="17"/>
  <c r="Y559" i="17"/>
  <c r="AF559" i="17"/>
  <c r="AB559" i="17"/>
  <c r="X559" i="17"/>
  <c r="AE559" i="17"/>
  <c r="AA559" i="17"/>
  <c r="W559" i="17"/>
  <c r="AD559" i="17"/>
  <c r="Z559" i="17"/>
  <c r="AH559" i="17"/>
  <c r="B560" i="17"/>
  <c r="G560" i="17" s="1"/>
  <c r="C561" i="17"/>
  <c r="AL560" i="17"/>
  <c r="AG1174" i="17" l="1"/>
  <c r="AC1174" i="17"/>
  <c r="Y1174" i="17"/>
  <c r="AF1174" i="17"/>
  <c r="AB1174" i="17"/>
  <c r="X1174" i="17"/>
  <c r="AE1174" i="17"/>
  <c r="AA1174" i="17"/>
  <c r="W1174" i="17"/>
  <c r="Z1174" i="17"/>
  <c r="AH1174" i="17"/>
  <c r="AD1174" i="17"/>
  <c r="B1175" i="17"/>
  <c r="G1175" i="17" s="1"/>
  <c r="A1176" i="17"/>
  <c r="C1176" i="17"/>
  <c r="AL1175" i="17"/>
  <c r="C562" i="17"/>
  <c r="AL561" i="17"/>
  <c r="B561" i="17"/>
  <c r="G561" i="17" s="1"/>
  <c r="AF560" i="17"/>
  <c r="AB560" i="17"/>
  <c r="X560" i="17"/>
  <c r="AE560" i="17"/>
  <c r="AA560" i="17"/>
  <c r="W560" i="17"/>
  <c r="AH560" i="17"/>
  <c r="AD560" i="17"/>
  <c r="Z560" i="17"/>
  <c r="Y560" i="17"/>
  <c r="AG560" i="17"/>
  <c r="AC560" i="17"/>
  <c r="B1176" i="17" l="1"/>
  <c r="G1176" i="17" s="1"/>
  <c r="A1177" i="17"/>
  <c r="AL1176" i="17"/>
  <c r="C1177" i="17"/>
  <c r="AG1175" i="17"/>
  <c r="AC1175" i="17"/>
  <c r="Y1175" i="17"/>
  <c r="AF1175" i="17"/>
  <c r="AB1175" i="17"/>
  <c r="X1175" i="17"/>
  <c r="AE1175" i="17"/>
  <c r="AA1175" i="17"/>
  <c r="W1175" i="17"/>
  <c r="AH1175" i="17"/>
  <c r="AD1175" i="17"/>
  <c r="Z1175" i="17"/>
  <c r="AE561" i="17"/>
  <c r="AA561" i="17"/>
  <c r="W561" i="17"/>
  <c r="AH561" i="17"/>
  <c r="AD561" i="17"/>
  <c r="Z561" i="17"/>
  <c r="AG561" i="17"/>
  <c r="AC561" i="17"/>
  <c r="Y561" i="17"/>
  <c r="X561" i="17"/>
  <c r="AF561" i="17"/>
  <c r="AB561" i="17"/>
  <c r="C563" i="17"/>
  <c r="AL562" i="17"/>
  <c r="B562" i="17"/>
  <c r="G562" i="17" s="1"/>
  <c r="B1177" i="17" l="1"/>
  <c r="G1177" i="17" s="1"/>
  <c r="A1178" i="17"/>
  <c r="C1178" i="17"/>
  <c r="AL1177" i="17"/>
  <c r="AG1176" i="17"/>
  <c r="AC1176" i="17"/>
  <c r="Y1176" i="17"/>
  <c r="AF1176" i="17"/>
  <c r="AB1176" i="17"/>
  <c r="X1176" i="17"/>
  <c r="AE1176" i="17"/>
  <c r="AA1176" i="17"/>
  <c r="W1176" i="17"/>
  <c r="Z1176" i="17"/>
  <c r="AH1176" i="17"/>
  <c r="AD1176" i="17"/>
  <c r="B563" i="17"/>
  <c r="G563" i="17" s="1"/>
  <c r="AL563" i="17"/>
  <c r="C564" i="17"/>
  <c r="AH562" i="17"/>
  <c r="AD562" i="17"/>
  <c r="Z562" i="17"/>
  <c r="AG562" i="17"/>
  <c r="AC562" i="17"/>
  <c r="Y562" i="17"/>
  <c r="AF562" i="17"/>
  <c r="AB562" i="17"/>
  <c r="X562" i="17"/>
  <c r="W562" i="17"/>
  <c r="AE562" i="17"/>
  <c r="AA562" i="17"/>
  <c r="B1178" i="17" l="1"/>
  <c r="G1178" i="17" s="1"/>
  <c r="A1179" i="17"/>
  <c r="AL1178" i="17"/>
  <c r="C1179" i="17"/>
  <c r="AG1177" i="17"/>
  <c r="AC1177" i="17"/>
  <c r="Y1177" i="17"/>
  <c r="AF1177" i="17"/>
  <c r="AB1177" i="17"/>
  <c r="X1177" i="17"/>
  <c r="AE1177" i="17"/>
  <c r="AA1177" i="17"/>
  <c r="W1177" i="17"/>
  <c r="AH1177" i="17"/>
  <c r="AD1177" i="17"/>
  <c r="Z1177" i="17"/>
  <c r="B564" i="17"/>
  <c r="G564" i="17" s="1"/>
  <c r="C565" i="17"/>
  <c r="AL564" i="17"/>
  <c r="AG563" i="17"/>
  <c r="AC563" i="17"/>
  <c r="Y563" i="17"/>
  <c r="AF563" i="17"/>
  <c r="AB563" i="17"/>
  <c r="X563" i="17"/>
  <c r="AE563" i="17"/>
  <c r="AA563" i="17"/>
  <c r="W563" i="17"/>
  <c r="Z563" i="17"/>
  <c r="AH563" i="17"/>
  <c r="AD563" i="17"/>
  <c r="AG1178" i="17" l="1"/>
  <c r="AC1178" i="17"/>
  <c r="Y1178" i="17"/>
  <c r="AF1178" i="17"/>
  <c r="AB1178" i="17"/>
  <c r="X1178" i="17"/>
  <c r="AE1178" i="17"/>
  <c r="AA1178" i="17"/>
  <c r="W1178" i="17"/>
  <c r="Z1178" i="17"/>
  <c r="AH1178" i="17"/>
  <c r="AD1178" i="17"/>
  <c r="B1179" i="17"/>
  <c r="G1179" i="17" s="1"/>
  <c r="A1180" i="17"/>
  <c r="C1180" i="17"/>
  <c r="AL1179" i="17"/>
  <c r="C566" i="17"/>
  <c r="AL565" i="17"/>
  <c r="B565" i="17"/>
  <c r="G565" i="17" s="1"/>
  <c r="AF564" i="17"/>
  <c r="AB564" i="17"/>
  <c r="X564" i="17"/>
  <c r="AE564" i="17"/>
  <c r="AA564" i="17"/>
  <c r="W564" i="17"/>
  <c r="AH564" i="17"/>
  <c r="AD564" i="17"/>
  <c r="Z564" i="17"/>
  <c r="AG564" i="17"/>
  <c r="AC564" i="17"/>
  <c r="Y564" i="17"/>
  <c r="B1180" i="17" l="1"/>
  <c r="G1180" i="17" s="1"/>
  <c r="A1181" i="17"/>
  <c r="AL1180" i="17"/>
  <c r="C1181" i="17"/>
  <c r="AG1179" i="17"/>
  <c r="AC1179" i="17"/>
  <c r="Y1179" i="17"/>
  <c r="AF1179" i="17"/>
  <c r="AB1179" i="17"/>
  <c r="X1179" i="17"/>
  <c r="AE1179" i="17"/>
  <c r="AA1179" i="17"/>
  <c r="W1179" i="17"/>
  <c r="AH1179" i="17"/>
  <c r="AD1179" i="17"/>
  <c r="Z1179" i="17"/>
  <c r="AE565" i="17"/>
  <c r="AA565" i="17"/>
  <c r="W565" i="17"/>
  <c r="AH565" i="17"/>
  <c r="AD565" i="17"/>
  <c r="Z565" i="17"/>
  <c r="AG565" i="17"/>
  <c r="AC565" i="17"/>
  <c r="Y565" i="17"/>
  <c r="AF565" i="17"/>
  <c r="AB565" i="17"/>
  <c r="X565" i="17"/>
  <c r="C567" i="17"/>
  <c r="AL566" i="17"/>
  <c r="B566" i="17"/>
  <c r="G566" i="17" s="1"/>
  <c r="B1181" i="17" l="1"/>
  <c r="G1181" i="17" s="1"/>
  <c r="A1182" i="17"/>
  <c r="C1182" i="17"/>
  <c r="AL1181" i="17"/>
  <c r="AG1180" i="17"/>
  <c r="AC1180" i="17"/>
  <c r="Y1180" i="17"/>
  <c r="AF1180" i="17"/>
  <c r="AB1180" i="17"/>
  <c r="X1180" i="17"/>
  <c r="AE1180" i="17"/>
  <c r="AA1180" i="17"/>
  <c r="W1180" i="17"/>
  <c r="Z1180" i="17"/>
  <c r="AH1180" i="17"/>
  <c r="AD1180" i="17"/>
  <c r="AH566" i="17"/>
  <c r="AD566" i="17"/>
  <c r="Z566" i="17"/>
  <c r="AG566" i="17"/>
  <c r="AC566" i="17"/>
  <c r="Y566" i="17"/>
  <c r="AF566" i="17"/>
  <c r="AB566" i="17"/>
  <c r="X566" i="17"/>
  <c r="AE566" i="17"/>
  <c r="AA566" i="17"/>
  <c r="W566" i="17"/>
  <c r="B567" i="17"/>
  <c r="G567" i="17" s="1"/>
  <c r="AL567" i="17"/>
  <c r="C568" i="17"/>
  <c r="B1182" i="17" l="1"/>
  <c r="G1182" i="17" s="1"/>
  <c r="A1183" i="17"/>
  <c r="AL1182" i="17"/>
  <c r="C1183" i="17"/>
  <c r="AG1181" i="17"/>
  <c r="AC1181" i="17"/>
  <c r="Y1181" i="17"/>
  <c r="AF1181" i="17"/>
  <c r="AB1181" i="17"/>
  <c r="X1181" i="17"/>
  <c r="AE1181" i="17"/>
  <c r="AA1181" i="17"/>
  <c r="W1181" i="17"/>
  <c r="AH1181" i="17"/>
  <c r="AD1181" i="17"/>
  <c r="Z1181" i="17"/>
  <c r="B568" i="17"/>
  <c r="G568" i="17" s="1"/>
  <c r="C569" i="17"/>
  <c r="AL568" i="17"/>
  <c r="AG567" i="17"/>
  <c r="AC567" i="17"/>
  <c r="Y567" i="17"/>
  <c r="AF567" i="17"/>
  <c r="AB567" i="17"/>
  <c r="X567" i="17"/>
  <c r="AE567" i="17"/>
  <c r="AA567" i="17"/>
  <c r="W567" i="17"/>
  <c r="AH567" i="17"/>
  <c r="AD567" i="17"/>
  <c r="Z567" i="17"/>
  <c r="B1183" i="17" l="1"/>
  <c r="G1183" i="17" s="1"/>
  <c r="A1184" i="17"/>
  <c r="C1184" i="17"/>
  <c r="AL1183" i="17"/>
  <c r="AG1182" i="17"/>
  <c r="AC1182" i="17"/>
  <c r="Y1182" i="17"/>
  <c r="AF1182" i="17"/>
  <c r="AB1182" i="17"/>
  <c r="X1182" i="17"/>
  <c r="AE1182" i="17"/>
  <c r="AA1182" i="17"/>
  <c r="W1182" i="17"/>
  <c r="Z1182" i="17"/>
  <c r="AH1182" i="17"/>
  <c r="AD1182" i="17"/>
  <c r="C570" i="17"/>
  <c r="AL569" i="17"/>
  <c r="B569" i="17"/>
  <c r="G569" i="17" s="1"/>
  <c r="AF568" i="17"/>
  <c r="AB568" i="17"/>
  <c r="X568" i="17"/>
  <c r="AE568" i="17"/>
  <c r="AA568" i="17"/>
  <c r="W568" i="17"/>
  <c r="AH568" i="17"/>
  <c r="AD568" i="17"/>
  <c r="Z568" i="17"/>
  <c r="AG568" i="17"/>
  <c r="AC568" i="17"/>
  <c r="Y568" i="17"/>
  <c r="B1184" i="17" l="1"/>
  <c r="G1184" i="17" s="1"/>
  <c r="A1185" i="17"/>
  <c r="AL1184" i="17"/>
  <c r="C1185" i="17"/>
  <c r="AG1183" i="17"/>
  <c r="AC1183" i="17"/>
  <c r="Y1183" i="17"/>
  <c r="AF1183" i="17"/>
  <c r="AB1183" i="17"/>
  <c r="X1183" i="17"/>
  <c r="AE1183" i="17"/>
  <c r="AA1183" i="17"/>
  <c r="W1183" i="17"/>
  <c r="AH1183" i="17"/>
  <c r="AD1183" i="17"/>
  <c r="Z1183" i="17"/>
  <c r="AE569" i="17"/>
  <c r="AA569" i="17"/>
  <c r="W569" i="17"/>
  <c r="AH569" i="17"/>
  <c r="AD569" i="17"/>
  <c r="Z569" i="17"/>
  <c r="AG569" i="17"/>
  <c r="AC569" i="17"/>
  <c r="Y569" i="17"/>
  <c r="AF569" i="17"/>
  <c r="AB569" i="17"/>
  <c r="X569" i="17"/>
  <c r="C571" i="17"/>
  <c r="AL570" i="17"/>
  <c r="B570" i="17"/>
  <c r="G570" i="17" s="1"/>
  <c r="AG1184" i="17" l="1"/>
  <c r="AC1184" i="17"/>
  <c r="Y1184" i="17"/>
  <c r="AF1184" i="17"/>
  <c r="AB1184" i="17"/>
  <c r="X1184" i="17"/>
  <c r="AE1184" i="17"/>
  <c r="AA1184" i="17"/>
  <c r="W1184" i="17"/>
  <c r="Z1184" i="17"/>
  <c r="AH1184" i="17"/>
  <c r="AD1184" i="17"/>
  <c r="B1185" i="17"/>
  <c r="G1185" i="17" s="1"/>
  <c r="A1186" i="17"/>
  <c r="C1186" i="17"/>
  <c r="AL1185" i="17"/>
  <c r="AH570" i="17"/>
  <c r="AD570" i="17"/>
  <c r="Z570" i="17"/>
  <c r="AG570" i="17"/>
  <c r="AC570" i="17"/>
  <c r="Y570" i="17"/>
  <c r="AF570" i="17"/>
  <c r="AB570" i="17"/>
  <c r="X570" i="17"/>
  <c r="AE570" i="17"/>
  <c r="AA570" i="17"/>
  <c r="W570" i="17"/>
  <c r="B571" i="17"/>
  <c r="G571" i="17" s="1"/>
  <c r="C572" i="17"/>
  <c r="AL571" i="17"/>
  <c r="B1186" i="17" l="1"/>
  <c r="G1186" i="17" s="1"/>
  <c r="A1187" i="17"/>
  <c r="AL1186" i="17"/>
  <c r="C1187" i="17"/>
  <c r="AG1185" i="17"/>
  <c r="AC1185" i="17"/>
  <c r="Y1185" i="17"/>
  <c r="AF1185" i="17"/>
  <c r="AB1185" i="17"/>
  <c r="X1185" i="17"/>
  <c r="AE1185" i="17"/>
  <c r="AA1185" i="17"/>
  <c r="W1185" i="17"/>
  <c r="AH1185" i="17"/>
  <c r="AD1185" i="17"/>
  <c r="Z1185" i="17"/>
  <c r="AG571" i="17"/>
  <c r="AC571" i="17"/>
  <c r="Y571" i="17"/>
  <c r="AF571" i="17"/>
  <c r="AB571" i="17"/>
  <c r="X571" i="17"/>
  <c r="AE571" i="17"/>
  <c r="AA571" i="17"/>
  <c r="W571" i="17"/>
  <c r="AH571" i="17"/>
  <c r="AD571" i="17"/>
  <c r="Z571" i="17"/>
  <c r="B572" i="17"/>
  <c r="G572" i="17" s="1"/>
  <c r="C573" i="17"/>
  <c r="AL572" i="17"/>
  <c r="B1187" i="17" l="1"/>
  <c r="G1187" i="17" s="1"/>
  <c r="A1188" i="17"/>
  <c r="C1188" i="17"/>
  <c r="AL1187" i="17"/>
  <c r="AG1186" i="17"/>
  <c r="AC1186" i="17"/>
  <c r="Y1186" i="17"/>
  <c r="AF1186" i="17"/>
  <c r="AB1186" i="17"/>
  <c r="X1186" i="17"/>
  <c r="AE1186" i="17"/>
  <c r="AA1186" i="17"/>
  <c r="W1186" i="17"/>
  <c r="Z1186" i="17"/>
  <c r="AH1186" i="17"/>
  <c r="AD1186" i="17"/>
  <c r="AF572" i="17"/>
  <c r="AB572" i="17"/>
  <c r="X572" i="17"/>
  <c r="AE572" i="17"/>
  <c r="AA572" i="17"/>
  <c r="W572" i="17"/>
  <c r="AH572" i="17"/>
  <c r="AD572" i="17"/>
  <c r="Z572" i="17"/>
  <c r="AC572" i="17"/>
  <c r="Y572" i="17"/>
  <c r="AG572" i="17"/>
  <c r="C574" i="17"/>
  <c r="AL573" i="17"/>
  <c r="B573" i="17"/>
  <c r="G573" i="17" s="1"/>
  <c r="B1188" i="17" l="1"/>
  <c r="G1188" i="17" s="1"/>
  <c r="A1189" i="17"/>
  <c r="AL1188" i="17"/>
  <c r="C1189" i="17"/>
  <c r="AG1187" i="17"/>
  <c r="AC1187" i="17"/>
  <c r="Y1187" i="17"/>
  <c r="AF1187" i="17"/>
  <c r="AB1187" i="17"/>
  <c r="X1187" i="17"/>
  <c r="AE1187" i="17"/>
  <c r="AA1187" i="17"/>
  <c r="W1187" i="17"/>
  <c r="AH1187" i="17"/>
  <c r="AD1187" i="17"/>
  <c r="Z1187" i="17"/>
  <c r="C575" i="17"/>
  <c r="AL574" i="17"/>
  <c r="B574" i="17"/>
  <c r="G574" i="17" s="1"/>
  <c r="AE573" i="17"/>
  <c r="AA573" i="17"/>
  <c r="W573" i="17"/>
  <c r="AH573" i="17"/>
  <c r="AD573" i="17"/>
  <c r="Z573" i="17"/>
  <c r="AG573" i="17"/>
  <c r="AC573" i="17"/>
  <c r="Y573" i="17"/>
  <c r="AB573" i="17"/>
  <c r="X573" i="17"/>
  <c r="AF573" i="17"/>
  <c r="B1189" i="17" l="1"/>
  <c r="G1189" i="17" s="1"/>
  <c r="A1190" i="17"/>
  <c r="C1190" i="17"/>
  <c r="AL1189" i="17"/>
  <c r="AG1188" i="17"/>
  <c r="AC1188" i="17"/>
  <c r="Y1188" i="17"/>
  <c r="AF1188" i="17"/>
  <c r="AB1188" i="17"/>
  <c r="X1188" i="17"/>
  <c r="AE1188" i="17"/>
  <c r="AA1188" i="17"/>
  <c r="W1188" i="17"/>
  <c r="Z1188" i="17"/>
  <c r="AH1188" i="17"/>
  <c r="AD1188" i="17"/>
  <c r="AH574" i="17"/>
  <c r="AD574" i="17"/>
  <c r="Z574" i="17"/>
  <c r="AG574" i="17"/>
  <c r="AC574" i="17"/>
  <c r="Y574" i="17"/>
  <c r="AF574" i="17"/>
  <c r="AB574" i="17"/>
  <c r="X574" i="17"/>
  <c r="AA574" i="17"/>
  <c r="W574" i="17"/>
  <c r="AE574" i="17"/>
  <c r="B575" i="17"/>
  <c r="G575" i="17" s="1"/>
  <c r="AL575" i="17"/>
  <c r="C576" i="17"/>
  <c r="B1190" i="17" l="1"/>
  <c r="G1190" i="17" s="1"/>
  <c r="A1191" i="17"/>
  <c r="AL1190" i="17"/>
  <c r="C1191" i="17"/>
  <c r="AG1189" i="17"/>
  <c r="AC1189" i="17"/>
  <c r="Y1189" i="17"/>
  <c r="AF1189" i="17"/>
  <c r="AB1189" i="17"/>
  <c r="X1189" i="17"/>
  <c r="AE1189" i="17"/>
  <c r="AA1189" i="17"/>
  <c r="W1189" i="17"/>
  <c r="AH1189" i="17"/>
  <c r="AD1189" i="17"/>
  <c r="Z1189" i="17"/>
  <c r="AG575" i="17"/>
  <c r="AC575" i="17"/>
  <c r="Y575" i="17"/>
  <c r="AF575" i="17"/>
  <c r="AB575" i="17"/>
  <c r="X575" i="17"/>
  <c r="AE575" i="17"/>
  <c r="AA575" i="17"/>
  <c r="W575" i="17"/>
  <c r="AD575" i="17"/>
  <c r="Z575" i="17"/>
  <c r="AH575" i="17"/>
  <c r="B576" i="17"/>
  <c r="G576" i="17" s="1"/>
  <c r="C577" i="17"/>
  <c r="AL576" i="17"/>
  <c r="B1191" i="17" l="1"/>
  <c r="G1191" i="17" s="1"/>
  <c r="A1192" i="17"/>
  <c r="C1192" i="17"/>
  <c r="AL1191" i="17"/>
  <c r="AG1190" i="17"/>
  <c r="AC1190" i="17"/>
  <c r="Y1190" i="17"/>
  <c r="AF1190" i="17"/>
  <c r="AB1190" i="17"/>
  <c r="X1190" i="17"/>
  <c r="AE1190" i="17"/>
  <c r="AA1190" i="17"/>
  <c r="W1190" i="17"/>
  <c r="Z1190" i="17"/>
  <c r="AH1190" i="17"/>
  <c r="AD1190" i="17"/>
  <c r="AF576" i="17"/>
  <c r="AB576" i="17"/>
  <c r="X576" i="17"/>
  <c r="AE576" i="17"/>
  <c r="AA576" i="17"/>
  <c r="W576" i="17"/>
  <c r="AH576" i="17"/>
  <c r="AD576" i="17"/>
  <c r="Z576" i="17"/>
  <c r="Y576" i="17"/>
  <c r="AG576" i="17"/>
  <c r="AC576" i="17"/>
  <c r="C578" i="17"/>
  <c r="AL577" i="17"/>
  <c r="B577" i="17"/>
  <c r="G577" i="17" s="1"/>
  <c r="B1192" i="17" l="1"/>
  <c r="G1192" i="17" s="1"/>
  <c r="A1193" i="17"/>
  <c r="AL1192" i="17"/>
  <c r="C1193" i="17"/>
  <c r="AG1191" i="17"/>
  <c r="AC1191" i="17"/>
  <c r="Y1191" i="17"/>
  <c r="AF1191" i="17"/>
  <c r="AB1191" i="17"/>
  <c r="X1191" i="17"/>
  <c r="AE1191" i="17"/>
  <c r="AA1191" i="17"/>
  <c r="W1191" i="17"/>
  <c r="AH1191" i="17"/>
  <c r="AD1191" i="17"/>
  <c r="Z1191" i="17"/>
  <c r="AE577" i="17"/>
  <c r="AA577" i="17"/>
  <c r="W577" i="17"/>
  <c r="AH577" i="17"/>
  <c r="AD577" i="17"/>
  <c r="Z577" i="17"/>
  <c r="AG577" i="17"/>
  <c r="AC577" i="17"/>
  <c r="Y577" i="17"/>
  <c r="X577" i="17"/>
  <c r="AF577" i="17"/>
  <c r="AB577" i="17"/>
  <c r="C579" i="17"/>
  <c r="AL578" i="17"/>
  <c r="B578" i="17"/>
  <c r="G578" i="17" s="1"/>
  <c r="A1194" i="17" l="1"/>
  <c r="C1194" i="17"/>
  <c r="AL1193" i="17"/>
  <c r="B1193" i="17"/>
  <c r="G1193" i="17" s="1"/>
  <c r="AG1192" i="17"/>
  <c r="AC1192" i="17"/>
  <c r="Y1192" i="17"/>
  <c r="AF1192" i="17"/>
  <c r="AB1192" i="17"/>
  <c r="X1192" i="17"/>
  <c r="AE1192" i="17"/>
  <c r="AA1192" i="17"/>
  <c r="W1192" i="17"/>
  <c r="Z1192" i="17"/>
  <c r="AH1192" i="17"/>
  <c r="AD1192" i="17"/>
  <c r="AH578" i="17"/>
  <c r="AD578" i="17"/>
  <c r="Z578" i="17"/>
  <c r="AG578" i="17"/>
  <c r="AC578" i="17"/>
  <c r="Y578" i="17"/>
  <c r="AF578" i="17"/>
  <c r="AB578" i="17"/>
  <c r="X578" i="17"/>
  <c r="W578" i="17"/>
  <c r="AE578" i="17"/>
  <c r="AA578" i="17"/>
  <c r="B579" i="17"/>
  <c r="G579" i="17" s="1"/>
  <c r="AL579" i="17"/>
  <c r="C580" i="17"/>
  <c r="A1195" i="17" l="1"/>
  <c r="C1195" i="17"/>
  <c r="AL1194" i="17"/>
  <c r="B1194" i="17"/>
  <c r="G1194" i="17" s="1"/>
  <c r="AF1193" i="17"/>
  <c r="AH1193" i="17"/>
  <c r="AD1193" i="17"/>
  <c r="Z1193" i="17"/>
  <c r="AB1193" i="17"/>
  <c r="W1193" i="17"/>
  <c r="AG1193" i="17"/>
  <c r="AA1193" i="17"/>
  <c r="AE1193" i="17"/>
  <c r="Y1193" i="17"/>
  <c r="AC1193" i="17"/>
  <c r="X1193" i="17"/>
  <c r="AG579" i="17"/>
  <c r="AC579" i="17"/>
  <c r="Y579" i="17"/>
  <c r="AF579" i="17"/>
  <c r="AB579" i="17"/>
  <c r="X579" i="17"/>
  <c r="AE579" i="17"/>
  <c r="AA579" i="17"/>
  <c r="W579" i="17"/>
  <c r="Z579" i="17"/>
  <c r="AH579" i="17"/>
  <c r="AD579" i="17"/>
  <c r="B580" i="17"/>
  <c r="G580" i="17" s="1"/>
  <c r="C581" i="17"/>
  <c r="AL580" i="17"/>
  <c r="AF1194" i="17" l="1"/>
  <c r="AB1194" i="17"/>
  <c r="X1194" i="17"/>
  <c r="AH1194" i="17"/>
  <c r="AD1194" i="17"/>
  <c r="Z1194" i="17"/>
  <c r="AG1194" i="17"/>
  <c r="Y1194" i="17"/>
  <c r="AE1194" i="17"/>
  <c r="W1194" i="17"/>
  <c r="AC1194" i="17"/>
  <c r="AA1194" i="17"/>
  <c r="A1196" i="17"/>
  <c r="C1196" i="17"/>
  <c r="AL1195" i="17"/>
  <c r="B1195" i="17"/>
  <c r="G1195" i="17" s="1"/>
  <c r="C582" i="17"/>
  <c r="AL581" i="17"/>
  <c r="B581" i="17"/>
  <c r="G581" i="17" s="1"/>
  <c r="AF580" i="17"/>
  <c r="AB580" i="17"/>
  <c r="X580" i="17"/>
  <c r="AE580" i="17"/>
  <c r="AA580" i="17"/>
  <c r="W580" i="17"/>
  <c r="AH580" i="17"/>
  <c r="AD580" i="17"/>
  <c r="Z580" i="17"/>
  <c r="AG580" i="17"/>
  <c r="AC580" i="17"/>
  <c r="Y580" i="17"/>
  <c r="A1197" i="17" l="1"/>
  <c r="C1197" i="17"/>
  <c r="AL1196" i="17"/>
  <c r="B1196" i="17"/>
  <c r="G1196" i="17" s="1"/>
  <c r="AF1195" i="17"/>
  <c r="AB1195" i="17"/>
  <c r="X1195" i="17"/>
  <c r="AH1195" i="17"/>
  <c r="AD1195" i="17"/>
  <c r="Z1195" i="17"/>
  <c r="AE1195" i="17"/>
  <c r="W1195" i="17"/>
  <c r="AC1195" i="17"/>
  <c r="AA1195" i="17"/>
  <c r="AG1195" i="17"/>
  <c r="Y1195" i="17"/>
  <c r="AE581" i="17"/>
  <c r="AA581" i="17"/>
  <c r="W581" i="17"/>
  <c r="AH581" i="17"/>
  <c r="AD581" i="17"/>
  <c r="Z581" i="17"/>
  <c r="AG581" i="17"/>
  <c r="AC581" i="17"/>
  <c r="Y581" i="17"/>
  <c r="AF581" i="17"/>
  <c r="AB581" i="17"/>
  <c r="X581" i="17"/>
  <c r="C583" i="17"/>
  <c r="AL582" i="17"/>
  <c r="B582" i="17"/>
  <c r="G582" i="17" s="1"/>
  <c r="AF1196" i="17" l="1"/>
  <c r="AB1196" i="17"/>
  <c r="X1196" i="17"/>
  <c r="AH1196" i="17"/>
  <c r="AD1196" i="17"/>
  <c r="Z1196" i="17"/>
  <c r="AC1196" i="17"/>
  <c r="AA1196" i="17"/>
  <c r="AG1196" i="17"/>
  <c r="Y1196" i="17"/>
  <c r="AE1196" i="17"/>
  <c r="W1196" i="17"/>
  <c r="A1198" i="17"/>
  <c r="C1198" i="17"/>
  <c r="AL1197" i="17"/>
  <c r="B1197" i="17"/>
  <c r="G1197" i="17" s="1"/>
  <c r="AH582" i="17"/>
  <c r="AD582" i="17"/>
  <c r="Z582" i="17"/>
  <c r="AG582" i="17"/>
  <c r="AC582" i="17"/>
  <c r="Y582" i="17"/>
  <c r="AF582" i="17"/>
  <c r="AB582" i="17"/>
  <c r="X582" i="17"/>
  <c r="AE582" i="17"/>
  <c r="AA582" i="17"/>
  <c r="W582" i="17"/>
  <c r="B583" i="17"/>
  <c r="G583" i="17" s="1"/>
  <c r="AL583" i="17"/>
  <c r="C584" i="17"/>
  <c r="AF1197" i="17" l="1"/>
  <c r="AB1197" i="17"/>
  <c r="X1197" i="17"/>
  <c r="AH1197" i="17"/>
  <c r="AD1197" i="17"/>
  <c r="Z1197" i="17"/>
  <c r="AA1197" i="17"/>
  <c r="AG1197" i="17"/>
  <c r="Y1197" i="17"/>
  <c r="AE1197" i="17"/>
  <c r="W1197" i="17"/>
  <c r="AC1197" i="17"/>
  <c r="A1199" i="17"/>
  <c r="C1199" i="17"/>
  <c r="AL1198" i="17"/>
  <c r="B1198" i="17"/>
  <c r="G1198" i="17" s="1"/>
  <c r="AG583" i="17"/>
  <c r="AC583" i="17"/>
  <c r="Y583" i="17"/>
  <c r="AF583" i="17"/>
  <c r="AB583" i="17"/>
  <c r="X583" i="17"/>
  <c r="AE583" i="17"/>
  <c r="AA583" i="17"/>
  <c r="W583" i="17"/>
  <c r="AH583" i="17"/>
  <c r="AD583" i="17"/>
  <c r="Z583" i="17"/>
  <c r="B584" i="17"/>
  <c r="G584" i="17" s="1"/>
  <c r="C585" i="17"/>
  <c r="AL584" i="17"/>
  <c r="AF1198" i="17" l="1"/>
  <c r="AB1198" i="17"/>
  <c r="X1198" i="17"/>
  <c r="AH1198" i="17"/>
  <c r="AD1198" i="17"/>
  <c r="Z1198" i="17"/>
  <c r="AG1198" i="17"/>
  <c r="Y1198" i="17"/>
  <c r="AE1198" i="17"/>
  <c r="W1198" i="17"/>
  <c r="AC1198" i="17"/>
  <c r="AA1198" i="17"/>
  <c r="A1200" i="17"/>
  <c r="C1200" i="17"/>
  <c r="AL1199" i="17"/>
  <c r="B1199" i="17"/>
  <c r="G1199" i="17" s="1"/>
  <c r="C586" i="17"/>
  <c r="AL585" i="17"/>
  <c r="B585" i="17"/>
  <c r="G585" i="17" s="1"/>
  <c r="AF584" i="17"/>
  <c r="AB584" i="17"/>
  <c r="X584" i="17"/>
  <c r="AE584" i="17"/>
  <c r="AA584" i="17"/>
  <c r="W584" i="17"/>
  <c r="AH584" i="17"/>
  <c r="AD584" i="17"/>
  <c r="Z584" i="17"/>
  <c r="AG584" i="17"/>
  <c r="AC584" i="17"/>
  <c r="Y584" i="17"/>
  <c r="AF1199" i="17" l="1"/>
  <c r="AB1199" i="17"/>
  <c r="X1199" i="17"/>
  <c r="AH1199" i="17"/>
  <c r="AD1199" i="17"/>
  <c r="Z1199" i="17"/>
  <c r="AE1199" i="17"/>
  <c r="W1199" i="17"/>
  <c r="AC1199" i="17"/>
  <c r="AA1199" i="17"/>
  <c r="Y1199" i="17"/>
  <c r="AG1199" i="17"/>
  <c r="A1201" i="17"/>
  <c r="C1201" i="17"/>
  <c r="AL1200" i="17"/>
  <c r="B1200" i="17"/>
  <c r="G1200" i="17" s="1"/>
  <c r="AE585" i="17"/>
  <c r="AA585" i="17"/>
  <c r="W585" i="17"/>
  <c r="AH585" i="17"/>
  <c r="AD585" i="17"/>
  <c r="Z585" i="17"/>
  <c r="AG585" i="17"/>
  <c r="AC585" i="17"/>
  <c r="Y585" i="17"/>
  <c r="AF585" i="17"/>
  <c r="AB585" i="17"/>
  <c r="X585" i="17"/>
  <c r="C587" i="17"/>
  <c r="AL586" i="17"/>
  <c r="B586" i="17"/>
  <c r="G586" i="17" s="1"/>
  <c r="AF1200" i="17" l="1"/>
  <c r="AB1200" i="17"/>
  <c r="X1200" i="17"/>
  <c r="AH1200" i="17"/>
  <c r="AD1200" i="17"/>
  <c r="Z1200" i="17"/>
  <c r="AC1200" i="17"/>
  <c r="AA1200" i="17"/>
  <c r="AG1200" i="17"/>
  <c r="Y1200" i="17"/>
  <c r="W1200" i="17"/>
  <c r="AE1200" i="17"/>
  <c r="A1202" i="17"/>
  <c r="C1202" i="17"/>
  <c r="AL1201" i="17"/>
  <c r="B1201" i="17"/>
  <c r="G1201" i="17" s="1"/>
  <c r="AH586" i="17"/>
  <c r="AD586" i="17"/>
  <c r="Z586" i="17"/>
  <c r="AG586" i="17"/>
  <c r="AC586" i="17"/>
  <c r="Y586" i="17"/>
  <c r="AF586" i="17"/>
  <c r="AB586" i="17"/>
  <c r="X586" i="17"/>
  <c r="AE586" i="17"/>
  <c r="AA586" i="17"/>
  <c r="W586" i="17"/>
  <c r="B587" i="17"/>
  <c r="G587" i="17" s="1"/>
  <c r="C588" i="17"/>
  <c r="AL587" i="17"/>
  <c r="AF1201" i="17" l="1"/>
  <c r="AB1201" i="17"/>
  <c r="X1201" i="17"/>
  <c r="AH1201" i="17"/>
  <c r="AD1201" i="17"/>
  <c r="Z1201" i="17"/>
  <c r="AA1201" i="17"/>
  <c r="AG1201" i="17"/>
  <c r="Y1201" i="17"/>
  <c r="AE1201" i="17"/>
  <c r="W1201" i="17"/>
  <c r="AC1201" i="17"/>
  <c r="A1203" i="17"/>
  <c r="C1203" i="17"/>
  <c r="AL1202" i="17"/>
  <c r="B1202" i="17"/>
  <c r="G1202" i="17" s="1"/>
  <c r="B588" i="17"/>
  <c r="G588" i="17" s="1"/>
  <c r="C589" i="17"/>
  <c r="AL588" i="17"/>
  <c r="AG587" i="17"/>
  <c r="AC587" i="17"/>
  <c r="Y587" i="17"/>
  <c r="AF587" i="17"/>
  <c r="AB587" i="17"/>
  <c r="X587" i="17"/>
  <c r="AE587" i="17"/>
  <c r="AA587" i="17"/>
  <c r="W587" i="17"/>
  <c r="AH587" i="17"/>
  <c r="AD587" i="17"/>
  <c r="Z587" i="17"/>
  <c r="AF1202" i="17" l="1"/>
  <c r="AB1202" i="17"/>
  <c r="X1202" i="17"/>
  <c r="AH1202" i="17"/>
  <c r="AD1202" i="17"/>
  <c r="Z1202" i="17"/>
  <c r="AG1202" i="17"/>
  <c r="Y1202" i="17"/>
  <c r="AE1202" i="17"/>
  <c r="W1202" i="17"/>
  <c r="AC1202" i="17"/>
  <c r="AA1202" i="17"/>
  <c r="A1204" i="17"/>
  <c r="C1204" i="17"/>
  <c r="AL1203" i="17"/>
  <c r="B1203" i="17"/>
  <c r="G1203" i="17" s="1"/>
  <c r="C590" i="17"/>
  <c r="AL589" i="17"/>
  <c r="B589" i="17"/>
  <c r="G589" i="17" s="1"/>
  <c r="AF588" i="17"/>
  <c r="AB588" i="17"/>
  <c r="X588" i="17"/>
  <c r="AE588" i="17"/>
  <c r="AA588" i="17"/>
  <c r="W588" i="17"/>
  <c r="AH588" i="17"/>
  <c r="AD588" i="17"/>
  <c r="Z588" i="17"/>
  <c r="AC588" i="17"/>
  <c r="Y588" i="17"/>
  <c r="AG588" i="17"/>
  <c r="A1205" i="17" l="1"/>
  <c r="C1205" i="17"/>
  <c r="AL1204" i="17"/>
  <c r="B1204" i="17"/>
  <c r="G1204" i="17" s="1"/>
  <c r="AF1203" i="17"/>
  <c r="AB1203" i="17"/>
  <c r="X1203" i="17"/>
  <c r="AH1203" i="17"/>
  <c r="AD1203" i="17"/>
  <c r="Z1203" i="17"/>
  <c r="AE1203" i="17"/>
  <c r="W1203" i="17"/>
  <c r="AC1203" i="17"/>
  <c r="AA1203" i="17"/>
  <c r="AG1203" i="17"/>
  <c r="Y1203" i="17"/>
  <c r="AE589" i="17"/>
  <c r="AA589" i="17"/>
  <c r="W589" i="17"/>
  <c r="AH589" i="17"/>
  <c r="AD589" i="17"/>
  <c r="Z589" i="17"/>
  <c r="AG589" i="17"/>
  <c r="AC589" i="17"/>
  <c r="Y589" i="17"/>
  <c r="AB589" i="17"/>
  <c r="X589" i="17"/>
  <c r="AF589" i="17"/>
  <c r="C591" i="17"/>
  <c r="AL590" i="17"/>
  <c r="B590" i="17"/>
  <c r="G590" i="17" s="1"/>
  <c r="A1206" i="17" l="1"/>
  <c r="C1206" i="17"/>
  <c r="AL1205" i="17"/>
  <c r="B1205" i="17"/>
  <c r="G1205" i="17" s="1"/>
  <c r="AF1204" i="17"/>
  <c r="AB1204" i="17"/>
  <c r="X1204" i="17"/>
  <c r="AH1204" i="17"/>
  <c r="AD1204" i="17"/>
  <c r="Z1204" i="17"/>
  <c r="AC1204" i="17"/>
  <c r="AA1204" i="17"/>
  <c r="AG1204" i="17"/>
  <c r="Y1204" i="17"/>
  <c r="AE1204" i="17"/>
  <c r="W1204" i="17"/>
  <c r="B591" i="17"/>
  <c r="G591" i="17" s="1"/>
  <c r="AL591" i="17"/>
  <c r="C592" i="17"/>
  <c r="AH590" i="17"/>
  <c r="AD590" i="17"/>
  <c r="Z590" i="17"/>
  <c r="AG590" i="17"/>
  <c r="AC590" i="17"/>
  <c r="Y590" i="17"/>
  <c r="AF590" i="17"/>
  <c r="AB590" i="17"/>
  <c r="X590" i="17"/>
  <c r="AA590" i="17"/>
  <c r="W590" i="17"/>
  <c r="AE590" i="17"/>
  <c r="A1207" i="17" l="1"/>
  <c r="C1207" i="17"/>
  <c r="AL1206" i="17"/>
  <c r="B1206" i="17"/>
  <c r="G1206" i="17" s="1"/>
  <c r="AF1205" i="17"/>
  <c r="AB1205" i="17"/>
  <c r="X1205" i="17"/>
  <c r="AH1205" i="17"/>
  <c r="AD1205" i="17"/>
  <c r="Z1205" i="17"/>
  <c r="AA1205" i="17"/>
  <c r="AG1205" i="17"/>
  <c r="Y1205" i="17"/>
  <c r="AE1205" i="17"/>
  <c r="W1205" i="17"/>
  <c r="AC1205" i="17"/>
  <c r="AG591" i="17"/>
  <c r="AC591" i="17"/>
  <c r="Y591" i="17"/>
  <c r="AF591" i="17"/>
  <c r="AB591" i="17"/>
  <c r="X591" i="17"/>
  <c r="AE591" i="17"/>
  <c r="AA591" i="17"/>
  <c r="W591" i="17"/>
  <c r="AD591" i="17"/>
  <c r="Z591" i="17"/>
  <c r="AH591" i="17"/>
  <c r="B592" i="17"/>
  <c r="G592" i="17" s="1"/>
  <c r="C593" i="17"/>
  <c r="AL592" i="17"/>
  <c r="A1208" i="17" l="1"/>
  <c r="C1208" i="17"/>
  <c r="AL1207" i="17"/>
  <c r="B1207" i="17"/>
  <c r="G1207" i="17" s="1"/>
  <c r="AF1206" i="17"/>
  <c r="AB1206" i="17"/>
  <c r="X1206" i="17"/>
  <c r="AH1206" i="17"/>
  <c r="AD1206" i="17"/>
  <c r="Z1206" i="17"/>
  <c r="AG1206" i="17"/>
  <c r="Y1206" i="17"/>
  <c r="AE1206" i="17"/>
  <c r="W1206" i="17"/>
  <c r="AC1206" i="17"/>
  <c r="AA1206" i="17"/>
  <c r="C594" i="17"/>
  <c r="AL593" i="17"/>
  <c r="B593" i="17"/>
  <c r="G593" i="17" s="1"/>
  <c r="AF592" i="17"/>
  <c r="AB592" i="17"/>
  <c r="X592" i="17"/>
  <c r="AE592" i="17"/>
  <c r="AA592" i="17"/>
  <c r="W592" i="17"/>
  <c r="AH592" i="17"/>
  <c r="AD592" i="17"/>
  <c r="Z592" i="17"/>
  <c r="Y592" i="17"/>
  <c r="AG592" i="17"/>
  <c r="AC592" i="17"/>
  <c r="A1209" i="17" l="1"/>
  <c r="C1209" i="17"/>
  <c r="AL1208" i="17"/>
  <c r="B1208" i="17"/>
  <c r="G1208" i="17" s="1"/>
  <c r="AF1207" i="17"/>
  <c r="AB1207" i="17"/>
  <c r="X1207" i="17"/>
  <c r="AE1207" i="17"/>
  <c r="AA1207" i="17"/>
  <c r="W1207" i="17"/>
  <c r="AH1207" i="17"/>
  <c r="AD1207" i="17"/>
  <c r="Z1207" i="17"/>
  <c r="AG1207" i="17"/>
  <c r="AC1207" i="17"/>
  <c r="Y1207" i="17"/>
  <c r="AE593" i="17"/>
  <c r="AA593" i="17"/>
  <c r="W593" i="17"/>
  <c r="AH593" i="17"/>
  <c r="AD593" i="17"/>
  <c r="Z593" i="17"/>
  <c r="AG593" i="17"/>
  <c r="AC593" i="17"/>
  <c r="Y593" i="17"/>
  <c r="X593" i="17"/>
  <c r="AF593" i="17"/>
  <c r="AB593" i="17"/>
  <c r="C595" i="17"/>
  <c r="AL594" i="17"/>
  <c r="B594" i="17"/>
  <c r="G594" i="17" s="1"/>
  <c r="A1210" i="17" l="1"/>
  <c r="C1210" i="17"/>
  <c r="AL1209" i="17"/>
  <c r="B1209" i="17"/>
  <c r="G1209" i="17" s="1"/>
  <c r="AF1208" i="17"/>
  <c r="AB1208" i="17"/>
  <c r="X1208" i="17"/>
  <c r="AE1208" i="17"/>
  <c r="AA1208" i="17"/>
  <c r="W1208" i="17"/>
  <c r="AH1208" i="17"/>
  <c r="AD1208" i="17"/>
  <c r="Z1208" i="17"/>
  <c r="AG1208" i="17"/>
  <c r="AC1208" i="17"/>
  <c r="Y1208" i="17"/>
  <c r="AH594" i="17"/>
  <c r="AD594" i="17"/>
  <c r="Z594" i="17"/>
  <c r="AG594" i="17"/>
  <c r="AC594" i="17"/>
  <c r="Y594" i="17"/>
  <c r="AF594" i="17"/>
  <c r="AB594" i="17"/>
  <c r="X594" i="17"/>
  <c r="W594" i="17"/>
  <c r="AE594" i="17"/>
  <c r="AA594" i="17"/>
  <c r="B595" i="17"/>
  <c r="G595" i="17" s="1"/>
  <c r="AL595" i="17"/>
  <c r="C596" i="17"/>
  <c r="A1211" i="17" l="1"/>
  <c r="C1211" i="17"/>
  <c r="AL1210" i="17"/>
  <c r="B1210" i="17"/>
  <c r="G1210" i="17" s="1"/>
  <c r="AF1209" i="17"/>
  <c r="AB1209" i="17"/>
  <c r="X1209" i="17"/>
  <c r="AE1209" i="17"/>
  <c r="AA1209" i="17"/>
  <c r="W1209" i="17"/>
  <c r="AH1209" i="17"/>
  <c r="AD1209" i="17"/>
  <c r="Z1209" i="17"/>
  <c r="AC1209" i="17"/>
  <c r="Y1209" i="17"/>
  <c r="AG1209" i="17"/>
  <c r="B596" i="17"/>
  <c r="G596" i="17" s="1"/>
  <c r="C597" i="17"/>
  <c r="AL596" i="17"/>
  <c r="AG595" i="17"/>
  <c r="AC595" i="17"/>
  <c r="Y595" i="17"/>
  <c r="AF595" i="17"/>
  <c r="AB595" i="17"/>
  <c r="X595" i="17"/>
  <c r="AE595" i="17"/>
  <c r="AA595" i="17"/>
  <c r="W595" i="17"/>
  <c r="Z595" i="17"/>
  <c r="AH595" i="17"/>
  <c r="AD595" i="17"/>
  <c r="AF1210" i="17" l="1"/>
  <c r="AB1210" i="17"/>
  <c r="X1210" i="17"/>
  <c r="AE1210" i="17"/>
  <c r="AA1210" i="17"/>
  <c r="W1210" i="17"/>
  <c r="AH1210" i="17"/>
  <c r="AD1210" i="17"/>
  <c r="Z1210" i="17"/>
  <c r="Y1210" i="17"/>
  <c r="AG1210" i="17"/>
  <c r="AC1210" i="17"/>
  <c r="A1212" i="17"/>
  <c r="C1212" i="17"/>
  <c r="AL1211" i="17"/>
  <c r="B1211" i="17"/>
  <c r="G1211" i="17" s="1"/>
  <c r="AF596" i="17"/>
  <c r="AB596" i="17"/>
  <c r="X596" i="17"/>
  <c r="AE596" i="17"/>
  <c r="AA596" i="17"/>
  <c r="W596" i="17"/>
  <c r="AH596" i="17"/>
  <c r="AD596" i="17"/>
  <c r="Z596" i="17"/>
  <c r="AG596" i="17"/>
  <c r="AC596" i="17"/>
  <c r="Y596" i="17"/>
  <c r="C598" i="17"/>
  <c r="AL597" i="17"/>
  <c r="B597" i="17"/>
  <c r="G597" i="17" s="1"/>
  <c r="A1213" i="17" l="1"/>
  <c r="AL1212" i="17"/>
  <c r="B1212" i="17"/>
  <c r="G1212" i="17" s="1"/>
  <c r="C1213" i="17"/>
  <c r="AF1211" i="17"/>
  <c r="AB1211" i="17"/>
  <c r="X1211" i="17"/>
  <c r="AE1211" i="17"/>
  <c r="AA1211" i="17"/>
  <c r="W1211" i="17"/>
  <c r="AH1211" i="17"/>
  <c r="AD1211" i="17"/>
  <c r="Z1211" i="17"/>
  <c r="AG1211" i="17"/>
  <c r="AC1211" i="17"/>
  <c r="Y1211" i="17"/>
  <c r="AE597" i="17"/>
  <c r="AA597" i="17"/>
  <c r="W597" i="17"/>
  <c r="AH597" i="17"/>
  <c r="AD597" i="17"/>
  <c r="Z597" i="17"/>
  <c r="AG597" i="17"/>
  <c r="AC597" i="17"/>
  <c r="Y597" i="17"/>
  <c r="AF597" i="17"/>
  <c r="AB597" i="17"/>
  <c r="X597" i="17"/>
  <c r="C599" i="17"/>
  <c r="AL598" i="17"/>
  <c r="B598" i="17"/>
  <c r="G598" i="17" s="1"/>
  <c r="AG1212" i="17" l="1"/>
  <c r="AC1212" i="17"/>
  <c r="Y1212" i="17"/>
  <c r="AH1212" i="17"/>
  <c r="AB1212" i="17"/>
  <c r="W1212" i="17"/>
  <c r="AF1212" i="17"/>
  <c r="AA1212" i="17"/>
  <c r="AE1212" i="17"/>
  <c r="Z1212" i="17"/>
  <c r="AD1212" i="17"/>
  <c r="X1212" i="17"/>
  <c r="B1213" i="17"/>
  <c r="G1213" i="17" s="1"/>
  <c r="C1214" i="17"/>
  <c r="A1214" i="17"/>
  <c r="AL1213" i="17"/>
  <c r="AH598" i="17"/>
  <c r="AD598" i="17"/>
  <c r="Z598" i="17"/>
  <c r="AG598" i="17"/>
  <c r="AC598" i="17"/>
  <c r="Y598" i="17"/>
  <c r="AF598" i="17"/>
  <c r="AB598" i="17"/>
  <c r="X598" i="17"/>
  <c r="AE598" i="17"/>
  <c r="AA598" i="17"/>
  <c r="W598" i="17"/>
  <c r="B599" i="17"/>
  <c r="G599" i="17" s="1"/>
  <c r="AL599" i="17"/>
  <c r="C600" i="17"/>
  <c r="B1214" i="17" l="1"/>
  <c r="G1214" i="17" s="1"/>
  <c r="C1215" i="17"/>
  <c r="A1215" i="17"/>
  <c r="AL1214" i="17"/>
  <c r="AG1213" i="17"/>
  <c r="AC1213" i="17"/>
  <c r="Y1213" i="17"/>
  <c r="AD1213" i="17"/>
  <c r="X1213" i="17"/>
  <c r="AH1213" i="17"/>
  <c r="AB1213" i="17"/>
  <c r="W1213" i="17"/>
  <c r="AF1213" i="17"/>
  <c r="AA1213" i="17"/>
  <c r="AE1213" i="17"/>
  <c r="Z1213" i="17"/>
  <c r="AG599" i="17"/>
  <c r="AC599" i="17"/>
  <c r="Y599" i="17"/>
  <c r="AF599" i="17"/>
  <c r="AB599" i="17"/>
  <c r="X599" i="17"/>
  <c r="AE599" i="17"/>
  <c r="AA599" i="17"/>
  <c r="W599" i="17"/>
  <c r="AH599" i="17"/>
  <c r="AD599" i="17"/>
  <c r="Z599" i="17"/>
  <c r="B600" i="17"/>
  <c r="G600" i="17" s="1"/>
  <c r="C601" i="17"/>
  <c r="AL600" i="17"/>
  <c r="AG1214" i="17" l="1"/>
  <c r="AC1214" i="17"/>
  <c r="Y1214" i="17"/>
  <c r="AE1214" i="17"/>
  <c r="Z1214" i="17"/>
  <c r="AD1214" i="17"/>
  <c r="X1214" i="17"/>
  <c r="AH1214" i="17"/>
  <c r="AB1214" i="17"/>
  <c r="W1214" i="17"/>
  <c r="AA1214" i="17"/>
  <c r="AF1214" i="17"/>
  <c r="B1215" i="17"/>
  <c r="G1215" i="17" s="1"/>
  <c r="AL1215" i="17"/>
  <c r="C1216" i="17"/>
  <c r="A1216" i="17"/>
  <c r="C602" i="17"/>
  <c r="AL601" i="17"/>
  <c r="B601" i="17"/>
  <c r="G601" i="17" s="1"/>
  <c r="AF600" i="17"/>
  <c r="AB600" i="17"/>
  <c r="X600" i="17"/>
  <c r="AE600" i="17"/>
  <c r="AA600" i="17"/>
  <c r="W600" i="17"/>
  <c r="AH600" i="17"/>
  <c r="AD600" i="17"/>
  <c r="Z600" i="17"/>
  <c r="AG600" i="17"/>
  <c r="AC600" i="17"/>
  <c r="Y600" i="17"/>
  <c r="AG1215" i="17" l="1"/>
  <c r="AC1215" i="17"/>
  <c r="Y1215" i="17"/>
  <c r="AF1215" i="17"/>
  <c r="AA1215" i="17"/>
  <c r="AE1215" i="17"/>
  <c r="Z1215" i="17"/>
  <c r="AD1215" i="17"/>
  <c r="X1215" i="17"/>
  <c r="AH1215" i="17"/>
  <c r="AB1215" i="17"/>
  <c r="W1215" i="17"/>
  <c r="B1216" i="17"/>
  <c r="G1216" i="17" s="1"/>
  <c r="A1217" i="17"/>
  <c r="AL1216" i="17"/>
  <c r="C1217" i="17"/>
  <c r="AE601" i="17"/>
  <c r="AA601" i="17"/>
  <c r="W601" i="17"/>
  <c r="AH601" i="17"/>
  <c r="AD601" i="17"/>
  <c r="Z601" i="17"/>
  <c r="AG601" i="17"/>
  <c r="AC601" i="17"/>
  <c r="Y601" i="17"/>
  <c r="AF601" i="17"/>
  <c r="AB601" i="17"/>
  <c r="X601" i="17"/>
  <c r="C603" i="17"/>
  <c r="AL602" i="17"/>
  <c r="B602" i="17"/>
  <c r="G602" i="17" s="1"/>
  <c r="AG1216" i="17" l="1"/>
  <c r="AC1216" i="17"/>
  <c r="Y1216" i="17"/>
  <c r="AH1216" i="17"/>
  <c r="AB1216" i="17"/>
  <c r="W1216" i="17"/>
  <c r="AF1216" i="17"/>
  <c r="AA1216" i="17"/>
  <c r="AE1216" i="17"/>
  <c r="Z1216" i="17"/>
  <c r="X1216" i="17"/>
  <c r="AD1216" i="17"/>
  <c r="B1217" i="17"/>
  <c r="G1217" i="17" s="1"/>
  <c r="C1218" i="17"/>
  <c r="A1218" i="17"/>
  <c r="AL1217" i="17"/>
  <c r="AH602" i="17"/>
  <c r="AD602" i="17"/>
  <c r="Z602" i="17"/>
  <c r="AG602" i="17"/>
  <c r="AC602" i="17"/>
  <c r="Y602" i="17"/>
  <c r="AF602" i="17"/>
  <c r="AB602" i="17"/>
  <c r="X602" i="17"/>
  <c r="AE602" i="17"/>
  <c r="AA602" i="17"/>
  <c r="W602" i="17"/>
  <c r="B603" i="17"/>
  <c r="G603" i="17" s="1"/>
  <c r="C604" i="17"/>
  <c r="AL603" i="17"/>
  <c r="B1218" i="17" l="1"/>
  <c r="G1218" i="17" s="1"/>
  <c r="C1219" i="17"/>
  <c r="A1219" i="17"/>
  <c r="AL1218" i="17"/>
  <c r="AG1217" i="17"/>
  <c r="AC1217" i="17"/>
  <c r="Y1217" i="17"/>
  <c r="AD1217" i="17"/>
  <c r="X1217" i="17"/>
  <c r="AH1217" i="17"/>
  <c r="AB1217" i="17"/>
  <c r="W1217" i="17"/>
  <c r="AF1217" i="17"/>
  <c r="AA1217" i="17"/>
  <c r="Z1217" i="17"/>
  <c r="AE1217" i="17"/>
  <c r="B604" i="17"/>
  <c r="G604" i="17" s="1"/>
  <c r="C605" i="17"/>
  <c r="AL604" i="17"/>
  <c r="AG603" i="17"/>
  <c r="AC603" i="17"/>
  <c r="Y603" i="17"/>
  <c r="AF603" i="17"/>
  <c r="AB603" i="17"/>
  <c r="X603" i="17"/>
  <c r="AE603" i="17"/>
  <c r="AA603" i="17"/>
  <c r="W603" i="17"/>
  <c r="AH603" i="17"/>
  <c r="AD603" i="17"/>
  <c r="Z603" i="17"/>
  <c r="AG1218" i="17" l="1"/>
  <c r="AC1218" i="17"/>
  <c r="Y1218" i="17"/>
  <c r="AE1218" i="17"/>
  <c r="Z1218" i="17"/>
  <c r="AD1218" i="17"/>
  <c r="X1218" i="17"/>
  <c r="AH1218" i="17"/>
  <c r="AB1218" i="17"/>
  <c r="W1218" i="17"/>
  <c r="AF1218" i="17"/>
  <c r="AA1218" i="17"/>
  <c r="B1219" i="17"/>
  <c r="G1219" i="17" s="1"/>
  <c r="AL1219" i="17"/>
  <c r="C1220" i="17"/>
  <c r="A1220" i="17"/>
  <c r="C606" i="17"/>
  <c r="AL605" i="17"/>
  <c r="B605" i="17"/>
  <c r="G605" i="17" s="1"/>
  <c r="AF604" i="17"/>
  <c r="AB604" i="17"/>
  <c r="X604" i="17"/>
  <c r="AE604" i="17"/>
  <c r="AA604" i="17"/>
  <c r="W604" i="17"/>
  <c r="AH604" i="17"/>
  <c r="AD604" i="17"/>
  <c r="Z604" i="17"/>
  <c r="AC604" i="17"/>
  <c r="Y604" i="17"/>
  <c r="AG604" i="17"/>
  <c r="AG1219" i="17" l="1"/>
  <c r="AC1219" i="17"/>
  <c r="Y1219" i="17"/>
  <c r="AF1219" i="17"/>
  <c r="AA1219" i="17"/>
  <c r="AE1219" i="17"/>
  <c r="Z1219" i="17"/>
  <c r="AD1219" i="17"/>
  <c r="X1219" i="17"/>
  <c r="AH1219" i="17"/>
  <c r="AB1219" i="17"/>
  <c r="W1219" i="17"/>
  <c r="B1220" i="17"/>
  <c r="G1220" i="17" s="1"/>
  <c r="A1221" i="17"/>
  <c r="AL1220" i="17"/>
  <c r="C1221" i="17"/>
  <c r="C607" i="17"/>
  <c r="AL606" i="17"/>
  <c r="B606" i="17"/>
  <c r="G606" i="17" s="1"/>
  <c r="AE605" i="17"/>
  <c r="AA605" i="17"/>
  <c r="W605" i="17"/>
  <c r="AH605" i="17"/>
  <c r="AD605" i="17"/>
  <c r="Z605" i="17"/>
  <c r="AG605" i="17"/>
  <c r="AC605" i="17"/>
  <c r="Y605" i="17"/>
  <c r="AB605" i="17"/>
  <c r="X605" i="17"/>
  <c r="AF605" i="17"/>
  <c r="AG1220" i="17" l="1"/>
  <c r="AC1220" i="17"/>
  <c r="Y1220" i="17"/>
  <c r="AH1220" i="17"/>
  <c r="AB1220" i="17"/>
  <c r="W1220" i="17"/>
  <c r="AF1220" i="17"/>
  <c r="AA1220" i="17"/>
  <c r="AE1220" i="17"/>
  <c r="Z1220" i="17"/>
  <c r="AD1220" i="17"/>
  <c r="X1220" i="17"/>
  <c r="B1221" i="17"/>
  <c r="G1221" i="17" s="1"/>
  <c r="C1222" i="17"/>
  <c r="A1222" i="17"/>
  <c r="AL1221" i="17"/>
  <c r="AH606" i="17"/>
  <c r="AD606" i="17"/>
  <c r="Z606" i="17"/>
  <c r="AG606" i="17"/>
  <c r="AC606" i="17"/>
  <c r="Y606" i="17"/>
  <c r="AF606" i="17"/>
  <c r="AB606" i="17"/>
  <c r="X606" i="17"/>
  <c r="AA606" i="17"/>
  <c r="W606" i="17"/>
  <c r="AE606" i="17"/>
  <c r="B607" i="17"/>
  <c r="G607" i="17" s="1"/>
  <c r="AL607" i="17"/>
  <c r="C608" i="17"/>
  <c r="B1222" i="17" l="1"/>
  <c r="G1222" i="17" s="1"/>
  <c r="C1223" i="17"/>
  <c r="A1223" i="17"/>
  <c r="AL1222" i="17"/>
  <c r="AG1221" i="17"/>
  <c r="AC1221" i="17"/>
  <c r="Y1221" i="17"/>
  <c r="AD1221" i="17"/>
  <c r="X1221" i="17"/>
  <c r="AH1221" i="17"/>
  <c r="AB1221" i="17"/>
  <c r="W1221" i="17"/>
  <c r="AF1221" i="17"/>
  <c r="AA1221" i="17"/>
  <c r="AE1221" i="17"/>
  <c r="Z1221" i="17"/>
  <c r="AG607" i="17"/>
  <c r="AC607" i="17"/>
  <c r="Y607" i="17"/>
  <c r="AF607" i="17"/>
  <c r="AB607" i="17"/>
  <c r="X607" i="17"/>
  <c r="AE607" i="17"/>
  <c r="AA607" i="17"/>
  <c r="W607" i="17"/>
  <c r="AD607" i="17"/>
  <c r="Z607" i="17"/>
  <c r="AH607" i="17"/>
  <c r="B608" i="17"/>
  <c r="G608" i="17" s="1"/>
  <c r="C609" i="17"/>
  <c r="AL608" i="17"/>
  <c r="B1223" i="17" l="1"/>
  <c r="G1223" i="17" s="1"/>
  <c r="AL1223" i="17"/>
  <c r="C1224" i="17"/>
  <c r="A1224" i="17"/>
  <c r="AG1222" i="17"/>
  <c r="AC1222" i="17"/>
  <c r="Y1222" i="17"/>
  <c r="AE1222" i="17"/>
  <c r="Z1222" i="17"/>
  <c r="AD1222" i="17"/>
  <c r="X1222" i="17"/>
  <c r="AH1222" i="17"/>
  <c r="AB1222" i="17"/>
  <c r="W1222" i="17"/>
  <c r="AF1222" i="17"/>
  <c r="AA1222" i="17"/>
  <c r="AF608" i="17"/>
  <c r="AB608" i="17"/>
  <c r="X608" i="17"/>
  <c r="AE608" i="17"/>
  <c r="AA608" i="17"/>
  <c r="W608" i="17"/>
  <c r="AH608" i="17"/>
  <c r="AD608" i="17"/>
  <c r="Z608" i="17"/>
  <c r="Y608" i="17"/>
  <c r="AG608" i="17"/>
  <c r="AC608" i="17"/>
  <c r="C610" i="17"/>
  <c r="AL609" i="17"/>
  <c r="B609" i="17"/>
  <c r="G609" i="17" s="1"/>
  <c r="C1225" i="17" l="1"/>
  <c r="AL1224" i="17"/>
  <c r="B1224" i="17"/>
  <c r="G1224" i="17" s="1"/>
  <c r="A1225" i="17"/>
  <c r="AG1223" i="17"/>
  <c r="AC1223" i="17"/>
  <c r="Y1223" i="17"/>
  <c r="AF1223" i="17"/>
  <c r="AA1223" i="17"/>
  <c r="AE1223" i="17"/>
  <c r="Z1223" i="17"/>
  <c r="AD1223" i="17"/>
  <c r="X1223" i="17"/>
  <c r="W1223" i="17"/>
  <c r="AH1223" i="17"/>
  <c r="AB1223" i="17"/>
  <c r="AE609" i="17"/>
  <c r="AA609" i="17"/>
  <c r="W609" i="17"/>
  <c r="AH609" i="17"/>
  <c r="AD609" i="17"/>
  <c r="Z609" i="17"/>
  <c r="AG609" i="17"/>
  <c r="AC609" i="17"/>
  <c r="Y609" i="17"/>
  <c r="X609" i="17"/>
  <c r="AF609" i="17"/>
  <c r="AB609" i="17"/>
  <c r="C611" i="17"/>
  <c r="AL610" i="17"/>
  <c r="B610" i="17"/>
  <c r="G610" i="17" s="1"/>
  <c r="AH1224" i="17" l="1"/>
  <c r="AD1224" i="17"/>
  <c r="Z1224" i="17"/>
  <c r="AG1224" i="17"/>
  <c r="AC1224" i="17"/>
  <c r="Y1224" i="17"/>
  <c r="AE1224" i="17"/>
  <c r="W1224" i="17"/>
  <c r="AB1224" i="17"/>
  <c r="AA1224" i="17"/>
  <c r="AF1224" i="17"/>
  <c r="X1224" i="17"/>
  <c r="C1226" i="17"/>
  <c r="AL1225" i="17"/>
  <c r="B1225" i="17"/>
  <c r="G1225" i="17" s="1"/>
  <c r="A1226" i="17"/>
  <c r="AH610" i="17"/>
  <c r="AD610" i="17"/>
  <c r="Z610" i="17"/>
  <c r="AG610" i="17"/>
  <c r="AC610" i="17"/>
  <c r="Y610" i="17"/>
  <c r="AF610" i="17"/>
  <c r="AB610" i="17"/>
  <c r="X610" i="17"/>
  <c r="W610" i="17"/>
  <c r="AE610" i="17"/>
  <c r="AA610" i="17"/>
  <c r="B611" i="17"/>
  <c r="G611" i="17" s="1"/>
  <c r="AL611" i="17"/>
  <c r="C612" i="17"/>
  <c r="AH1225" i="17" l="1"/>
  <c r="AD1225" i="17"/>
  <c r="Z1225" i="17"/>
  <c r="AG1225" i="17"/>
  <c r="AC1225" i="17"/>
  <c r="Y1225" i="17"/>
  <c r="AB1225" i="17"/>
  <c r="AA1225" i="17"/>
  <c r="AF1225" i="17"/>
  <c r="X1225" i="17"/>
  <c r="AE1225" i="17"/>
  <c r="W1225" i="17"/>
  <c r="C1227" i="17"/>
  <c r="AL1226" i="17"/>
  <c r="B1226" i="17"/>
  <c r="G1226" i="17" s="1"/>
  <c r="A1227" i="17"/>
  <c r="B612" i="17"/>
  <c r="G612" i="17" s="1"/>
  <c r="C613" i="17"/>
  <c r="AL612" i="17"/>
  <c r="AG611" i="17"/>
  <c r="AC611" i="17"/>
  <c r="Y611" i="17"/>
  <c r="AF611" i="17"/>
  <c r="AB611" i="17"/>
  <c r="X611" i="17"/>
  <c r="AE611" i="17"/>
  <c r="AA611" i="17"/>
  <c r="W611" i="17"/>
  <c r="Z611" i="17"/>
  <c r="AH611" i="17"/>
  <c r="AD611" i="17"/>
  <c r="C1228" i="17" l="1"/>
  <c r="AL1227" i="17"/>
  <c r="B1227" i="17"/>
  <c r="G1227" i="17" s="1"/>
  <c r="A1228" i="17"/>
  <c r="AH1226" i="17"/>
  <c r="AD1226" i="17"/>
  <c r="Z1226" i="17"/>
  <c r="AG1226" i="17"/>
  <c r="AC1226" i="17"/>
  <c r="Y1226" i="17"/>
  <c r="AA1226" i="17"/>
  <c r="AF1226" i="17"/>
  <c r="X1226" i="17"/>
  <c r="AE1226" i="17"/>
  <c r="W1226" i="17"/>
  <c r="AB1226" i="17"/>
  <c r="AF612" i="17"/>
  <c r="AB612" i="17"/>
  <c r="X612" i="17"/>
  <c r="AE612" i="17"/>
  <c r="AA612" i="17"/>
  <c r="W612" i="17"/>
  <c r="AH612" i="17"/>
  <c r="AD612" i="17"/>
  <c r="Z612" i="17"/>
  <c r="AG612" i="17"/>
  <c r="AC612" i="17"/>
  <c r="Y612" i="17"/>
  <c r="C614" i="17"/>
  <c r="AL613" i="17"/>
  <c r="B613" i="17"/>
  <c r="G613" i="17" s="1"/>
  <c r="AH1227" i="17" l="1"/>
  <c r="AD1227" i="17"/>
  <c r="Z1227" i="17"/>
  <c r="AG1227" i="17"/>
  <c r="AC1227" i="17"/>
  <c r="Y1227" i="17"/>
  <c r="AF1227" i="17"/>
  <c r="X1227" i="17"/>
  <c r="AE1227" i="17"/>
  <c r="W1227" i="17"/>
  <c r="AB1227" i="17"/>
  <c r="AA1227" i="17"/>
  <c r="C1229" i="17"/>
  <c r="AL1228" i="17"/>
  <c r="B1228" i="17"/>
  <c r="G1228" i="17" s="1"/>
  <c r="A1229" i="17"/>
  <c r="AE613" i="17"/>
  <c r="AA613" i="17"/>
  <c r="W613" i="17"/>
  <c r="AH613" i="17"/>
  <c r="AD613" i="17"/>
  <c r="Z613" i="17"/>
  <c r="AG613" i="17"/>
  <c r="AC613" i="17"/>
  <c r="Y613" i="17"/>
  <c r="AF613" i="17"/>
  <c r="AB613" i="17"/>
  <c r="X613" i="17"/>
  <c r="C615" i="17"/>
  <c r="AL614" i="17"/>
  <c r="B614" i="17"/>
  <c r="G614" i="17" s="1"/>
  <c r="AH1228" i="17" l="1"/>
  <c r="AD1228" i="17"/>
  <c r="Z1228" i="17"/>
  <c r="AG1228" i="17"/>
  <c r="AC1228" i="17"/>
  <c r="Y1228" i="17"/>
  <c r="AE1228" i="17"/>
  <c r="W1228" i="17"/>
  <c r="AB1228" i="17"/>
  <c r="AA1228" i="17"/>
  <c r="AF1228" i="17"/>
  <c r="X1228" i="17"/>
  <c r="C1230" i="17"/>
  <c r="AL1229" i="17"/>
  <c r="B1229" i="17"/>
  <c r="G1229" i="17" s="1"/>
  <c r="A1230" i="17"/>
  <c r="AH614" i="17"/>
  <c r="AD614" i="17"/>
  <c r="Z614" i="17"/>
  <c r="AG614" i="17"/>
  <c r="AC614" i="17"/>
  <c r="Y614" i="17"/>
  <c r="AF614" i="17"/>
  <c r="AB614" i="17"/>
  <c r="X614" i="17"/>
  <c r="AE614" i="17"/>
  <c r="AA614" i="17"/>
  <c r="W614" i="17"/>
  <c r="B615" i="17"/>
  <c r="G615" i="17" s="1"/>
  <c r="AL615" i="17"/>
  <c r="C616" i="17"/>
  <c r="C1231" i="17" l="1"/>
  <c r="AL1230" i="17"/>
  <c r="B1230" i="17"/>
  <c r="G1230" i="17" s="1"/>
  <c r="A1231" i="17"/>
  <c r="AE1229" i="17"/>
  <c r="AA1229" i="17"/>
  <c r="W1229" i="17"/>
  <c r="AH1229" i="17"/>
  <c r="AD1229" i="17"/>
  <c r="Z1229" i="17"/>
  <c r="AG1229" i="17"/>
  <c r="AC1229" i="17"/>
  <c r="Y1229" i="17"/>
  <c r="AF1229" i="17"/>
  <c r="AB1229" i="17"/>
  <c r="X1229" i="17"/>
  <c r="B616" i="17"/>
  <c r="G616" i="17" s="1"/>
  <c r="C617" i="17"/>
  <c r="AL616" i="17"/>
  <c r="AG615" i="17"/>
  <c r="AC615" i="17"/>
  <c r="Y615" i="17"/>
  <c r="AF615" i="17"/>
  <c r="AB615" i="17"/>
  <c r="X615" i="17"/>
  <c r="AE615" i="17"/>
  <c r="AA615" i="17"/>
  <c r="W615" i="17"/>
  <c r="AH615" i="17"/>
  <c r="AD615" i="17"/>
  <c r="Z615" i="17"/>
  <c r="C1232" i="17" l="1"/>
  <c r="AL1231" i="17"/>
  <c r="B1231" i="17"/>
  <c r="G1231" i="17" s="1"/>
  <c r="A1232" i="17"/>
  <c r="AE1230" i="17"/>
  <c r="AA1230" i="17"/>
  <c r="W1230" i="17"/>
  <c r="AH1230" i="17"/>
  <c r="AD1230" i="17"/>
  <c r="Z1230" i="17"/>
  <c r="AG1230" i="17"/>
  <c r="AC1230" i="17"/>
  <c r="Y1230" i="17"/>
  <c r="AF1230" i="17"/>
  <c r="AB1230" i="17"/>
  <c r="X1230" i="17"/>
  <c r="AF616" i="17"/>
  <c r="AB616" i="17"/>
  <c r="X616" i="17"/>
  <c r="AE616" i="17"/>
  <c r="AA616" i="17"/>
  <c r="W616" i="17"/>
  <c r="AH616" i="17"/>
  <c r="AD616" i="17"/>
  <c r="Z616" i="17"/>
  <c r="AG616" i="17"/>
  <c r="AC616" i="17"/>
  <c r="Y616" i="17"/>
  <c r="C618" i="17"/>
  <c r="AL617" i="17"/>
  <c r="B617" i="17"/>
  <c r="G617" i="17" s="1"/>
  <c r="C1233" i="17" l="1"/>
  <c r="AL1232" i="17"/>
  <c r="B1232" i="17"/>
  <c r="G1232" i="17" s="1"/>
  <c r="A1233" i="17"/>
  <c r="AE1231" i="17"/>
  <c r="AA1231" i="17"/>
  <c r="W1231" i="17"/>
  <c r="AH1231" i="17"/>
  <c r="AD1231" i="17"/>
  <c r="Z1231" i="17"/>
  <c r="AG1231" i="17"/>
  <c r="AC1231" i="17"/>
  <c r="Y1231" i="17"/>
  <c r="AB1231" i="17"/>
  <c r="X1231" i="17"/>
  <c r="AF1231" i="17"/>
  <c r="AE617" i="17"/>
  <c r="AA617" i="17"/>
  <c r="W617" i="17"/>
  <c r="AH617" i="17"/>
  <c r="AD617" i="17"/>
  <c r="Z617" i="17"/>
  <c r="AG617" i="17"/>
  <c r="AC617" i="17"/>
  <c r="Y617" i="17"/>
  <c r="AF617" i="17"/>
  <c r="AB617" i="17"/>
  <c r="X617" i="17"/>
  <c r="C619" i="17"/>
  <c r="AL618" i="17"/>
  <c r="B618" i="17"/>
  <c r="G618" i="17" s="1"/>
  <c r="AE1232" i="17" l="1"/>
  <c r="AA1232" i="17"/>
  <c r="W1232" i="17"/>
  <c r="AH1232" i="17"/>
  <c r="AD1232" i="17"/>
  <c r="Z1232" i="17"/>
  <c r="AG1232" i="17"/>
  <c r="AC1232" i="17"/>
  <c r="Y1232" i="17"/>
  <c r="X1232" i="17"/>
  <c r="AF1232" i="17"/>
  <c r="AB1232" i="17"/>
  <c r="C1234" i="17"/>
  <c r="AL1233" i="17"/>
  <c r="B1233" i="17"/>
  <c r="G1233" i="17" s="1"/>
  <c r="A1234" i="17"/>
  <c r="AH618" i="17"/>
  <c r="AD618" i="17"/>
  <c r="Z618" i="17"/>
  <c r="AG618" i="17"/>
  <c r="AC618" i="17"/>
  <c r="Y618" i="17"/>
  <c r="AF618" i="17"/>
  <c r="AB618" i="17"/>
  <c r="X618" i="17"/>
  <c r="AE618" i="17"/>
  <c r="AA618" i="17"/>
  <c r="W618" i="17"/>
  <c r="B619" i="17"/>
  <c r="G619" i="17" s="1"/>
  <c r="C620" i="17"/>
  <c r="AL619" i="17"/>
  <c r="C1235" i="17" l="1"/>
  <c r="AL1234" i="17"/>
  <c r="B1234" i="17"/>
  <c r="G1234" i="17" s="1"/>
  <c r="A1235" i="17"/>
  <c r="AE1233" i="17"/>
  <c r="AA1233" i="17"/>
  <c r="W1233" i="17"/>
  <c r="AH1233" i="17"/>
  <c r="AD1233" i="17"/>
  <c r="Z1233" i="17"/>
  <c r="AG1233" i="17"/>
  <c r="AC1233" i="17"/>
  <c r="Y1233" i="17"/>
  <c r="AF1233" i="17"/>
  <c r="AB1233" i="17"/>
  <c r="X1233" i="17"/>
  <c r="B620" i="17"/>
  <c r="G620" i="17" s="1"/>
  <c r="C621" i="17"/>
  <c r="AL620" i="17"/>
  <c r="AG619" i="17"/>
  <c r="AC619" i="17"/>
  <c r="Y619" i="17"/>
  <c r="AF619" i="17"/>
  <c r="AB619" i="17"/>
  <c r="X619" i="17"/>
  <c r="AE619" i="17"/>
  <c r="AA619" i="17"/>
  <c r="W619" i="17"/>
  <c r="AH619" i="17"/>
  <c r="AD619" i="17"/>
  <c r="Z619" i="17"/>
  <c r="AE1234" i="17" l="1"/>
  <c r="AA1234" i="17"/>
  <c r="W1234" i="17"/>
  <c r="AH1234" i="17"/>
  <c r="AD1234" i="17"/>
  <c r="Z1234" i="17"/>
  <c r="AG1234" i="17"/>
  <c r="AC1234" i="17"/>
  <c r="Y1234" i="17"/>
  <c r="AF1234" i="17"/>
  <c r="AB1234" i="17"/>
  <c r="X1234" i="17"/>
  <c r="C1236" i="17"/>
  <c r="AL1235" i="17"/>
  <c r="B1235" i="17"/>
  <c r="G1235" i="17" s="1"/>
  <c r="A1236" i="17"/>
  <c r="C622" i="17"/>
  <c r="AL621" i="17"/>
  <c r="B621" i="17"/>
  <c r="G621" i="17" s="1"/>
  <c r="AF620" i="17"/>
  <c r="AB620" i="17"/>
  <c r="X620" i="17"/>
  <c r="AE620" i="17"/>
  <c r="AA620" i="17"/>
  <c r="W620" i="17"/>
  <c r="AH620" i="17"/>
  <c r="AD620" i="17"/>
  <c r="Z620" i="17"/>
  <c r="AC620" i="17"/>
  <c r="Y620" i="17"/>
  <c r="AG620" i="17"/>
  <c r="AE1235" i="17" l="1"/>
  <c r="AA1235" i="17"/>
  <c r="W1235" i="17"/>
  <c r="AH1235" i="17"/>
  <c r="AD1235" i="17"/>
  <c r="Z1235" i="17"/>
  <c r="AG1235" i="17"/>
  <c r="AC1235" i="17"/>
  <c r="Y1235" i="17"/>
  <c r="AB1235" i="17"/>
  <c r="X1235" i="17"/>
  <c r="AF1235" i="17"/>
  <c r="C1237" i="17"/>
  <c r="AL1236" i="17"/>
  <c r="B1236" i="17"/>
  <c r="G1236" i="17" s="1"/>
  <c r="A1237" i="17"/>
  <c r="AE621" i="17"/>
  <c r="AA621" i="17"/>
  <c r="W621" i="17"/>
  <c r="AH621" i="17"/>
  <c r="AD621" i="17"/>
  <c r="Z621" i="17"/>
  <c r="AG621" i="17"/>
  <c r="AC621" i="17"/>
  <c r="Y621" i="17"/>
  <c r="AB621" i="17"/>
  <c r="X621" i="17"/>
  <c r="AF621" i="17"/>
  <c r="C623" i="17"/>
  <c r="AL622" i="17"/>
  <c r="B622" i="17"/>
  <c r="G622" i="17" s="1"/>
  <c r="AE1236" i="17" l="1"/>
  <c r="AA1236" i="17"/>
  <c r="W1236" i="17"/>
  <c r="AH1236" i="17"/>
  <c r="AD1236" i="17"/>
  <c r="Z1236" i="17"/>
  <c r="AG1236" i="17"/>
  <c r="AC1236" i="17"/>
  <c r="Y1236" i="17"/>
  <c r="X1236" i="17"/>
  <c r="AF1236" i="17"/>
  <c r="AB1236" i="17"/>
  <c r="C1238" i="17"/>
  <c r="AL1237" i="17"/>
  <c r="B1237" i="17"/>
  <c r="G1237" i="17" s="1"/>
  <c r="A1238" i="17"/>
  <c r="AH622" i="17"/>
  <c r="AD622" i="17"/>
  <c r="Z622" i="17"/>
  <c r="AG622" i="17"/>
  <c r="AC622" i="17"/>
  <c r="Y622" i="17"/>
  <c r="AF622" i="17"/>
  <c r="AB622" i="17"/>
  <c r="X622" i="17"/>
  <c r="AA622" i="17"/>
  <c r="W622" i="17"/>
  <c r="AE622" i="17"/>
  <c r="B623" i="17"/>
  <c r="G623" i="17" s="1"/>
  <c r="AL623" i="17"/>
  <c r="C624" i="17"/>
  <c r="AE1237" i="17" l="1"/>
  <c r="AA1237" i="17"/>
  <c r="W1237" i="17"/>
  <c r="AH1237" i="17"/>
  <c r="AD1237" i="17"/>
  <c r="Z1237" i="17"/>
  <c r="AG1237" i="17"/>
  <c r="AC1237" i="17"/>
  <c r="Y1237" i="17"/>
  <c r="AF1237" i="17"/>
  <c r="AB1237" i="17"/>
  <c r="X1237" i="17"/>
  <c r="C1239" i="17"/>
  <c r="AL1238" i="17"/>
  <c r="B1238" i="17"/>
  <c r="G1238" i="17" s="1"/>
  <c r="A1239" i="17"/>
  <c r="AG623" i="17"/>
  <c r="AC623" i="17"/>
  <c r="Y623" i="17"/>
  <c r="AF623" i="17"/>
  <c r="AB623" i="17"/>
  <c r="X623" i="17"/>
  <c r="AE623" i="17"/>
  <c r="AA623" i="17"/>
  <c r="W623" i="17"/>
  <c r="AD623" i="17"/>
  <c r="Z623" i="17"/>
  <c r="AH623" i="17"/>
  <c r="B624" i="17"/>
  <c r="G624" i="17" s="1"/>
  <c r="C625" i="17"/>
  <c r="AL624" i="17"/>
  <c r="C1240" i="17" l="1"/>
  <c r="AL1239" i="17"/>
  <c r="B1239" i="17"/>
  <c r="G1239" i="17" s="1"/>
  <c r="A1240" i="17"/>
  <c r="AE1238" i="17"/>
  <c r="AA1238" i="17"/>
  <c r="W1238" i="17"/>
  <c r="AH1238" i="17"/>
  <c r="AD1238" i="17"/>
  <c r="Z1238" i="17"/>
  <c r="AG1238" i="17"/>
  <c r="AC1238" i="17"/>
  <c r="Y1238" i="17"/>
  <c r="AF1238" i="17"/>
  <c r="AB1238" i="17"/>
  <c r="X1238" i="17"/>
  <c r="AF624" i="17"/>
  <c r="AB624" i="17"/>
  <c r="X624" i="17"/>
  <c r="AE624" i="17"/>
  <c r="AA624" i="17"/>
  <c r="W624" i="17"/>
  <c r="AH624" i="17"/>
  <c r="AD624" i="17"/>
  <c r="Z624" i="17"/>
  <c r="Y624" i="17"/>
  <c r="AG624" i="17"/>
  <c r="AC624" i="17"/>
  <c r="C626" i="17"/>
  <c r="AL625" i="17"/>
  <c r="B625" i="17"/>
  <c r="G625" i="17" s="1"/>
  <c r="C1241" i="17" l="1"/>
  <c r="AL1240" i="17"/>
  <c r="B1240" i="17"/>
  <c r="G1240" i="17" s="1"/>
  <c r="A1241" i="17"/>
  <c r="AE1239" i="17"/>
  <c r="AA1239" i="17"/>
  <c r="W1239" i="17"/>
  <c r="AH1239" i="17"/>
  <c r="AD1239" i="17"/>
  <c r="Z1239" i="17"/>
  <c r="AG1239" i="17"/>
  <c r="AC1239" i="17"/>
  <c r="Y1239" i="17"/>
  <c r="AB1239" i="17"/>
  <c r="X1239" i="17"/>
  <c r="AF1239" i="17"/>
  <c r="AE625" i="17"/>
  <c r="AA625" i="17"/>
  <c r="W625" i="17"/>
  <c r="AH625" i="17"/>
  <c r="AD625" i="17"/>
  <c r="Z625" i="17"/>
  <c r="AG625" i="17"/>
  <c r="AC625" i="17"/>
  <c r="Y625" i="17"/>
  <c r="X625" i="17"/>
  <c r="AF625" i="17"/>
  <c r="AB625" i="17"/>
  <c r="C627" i="17"/>
  <c r="AL626" i="17"/>
  <c r="B626" i="17"/>
  <c r="G626" i="17" s="1"/>
  <c r="C1242" i="17" l="1"/>
  <c r="AL1241" i="17"/>
  <c r="B1241" i="17"/>
  <c r="G1241" i="17" s="1"/>
  <c r="A1242" i="17"/>
  <c r="AE1240" i="17"/>
  <c r="AA1240" i="17"/>
  <c r="W1240" i="17"/>
  <c r="AH1240" i="17"/>
  <c r="AD1240" i="17"/>
  <c r="Z1240" i="17"/>
  <c r="AG1240" i="17"/>
  <c r="AC1240" i="17"/>
  <c r="Y1240" i="17"/>
  <c r="X1240" i="17"/>
  <c r="AF1240" i="17"/>
  <c r="AB1240" i="17"/>
  <c r="AH626" i="17"/>
  <c r="AD626" i="17"/>
  <c r="Z626" i="17"/>
  <c r="AG626" i="17"/>
  <c r="AC626" i="17"/>
  <c r="Y626" i="17"/>
  <c r="AF626" i="17"/>
  <c r="AB626" i="17"/>
  <c r="X626" i="17"/>
  <c r="W626" i="17"/>
  <c r="AE626" i="17"/>
  <c r="AA626" i="17"/>
  <c r="B627" i="17"/>
  <c r="G627" i="17" s="1"/>
  <c r="AL627" i="17"/>
  <c r="C628" i="17"/>
  <c r="AE1241" i="17" l="1"/>
  <c r="AA1241" i="17"/>
  <c r="W1241" i="17"/>
  <c r="AH1241" i="17"/>
  <c r="AD1241" i="17"/>
  <c r="Z1241" i="17"/>
  <c r="AG1241" i="17"/>
  <c r="AC1241" i="17"/>
  <c r="Y1241" i="17"/>
  <c r="AF1241" i="17"/>
  <c r="AB1241" i="17"/>
  <c r="X1241" i="17"/>
  <c r="C1243" i="17"/>
  <c r="AL1242" i="17"/>
  <c r="B1242" i="17"/>
  <c r="G1242" i="17" s="1"/>
  <c r="A1243" i="17"/>
  <c r="B628" i="17"/>
  <c r="G628" i="17" s="1"/>
  <c r="C629" i="17"/>
  <c r="AL628" i="17"/>
  <c r="AG627" i="17"/>
  <c r="AC627" i="17"/>
  <c r="Y627" i="17"/>
  <c r="AF627" i="17"/>
  <c r="AB627" i="17"/>
  <c r="X627" i="17"/>
  <c r="AE627" i="17"/>
  <c r="AA627" i="17"/>
  <c r="W627" i="17"/>
  <c r="Z627" i="17"/>
  <c r="AH627" i="17"/>
  <c r="AD627" i="17"/>
  <c r="AL1243" i="17" l="1"/>
  <c r="C1244" i="17"/>
  <c r="B1243" i="17"/>
  <c r="G1243" i="17" s="1"/>
  <c r="A1244" i="17"/>
  <c r="AE1242" i="17"/>
  <c r="AA1242" i="17"/>
  <c r="W1242" i="17"/>
  <c r="AH1242" i="17"/>
  <c r="AD1242" i="17"/>
  <c r="Z1242" i="17"/>
  <c r="AG1242" i="17"/>
  <c r="AC1242" i="17"/>
  <c r="Y1242" i="17"/>
  <c r="AF1242" i="17"/>
  <c r="AB1242" i="17"/>
  <c r="X1242" i="17"/>
  <c r="C630" i="17"/>
  <c r="AL629" i="17"/>
  <c r="B629" i="17"/>
  <c r="G629" i="17" s="1"/>
  <c r="AF628" i="17"/>
  <c r="AB628" i="17"/>
  <c r="X628" i="17"/>
  <c r="AE628" i="17"/>
  <c r="AA628" i="17"/>
  <c r="W628" i="17"/>
  <c r="AH628" i="17"/>
  <c r="AD628" i="17"/>
  <c r="Z628" i="17"/>
  <c r="AG628" i="17"/>
  <c r="AC628" i="17"/>
  <c r="Y628" i="17"/>
  <c r="AE1243" i="17" l="1"/>
  <c r="AA1243" i="17"/>
  <c r="W1243" i="17"/>
  <c r="AH1243" i="17"/>
  <c r="AD1243" i="17"/>
  <c r="Z1243" i="17"/>
  <c r="AG1243" i="17"/>
  <c r="AC1243" i="17"/>
  <c r="Y1243" i="17"/>
  <c r="AB1243" i="17"/>
  <c r="X1243" i="17"/>
  <c r="AF1243" i="17"/>
  <c r="C1245" i="17"/>
  <c r="AL1244" i="17"/>
  <c r="B1244" i="17"/>
  <c r="G1244" i="17" s="1"/>
  <c r="A1245" i="17"/>
  <c r="AE629" i="17"/>
  <c r="AA629" i="17"/>
  <c r="W629" i="17"/>
  <c r="AH629" i="17"/>
  <c r="AD629" i="17"/>
  <c r="Z629" i="17"/>
  <c r="AG629" i="17"/>
  <c r="AC629" i="17"/>
  <c r="Y629" i="17"/>
  <c r="AF629" i="17"/>
  <c r="AB629" i="17"/>
  <c r="X629" i="17"/>
  <c r="C631" i="17"/>
  <c r="AL630" i="17"/>
  <c r="B630" i="17"/>
  <c r="G630" i="17" s="1"/>
  <c r="AH1244" i="17" l="1"/>
  <c r="AD1244" i="17"/>
  <c r="Z1244" i="17"/>
  <c r="AG1244" i="17"/>
  <c r="AC1244" i="17"/>
  <c r="Y1244" i="17"/>
  <c r="AE1244" i="17"/>
  <c r="W1244" i="17"/>
  <c r="AB1244" i="17"/>
  <c r="AA1244" i="17"/>
  <c r="AF1244" i="17"/>
  <c r="X1244" i="17"/>
  <c r="C1246" i="17"/>
  <c r="AL1245" i="17"/>
  <c r="B1245" i="17"/>
  <c r="G1245" i="17" s="1"/>
  <c r="A1246" i="17"/>
  <c r="AH630" i="17"/>
  <c r="AD630" i="17"/>
  <c r="Z630" i="17"/>
  <c r="AG630" i="17"/>
  <c r="AC630" i="17"/>
  <c r="Y630" i="17"/>
  <c r="AF630" i="17"/>
  <c r="AB630" i="17"/>
  <c r="X630" i="17"/>
  <c r="AE630" i="17"/>
  <c r="AA630" i="17"/>
  <c r="W630" i="17"/>
  <c r="B631" i="17"/>
  <c r="G631" i="17" s="1"/>
  <c r="AL631" i="17"/>
  <c r="C632" i="17"/>
  <c r="C1247" i="17" l="1"/>
  <c r="AL1246" i="17"/>
  <c r="B1246" i="17"/>
  <c r="G1246" i="17" s="1"/>
  <c r="A1247" i="17"/>
  <c r="AH1245" i="17"/>
  <c r="AD1245" i="17"/>
  <c r="Z1245" i="17"/>
  <c r="AG1245" i="17"/>
  <c r="AC1245" i="17"/>
  <c r="Y1245" i="17"/>
  <c r="AB1245" i="17"/>
  <c r="AA1245" i="17"/>
  <c r="AF1245" i="17"/>
  <c r="X1245" i="17"/>
  <c r="AE1245" i="17"/>
  <c r="W1245" i="17"/>
  <c r="AG631" i="17"/>
  <c r="AC631" i="17"/>
  <c r="Y631" i="17"/>
  <c r="AF631" i="17"/>
  <c r="AB631" i="17"/>
  <c r="X631" i="17"/>
  <c r="AE631" i="17"/>
  <c r="AA631" i="17"/>
  <c r="W631" i="17"/>
  <c r="AH631" i="17"/>
  <c r="AD631" i="17"/>
  <c r="Z631" i="17"/>
  <c r="B632" i="17"/>
  <c r="G632" i="17" s="1"/>
  <c r="C633" i="17"/>
  <c r="AL632" i="17"/>
  <c r="AH1246" i="17" l="1"/>
  <c r="AD1246" i="17"/>
  <c r="Z1246" i="17"/>
  <c r="AG1246" i="17"/>
  <c r="AC1246" i="17"/>
  <c r="Y1246" i="17"/>
  <c r="AA1246" i="17"/>
  <c r="AF1246" i="17"/>
  <c r="X1246" i="17"/>
  <c r="AE1246" i="17"/>
  <c r="W1246" i="17"/>
  <c r="AB1246" i="17"/>
  <c r="C1248" i="17"/>
  <c r="AL1247" i="17"/>
  <c r="B1247" i="17"/>
  <c r="G1247" i="17" s="1"/>
  <c r="A1248" i="17"/>
  <c r="C634" i="17"/>
  <c r="AL633" i="17"/>
  <c r="B633" i="17"/>
  <c r="G633" i="17" s="1"/>
  <c r="AF632" i="17"/>
  <c r="AB632" i="17"/>
  <c r="X632" i="17"/>
  <c r="AE632" i="17"/>
  <c r="AA632" i="17"/>
  <c r="W632" i="17"/>
  <c r="AH632" i="17"/>
  <c r="AD632" i="17"/>
  <c r="Z632" i="17"/>
  <c r="AG632" i="17"/>
  <c r="AC632" i="17"/>
  <c r="Y632" i="17"/>
  <c r="C1249" i="17" l="1"/>
  <c r="AL1248" i="17"/>
  <c r="B1248" i="17"/>
  <c r="G1248" i="17" s="1"/>
  <c r="A1249" i="17"/>
  <c r="AH1247" i="17"/>
  <c r="AD1247" i="17"/>
  <c r="Z1247" i="17"/>
  <c r="AG1247" i="17"/>
  <c r="AC1247" i="17"/>
  <c r="Y1247" i="17"/>
  <c r="AF1247" i="17"/>
  <c r="X1247" i="17"/>
  <c r="AE1247" i="17"/>
  <c r="W1247" i="17"/>
  <c r="AB1247" i="17"/>
  <c r="AA1247" i="17"/>
  <c r="AE633" i="17"/>
  <c r="AA633" i="17"/>
  <c r="W633" i="17"/>
  <c r="AH633" i="17"/>
  <c r="AD633" i="17"/>
  <c r="Z633" i="17"/>
  <c r="AG633" i="17"/>
  <c r="AC633" i="17"/>
  <c r="Y633" i="17"/>
  <c r="AF633" i="17"/>
  <c r="AB633" i="17"/>
  <c r="X633" i="17"/>
  <c r="C635" i="17"/>
  <c r="AL634" i="17"/>
  <c r="B634" i="17"/>
  <c r="G634" i="17" s="1"/>
  <c r="A1250" i="17" l="1"/>
  <c r="AL1249" i="17"/>
  <c r="C1250" i="17"/>
  <c r="B1249" i="17"/>
  <c r="G1249" i="17" s="1"/>
  <c r="AE1248" i="17"/>
  <c r="AA1248" i="17"/>
  <c r="W1248" i="17"/>
  <c r="AH1248" i="17"/>
  <c r="AD1248" i="17"/>
  <c r="Z1248" i="17"/>
  <c r="AG1248" i="17"/>
  <c r="AC1248" i="17"/>
  <c r="Y1248" i="17"/>
  <c r="AF1248" i="17"/>
  <c r="AB1248" i="17"/>
  <c r="X1248" i="17"/>
  <c r="AH634" i="17"/>
  <c r="AD634" i="17"/>
  <c r="Z634" i="17"/>
  <c r="AG634" i="17"/>
  <c r="AC634" i="17"/>
  <c r="Y634" i="17"/>
  <c r="AF634" i="17"/>
  <c r="AB634" i="17"/>
  <c r="X634" i="17"/>
  <c r="AE634" i="17"/>
  <c r="AA634" i="17"/>
  <c r="W634" i="17"/>
  <c r="B635" i="17"/>
  <c r="G635" i="17" s="1"/>
  <c r="C636" i="17"/>
  <c r="AL635" i="17"/>
  <c r="AF1249" i="17" l="1"/>
  <c r="AB1249" i="17"/>
  <c r="X1249" i="17"/>
  <c r="AG1249" i="17"/>
  <c r="AA1249" i="17"/>
  <c r="AE1249" i="17"/>
  <c r="Z1249" i="17"/>
  <c r="AD1249" i="17"/>
  <c r="Y1249" i="17"/>
  <c r="AH1249" i="17"/>
  <c r="AC1249" i="17"/>
  <c r="W1249" i="17"/>
  <c r="A1251" i="17"/>
  <c r="AL1250" i="17"/>
  <c r="C1251" i="17"/>
  <c r="B1250" i="17"/>
  <c r="G1250" i="17" s="1"/>
  <c r="AG635" i="17"/>
  <c r="AC635" i="17"/>
  <c r="Y635" i="17"/>
  <c r="AF635" i="17"/>
  <c r="AB635" i="17"/>
  <c r="X635" i="17"/>
  <c r="AE635" i="17"/>
  <c r="AA635" i="17"/>
  <c r="W635" i="17"/>
  <c r="AH635" i="17"/>
  <c r="AD635" i="17"/>
  <c r="Z635" i="17"/>
  <c r="B636" i="17"/>
  <c r="G636" i="17" s="1"/>
  <c r="C637" i="17"/>
  <c r="AL636" i="17"/>
  <c r="AF1250" i="17" l="1"/>
  <c r="AB1250" i="17"/>
  <c r="X1250" i="17"/>
  <c r="AH1250" i="17"/>
  <c r="AC1250" i="17"/>
  <c r="W1250" i="17"/>
  <c r="AG1250" i="17"/>
  <c r="AA1250" i="17"/>
  <c r="AE1250" i="17"/>
  <c r="Z1250" i="17"/>
  <c r="AD1250" i="17"/>
  <c r="Y1250" i="17"/>
  <c r="A1252" i="17"/>
  <c r="C1252" i="17"/>
  <c r="B1251" i="17"/>
  <c r="G1251" i="17" s="1"/>
  <c r="AL1251" i="17"/>
  <c r="C638" i="17"/>
  <c r="AL637" i="17"/>
  <c r="B637" i="17"/>
  <c r="G637" i="17" s="1"/>
  <c r="AF636" i="17"/>
  <c r="AB636" i="17"/>
  <c r="X636" i="17"/>
  <c r="AE636" i="17"/>
  <c r="AA636" i="17"/>
  <c r="W636" i="17"/>
  <c r="AH636" i="17"/>
  <c r="AD636" i="17"/>
  <c r="Z636" i="17"/>
  <c r="AC636" i="17"/>
  <c r="Y636" i="17"/>
  <c r="AG636" i="17"/>
  <c r="AF1251" i="17" l="1"/>
  <c r="AB1251" i="17"/>
  <c r="X1251" i="17"/>
  <c r="AD1251" i="17"/>
  <c r="Y1251" i="17"/>
  <c r="AH1251" i="17"/>
  <c r="AC1251" i="17"/>
  <c r="W1251" i="17"/>
  <c r="AG1251" i="17"/>
  <c r="AA1251" i="17"/>
  <c r="AE1251" i="17"/>
  <c r="Z1251" i="17"/>
  <c r="A1253" i="17"/>
  <c r="C1253" i="17"/>
  <c r="B1252" i="17"/>
  <c r="G1252" i="17" s="1"/>
  <c r="AL1252" i="17"/>
  <c r="AE637" i="17"/>
  <c r="AA637" i="17"/>
  <c r="W637" i="17"/>
  <c r="AH637" i="17"/>
  <c r="AD637" i="17"/>
  <c r="Z637" i="17"/>
  <c r="AG637" i="17"/>
  <c r="AC637" i="17"/>
  <c r="Y637" i="17"/>
  <c r="AB637" i="17"/>
  <c r="X637" i="17"/>
  <c r="AF637" i="17"/>
  <c r="C639" i="17"/>
  <c r="AL638" i="17"/>
  <c r="B638" i="17"/>
  <c r="G638" i="17" s="1"/>
  <c r="AF1252" i="17" l="1"/>
  <c r="AB1252" i="17"/>
  <c r="X1252" i="17"/>
  <c r="AE1252" i="17"/>
  <c r="Z1252" i="17"/>
  <c r="AD1252" i="17"/>
  <c r="Y1252" i="17"/>
  <c r="AH1252" i="17"/>
  <c r="AC1252" i="17"/>
  <c r="W1252" i="17"/>
  <c r="AG1252" i="17"/>
  <c r="AA1252" i="17"/>
  <c r="A1254" i="17"/>
  <c r="AL1253" i="17"/>
  <c r="C1254" i="17"/>
  <c r="B1253" i="17"/>
  <c r="G1253" i="17" s="1"/>
  <c r="AH638" i="17"/>
  <c r="AD638" i="17"/>
  <c r="Z638" i="17"/>
  <c r="AG638" i="17"/>
  <c r="AC638" i="17"/>
  <c r="Y638" i="17"/>
  <c r="AF638" i="17"/>
  <c r="AB638" i="17"/>
  <c r="X638" i="17"/>
  <c r="AA638" i="17"/>
  <c r="W638" i="17"/>
  <c r="AE638" i="17"/>
  <c r="B639" i="17"/>
  <c r="G639" i="17" s="1"/>
  <c r="AL639" i="17"/>
  <c r="C640" i="17"/>
  <c r="A1255" i="17" l="1"/>
  <c r="AL1254" i="17"/>
  <c r="B1254" i="17"/>
  <c r="G1254" i="17" s="1"/>
  <c r="C1255" i="17"/>
  <c r="AF1253" i="17"/>
  <c r="AB1253" i="17"/>
  <c r="X1253" i="17"/>
  <c r="AG1253" i="17"/>
  <c r="AA1253" i="17"/>
  <c r="AE1253" i="17"/>
  <c r="Z1253" i="17"/>
  <c r="AD1253" i="17"/>
  <c r="Y1253" i="17"/>
  <c r="W1253" i="17"/>
  <c r="AH1253" i="17"/>
  <c r="AC1253" i="17"/>
  <c r="AG639" i="17"/>
  <c r="AC639" i="17"/>
  <c r="Y639" i="17"/>
  <c r="AF639" i="17"/>
  <c r="AB639" i="17"/>
  <c r="X639" i="17"/>
  <c r="AE639" i="17"/>
  <c r="AA639" i="17"/>
  <c r="W639" i="17"/>
  <c r="AD639" i="17"/>
  <c r="Z639" i="17"/>
  <c r="AH639" i="17"/>
  <c r="B640" i="17"/>
  <c r="G640" i="17" s="1"/>
  <c r="C641" i="17"/>
  <c r="AL640" i="17"/>
  <c r="A1256" i="17" l="1"/>
  <c r="C1256" i="17"/>
  <c r="B1255" i="17"/>
  <c r="G1255" i="17" s="1"/>
  <c r="AL1255" i="17"/>
  <c r="AF1254" i="17"/>
  <c r="AB1254" i="17"/>
  <c r="X1254" i="17"/>
  <c r="AH1254" i="17"/>
  <c r="AC1254" i="17"/>
  <c r="W1254" i="17"/>
  <c r="AG1254" i="17"/>
  <c r="AA1254" i="17"/>
  <c r="AE1254" i="17"/>
  <c r="Z1254" i="17"/>
  <c r="AD1254" i="17"/>
  <c r="Y1254" i="17"/>
  <c r="AF640" i="17"/>
  <c r="AB640" i="17"/>
  <c r="X640" i="17"/>
  <c r="AE640" i="17"/>
  <c r="AA640" i="17"/>
  <c r="W640" i="17"/>
  <c r="AH640" i="17"/>
  <c r="AD640" i="17"/>
  <c r="Z640" i="17"/>
  <c r="Y640" i="17"/>
  <c r="AG640" i="17"/>
  <c r="AC640" i="17"/>
  <c r="C642" i="17"/>
  <c r="AL641" i="17"/>
  <c r="B641" i="17"/>
  <c r="G641" i="17" s="1"/>
  <c r="A1257" i="17" l="1"/>
  <c r="C1257" i="17"/>
  <c r="B1256" i="17"/>
  <c r="G1256" i="17" s="1"/>
  <c r="AL1256" i="17"/>
  <c r="AF1255" i="17"/>
  <c r="AB1255" i="17"/>
  <c r="X1255" i="17"/>
  <c r="AD1255" i="17"/>
  <c r="Y1255" i="17"/>
  <c r="AH1255" i="17"/>
  <c r="AC1255" i="17"/>
  <c r="W1255" i="17"/>
  <c r="AG1255" i="17"/>
  <c r="AA1255" i="17"/>
  <c r="AE1255" i="17"/>
  <c r="Z1255" i="17"/>
  <c r="AE641" i="17"/>
  <c r="AA641" i="17"/>
  <c r="W641" i="17"/>
  <c r="AH641" i="17"/>
  <c r="AD641" i="17"/>
  <c r="Z641" i="17"/>
  <c r="AG641" i="17"/>
  <c r="AC641" i="17"/>
  <c r="Y641" i="17"/>
  <c r="X641" i="17"/>
  <c r="AF641" i="17"/>
  <c r="AB641" i="17"/>
  <c r="C643" i="17"/>
  <c r="AL642" i="17"/>
  <c r="B642" i="17"/>
  <c r="G642" i="17" s="1"/>
  <c r="A1258" i="17" l="1"/>
  <c r="AL1257" i="17"/>
  <c r="C1258" i="17"/>
  <c r="B1257" i="17"/>
  <c r="G1257" i="17" s="1"/>
  <c r="AF1256" i="17"/>
  <c r="AB1256" i="17"/>
  <c r="X1256" i="17"/>
  <c r="AE1256" i="17"/>
  <c r="Z1256" i="17"/>
  <c r="AD1256" i="17"/>
  <c r="Y1256" i="17"/>
  <c r="AH1256" i="17"/>
  <c r="AC1256" i="17"/>
  <c r="W1256" i="17"/>
  <c r="AG1256" i="17"/>
  <c r="AA1256" i="17"/>
  <c r="AH642" i="17"/>
  <c r="AD642" i="17"/>
  <c r="Z642" i="17"/>
  <c r="AG642" i="17"/>
  <c r="AC642" i="17"/>
  <c r="Y642" i="17"/>
  <c r="AF642" i="17"/>
  <c r="AB642" i="17"/>
  <c r="X642" i="17"/>
  <c r="W642" i="17"/>
  <c r="AE642" i="17"/>
  <c r="AA642" i="17"/>
  <c r="B643" i="17"/>
  <c r="G643" i="17" s="1"/>
  <c r="AL643" i="17"/>
  <c r="C644" i="17"/>
  <c r="A1259" i="17" l="1"/>
  <c r="AL1258" i="17"/>
  <c r="B1258" i="17"/>
  <c r="G1258" i="17" s="1"/>
  <c r="C1259" i="17"/>
  <c r="AF1257" i="17"/>
  <c r="AB1257" i="17"/>
  <c r="X1257" i="17"/>
  <c r="AG1257" i="17"/>
  <c r="AA1257" i="17"/>
  <c r="AE1257" i="17"/>
  <c r="Z1257" i="17"/>
  <c r="AD1257" i="17"/>
  <c r="Y1257" i="17"/>
  <c r="AC1257" i="17"/>
  <c r="W1257" i="17"/>
  <c r="AH1257" i="17"/>
  <c r="B644" i="17"/>
  <c r="G644" i="17" s="1"/>
  <c r="C645" i="17"/>
  <c r="AL644" i="17"/>
  <c r="AG643" i="17"/>
  <c r="AC643" i="17"/>
  <c r="Y643" i="17"/>
  <c r="AF643" i="17"/>
  <c r="AB643" i="17"/>
  <c r="X643" i="17"/>
  <c r="AE643" i="17"/>
  <c r="AA643" i="17"/>
  <c r="W643" i="17"/>
  <c r="Z643" i="17"/>
  <c r="AH643" i="17"/>
  <c r="AD643" i="17"/>
  <c r="AF1258" i="17" l="1"/>
  <c r="AB1258" i="17"/>
  <c r="X1258" i="17"/>
  <c r="AH1258" i="17"/>
  <c r="AC1258" i="17"/>
  <c r="W1258" i="17"/>
  <c r="AG1258" i="17"/>
  <c r="AA1258" i="17"/>
  <c r="AE1258" i="17"/>
  <c r="Z1258" i="17"/>
  <c r="AD1258" i="17"/>
  <c r="Y1258" i="17"/>
  <c r="A1260" i="17"/>
  <c r="C1260" i="17"/>
  <c r="B1259" i="17"/>
  <c r="G1259" i="17" s="1"/>
  <c r="AL1259" i="17"/>
  <c r="AF644" i="17"/>
  <c r="AB644" i="17"/>
  <c r="X644" i="17"/>
  <c r="AE644" i="17"/>
  <c r="AA644" i="17"/>
  <c r="W644" i="17"/>
  <c r="AH644" i="17"/>
  <c r="AD644" i="17"/>
  <c r="Z644" i="17"/>
  <c r="AG644" i="17"/>
  <c r="AC644" i="17"/>
  <c r="Y644" i="17"/>
  <c r="C646" i="17"/>
  <c r="AL645" i="17"/>
  <c r="B645" i="17"/>
  <c r="G645" i="17" s="1"/>
  <c r="AF1259" i="17" l="1"/>
  <c r="AB1259" i="17"/>
  <c r="X1259" i="17"/>
  <c r="AD1259" i="17"/>
  <c r="Y1259" i="17"/>
  <c r="AH1259" i="17"/>
  <c r="AC1259" i="17"/>
  <c r="W1259" i="17"/>
  <c r="AG1259" i="17"/>
  <c r="AA1259" i="17"/>
  <c r="AE1259" i="17"/>
  <c r="Z1259" i="17"/>
  <c r="A1261" i="17"/>
  <c r="C1261" i="17"/>
  <c r="B1260" i="17"/>
  <c r="G1260" i="17" s="1"/>
  <c r="AL1260" i="17"/>
  <c r="AE645" i="17"/>
  <c r="AA645" i="17"/>
  <c r="W645" i="17"/>
  <c r="AH645" i="17"/>
  <c r="AD645" i="17"/>
  <c r="Z645" i="17"/>
  <c r="AG645" i="17"/>
  <c r="AC645" i="17"/>
  <c r="Y645" i="17"/>
  <c r="AF645" i="17"/>
  <c r="AB645" i="17"/>
  <c r="X645" i="17"/>
  <c r="C647" i="17"/>
  <c r="AL646" i="17"/>
  <c r="B646" i="17"/>
  <c r="G646" i="17" s="1"/>
  <c r="AF1260" i="17" l="1"/>
  <c r="AB1260" i="17"/>
  <c r="X1260" i="17"/>
  <c r="AE1260" i="17"/>
  <c r="Z1260" i="17"/>
  <c r="AD1260" i="17"/>
  <c r="Y1260" i="17"/>
  <c r="AH1260" i="17"/>
  <c r="AC1260" i="17"/>
  <c r="W1260" i="17"/>
  <c r="AA1260" i="17"/>
  <c r="AG1260" i="17"/>
  <c r="A1262" i="17"/>
  <c r="AL1261" i="17"/>
  <c r="C1262" i="17"/>
  <c r="B1261" i="17"/>
  <c r="G1261" i="17" s="1"/>
  <c r="AH646" i="17"/>
  <c r="AD646" i="17"/>
  <c r="Z646" i="17"/>
  <c r="AG646" i="17"/>
  <c r="AC646" i="17"/>
  <c r="Y646" i="17"/>
  <c r="AF646" i="17"/>
  <c r="AB646" i="17"/>
  <c r="X646" i="17"/>
  <c r="AE646" i="17"/>
  <c r="AA646" i="17"/>
  <c r="W646" i="17"/>
  <c r="B647" i="17"/>
  <c r="G647" i="17" s="1"/>
  <c r="AL647" i="17"/>
  <c r="C648" i="17"/>
  <c r="A1263" i="17" l="1"/>
  <c r="AL1262" i="17"/>
  <c r="B1262" i="17"/>
  <c r="G1262" i="17" s="1"/>
  <c r="C1263" i="17"/>
  <c r="AF1261" i="17"/>
  <c r="AB1261" i="17"/>
  <c r="X1261" i="17"/>
  <c r="AG1261" i="17"/>
  <c r="AA1261" i="17"/>
  <c r="AE1261" i="17"/>
  <c r="Z1261" i="17"/>
  <c r="AD1261" i="17"/>
  <c r="Y1261" i="17"/>
  <c r="AH1261" i="17"/>
  <c r="AC1261" i="17"/>
  <c r="W1261" i="17"/>
  <c r="AG647" i="17"/>
  <c r="AC647" i="17"/>
  <c r="Y647" i="17"/>
  <c r="AF647" i="17"/>
  <c r="AB647" i="17"/>
  <c r="X647" i="17"/>
  <c r="AE647" i="17"/>
  <c r="AA647" i="17"/>
  <c r="W647" i="17"/>
  <c r="AH647" i="17"/>
  <c r="AD647" i="17"/>
  <c r="Z647" i="17"/>
  <c r="B648" i="17"/>
  <c r="G648" i="17" s="1"/>
  <c r="C649" i="17"/>
  <c r="AL648" i="17"/>
  <c r="A1264" i="17" l="1"/>
  <c r="C1264" i="17"/>
  <c r="B1263" i="17"/>
  <c r="G1263" i="17" s="1"/>
  <c r="AL1263" i="17"/>
  <c r="AF1262" i="17"/>
  <c r="AB1262" i="17"/>
  <c r="X1262" i="17"/>
  <c r="AH1262" i="17"/>
  <c r="AC1262" i="17"/>
  <c r="W1262" i="17"/>
  <c r="AG1262" i="17"/>
  <c r="AA1262" i="17"/>
  <c r="AE1262" i="17"/>
  <c r="Z1262" i="17"/>
  <c r="Y1262" i="17"/>
  <c r="AD1262" i="17"/>
  <c r="AF648" i="17"/>
  <c r="AB648" i="17"/>
  <c r="X648" i="17"/>
  <c r="AE648" i="17"/>
  <c r="AA648" i="17"/>
  <c r="W648" i="17"/>
  <c r="AH648" i="17"/>
  <c r="AD648" i="17"/>
  <c r="Z648" i="17"/>
  <c r="AG648" i="17"/>
  <c r="AC648" i="17"/>
  <c r="Y648" i="17"/>
  <c r="C650" i="17"/>
  <c r="AL649" i="17"/>
  <c r="B649" i="17"/>
  <c r="G649" i="17" s="1"/>
  <c r="AF1263" i="17" l="1"/>
  <c r="AB1263" i="17"/>
  <c r="X1263" i="17"/>
  <c r="AD1263" i="17"/>
  <c r="Y1263" i="17"/>
  <c r="AH1263" i="17"/>
  <c r="AC1263" i="17"/>
  <c r="W1263" i="17"/>
  <c r="AG1263" i="17"/>
  <c r="AA1263" i="17"/>
  <c r="Z1263" i="17"/>
  <c r="AE1263" i="17"/>
  <c r="C1265" i="17"/>
  <c r="AL1264" i="17"/>
  <c r="A1265" i="17"/>
  <c r="B1264" i="17"/>
  <c r="G1264" i="17" s="1"/>
  <c r="AE649" i="17"/>
  <c r="AA649" i="17"/>
  <c r="W649" i="17"/>
  <c r="AH649" i="17"/>
  <c r="AD649" i="17"/>
  <c r="Z649" i="17"/>
  <c r="AG649" i="17"/>
  <c r="AC649" i="17"/>
  <c r="Y649" i="17"/>
  <c r="AF649" i="17"/>
  <c r="AB649" i="17"/>
  <c r="X649" i="17"/>
  <c r="C651" i="17"/>
  <c r="AL650" i="17"/>
  <c r="B650" i="17"/>
  <c r="G650" i="17" s="1"/>
  <c r="AH1264" i="17" l="1"/>
  <c r="AD1264" i="17"/>
  <c r="Z1264" i="17"/>
  <c r="AF1264" i="17"/>
  <c r="AB1264" i="17"/>
  <c r="X1264" i="17"/>
  <c r="AC1264" i="17"/>
  <c r="AA1264" i="17"/>
  <c r="AG1264" i="17"/>
  <c r="Y1264" i="17"/>
  <c r="AE1264" i="17"/>
  <c r="W1264" i="17"/>
  <c r="C1266" i="17"/>
  <c r="AL1265" i="17"/>
  <c r="A1266" i="17"/>
  <c r="B1265" i="17"/>
  <c r="G1265" i="17" s="1"/>
  <c r="AH650" i="17"/>
  <c r="AD650" i="17"/>
  <c r="Z650" i="17"/>
  <c r="AG650" i="17"/>
  <c r="AC650" i="17"/>
  <c r="Y650" i="17"/>
  <c r="AF650" i="17"/>
  <c r="AB650" i="17"/>
  <c r="X650" i="17"/>
  <c r="AE650" i="17"/>
  <c r="AA650" i="17"/>
  <c r="W650" i="17"/>
  <c r="B651" i="17"/>
  <c r="G651" i="17" s="1"/>
  <c r="C652" i="17"/>
  <c r="AL651" i="17"/>
  <c r="C1267" i="17" l="1"/>
  <c r="AL1266" i="17"/>
  <c r="A1267" i="17"/>
  <c r="B1266" i="17"/>
  <c r="G1266" i="17" s="1"/>
  <c r="AH1265" i="17"/>
  <c r="AD1265" i="17"/>
  <c r="Z1265" i="17"/>
  <c r="AG1265" i="17"/>
  <c r="AC1265" i="17"/>
  <c r="Y1265" i="17"/>
  <c r="AF1265" i="17"/>
  <c r="AB1265" i="17"/>
  <c r="X1265" i="17"/>
  <c r="AA1265" i="17"/>
  <c r="W1265" i="17"/>
  <c r="AE1265" i="17"/>
  <c r="B652" i="17"/>
  <c r="G652" i="17" s="1"/>
  <c r="C653" i="17"/>
  <c r="AL652" i="17"/>
  <c r="AG651" i="17"/>
  <c r="AC651" i="17"/>
  <c r="Y651" i="17"/>
  <c r="AF651" i="17"/>
  <c r="AB651" i="17"/>
  <c r="X651" i="17"/>
  <c r="AE651" i="17"/>
  <c r="AA651" i="17"/>
  <c r="W651" i="17"/>
  <c r="AH651" i="17"/>
  <c r="AD651" i="17"/>
  <c r="Z651" i="17"/>
  <c r="AE1266" i="17" l="1"/>
  <c r="AA1266" i="17"/>
  <c r="W1266" i="17"/>
  <c r="AH1266" i="17"/>
  <c r="AD1266" i="17"/>
  <c r="Z1266" i="17"/>
  <c r="AC1266" i="17"/>
  <c r="AB1266" i="17"/>
  <c r="AG1266" i="17"/>
  <c r="Y1266" i="17"/>
  <c r="AF1266" i="17"/>
  <c r="X1266" i="17"/>
  <c r="C1268" i="17"/>
  <c r="AL1267" i="17"/>
  <c r="A1268" i="17"/>
  <c r="B1267" i="17"/>
  <c r="G1267" i="17" s="1"/>
  <c r="AF652" i="17"/>
  <c r="AB652" i="17"/>
  <c r="X652" i="17"/>
  <c r="AE652" i="17"/>
  <c r="AA652" i="17"/>
  <c r="W652" i="17"/>
  <c r="AH652" i="17"/>
  <c r="AD652" i="17"/>
  <c r="Z652" i="17"/>
  <c r="AC652" i="17"/>
  <c r="Y652" i="17"/>
  <c r="AG652" i="17"/>
  <c r="C654" i="17"/>
  <c r="AL653" i="17"/>
  <c r="B653" i="17"/>
  <c r="G653" i="17" s="1"/>
  <c r="C1269" i="17" l="1"/>
  <c r="AL1268" i="17"/>
  <c r="A1269" i="17"/>
  <c r="B1268" i="17"/>
  <c r="G1268" i="17" s="1"/>
  <c r="AE1267" i="17"/>
  <c r="AA1267" i="17"/>
  <c r="W1267" i="17"/>
  <c r="AH1267" i="17"/>
  <c r="AD1267" i="17"/>
  <c r="Z1267" i="17"/>
  <c r="AG1267" i="17"/>
  <c r="Y1267" i="17"/>
  <c r="AF1267" i="17"/>
  <c r="X1267" i="17"/>
  <c r="AC1267" i="17"/>
  <c r="AB1267" i="17"/>
  <c r="AE653" i="17"/>
  <c r="AA653" i="17"/>
  <c r="W653" i="17"/>
  <c r="AH653" i="17"/>
  <c r="AD653" i="17"/>
  <c r="Z653" i="17"/>
  <c r="AG653" i="17"/>
  <c r="AC653" i="17"/>
  <c r="Y653" i="17"/>
  <c r="AB653" i="17"/>
  <c r="X653" i="17"/>
  <c r="AF653" i="17"/>
  <c r="C655" i="17"/>
  <c r="AL654" i="17"/>
  <c r="B654" i="17"/>
  <c r="G654" i="17" s="1"/>
  <c r="C1270" i="17" l="1"/>
  <c r="AL1269" i="17"/>
  <c r="A1270" i="17"/>
  <c r="B1269" i="17"/>
  <c r="G1269" i="17" s="1"/>
  <c r="AE1268" i="17"/>
  <c r="AA1268" i="17"/>
  <c r="W1268" i="17"/>
  <c r="AH1268" i="17"/>
  <c r="AD1268" i="17"/>
  <c r="Z1268" i="17"/>
  <c r="AC1268" i="17"/>
  <c r="AB1268" i="17"/>
  <c r="AG1268" i="17"/>
  <c r="Y1268" i="17"/>
  <c r="AF1268" i="17"/>
  <c r="X1268" i="17"/>
  <c r="B655" i="17"/>
  <c r="G655" i="17" s="1"/>
  <c r="AL655" i="17"/>
  <c r="C656" i="17"/>
  <c r="AH654" i="17"/>
  <c r="AD654" i="17"/>
  <c r="Z654" i="17"/>
  <c r="AG654" i="17"/>
  <c r="AC654" i="17"/>
  <c r="Y654" i="17"/>
  <c r="AF654" i="17"/>
  <c r="AB654" i="17"/>
  <c r="X654" i="17"/>
  <c r="AA654" i="17"/>
  <c r="W654" i="17"/>
  <c r="AE654" i="17"/>
  <c r="AE1269" i="17" l="1"/>
  <c r="AA1269" i="17"/>
  <c r="W1269" i="17"/>
  <c r="AH1269" i="17"/>
  <c r="AD1269" i="17"/>
  <c r="Z1269" i="17"/>
  <c r="AG1269" i="17"/>
  <c r="Y1269" i="17"/>
  <c r="AF1269" i="17"/>
  <c r="X1269" i="17"/>
  <c r="AC1269" i="17"/>
  <c r="AB1269" i="17"/>
  <c r="C1271" i="17"/>
  <c r="AL1270" i="17"/>
  <c r="A1271" i="17"/>
  <c r="B1270" i="17"/>
  <c r="G1270" i="17" s="1"/>
  <c r="B656" i="17"/>
  <c r="G656" i="17" s="1"/>
  <c r="C657" i="17"/>
  <c r="AL656" i="17"/>
  <c r="AG655" i="17"/>
  <c r="AC655" i="17"/>
  <c r="Y655" i="17"/>
  <c r="AF655" i="17"/>
  <c r="AB655" i="17"/>
  <c r="X655" i="17"/>
  <c r="AE655" i="17"/>
  <c r="AA655" i="17"/>
  <c r="W655" i="17"/>
  <c r="AD655" i="17"/>
  <c r="Z655" i="17"/>
  <c r="AH655" i="17"/>
  <c r="C1272" i="17" l="1"/>
  <c r="AL1271" i="17"/>
  <c r="A1272" i="17"/>
  <c r="B1271" i="17"/>
  <c r="G1271" i="17" s="1"/>
  <c r="AE1270" i="17"/>
  <c r="AA1270" i="17"/>
  <c r="W1270" i="17"/>
  <c r="AH1270" i="17"/>
  <c r="AD1270" i="17"/>
  <c r="Z1270" i="17"/>
  <c r="AC1270" i="17"/>
  <c r="AB1270" i="17"/>
  <c r="AG1270" i="17"/>
  <c r="Y1270" i="17"/>
  <c r="X1270" i="17"/>
  <c r="AF1270" i="17"/>
  <c r="AF656" i="17"/>
  <c r="AB656" i="17"/>
  <c r="X656" i="17"/>
  <c r="AE656" i="17"/>
  <c r="AA656" i="17"/>
  <c r="W656" i="17"/>
  <c r="AH656" i="17"/>
  <c r="AD656" i="17"/>
  <c r="Z656" i="17"/>
  <c r="Y656" i="17"/>
  <c r="AG656" i="17"/>
  <c r="AC656" i="17"/>
  <c r="C658" i="17"/>
  <c r="AL657" i="17"/>
  <c r="B657" i="17"/>
  <c r="G657" i="17" s="1"/>
  <c r="AE1271" i="17" l="1"/>
  <c r="AA1271" i="17"/>
  <c r="W1271" i="17"/>
  <c r="AH1271" i="17"/>
  <c r="AD1271" i="17"/>
  <c r="Z1271" i="17"/>
  <c r="AG1271" i="17"/>
  <c r="Y1271" i="17"/>
  <c r="AF1271" i="17"/>
  <c r="X1271" i="17"/>
  <c r="AC1271" i="17"/>
  <c r="AB1271" i="17"/>
  <c r="C1273" i="17"/>
  <c r="AL1272" i="17"/>
  <c r="A1273" i="17"/>
  <c r="B1272" i="17"/>
  <c r="G1272" i="17" s="1"/>
  <c r="AE657" i="17"/>
  <c r="AA657" i="17"/>
  <c r="W657" i="17"/>
  <c r="AH657" i="17"/>
  <c r="AD657" i="17"/>
  <c r="Z657" i="17"/>
  <c r="AG657" i="17"/>
  <c r="AC657" i="17"/>
  <c r="Y657" i="17"/>
  <c r="X657" i="17"/>
  <c r="AF657" i="17"/>
  <c r="AB657" i="17"/>
  <c r="C659" i="17"/>
  <c r="AL658" i="17"/>
  <c r="B658" i="17"/>
  <c r="G658" i="17" s="1"/>
  <c r="C1274" i="17" l="1"/>
  <c r="AL1273" i="17"/>
  <c r="A1274" i="17"/>
  <c r="B1273" i="17"/>
  <c r="G1273" i="17" s="1"/>
  <c r="AE1272" i="17"/>
  <c r="AA1272" i="17"/>
  <c r="W1272" i="17"/>
  <c r="AH1272" i="17"/>
  <c r="AD1272" i="17"/>
  <c r="Z1272" i="17"/>
  <c r="AC1272" i="17"/>
  <c r="AB1272" i="17"/>
  <c r="AG1272" i="17"/>
  <c r="Y1272" i="17"/>
  <c r="AF1272" i="17"/>
  <c r="X1272" i="17"/>
  <c r="AH658" i="17"/>
  <c r="AD658" i="17"/>
  <c r="Z658" i="17"/>
  <c r="AG658" i="17"/>
  <c r="AC658" i="17"/>
  <c r="Y658" i="17"/>
  <c r="AF658" i="17"/>
  <c r="AB658" i="17"/>
  <c r="X658" i="17"/>
  <c r="W658" i="17"/>
  <c r="AE658" i="17"/>
  <c r="AA658" i="17"/>
  <c r="B659" i="17"/>
  <c r="G659" i="17" s="1"/>
  <c r="AL659" i="17"/>
  <c r="C660" i="17"/>
  <c r="C1275" i="17" l="1"/>
  <c r="AL1274" i="17"/>
  <c r="A1275" i="17"/>
  <c r="B1274" i="17"/>
  <c r="G1274" i="17" s="1"/>
  <c r="AE1273" i="17"/>
  <c r="AA1273" i="17"/>
  <c r="W1273" i="17"/>
  <c r="AH1273" i="17"/>
  <c r="AD1273" i="17"/>
  <c r="Z1273" i="17"/>
  <c r="AG1273" i="17"/>
  <c r="Y1273" i="17"/>
  <c r="AF1273" i="17"/>
  <c r="X1273" i="17"/>
  <c r="AC1273" i="17"/>
  <c r="AB1273" i="17"/>
  <c r="B660" i="17"/>
  <c r="G660" i="17" s="1"/>
  <c r="C661" i="17"/>
  <c r="AL660" i="17"/>
  <c r="AG659" i="17"/>
  <c r="AC659" i="17"/>
  <c r="Y659" i="17"/>
  <c r="AF659" i="17"/>
  <c r="AB659" i="17"/>
  <c r="X659" i="17"/>
  <c r="AE659" i="17"/>
  <c r="AA659" i="17"/>
  <c r="W659" i="17"/>
  <c r="Z659" i="17"/>
  <c r="AH659" i="17"/>
  <c r="AD659" i="17"/>
  <c r="A1276" i="17" l="1"/>
  <c r="C1276" i="17"/>
  <c r="AL1275" i="17"/>
  <c r="B1275" i="17"/>
  <c r="G1275" i="17" s="1"/>
  <c r="AE1274" i="17"/>
  <c r="AA1274" i="17"/>
  <c r="W1274" i="17"/>
  <c r="AH1274" i="17"/>
  <c r="AD1274" i="17"/>
  <c r="Z1274" i="17"/>
  <c r="AC1274" i="17"/>
  <c r="AB1274" i="17"/>
  <c r="AG1274" i="17"/>
  <c r="Y1274" i="17"/>
  <c r="AF1274" i="17"/>
  <c r="X1274" i="17"/>
  <c r="C662" i="17"/>
  <c r="AL661" i="17"/>
  <c r="B661" i="17"/>
  <c r="G661" i="17" s="1"/>
  <c r="AF660" i="17"/>
  <c r="AB660" i="17"/>
  <c r="X660" i="17"/>
  <c r="AE660" i="17"/>
  <c r="AA660" i="17"/>
  <c r="W660" i="17"/>
  <c r="AH660" i="17"/>
  <c r="AD660" i="17"/>
  <c r="Z660" i="17"/>
  <c r="AG660" i="17"/>
  <c r="AC660" i="17"/>
  <c r="Y660" i="17"/>
  <c r="AF1275" i="17" l="1"/>
  <c r="AB1275" i="17"/>
  <c r="X1275" i="17"/>
  <c r="AE1275" i="17"/>
  <c r="AA1275" i="17"/>
  <c r="W1275" i="17"/>
  <c r="AH1275" i="17"/>
  <c r="AD1275" i="17"/>
  <c r="Z1275" i="17"/>
  <c r="AG1275" i="17"/>
  <c r="AC1275" i="17"/>
  <c r="Y1275" i="17"/>
  <c r="A1277" i="17"/>
  <c r="AL1276" i="17"/>
  <c r="C1277" i="17"/>
  <c r="B1276" i="17"/>
  <c r="G1276" i="17" s="1"/>
  <c r="AE661" i="17"/>
  <c r="AA661" i="17"/>
  <c r="W661" i="17"/>
  <c r="AH661" i="17"/>
  <c r="AD661" i="17"/>
  <c r="Z661" i="17"/>
  <c r="AG661" i="17"/>
  <c r="AC661" i="17"/>
  <c r="Y661" i="17"/>
  <c r="AF661" i="17"/>
  <c r="AB661" i="17"/>
  <c r="X661" i="17"/>
  <c r="C663" i="17"/>
  <c r="AL662" i="17"/>
  <c r="B662" i="17"/>
  <c r="G662" i="17" s="1"/>
  <c r="AE1276" i="17" l="1"/>
  <c r="AA1276" i="17"/>
  <c r="AH1276" i="17"/>
  <c r="AC1276" i="17"/>
  <c r="X1276" i="17"/>
  <c r="AG1276" i="17"/>
  <c r="AB1276" i="17"/>
  <c r="W1276" i="17"/>
  <c r="AF1276" i="17"/>
  <c r="Z1276" i="17"/>
  <c r="AD1276" i="17"/>
  <c r="Y1276" i="17"/>
  <c r="A1278" i="17"/>
  <c r="AL1277" i="17"/>
  <c r="C1278" i="17"/>
  <c r="B1277" i="17"/>
  <c r="G1277" i="17" s="1"/>
  <c r="AH662" i="17"/>
  <c r="AD662" i="17"/>
  <c r="Z662" i="17"/>
  <c r="AG662" i="17"/>
  <c r="AC662" i="17"/>
  <c r="Y662" i="17"/>
  <c r="AF662" i="17"/>
  <c r="AB662" i="17"/>
  <c r="X662" i="17"/>
  <c r="AE662" i="17"/>
  <c r="AA662" i="17"/>
  <c r="W662" i="17"/>
  <c r="B663" i="17"/>
  <c r="G663" i="17" s="1"/>
  <c r="AL663" i="17"/>
  <c r="C664" i="17"/>
  <c r="A1279" i="17" l="1"/>
  <c r="AL1278" i="17"/>
  <c r="C1279" i="17"/>
  <c r="B1278" i="17"/>
  <c r="G1278" i="17" s="1"/>
  <c r="AE1277" i="17"/>
  <c r="AA1277" i="17"/>
  <c r="W1277" i="17"/>
  <c r="AH1277" i="17"/>
  <c r="AC1277" i="17"/>
  <c r="X1277" i="17"/>
  <c r="AG1277" i="17"/>
  <c r="AB1277" i="17"/>
  <c r="AF1277" i="17"/>
  <c r="Z1277" i="17"/>
  <c r="AD1277" i="17"/>
  <c r="Y1277" i="17"/>
  <c r="AG663" i="17"/>
  <c r="AC663" i="17"/>
  <c r="Y663" i="17"/>
  <c r="AF663" i="17"/>
  <c r="AB663" i="17"/>
  <c r="X663" i="17"/>
  <c r="AE663" i="17"/>
  <c r="AA663" i="17"/>
  <c r="W663" i="17"/>
  <c r="AH663" i="17"/>
  <c r="AD663" i="17"/>
  <c r="Z663" i="17"/>
  <c r="B664" i="17"/>
  <c r="G664" i="17" s="1"/>
  <c r="C665" i="17"/>
  <c r="AL664" i="17"/>
  <c r="AE1278" i="17" l="1"/>
  <c r="AA1278" i="17"/>
  <c r="W1278" i="17"/>
  <c r="AH1278" i="17"/>
  <c r="AC1278" i="17"/>
  <c r="X1278" i="17"/>
  <c r="AG1278" i="17"/>
  <c r="AB1278" i="17"/>
  <c r="AF1278" i="17"/>
  <c r="Z1278" i="17"/>
  <c r="AD1278" i="17"/>
  <c r="Y1278" i="17"/>
  <c r="A1280" i="17"/>
  <c r="AL1279" i="17"/>
  <c r="C1280" i="17"/>
  <c r="B1279" i="17"/>
  <c r="G1279" i="17" s="1"/>
  <c r="C666" i="17"/>
  <c r="AL665" i="17"/>
  <c r="B665" i="17"/>
  <c r="G665" i="17" s="1"/>
  <c r="AF664" i="17"/>
  <c r="AB664" i="17"/>
  <c r="X664" i="17"/>
  <c r="AE664" i="17"/>
  <c r="AA664" i="17"/>
  <c r="W664" i="17"/>
  <c r="AH664" i="17"/>
  <c r="AD664" i="17"/>
  <c r="Z664" i="17"/>
  <c r="AG664" i="17"/>
  <c r="AC664" i="17"/>
  <c r="Y664" i="17"/>
  <c r="AE1279" i="17" l="1"/>
  <c r="AA1279" i="17"/>
  <c r="W1279" i="17"/>
  <c r="AH1279" i="17"/>
  <c r="AC1279" i="17"/>
  <c r="X1279" i="17"/>
  <c r="AG1279" i="17"/>
  <c r="AB1279" i="17"/>
  <c r="AF1279" i="17"/>
  <c r="Z1279" i="17"/>
  <c r="Y1279" i="17"/>
  <c r="AD1279" i="17"/>
  <c r="A1281" i="17"/>
  <c r="AL1280" i="17"/>
  <c r="C1281" i="17"/>
  <c r="B1280" i="17"/>
  <c r="G1280" i="17" s="1"/>
  <c r="AE665" i="17"/>
  <c r="AA665" i="17"/>
  <c r="W665" i="17"/>
  <c r="AH665" i="17"/>
  <c r="AD665" i="17"/>
  <c r="Z665" i="17"/>
  <c r="AG665" i="17"/>
  <c r="AC665" i="17"/>
  <c r="Y665" i="17"/>
  <c r="AF665" i="17"/>
  <c r="AB665" i="17"/>
  <c r="X665" i="17"/>
  <c r="C667" i="17"/>
  <c r="AL666" i="17"/>
  <c r="B666" i="17"/>
  <c r="G666" i="17" s="1"/>
  <c r="A1282" i="17" l="1"/>
  <c r="AL1281" i="17"/>
  <c r="C1282" i="17"/>
  <c r="B1281" i="17"/>
  <c r="G1281" i="17" s="1"/>
  <c r="AE1280" i="17"/>
  <c r="AA1280" i="17"/>
  <c r="W1280" i="17"/>
  <c r="AH1280" i="17"/>
  <c r="AC1280" i="17"/>
  <c r="X1280" i="17"/>
  <c r="AG1280" i="17"/>
  <c r="AB1280" i="17"/>
  <c r="AF1280" i="17"/>
  <c r="Z1280" i="17"/>
  <c r="AD1280" i="17"/>
  <c r="Y1280" i="17"/>
  <c r="AH666" i="17"/>
  <c r="AD666" i="17"/>
  <c r="Z666" i="17"/>
  <c r="AG666" i="17"/>
  <c r="AC666" i="17"/>
  <c r="Y666" i="17"/>
  <c r="AF666" i="17"/>
  <c r="AB666" i="17"/>
  <c r="X666" i="17"/>
  <c r="AE666" i="17"/>
  <c r="AA666" i="17"/>
  <c r="W666" i="17"/>
  <c r="B667" i="17"/>
  <c r="G667" i="17" s="1"/>
  <c r="C668" i="17"/>
  <c r="AL667" i="17"/>
  <c r="AE1281" i="17" l="1"/>
  <c r="AA1281" i="17"/>
  <c r="W1281" i="17"/>
  <c r="AH1281" i="17"/>
  <c r="AC1281" i="17"/>
  <c r="X1281" i="17"/>
  <c r="AG1281" i="17"/>
  <c r="AB1281" i="17"/>
  <c r="AF1281" i="17"/>
  <c r="Z1281" i="17"/>
  <c r="AD1281" i="17"/>
  <c r="Y1281" i="17"/>
  <c r="C1283" i="17"/>
  <c r="AL1282" i="17"/>
  <c r="A1283" i="17"/>
  <c r="B1282" i="17"/>
  <c r="G1282" i="17" s="1"/>
  <c r="B668" i="17"/>
  <c r="G668" i="17" s="1"/>
  <c r="C669" i="17"/>
  <c r="AL668" i="17"/>
  <c r="AG667" i="17"/>
  <c r="AC667" i="17"/>
  <c r="Y667" i="17"/>
  <c r="AF667" i="17"/>
  <c r="AB667" i="17"/>
  <c r="X667" i="17"/>
  <c r="AE667" i="17"/>
  <c r="AA667" i="17"/>
  <c r="W667" i="17"/>
  <c r="AH667" i="17"/>
  <c r="AD667" i="17"/>
  <c r="Z667" i="17"/>
  <c r="AH1282" i="17" l="1"/>
  <c r="AD1282" i="17"/>
  <c r="Z1282" i="17"/>
  <c r="AG1282" i="17"/>
  <c r="AB1282" i="17"/>
  <c r="W1282" i="17"/>
  <c r="AE1282" i="17"/>
  <c r="X1282" i="17"/>
  <c r="AC1282" i="17"/>
  <c r="AA1282" i="17"/>
  <c r="AF1282" i="17"/>
  <c r="Y1282" i="17"/>
  <c r="C1284" i="17"/>
  <c r="AL1283" i="17"/>
  <c r="A1284" i="17"/>
  <c r="B1283" i="17"/>
  <c r="G1283" i="17" s="1"/>
  <c r="C670" i="17"/>
  <c r="AL669" i="17"/>
  <c r="B669" i="17"/>
  <c r="G669" i="17" s="1"/>
  <c r="AF668" i="17"/>
  <c r="AB668" i="17"/>
  <c r="X668" i="17"/>
  <c r="AE668" i="17"/>
  <c r="AA668" i="17"/>
  <c r="W668" i="17"/>
  <c r="AH668" i="17"/>
  <c r="AD668" i="17"/>
  <c r="Z668" i="17"/>
  <c r="AC668" i="17"/>
  <c r="Y668" i="17"/>
  <c r="AG668" i="17"/>
  <c r="AH1283" i="17" l="1"/>
  <c r="AD1283" i="17"/>
  <c r="Z1283" i="17"/>
  <c r="AE1283" i="17"/>
  <c r="Y1283" i="17"/>
  <c r="AC1283" i="17"/>
  <c r="W1283" i="17"/>
  <c r="AB1283" i="17"/>
  <c r="AG1283" i="17"/>
  <c r="AA1283" i="17"/>
  <c r="AF1283" i="17"/>
  <c r="X1283" i="17"/>
  <c r="C1285" i="17"/>
  <c r="AL1284" i="17"/>
  <c r="A1285" i="17"/>
  <c r="B1284" i="17"/>
  <c r="G1284" i="17" s="1"/>
  <c r="C671" i="17"/>
  <c r="AL670" i="17"/>
  <c r="B670" i="17"/>
  <c r="G670" i="17" s="1"/>
  <c r="AE669" i="17"/>
  <c r="AA669" i="17"/>
  <c r="W669" i="17"/>
  <c r="AH669" i="17"/>
  <c r="AD669" i="17"/>
  <c r="Z669" i="17"/>
  <c r="AG669" i="17"/>
  <c r="AC669" i="17"/>
  <c r="Y669" i="17"/>
  <c r="AB669" i="17"/>
  <c r="X669" i="17"/>
  <c r="AF669" i="17"/>
  <c r="AH1284" i="17" l="1"/>
  <c r="AD1284" i="17"/>
  <c r="Z1284" i="17"/>
  <c r="AG1284" i="17"/>
  <c r="AB1284" i="17"/>
  <c r="W1284" i="17"/>
  <c r="AE1284" i="17"/>
  <c r="X1284" i="17"/>
  <c r="AC1284" i="17"/>
  <c r="AA1284" i="17"/>
  <c r="AF1284" i="17"/>
  <c r="Y1284" i="17"/>
  <c r="C1286" i="17"/>
  <c r="AL1285" i="17"/>
  <c r="B1285" i="17"/>
  <c r="G1285" i="17" s="1"/>
  <c r="A1286" i="17"/>
  <c r="B671" i="17"/>
  <c r="G671" i="17" s="1"/>
  <c r="AL671" i="17"/>
  <c r="C672" i="17"/>
  <c r="AH670" i="17"/>
  <c r="AD670" i="17"/>
  <c r="Z670" i="17"/>
  <c r="AG670" i="17"/>
  <c r="AC670" i="17"/>
  <c r="Y670" i="17"/>
  <c r="AF670" i="17"/>
  <c r="AB670" i="17"/>
  <c r="X670" i="17"/>
  <c r="AA670" i="17"/>
  <c r="W670" i="17"/>
  <c r="AE670" i="17"/>
  <c r="C1287" i="17" l="1"/>
  <c r="AL1286" i="17"/>
  <c r="B1286" i="17"/>
  <c r="G1286" i="17" s="1"/>
  <c r="A1287" i="17"/>
  <c r="AH1285" i="17"/>
  <c r="AD1285" i="17"/>
  <c r="Z1285" i="17"/>
  <c r="AG1285" i="17"/>
  <c r="AC1285" i="17"/>
  <c r="Y1285" i="17"/>
  <c r="AB1285" i="17"/>
  <c r="AF1285" i="17"/>
  <c r="W1285" i="17"/>
  <c r="AE1285" i="17"/>
  <c r="AA1285" i="17"/>
  <c r="X1285" i="17"/>
  <c r="AG671" i="17"/>
  <c r="AC671" i="17"/>
  <c r="Y671" i="17"/>
  <c r="AF671" i="17"/>
  <c r="AB671" i="17"/>
  <c r="X671" i="17"/>
  <c r="AE671" i="17"/>
  <c r="AA671" i="17"/>
  <c r="W671" i="17"/>
  <c r="AD671" i="17"/>
  <c r="Z671" i="17"/>
  <c r="AH671" i="17"/>
  <c r="B672" i="17"/>
  <c r="G672" i="17" s="1"/>
  <c r="C673" i="17"/>
  <c r="AL672" i="17"/>
  <c r="C1288" i="17" l="1"/>
  <c r="AL1287" i="17"/>
  <c r="B1287" i="17"/>
  <c r="G1287" i="17" s="1"/>
  <c r="A1288" i="17"/>
  <c r="AH1286" i="17"/>
  <c r="AD1286" i="17"/>
  <c r="Z1286" i="17"/>
  <c r="AG1286" i="17"/>
  <c r="AC1286" i="17"/>
  <c r="Y1286" i="17"/>
  <c r="AB1286" i="17"/>
  <c r="AA1286" i="17"/>
  <c r="AE1286" i="17"/>
  <c r="X1286" i="17"/>
  <c r="W1286" i="17"/>
  <c r="AF1286" i="17"/>
  <c r="AF672" i="17"/>
  <c r="AB672" i="17"/>
  <c r="X672" i="17"/>
  <c r="AE672" i="17"/>
  <c r="AA672" i="17"/>
  <c r="W672" i="17"/>
  <c r="AH672" i="17"/>
  <c r="AD672" i="17"/>
  <c r="Z672" i="17"/>
  <c r="Y672" i="17"/>
  <c r="AG672" i="17"/>
  <c r="AC672" i="17"/>
  <c r="C674" i="17"/>
  <c r="AL673" i="17"/>
  <c r="B673" i="17"/>
  <c r="G673" i="17" s="1"/>
  <c r="AH1287" i="17" l="1"/>
  <c r="AD1287" i="17"/>
  <c r="Z1287" i="17"/>
  <c r="AG1287" i="17"/>
  <c r="AC1287" i="17"/>
  <c r="Y1287" i="17"/>
  <c r="AB1287" i="17"/>
  <c r="AA1287" i="17"/>
  <c r="AF1287" i="17"/>
  <c r="X1287" i="17"/>
  <c r="W1287" i="17"/>
  <c r="AE1287" i="17"/>
  <c r="C1289" i="17"/>
  <c r="AL1288" i="17"/>
  <c r="B1288" i="17"/>
  <c r="G1288" i="17" s="1"/>
  <c r="A1289" i="17"/>
  <c r="C675" i="17"/>
  <c r="AL674" i="17"/>
  <c r="B674" i="17"/>
  <c r="G674" i="17" s="1"/>
  <c r="AE673" i="17"/>
  <c r="AA673" i="17"/>
  <c r="W673" i="17"/>
  <c r="AH673" i="17"/>
  <c r="AD673" i="17"/>
  <c r="Z673" i="17"/>
  <c r="AG673" i="17"/>
  <c r="AC673" i="17"/>
  <c r="Y673" i="17"/>
  <c r="X673" i="17"/>
  <c r="AF673" i="17"/>
  <c r="AB673" i="17"/>
  <c r="AE1288" i="17" l="1"/>
  <c r="AA1288" i="17"/>
  <c r="W1288" i="17"/>
  <c r="AH1288" i="17"/>
  <c r="AD1288" i="17"/>
  <c r="Z1288" i="17"/>
  <c r="AG1288" i="17"/>
  <c r="AC1288" i="17"/>
  <c r="Y1288" i="17"/>
  <c r="AF1288" i="17"/>
  <c r="AB1288" i="17"/>
  <c r="X1288" i="17"/>
  <c r="C1290" i="17"/>
  <c r="AL1289" i="17"/>
  <c r="B1289" i="17"/>
  <c r="G1289" i="17" s="1"/>
  <c r="A1290" i="17"/>
  <c r="AH674" i="17"/>
  <c r="AD674" i="17"/>
  <c r="Z674" i="17"/>
  <c r="AG674" i="17"/>
  <c r="AC674" i="17"/>
  <c r="Y674" i="17"/>
  <c r="AF674" i="17"/>
  <c r="AB674" i="17"/>
  <c r="X674" i="17"/>
  <c r="W674" i="17"/>
  <c r="AE674" i="17"/>
  <c r="AA674" i="17"/>
  <c r="B675" i="17"/>
  <c r="G675" i="17" s="1"/>
  <c r="AL675" i="17"/>
  <c r="C676" i="17"/>
  <c r="AE1289" i="17" l="1"/>
  <c r="AA1289" i="17"/>
  <c r="W1289" i="17"/>
  <c r="AH1289" i="17"/>
  <c r="AD1289" i="17"/>
  <c r="Z1289" i="17"/>
  <c r="AG1289" i="17"/>
  <c r="AC1289" i="17"/>
  <c r="Y1289" i="17"/>
  <c r="AF1289" i="17"/>
  <c r="AB1289" i="17"/>
  <c r="X1289" i="17"/>
  <c r="AL1290" i="17"/>
  <c r="B1290" i="17"/>
  <c r="G1290" i="17" s="1"/>
  <c r="AG675" i="17"/>
  <c r="AC675" i="17"/>
  <c r="Y675" i="17"/>
  <c r="AF675" i="17"/>
  <c r="AB675" i="17"/>
  <c r="X675" i="17"/>
  <c r="AE675" i="17"/>
  <c r="AA675" i="17"/>
  <c r="W675" i="17"/>
  <c r="Z675" i="17"/>
  <c r="AH675" i="17"/>
  <c r="AD675" i="17"/>
  <c r="B676" i="17"/>
  <c r="G676" i="17" s="1"/>
  <c r="C677" i="17"/>
  <c r="AL676" i="17"/>
  <c r="AE1290" i="17" l="1"/>
  <c r="AA1290" i="17"/>
  <c r="W1290" i="17"/>
  <c r="AH1290" i="17"/>
  <c r="AD1290" i="17"/>
  <c r="Z1290" i="17"/>
  <c r="AG1290" i="17"/>
  <c r="AC1290" i="17"/>
  <c r="Y1290" i="17"/>
  <c r="AB1290" i="17"/>
  <c r="X1290" i="17"/>
  <c r="AF1290" i="17"/>
  <c r="C678" i="17"/>
  <c r="AL677" i="17"/>
  <c r="B677" i="17"/>
  <c r="G677" i="17" s="1"/>
  <c r="AF676" i="17"/>
  <c r="AB676" i="17"/>
  <c r="X676" i="17"/>
  <c r="AE676" i="17"/>
  <c r="AA676" i="17"/>
  <c r="W676" i="17"/>
  <c r="AH676" i="17"/>
  <c r="AD676" i="17"/>
  <c r="Z676" i="17"/>
  <c r="AG676" i="17"/>
  <c r="AC676" i="17"/>
  <c r="Y676" i="17"/>
  <c r="C24" i="17" l="1"/>
  <c r="C26" i="17"/>
  <c r="C21" i="17"/>
  <c r="C25" i="17"/>
  <c r="C23" i="17"/>
  <c r="C27" i="17"/>
  <c r="C22" i="17"/>
  <c r="C30" i="17"/>
  <c r="C31" i="17"/>
  <c r="C32" i="17"/>
  <c r="C28" i="17"/>
  <c r="C29" i="17"/>
  <c r="AE677" i="17"/>
  <c r="AA677" i="17"/>
  <c r="W677" i="17"/>
  <c r="AH677" i="17"/>
  <c r="AD677" i="17"/>
  <c r="Z677" i="17"/>
  <c r="AG677" i="17"/>
  <c r="AC677" i="17"/>
  <c r="Y677" i="17"/>
  <c r="AF677" i="17"/>
  <c r="AB677" i="17"/>
  <c r="X677" i="17"/>
  <c r="AL678" i="17"/>
  <c r="B678" i="17"/>
  <c r="G678" i="17" s="1"/>
  <c r="AH678" i="17" l="1"/>
  <c r="AD678" i="17"/>
  <c r="Z678" i="17"/>
  <c r="AG678" i="17"/>
  <c r="AC678" i="17"/>
  <c r="Y678" i="17"/>
  <c r="AF678" i="17"/>
  <c r="AB678" i="17"/>
  <c r="X678" i="17"/>
  <c r="AE678" i="17"/>
  <c r="AA678" i="17"/>
  <c r="W678" i="17"/>
  <c r="C13" i="17" l="1"/>
  <c r="C10" i="17"/>
  <c r="C12" i="17"/>
  <c r="C15" i="17"/>
  <c r="C9" i="17"/>
  <c r="C5" i="17"/>
  <c r="C6" i="17"/>
  <c r="C7" i="17"/>
  <c r="C14" i="17"/>
  <c r="C11" i="17"/>
  <c r="C16" i="17"/>
  <c r="C8" i="17"/>
  <c r="A678" i="17"/>
  <c r="A677" i="17"/>
  <c r="A676" i="17"/>
  <c r="A675" i="17"/>
  <c r="A674" i="17"/>
  <c r="A673" i="17"/>
  <c r="A672" i="17"/>
  <c r="A671" i="17"/>
  <c r="A670" i="17"/>
  <c r="A669" i="17"/>
  <c r="A668" i="17"/>
  <c r="A667" i="17"/>
  <c r="A666" i="17"/>
  <c r="A665" i="17"/>
  <c r="A664" i="17"/>
  <c r="A663" i="17"/>
  <c r="A662" i="17"/>
  <c r="A661" i="17"/>
  <c r="A660" i="17"/>
  <c r="A659" i="17"/>
  <c r="A658" i="17"/>
  <c r="A657" i="17"/>
  <c r="A656" i="17"/>
  <c r="A655" i="17"/>
  <c r="A654" i="17"/>
  <c r="A653" i="17"/>
  <c r="A652" i="17"/>
  <c r="A651" i="17"/>
  <c r="A650" i="17"/>
  <c r="A649" i="17"/>
  <c r="A648" i="17"/>
  <c r="A647" i="17"/>
  <c r="A646" i="17"/>
  <c r="A645" i="17"/>
  <c r="A644" i="17"/>
  <c r="A643" i="17"/>
  <c r="A642" i="17"/>
  <c r="A641" i="17"/>
  <c r="A640" i="17"/>
  <c r="A639" i="17"/>
  <c r="A638" i="17"/>
  <c r="A637" i="17"/>
  <c r="A636" i="17"/>
  <c r="A635" i="17"/>
  <c r="A634" i="17"/>
  <c r="A633" i="17"/>
  <c r="A632" i="17"/>
  <c r="A631" i="17"/>
  <c r="A630" i="17"/>
  <c r="A629" i="17"/>
  <c r="A628" i="17"/>
  <c r="A627" i="17"/>
  <c r="A626" i="17"/>
  <c r="A625" i="17"/>
  <c r="A624" i="17"/>
  <c r="A623" i="17"/>
  <c r="A622" i="17"/>
  <c r="A621" i="17"/>
  <c r="A620" i="17"/>
  <c r="A619" i="17"/>
  <c r="A618" i="17"/>
  <c r="A617" i="17"/>
  <c r="A616" i="17"/>
  <c r="A615" i="17"/>
  <c r="A614" i="17"/>
  <c r="A613" i="17"/>
  <c r="A612" i="17"/>
  <c r="A611" i="17"/>
  <c r="A610" i="17"/>
  <c r="A609" i="17"/>
  <c r="A608" i="17"/>
  <c r="A607" i="17"/>
  <c r="A606" i="17"/>
  <c r="A605" i="17"/>
  <c r="A604" i="17"/>
  <c r="A603" i="17"/>
  <c r="A602" i="17"/>
  <c r="A601" i="17"/>
  <c r="A600" i="17"/>
  <c r="A599" i="17"/>
  <c r="A598" i="17"/>
  <c r="A597" i="17"/>
  <c r="A596" i="17"/>
  <c r="A595" i="17"/>
  <c r="A594" i="17"/>
  <c r="A593" i="17"/>
  <c r="A592" i="17"/>
  <c r="A591" i="17"/>
  <c r="A590" i="17"/>
  <c r="A589" i="17"/>
  <c r="A588" i="17"/>
  <c r="A587" i="17"/>
  <c r="A586" i="17"/>
  <c r="A585" i="17"/>
  <c r="A584" i="17"/>
  <c r="A583" i="17"/>
  <c r="A582" i="17"/>
  <c r="A581" i="17"/>
  <c r="A580" i="17"/>
  <c r="A579" i="17"/>
  <c r="A578" i="17"/>
  <c r="A577" i="17"/>
  <c r="A576" i="17"/>
  <c r="A575" i="17"/>
  <c r="A574" i="17"/>
  <c r="A573" i="17"/>
  <c r="A572" i="17"/>
  <c r="A571" i="17"/>
  <c r="A570" i="17"/>
  <c r="A569" i="17"/>
  <c r="A568" i="17"/>
  <c r="A567" i="17"/>
  <c r="A566" i="17"/>
  <c r="A565" i="17"/>
  <c r="A564" i="17"/>
  <c r="A563" i="17"/>
  <c r="A562" i="17"/>
  <c r="A561"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8" i="17"/>
  <c r="A497" i="17"/>
  <c r="A496" i="17"/>
  <c r="A495" i="17"/>
  <c r="A494" i="17"/>
  <c r="A493"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6"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80" i="17"/>
  <c r="A179" i="17"/>
  <c r="A178" i="17"/>
  <c r="A177" i="17"/>
  <c r="A176" i="17"/>
  <c r="A175" i="17"/>
  <c r="A174"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7"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1" i="17"/>
  <c r="A80" i="17"/>
  <c r="A82" i="17"/>
  <c r="A79" i="17"/>
  <c r="H79" i="17" s="1"/>
  <c r="E108" i="17"/>
  <c r="E140" i="17"/>
  <c r="E188" i="17"/>
  <c r="E204" i="17"/>
  <c r="E220" i="17"/>
  <c r="E268" i="17"/>
  <c r="E284" i="17"/>
  <c r="E332" i="17"/>
  <c r="E380" i="17"/>
  <c r="E396" i="17"/>
  <c r="E428" i="17"/>
  <c r="E508" i="17"/>
  <c r="E540" i="17"/>
  <c r="E572" i="17"/>
  <c r="E604" i="17"/>
  <c r="E652" i="17"/>
  <c r="E668" i="17"/>
  <c r="E80" i="17"/>
  <c r="E96" i="17"/>
  <c r="E160" i="17"/>
  <c r="E176" i="17"/>
  <c r="E240" i="17"/>
  <c r="E256" i="17"/>
  <c r="E288" i="17"/>
  <c r="E336" i="17"/>
  <c r="E352" i="17"/>
  <c r="E368" i="17"/>
  <c r="E400" i="17"/>
  <c r="E416" i="17"/>
  <c r="E448" i="17"/>
  <c r="E480" i="17"/>
  <c r="E496" i="17"/>
  <c r="E528" i="17"/>
  <c r="E544" i="17"/>
  <c r="E560" i="17"/>
  <c r="E576" i="17"/>
  <c r="E672" i="17"/>
  <c r="E84" i="17"/>
  <c r="E100" i="17"/>
  <c r="E116" i="17"/>
  <c r="E132" i="17"/>
  <c r="E148" i="17"/>
  <c r="E164" i="17"/>
  <c r="E180" i="17"/>
  <c r="E196" i="17"/>
  <c r="E212" i="17"/>
  <c r="E228" i="17"/>
  <c r="E244" i="17"/>
  <c r="E260" i="17"/>
  <c r="E276" i="17"/>
  <c r="E292" i="17"/>
  <c r="E308" i="17"/>
  <c r="E324" i="17"/>
  <c r="E340" i="17"/>
  <c r="E356" i="17"/>
  <c r="E372" i="17"/>
  <c r="E388" i="17"/>
  <c r="E404" i="17"/>
  <c r="E420" i="17"/>
  <c r="E436" i="17"/>
  <c r="E452" i="17"/>
  <c r="E468" i="17"/>
  <c r="E484" i="17"/>
  <c r="E500" i="17"/>
  <c r="E516" i="17"/>
  <c r="E532" i="17"/>
  <c r="E548" i="17"/>
  <c r="E564" i="17"/>
  <c r="E580" i="17"/>
  <c r="E596" i="17"/>
  <c r="E612" i="17"/>
  <c r="E628" i="17"/>
  <c r="E644" i="17"/>
  <c r="E660" i="17"/>
  <c r="E676" i="17"/>
  <c r="E92" i="17"/>
  <c r="E124" i="17"/>
  <c r="E156" i="17"/>
  <c r="E172" i="17"/>
  <c r="E236" i="17"/>
  <c r="E252" i="17"/>
  <c r="E300" i="17"/>
  <c r="E316" i="17"/>
  <c r="E348" i="17"/>
  <c r="E364" i="17"/>
  <c r="E412" i="17"/>
  <c r="E444" i="17"/>
  <c r="E460" i="17"/>
  <c r="E476" i="17"/>
  <c r="E492" i="17"/>
  <c r="E524" i="17"/>
  <c r="E556" i="17"/>
  <c r="E588" i="17"/>
  <c r="E620" i="17"/>
  <c r="E636" i="17"/>
  <c r="E112" i="17"/>
  <c r="E128" i="17"/>
  <c r="E144" i="17"/>
  <c r="E192" i="17"/>
  <c r="E208" i="17"/>
  <c r="E224" i="17"/>
  <c r="E272" i="17"/>
  <c r="E304" i="17"/>
  <c r="E320" i="17"/>
  <c r="E384" i="17"/>
  <c r="E432" i="17"/>
  <c r="E464" i="17"/>
  <c r="E512" i="17"/>
  <c r="E592" i="17"/>
  <c r="E608" i="17"/>
  <c r="E624" i="17"/>
  <c r="E640" i="17"/>
  <c r="E656" i="17"/>
  <c r="E88" i="17"/>
  <c r="E104" i="17"/>
  <c r="E120" i="17"/>
  <c r="E136" i="17"/>
  <c r="E152" i="17"/>
  <c r="E168" i="17"/>
  <c r="E184" i="17"/>
  <c r="E200" i="17"/>
  <c r="E216" i="17"/>
  <c r="E232" i="17"/>
  <c r="E248" i="17"/>
  <c r="E264" i="17"/>
  <c r="E280" i="17"/>
  <c r="E296" i="17"/>
  <c r="E312" i="17"/>
  <c r="E328" i="17"/>
  <c r="E344" i="17"/>
  <c r="E360" i="17"/>
  <c r="E376" i="17"/>
  <c r="E392" i="17"/>
  <c r="E408" i="17"/>
  <c r="E424" i="17"/>
  <c r="E440" i="17"/>
  <c r="E456" i="17"/>
  <c r="E472" i="17"/>
  <c r="E488" i="17"/>
  <c r="E504" i="17"/>
  <c r="E520" i="17"/>
  <c r="E536" i="17"/>
  <c r="E552" i="17"/>
  <c r="E568" i="17"/>
  <c r="E584" i="17"/>
  <c r="E600" i="17"/>
  <c r="E616" i="17"/>
  <c r="E632" i="17"/>
  <c r="E648" i="17"/>
  <c r="E664" i="17"/>
  <c r="E79" i="17"/>
  <c r="E82" i="17"/>
  <c r="E86" i="17"/>
  <c r="E90" i="17"/>
  <c r="E94" i="17"/>
  <c r="E98" i="17"/>
  <c r="E102" i="17"/>
  <c r="E106" i="17"/>
  <c r="E110" i="17"/>
  <c r="E114" i="17"/>
  <c r="E118" i="17"/>
  <c r="E122" i="17"/>
  <c r="E126" i="17"/>
  <c r="E134" i="17"/>
  <c r="E138" i="17"/>
  <c r="E142" i="17"/>
  <c r="E146" i="17"/>
  <c r="E150" i="17"/>
  <c r="E154" i="17"/>
  <c r="E158" i="17"/>
  <c r="E162" i="17"/>
  <c r="E166" i="17"/>
  <c r="E170" i="17"/>
  <c r="E174" i="17"/>
  <c r="E178" i="17"/>
  <c r="E182" i="17"/>
  <c r="E186" i="17"/>
  <c r="E190" i="17"/>
  <c r="E194" i="17"/>
  <c r="E198" i="17"/>
  <c r="E202" i="17"/>
  <c r="E206" i="17"/>
  <c r="E210" i="17"/>
  <c r="E214" i="17"/>
  <c r="E218" i="17"/>
  <c r="E222" i="17"/>
  <c r="E226" i="17"/>
  <c r="E230" i="17"/>
  <c r="E234" i="17"/>
  <c r="E238" i="17"/>
  <c r="E242" i="17"/>
  <c r="E246" i="17"/>
  <c r="E250" i="17"/>
  <c r="E254" i="17"/>
  <c r="E258" i="17"/>
  <c r="E262" i="17"/>
  <c r="E266" i="17"/>
  <c r="E270" i="17"/>
  <c r="E274" i="17"/>
  <c r="E278" i="17"/>
  <c r="E282" i="17"/>
  <c r="E286" i="17"/>
  <c r="E290" i="17"/>
  <c r="E294" i="17"/>
  <c r="E298" i="17"/>
  <c r="E302" i="17"/>
  <c r="E306" i="17"/>
  <c r="E310" i="17"/>
  <c r="E314" i="17"/>
  <c r="E318" i="17"/>
  <c r="E322" i="17"/>
  <c r="E326" i="17"/>
  <c r="E330" i="17"/>
  <c r="E334" i="17"/>
  <c r="E338" i="17"/>
  <c r="E342" i="17"/>
  <c r="E346" i="17"/>
  <c r="E350" i="17"/>
  <c r="E354" i="17"/>
  <c r="E358" i="17"/>
  <c r="E362" i="17"/>
  <c r="E366" i="17"/>
  <c r="E370" i="17"/>
  <c r="E374" i="17"/>
  <c r="E378" i="17"/>
  <c r="E382" i="17"/>
  <c r="E386" i="17"/>
  <c r="E390" i="17"/>
  <c r="E394" i="17"/>
  <c r="E402" i="17"/>
  <c r="E406" i="17"/>
  <c r="E410" i="17"/>
  <c r="E414" i="17"/>
  <c r="E418" i="17"/>
  <c r="E422" i="17"/>
  <c r="E426" i="17"/>
  <c r="E430" i="17"/>
  <c r="E434" i="17"/>
  <c r="E438" i="17"/>
  <c r="E442" i="17"/>
  <c r="E446" i="17"/>
  <c r="E450" i="17"/>
  <c r="E454" i="17"/>
  <c r="E458" i="17"/>
  <c r="E462" i="17"/>
  <c r="E466" i="17"/>
  <c r="E470" i="17"/>
  <c r="E474" i="17"/>
  <c r="E478" i="17"/>
  <c r="E482" i="17"/>
  <c r="E486" i="17"/>
  <c r="E490" i="17"/>
  <c r="E494" i="17"/>
  <c r="E498" i="17"/>
  <c r="E502" i="17"/>
  <c r="E506" i="17"/>
  <c r="E510" i="17"/>
  <c r="E514" i="17"/>
  <c r="E518" i="17"/>
  <c r="E522" i="17"/>
  <c r="E526" i="17"/>
  <c r="E530" i="17"/>
  <c r="E534" i="17"/>
  <c r="E538" i="17"/>
  <c r="E542" i="17"/>
  <c r="E546" i="17"/>
  <c r="E550" i="17"/>
  <c r="E554" i="17"/>
  <c r="E558" i="17"/>
  <c r="E562" i="17"/>
  <c r="E566" i="17"/>
  <c r="E570" i="17"/>
  <c r="E574" i="17"/>
  <c r="E578" i="17"/>
  <c r="E582" i="17"/>
  <c r="E586" i="17"/>
  <c r="E590" i="17"/>
  <c r="E594" i="17"/>
  <c r="E598" i="17"/>
  <c r="E602" i="17"/>
  <c r="E606" i="17"/>
  <c r="E610" i="17"/>
  <c r="E614" i="17"/>
  <c r="E618" i="17"/>
  <c r="E622" i="17"/>
  <c r="E626" i="17"/>
  <c r="E630" i="17"/>
  <c r="E634" i="17"/>
  <c r="E638" i="17"/>
  <c r="E642" i="17"/>
  <c r="E646" i="17"/>
  <c r="E650" i="17"/>
  <c r="E654" i="17"/>
  <c r="E658" i="17"/>
  <c r="E662" i="17"/>
  <c r="E666" i="17"/>
  <c r="E670" i="17"/>
  <c r="E674" i="17"/>
  <c r="E678" i="17"/>
  <c r="E83" i="17"/>
  <c r="E87" i="17"/>
  <c r="E91" i="17"/>
  <c r="E95" i="17"/>
  <c r="E99" i="17"/>
  <c r="E103" i="17"/>
  <c r="E107" i="17"/>
  <c r="E111" i="17"/>
  <c r="E115" i="17"/>
  <c r="E119" i="17"/>
  <c r="E123" i="17"/>
  <c r="E127" i="17"/>
  <c r="E131" i="17"/>
  <c r="E135" i="17"/>
  <c r="E139" i="17"/>
  <c r="E143" i="17"/>
  <c r="E147" i="17"/>
  <c r="E151" i="17"/>
  <c r="E155" i="17"/>
  <c r="E159" i="17"/>
  <c r="E163" i="17"/>
  <c r="E167" i="17"/>
  <c r="E171" i="17"/>
  <c r="E175" i="17"/>
  <c r="E179" i="17"/>
  <c r="E183" i="17"/>
  <c r="E187" i="17"/>
  <c r="E191" i="17"/>
  <c r="E195" i="17"/>
  <c r="E199" i="17"/>
  <c r="E203" i="17"/>
  <c r="E207" i="17"/>
  <c r="E211" i="17"/>
  <c r="E215" i="17"/>
  <c r="E219" i="17"/>
  <c r="E223" i="17"/>
  <c r="E227" i="17"/>
  <c r="E231" i="17"/>
  <c r="E235" i="17"/>
  <c r="E239" i="17"/>
  <c r="E243" i="17"/>
  <c r="E247" i="17"/>
  <c r="E251" i="17"/>
  <c r="E255" i="17"/>
  <c r="E259" i="17"/>
  <c r="E263" i="17"/>
  <c r="E267" i="17"/>
  <c r="E271" i="17"/>
  <c r="E275" i="17"/>
  <c r="E279" i="17"/>
  <c r="E283" i="17"/>
  <c r="E287" i="17"/>
  <c r="E291" i="17"/>
  <c r="E295" i="17"/>
  <c r="E299" i="17"/>
  <c r="E303" i="17"/>
  <c r="E307" i="17"/>
  <c r="E311" i="17"/>
  <c r="E315" i="17"/>
  <c r="E319" i="17"/>
  <c r="E323" i="17"/>
  <c r="E327" i="17"/>
  <c r="E331" i="17"/>
  <c r="E335" i="17"/>
  <c r="E339" i="17"/>
  <c r="E343" i="17"/>
  <c r="E347" i="17"/>
  <c r="E351" i="17"/>
  <c r="E355" i="17"/>
  <c r="E359" i="17"/>
  <c r="E363" i="17"/>
  <c r="E367" i="17"/>
  <c r="E371" i="17"/>
  <c r="E375" i="17"/>
  <c r="E379" i="17"/>
  <c r="E383" i="17"/>
  <c r="E387" i="17"/>
  <c r="E391" i="17"/>
  <c r="E395" i="17"/>
  <c r="E399" i="17"/>
  <c r="E403" i="17"/>
  <c r="E407" i="17"/>
  <c r="E411" i="17"/>
  <c r="E415" i="17"/>
  <c r="E419" i="17"/>
  <c r="E423" i="17"/>
  <c r="E427" i="17"/>
  <c r="E431" i="17"/>
  <c r="E435" i="17"/>
  <c r="E439" i="17"/>
  <c r="E443" i="17"/>
  <c r="E447" i="17"/>
  <c r="E451" i="17"/>
  <c r="E455" i="17"/>
  <c r="E459" i="17"/>
  <c r="E463" i="17"/>
  <c r="E467" i="17"/>
  <c r="E471" i="17"/>
  <c r="E475" i="17"/>
  <c r="E479" i="17"/>
  <c r="E483" i="17"/>
  <c r="E487" i="17"/>
  <c r="E491" i="17"/>
  <c r="E495" i="17"/>
  <c r="E499" i="17"/>
  <c r="E503" i="17"/>
  <c r="E507" i="17"/>
  <c r="E511" i="17"/>
  <c r="E515" i="17"/>
  <c r="E519" i="17"/>
  <c r="E523" i="17"/>
  <c r="E527" i="17"/>
  <c r="E531" i="17"/>
  <c r="E535" i="17"/>
  <c r="E539" i="17"/>
  <c r="E543" i="17"/>
  <c r="E547" i="17"/>
  <c r="E551" i="17"/>
  <c r="E555" i="17"/>
  <c r="E559" i="17"/>
  <c r="E563" i="17"/>
  <c r="E567" i="17"/>
  <c r="E571" i="17"/>
  <c r="E575" i="17"/>
  <c r="E579" i="17"/>
  <c r="E583" i="17"/>
  <c r="E587" i="17"/>
  <c r="E591" i="17"/>
  <c r="E595" i="17"/>
  <c r="E599" i="17"/>
  <c r="E603" i="17"/>
  <c r="E607" i="17"/>
  <c r="E611" i="17"/>
  <c r="E615" i="17"/>
  <c r="E619" i="17"/>
  <c r="E623" i="17"/>
  <c r="E627" i="17"/>
  <c r="E631" i="17"/>
  <c r="E635" i="17"/>
  <c r="E639" i="17"/>
  <c r="E643" i="17"/>
  <c r="E647" i="17"/>
  <c r="E651" i="17"/>
  <c r="E655" i="17"/>
  <c r="E659" i="17"/>
  <c r="E663" i="17"/>
  <c r="E667" i="17"/>
  <c r="E671" i="17"/>
  <c r="E675" i="17"/>
  <c r="E130" i="17"/>
  <c r="E398" i="17"/>
  <c r="E81" i="17"/>
  <c r="E85" i="17"/>
  <c r="E89" i="17"/>
  <c r="E93" i="17"/>
  <c r="E97" i="17"/>
  <c r="E101" i="17"/>
  <c r="E105" i="17"/>
  <c r="E109" i="17"/>
  <c r="E113" i="17"/>
  <c r="E117" i="17"/>
  <c r="E121" i="17"/>
  <c r="E125" i="17"/>
  <c r="E129" i="17"/>
  <c r="E133" i="17"/>
  <c r="E137" i="17"/>
  <c r="E141" i="17"/>
  <c r="E145" i="17"/>
  <c r="E149" i="17"/>
  <c r="E153" i="17"/>
  <c r="E157" i="17"/>
  <c r="E161" i="17"/>
  <c r="E165" i="17"/>
  <c r="E169" i="17"/>
  <c r="E173" i="17"/>
  <c r="E177" i="17"/>
  <c r="E181" i="17"/>
  <c r="E185" i="17"/>
  <c r="E189" i="17"/>
  <c r="E193" i="17"/>
  <c r="E197" i="17"/>
  <c r="E201" i="17"/>
  <c r="E205" i="17"/>
  <c r="E209" i="17"/>
  <c r="E213" i="17"/>
  <c r="E217" i="17"/>
  <c r="E221" i="17"/>
  <c r="E225" i="17"/>
  <c r="E229" i="17"/>
  <c r="E233" i="17"/>
  <c r="E237" i="17"/>
  <c r="E241" i="17"/>
  <c r="E245" i="17"/>
  <c r="E249" i="17"/>
  <c r="E253" i="17"/>
  <c r="E257" i="17"/>
  <c r="E261" i="17"/>
  <c r="E265" i="17"/>
  <c r="E269" i="17"/>
  <c r="E273" i="17"/>
  <c r="E277" i="17"/>
  <c r="E281" i="17"/>
  <c r="E285" i="17"/>
  <c r="E289" i="17"/>
  <c r="E293" i="17"/>
  <c r="E297" i="17"/>
  <c r="E301" i="17"/>
  <c r="E305" i="17"/>
  <c r="E309" i="17"/>
  <c r="E313" i="17"/>
  <c r="E317" i="17"/>
  <c r="E321" i="17"/>
  <c r="E325" i="17"/>
  <c r="E329" i="17"/>
  <c r="E333" i="17"/>
  <c r="E337" i="17"/>
  <c r="E341" i="17"/>
  <c r="E345" i="17"/>
  <c r="E349" i="17"/>
  <c r="E353" i="17"/>
  <c r="E357" i="17"/>
  <c r="E361" i="17"/>
  <c r="E365" i="17"/>
  <c r="E369" i="17"/>
  <c r="E373" i="17"/>
  <c r="E377" i="17"/>
  <c r="E381" i="17"/>
  <c r="E385" i="17"/>
  <c r="E389" i="17"/>
  <c r="E393" i="17"/>
  <c r="E397" i="17"/>
  <c r="E401" i="17"/>
  <c r="E405" i="17"/>
  <c r="E409" i="17"/>
  <c r="E413" i="17"/>
  <c r="E417" i="17"/>
  <c r="E421" i="17"/>
  <c r="E425" i="17"/>
  <c r="E429" i="17"/>
  <c r="E433" i="17"/>
  <c r="E437" i="17"/>
  <c r="E441" i="17"/>
  <c r="E445" i="17"/>
  <c r="E449" i="17"/>
  <c r="E453" i="17"/>
  <c r="E457" i="17"/>
  <c r="E461" i="17"/>
  <c r="E465" i="17"/>
  <c r="E469" i="17"/>
  <c r="E473" i="17"/>
  <c r="E477" i="17"/>
  <c r="E481" i="17"/>
  <c r="E485" i="17"/>
  <c r="E489" i="17"/>
  <c r="E493" i="17"/>
  <c r="E497" i="17"/>
  <c r="E501" i="17"/>
  <c r="E505" i="17"/>
  <c r="E509" i="17"/>
  <c r="E513" i="17"/>
  <c r="E517" i="17"/>
  <c r="E521" i="17"/>
  <c r="E525" i="17"/>
  <c r="E529" i="17"/>
  <c r="E533" i="17"/>
  <c r="E537" i="17"/>
  <c r="E541" i="17"/>
  <c r="E545" i="17"/>
  <c r="E549" i="17"/>
  <c r="E553" i="17"/>
  <c r="E557" i="17"/>
  <c r="E561" i="17"/>
  <c r="E565" i="17"/>
  <c r="E569" i="17"/>
  <c r="E573" i="17"/>
  <c r="E577" i="17"/>
  <c r="E581" i="17"/>
  <c r="E585" i="17"/>
  <c r="E589" i="17"/>
  <c r="E593" i="17"/>
  <c r="E597" i="17"/>
  <c r="E601" i="17"/>
  <c r="E605" i="17"/>
  <c r="E609" i="17"/>
  <c r="E613" i="17"/>
  <c r="E617" i="17"/>
  <c r="E621" i="17"/>
  <c r="E625" i="17"/>
  <c r="E629" i="17"/>
  <c r="E633" i="17"/>
  <c r="E637" i="17"/>
  <c r="E641" i="17"/>
  <c r="E645" i="17"/>
  <c r="E649" i="17"/>
  <c r="E653" i="17"/>
  <c r="E657" i="17"/>
  <c r="E661" i="17"/>
  <c r="E665" i="17"/>
  <c r="E669" i="17"/>
  <c r="E673" i="17"/>
  <c r="E677" i="17"/>
  <c r="D94" i="17"/>
  <c r="D151" i="17"/>
  <c r="D87" i="17"/>
  <c r="D101" i="17"/>
  <c r="D115" i="17"/>
  <c r="D130" i="17"/>
  <c r="D143" i="17"/>
  <c r="D158" i="17"/>
  <c r="D173" i="17"/>
  <c r="D186" i="17"/>
  <c r="D201" i="17"/>
  <c r="D215" i="17"/>
  <c r="D229" i="17"/>
  <c r="D243" i="17"/>
  <c r="D258" i="17"/>
  <c r="D271" i="17"/>
  <c r="D286" i="17"/>
  <c r="D301" i="17"/>
  <c r="D314" i="17"/>
  <c r="D329" i="17"/>
  <c r="D343" i="17"/>
  <c r="D357" i="17"/>
  <c r="D371" i="17"/>
  <c r="D386" i="17"/>
  <c r="D399" i="17"/>
  <c r="D414" i="17"/>
  <c r="D429" i="17"/>
  <c r="D442" i="17"/>
  <c r="D457" i="17"/>
  <c r="D471" i="17"/>
  <c r="D485" i="17"/>
  <c r="D499" i="17"/>
  <c r="D514" i="17"/>
  <c r="D527" i="17"/>
  <c r="D542" i="17"/>
  <c r="D557" i="17"/>
  <c r="D570" i="17"/>
  <c r="D585" i="17"/>
  <c r="D601" i="17"/>
  <c r="D619" i="17"/>
  <c r="D638" i="17"/>
  <c r="D665" i="17"/>
  <c r="D79" i="17"/>
  <c r="D109" i="17"/>
  <c r="D122" i="17"/>
  <c r="D137" i="17"/>
  <c r="D165" i="17"/>
  <c r="D179" i="17"/>
  <c r="D194" i="17"/>
  <c r="D207" i="17"/>
  <c r="D222" i="17"/>
  <c r="D237" i="17"/>
  <c r="D250" i="17"/>
  <c r="D265" i="17"/>
  <c r="D279" i="17"/>
  <c r="D293" i="17"/>
  <c r="D307" i="17"/>
  <c r="D322" i="17"/>
  <c r="D335" i="17"/>
  <c r="D350" i="17"/>
  <c r="D365" i="17"/>
  <c r="D378" i="17"/>
  <c r="D393" i="17"/>
  <c r="D407" i="17"/>
  <c r="D421" i="17"/>
  <c r="D435" i="17"/>
  <c r="D450" i="17"/>
  <c r="D463" i="17"/>
  <c r="D478" i="17"/>
  <c r="D493" i="17"/>
  <c r="D506" i="17"/>
  <c r="D521" i="17"/>
  <c r="D535" i="17"/>
  <c r="D549" i="17"/>
  <c r="D563" i="17"/>
  <c r="D578" i="17"/>
  <c r="D591" i="17"/>
  <c r="D610" i="17"/>
  <c r="D630" i="17"/>
  <c r="D651" i="17"/>
  <c r="D82" i="17"/>
  <c r="D95" i="17"/>
  <c r="D110" i="17"/>
  <c r="D125" i="17"/>
  <c r="D138" i="17"/>
  <c r="D153" i="17"/>
  <c r="D167" i="17"/>
  <c r="D181" i="17"/>
  <c r="D195" i="17"/>
  <c r="D210" i="17"/>
  <c r="D223" i="17"/>
  <c r="D238" i="17"/>
  <c r="D253" i="17"/>
  <c r="D266" i="17"/>
  <c r="D281" i="17"/>
  <c r="D295" i="17"/>
  <c r="D309" i="17"/>
  <c r="D323" i="17"/>
  <c r="D338" i="17"/>
  <c r="D351" i="17"/>
  <c r="D366" i="17"/>
  <c r="D381" i="17"/>
  <c r="D394" i="17"/>
  <c r="D409" i="17"/>
  <c r="D423" i="17"/>
  <c r="D437" i="17"/>
  <c r="D451" i="17"/>
  <c r="D466" i="17"/>
  <c r="D479" i="17"/>
  <c r="D494" i="17"/>
  <c r="D509" i="17"/>
  <c r="D522" i="17"/>
  <c r="D537" i="17"/>
  <c r="D551" i="17"/>
  <c r="D565" i="17"/>
  <c r="D579" i="17"/>
  <c r="D594" i="17"/>
  <c r="D611" i="17"/>
  <c r="D631" i="17"/>
  <c r="D653" i="17"/>
  <c r="D89" i="17"/>
  <c r="D103" i="17"/>
  <c r="D117" i="17"/>
  <c r="D131" i="17"/>
  <c r="D146" i="17"/>
  <c r="D159" i="17"/>
  <c r="D174" i="17"/>
  <c r="D189" i="17"/>
  <c r="D202" i="17"/>
  <c r="D217" i="17"/>
  <c r="D231" i="17"/>
  <c r="D245" i="17"/>
  <c r="D259" i="17"/>
  <c r="D274" i="17"/>
  <c r="D287" i="17"/>
  <c r="D302" i="17"/>
  <c r="D317" i="17"/>
  <c r="D330" i="17"/>
  <c r="D345" i="17"/>
  <c r="D359" i="17"/>
  <c r="D373" i="17"/>
  <c r="D387" i="17"/>
  <c r="D402" i="17"/>
  <c r="D415" i="17"/>
  <c r="D430" i="17"/>
  <c r="D445" i="17"/>
  <c r="D458" i="17"/>
  <c r="D473" i="17"/>
  <c r="D487" i="17"/>
  <c r="D501" i="17"/>
  <c r="D515" i="17"/>
  <c r="D530" i="17"/>
  <c r="D543" i="17"/>
  <c r="D558" i="17"/>
  <c r="D573" i="17"/>
  <c r="D586" i="17"/>
  <c r="D603" i="17"/>
  <c r="D622" i="17"/>
  <c r="D641" i="17"/>
  <c r="D667" i="17"/>
  <c r="D83" i="17"/>
  <c r="D90" i="17"/>
  <c r="D98" i="17"/>
  <c r="D105" i="17"/>
  <c r="D111" i="17"/>
  <c r="D119" i="17"/>
  <c r="D126" i="17"/>
  <c r="D133" i="17"/>
  <c r="D141" i="17"/>
  <c r="D147" i="17"/>
  <c r="D154" i="17"/>
  <c r="D162" i="17"/>
  <c r="D169" i="17"/>
  <c r="D175" i="17"/>
  <c r="D183" i="17"/>
  <c r="D190" i="17"/>
  <c r="D197" i="17"/>
  <c r="D205" i="17"/>
  <c r="D211" i="17"/>
  <c r="D218" i="17"/>
  <c r="D226" i="17"/>
  <c r="D233" i="17"/>
  <c r="D239" i="17"/>
  <c r="D247" i="17"/>
  <c r="D254" i="17"/>
  <c r="D261" i="17"/>
  <c r="D269" i="17"/>
  <c r="D275" i="17"/>
  <c r="D282" i="17"/>
  <c r="D290" i="17"/>
  <c r="D297" i="17"/>
  <c r="D303" i="17"/>
  <c r="D311" i="17"/>
  <c r="D318" i="17"/>
  <c r="D325" i="17"/>
  <c r="D333" i="17"/>
  <c r="D339" i="17"/>
  <c r="D346" i="17"/>
  <c r="D354" i="17"/>
  <c r="D361" i="17"/>
  <c r="D367" i="17"/>
  <c r="D375" i="17"/>
  <c r="D382" i="17"/>
  <c r="D389" i="17"/>
  <c r="D397" i="17"/>
  <c r="D403" i="17"/>
  <c r="D410" i="17"/>
  <c r="D418" i="17"/>
  <c r="D425" i="17"/>
  <c r="D431" i="17"/>
  <c r="D439" i="17"/>
  <c r="D446" i="17"/>
  <c r="D453" i="17"/>
  <c r="D461" i="17"/>
  <c r="D467" i="17"/>
  <c r="D474" i="17"/>
  <c r="D482" i="17"/>
  <c r="D489" i="17"/>
  <c r="D495" i="17"/>
  <c r="D503" i="17"/>
  <c r="D510" i="17"/>
  <c r="D517" i="17"/>
  <c r="D525" i="17"/>
  <c r="D531" i="17"/>
  <c r="D538" i="17"/>
  <c r="D546" i="17"/>
  <c r="D553" i="17"/>
  <c r="D559" i="17"/>
  <c r="D567" i="17"/>
  <c r="D574" i="17"/>
  <c r="D581" i="17"/>
  <c r="D589" i="17"/>
  <c r="D595" i="17"/>
  <c r="D605" i="17"/>
  <c r="D615" i="17"/>
  <c r="D625" i="17"/>
  <c r="D633" i="17"/>
  <c r="D643" i="17"/>
  <c r="D658" i="17"/>
  <c r="D673" i="17"/>
  <c r="D85" i="17"/>
  <c r="D93" i="17"/>
  <c r="D99" i="17"/>
  <c r="D106" i="17"/>
  <c r="D114" i="17"/>
  <c r="D121" i="17"/>
  <c r="D127" i="17"/>
  <c r="D135" i="17"/>
  <c r="D142" i="17"/>
  <c r="D149" i="17"/>
  <c r="D157" i="17"/>
  <c r="D163" i="17"/>
  <c r="D170" i="17"/>
  <c r="D178" i="17"/>
  <c r="D185" i="17"/>
  <c r="D191" i="17"/>
  <c r="D199" i="17"/>
  <c r="D206" i="17"/>
  <c r="D213" i="17"/>
  <c r="D221" i="17"/>
  <c r="D227" i="17"/>
  <c r="D234" i="17"/>
  <c r="D242" i="17"/>
  <c r="D249" i="17"/>
  <c r="D255" i="17"/>
  <c r="D263" i="17"/>
  <c r="D270" i="17"/>
  <c r="D277" i="17"/>
  <c r="D285" i="17"/>
  <c r="D291" i="17"/>
  <c r="D298" i="17"/>
  <c r="D306" i="17"/>
  <c r="D313" i="17"/>
  <c r="D319" i="17"/>
  <c r="D327" i="17"/>
  <c r="D334" i="17"/>
  <c r="D341" i="17"/>
  <c r="D349" i="17"/>
  <c r="D355" i="17"/>
  <c r="D362" i="17"/>
  <c r="D370" i="17"/>
  <c r="D377" i="17"/>
  <c r="D383" i="17"/>
  <c r="D391" i="17"/>
  <c r="D398" i="17"/>
  <c r="D405" i="17"/>
  <c r="D413" i="17"/>
  <c r="D419" i="17"/>
  <c r="D426" i="17"/>
  <c r="D434" i="17"/>
  <c r="D441" i="17"/>
  <c r="D447" i="17"/>
  <c r="D455" i="17"/>
  <c r="D462" i="17"/>
  <c r="D469" i="17"/>
  <c r="D477" i="17"/>
  <c r="D483" i="17"/>
  <c r="D490" i="17"/>
  <c r="D498" i="17"/>
  <c r="D505" i="17"/>
  <c r="D511" i="17"/>
  <c r="D519" i="17"/>
  <c r="D526" i="17"/>
  <c r="D533" i="17"/>
  <c r="D541" i="17"/>
  <c r="D547" i="17"/>
  <c r="D554" i="17"/>
  <c r="D562" i="17"/>
  <c r="D569" i="17"/>
  <c r="D575" i="17"/>
  <c r="D583" i="17"/>
  <c r="D590" i="17"/>
  <c r="D598" i="17"/>
  <c r="D609" i="17"/>
  <c r="D617" i="17"/>
  <c r="D626" i="17"/>
  <c r="D637" i="17"/>
  <c r="D646" i="17"/>
  <c r="D659" i="17"/>
  <c r="D674" i="17"/>
  <c r="D647" i="17"/>
  <c r="D654" i="17"/>
  <c r="D662" i="17"/>
  <c r="D669" i="17"/>
  <c r="D675" i="17"/>
  <c r="D81" i="17"/>
  <c r="D86" i="17"/>
  <c r="D91" i="17"/>
  <c r="D97" i="17"/>
  <c r="D102" i="17"/>
  <c r="D107" i="17"/>
  <c r="D113" i="17"/>
  <c r="D118" i="17"/>
  <c r="D123" i="17"/>
  <c r="D129" i="17"/>
  <c r="D134" i="17"/>
  <c r="D139" i="17"/>
  <c r="D145" i="17"/>
  <c r="D150" i="17"/>
  <c r="D155" i="17"/>
  <c r="D161" i="17"/>
  <c r="D166" i="17"/>
  <c r="D171" i="17"/>
  <c r="D177" i="17"/>
  <c r="D182" i="17"/>
  <c r="D187" i="17"/>
  <c r="D193" i="17"/>
  <c r="D198" i="17"/>
  <c r="D203" i="17"/>
  <c r="D209" i="17"/>
  <c r="D214" i="17"/>
  <c r="D219" i="17"/>
  <c r="D225" i="17"/>
  <c r="D230" i="17"/>
  <c r="D235" i="17"/>
  <c r="D241" i="17"/>
  <c r="D246" i="17"/>
  <c r="D251" i="17"/>
  <c r="D257" i="17"/>
  <c r="D262" i="17"/>
  <c r="D267" i="17"/>
  <c r="D273" i="17"/>
  <c r="D278" i="17"/>
  <c r="D283" i="17"/>
  <c r="D289" i="17"/>
  <c r="D294" i="17"/>
  <c r="D299" i="17"/>
  <c r="D305" i="17"/>
  <c r="D310" i="17"/>
  <c r="D315" i="17"/>
  <c r="D321" i="17"/>
  <c r="D326" i="17"/>
  <c r="D331" i="17"/>
  <c r="D337" i="17"/>
  <c r="D342" i="17"/>
  <c r="D347" i="17"/>
  <c r="D353" i="17"/>
  <c r="D358" i="17"/>
  <c r="D363" i="17"/>
  <c r="D369" i="17"/>
  <c r="D374" i="17"/>
  <c r="D379" i="17"/>
  <c r="D385" i="17"/>
  <c r="D390" i="17"/>
  <c r="D395" i="17"/>
  <c r="D401" i="17"/>
  <c r="D406" i="17"/>
  <c r="D411" i="17"/>
  <c r="D417" i="17"/>
  <c r="D422" i="17"/>
  <c r="D427" i="17"/>
  <c r="D433" i="17"/>
  <c r="D438" i="17"/>
  <c r="D443" i="17"/>
  <c r="D449" i="17"/>
  <c r="D454" i="17"/>
  <c r="D459" i="17"/>
  <c r="D465" i="17"/>
  <c r="D470" i="17"/>
  <c r="D475" i="17"/>
  <c r="D481" i="17"/>
  <c r="D486" i="17"/>
  <c r="D491" i="17"/>
  <c r="D497" i="17"/>
  <c r="D502" i="17"/>
  <c r="D507" i="17"/>
  <c r="D513" i="17"/>
  <c r="D518" i="17"/>
  <c r="D523" i="17"/>
  <c r="D529" i="17"/>
  <c r="D534" i="17"/>
  <c r="D539" i="17"/>
  <c r="D545" i="17"/>
  <c r="D550" i="17"/>
  <c r="D555" i="17"/>
  <c r="D561" i="17"/>
  <c r="D566" i="17"/>
  <c r="D571" i="17"/>
  <c r="D577" i="17"/>
  <c r="D582" i="17"/>
  <c r="D587" i="17"/>
  <c r="D593" i="17"/>
  <c r="D599" i="17"/>
  <c r="D606" i="17"/>
  <c r="D614" i="17"/>
  <c r="D621" i="17"/>
  <c r="D627" i="17"/>
  <c r="D635" i="17"/>
  <c r="D642" i="17"/>
  <c r="D649" i="17"/>
  <c r="D657" i="17"/>
  <c r="D663" i="17"/>
  <c r="D670" i="17"/>
  <c r="D678" i="17"/>
  <c r="D80" i="17"/>
  <c r="D84" i="17"/>
  <c r="D88" i="17"/>
  <c r="D92" i="17"/>
  <c r="D96" i="17"/>
  <c r="D100" i="17"/>
  <c r="D104" i="17"/>
  <c r="D108" i="17"/>
  <c r="D112" i="17"/>
  <c r="D116" i="17"/>
  <c r="D120" i="17"/>
  <c r="D124" i="17"/>
  <c r="D128" i="17"/>
  <c r="D132" i="17"/>
  <c r="D136" i="17"/>
  <c r="D140" i="17"/>
  <c r="D144" i="17"/>
  <c r="D148" i="17"/>
  <c r="D152" i="17"/>
  <c r="D156" i="17"/>
  <c r="D160" i="17"/>
  <c r="D164" i="17"/>
  <c r="D168" i="17"/>
  <c r="D172" i="17"/>
  <c r="D176" i="17"/>
  <c r="D180" i="17"/>
  <c r="D184" i="17"/>
  <c r="D188" i="17"/>
  <c r="D192" i="17"/>
  <c r="D196" i="17"/>
  <c r="D200" i="17"/>
  <c r="D204" i="17"/>
  <c r="D208" i="17"/>
  <c r="D212" i="17"/>
  <c r="D216" i="17"/>
  <c r="D220" i="17"/>
  <c r="D224" i="17"/>
  <c r="D228" i="17"/>
  <c r="D232" i="17"/>
  <c r="D236" i="17"/>
  <c r="D240" i="17"/>
  <c r="D244" i="17"/>
  <c r="D248" i="17"/>
  <c r="D252" i="17"/>
  <c r="D256" i="17"/>
  <c r="D260" i="17"/>
  <c r="D264" i="17"/>
  <c r="D268" i="17"/>
  <c r="D272" i="17"/>
  <c r="D276" i="17"/>
  <c r="D280" i="17"/>
  <c r="D284" i="17"/>
  <c r="D288" i="17"/>
  <c r="D292" i="17"/>
  <c r="D296" i="17"/>
  <c r="D300" i="17"/>
  <c r="D304" i="17"/>
  <c r="D308" i="17"/>
  <c r="D312" i="17"/>
  <c r="D316" i="17"/>
  <c r="D320" i="17"/>
  <c r="D324" i="17"/>
  <c r="D328" i="17"/>
  <c r="D332" i="17"/>
  <c r="D336" i="17"/>
  <c r="D340" i="17"/>
  <c r="D344" i="17"/>
  <c r="D348" i="17"/>
  <c r="D352" i="17"/>
  <c r="D356" i="17"/>
  <c r="D360" i="17"/>
  <c r="D364" i="17"/>
  <c r="D368" i="17"/>
  <c r="D372" i="17"/>
  <c r="D376" i="17"/>
  <c r="D380" i="17"/>
  <c r="D384" i="17"/>
  <c r="D388" i="17"/>
  <c r="D392" i="17"/>
  <c r="D396" i="17"/>
  <c r="D400" i="17"/>
  <c r="D404" i="17"/>
  <c r="D408" i="17"/>
  <c r="D412" i="17"/>
  <c r="D416" i="17"/>
  <c r="D420" i="17"/>
  <c r="D424" i="17"/>
  <c r="D428" i="17"/>
  <c r="D432" i="17"/>
  <c r="D436" i="17"/>
  <c r="D440" i="17"/>
  <c r="D444" i="17"/>
  <c r="D448" i="17"/>
  <c r="D452" i="17"/>
  <c r="D456" i="17"/>
  <c r="D460" i="17"/>
  <c r="D464" i="17"/>
  <c r="D468" i="17"/>
  <c r="D472" i="17"/>
  <c r="D476" i="17"/>
  <c r="D480" i="17"/>
  <c r="D484" i="17"/>
  <c r="D488" i="17"/>
  <c r="D492" i="17"/>
  <c r="D496" i="17"/>
  <c r="D500" i="17"/>
  <c r="D504" i="17"/>
  <c r="D508" i="17"/>
  <c r="D512" i="17"/>
  <c r="D516" i="17"/>
  <c r="D520" i="17"/>
  <c r="D524" i="17"/>
  <c r="D528" i="17"/>
  <c r="D532" i="17"/>
  <c r="D536" i="17"/>
  <c r="D540" i="17"/>
  <c r="D544" i="17"/>
  <c r="D548" i="17"/>
  <c r="D552" i="17"/>
  <c r="D556" i="17"/>
  <c r="D560" i="17"/>
  <c r="D564" i="17"/>
  <c r="D568" i="17"/>
  <c r="D572" i="17"/>
  <c r="D576" i="17"/>
  <c r="D580" i="17"/>
  <c r="D584" i="17"/>
  <c r="D588" i="17"/>
  <c r="D592" i="17"/>
  <c r="D597" i="17"/>
  <c r="D602" i="17"/>
  <c r="D607" i="17"/>
  <c r="D613" i="17"/>
  <c r="D618" i="17"/>
  <c r="D623" i="17"/>
  <c r="D629" i="17"/>
  <c r="D634" i="17"/>
  <c r="D639" i="17"/>
  <c r="D645" i="17"/>
  <c r="D650" i="17"/>
  <c r="D655" i="17"/>
  <c r="D661" i="17"/>
  <c r="D666" i="17"/>
  <c r="D671" i="17"/>
  <c r="D677" i="17"/>
  <c r="D596" i="17"/>
  <c r="D600" i="17"/>
  <c r="D604" i="17"/>
  <c r="D608" i="17"/>
  <c r="D612" i="17"/>
  <c r="D616" i="17"/>
  <c r="D620" i="17"/>
  <c r="D624" i="17"/>
  <c r="D628" i="17"/>
  <c r="D632" i="17"/>
  <c r="D636" i="17"/>
  <c r="D640" i="17"/>
  <c r="D644" i="17"/>
  <c r="D648" i="17"/>
  <c r="D652" i="17"/>
  <c r="D656" i="17"/>
  <c r="D660" i="17"/>
  <c r="D664" i="17"/>
  <c r="D668" i="17"/>
  <c r="D672" i="17"/>
  <c r="D676" i="17"/>
  <c r="AG51" i="17"/>
  <c r="M79" i="17" l="1"/>
  <c r="M22" i="13"/>
  <c r="V79" i="17"/>
  <c r="N79" i="17" l="1"/>
  <c r="L21" i="17"/>
  <c r="L5" i="17"/>
  <c r="M38" i="13" s="1"/>
  <c r="M5" i="13"/>
  <c r="AJ79" i="17" l="1"/>
  <c r="D46" i="17"/>
  <c r="D1189" i="17" s="1"/>
  <c r="D701" i="17" l="1"/>
  <c r="D877" i="17"/>
  <c r="D798" i="17"/>
  <c r="D744" i="17"/>
  <c r="D1142" i="17"/>
  <c r="D907" i="17"/>
  <c r="D801" i="17"/>
  <c r="D722" i="17"/>
  <c r="D978" i="17"/>
  <c r="D1066" i="17"/>
  <c r="D755" i="17"/>
  <c r="D709" i="17"/>
  <c r="D965" i="17"/>
  <c r="D886" i="17"/>
  <c r="D920" i="17"/>
  <c r="D1230" i="17"/>
  <c r="D729" i="17"/>
  <c r="D1250" i="17"/>
  <c r="D1033" i="17"/>
  <c r="D1224" i="17"/>
  <c r="D1279" i="17"/>
  <c r="D743" i="17"/>
  <c r="D986" i="17"/>
  <c r="D1175" i="17"/>
  <c r="D1285" i="17"/>
  <c r="D1104" i="17"/>
  <c r="D953" i="17"/>
  <c r="D941" i="17"/>
  <c r="D862" i="17"/>
  <c r="D872" i="17"/>
  <c r="D1206" i="17"/>
  <c r="D1031" i="17"/>
  <c r="D865" i="17"/>
  <c r="D786" i="17"/>
  <c r="D720" i="17"/>
  <c r="D1130" i="17"/>
  <c r="D883" i="17"/>
  <c r="D773" i="17"/>
  <c r="D694" i="17"/>
  <c r="D950" i="17"/>
  <c r="D1038" i="17"/>
  <c r="D699" i="17"/>
  <c r="D985" i="17"/>
  <c r="D1059" i="17"/>
  <c r="D1161" i="17"/>
  <c r="D844" i="17"/>
  <c r="D900" i="17"/>
  <c r="D1157" i="17"/>
  <c r="D1074" i="17"/>
  <c r="D863" i="17"/>
  <c r="D1069" i="17"/>
  <c r="D1220" i="17"/>
  <c r="D749" i="17"/>
  <c r="D1005" i="17"/>
  <c r="D926" i="17"/>
  <c r="D1000" i="17"/>
  <c r="D1270" i="17"/>
  <c r="D1095" i="17"/>
  <c r="D929" i="17"/>
  <c r="D850" i="17"/>
  <c r="D848" i="17"/>
  <c r="D1194" i="17"/>
  <c r="D1011" i="17"/>
  <c r="D837" i="17"/>
  <c r="D758" i="17"/>
  <c r="D1014" i="17"/>
  <c r="D1102" i="17"/>
  <c r="D827" i="17"/>
  <c r="D906" i="17"/>
  <c r="D1155" i="17"/>
  <c r="D1259" i="17"/>
  <c r="D1064" i="17"/>
  <c r="D1092" i="17"/>
  <c r="D809" i="17"/>
  <c r="D771" i="17"/>
  <c r="D1073" i="17"/>
  <c r="D1277" i="17"/>
  <c r="D724" i="17"/>
  <c r="D813" i="17"/>
  <c r="D734" i="17"/>
  <c r="D990" i="17"/>
  <c r="D1078" i="17"/>
  <c r="D779" i="17"/>
  <c r="D737" i="17"/>
  <c r="D993" i="17"/>
  <c r="D914" i="17"/>
  <c r="D976" i="17"/>
  <c r="D1258" i="17"/>
  <c r="D1083" i="17"/>
  <c r="D901" i="17"/>
  <c r="D822" i="17"/>
  <c r="D792" i="17"/>
  <c r="D1166" i="17"/>
  <c r="D955" i="17"/>
  <c r="D960" i="17"/>
  <c r="D783" i="17"/>
  <c r="D951" i="17"/>
  <c r="D1192" i="17"/>
  <c r="D1212" i="17"/>
  <c r="D730" i="17"/>
  <c r="D1103" i="17"/>
  <c r="D1200" i="17"/>
  <c r="D924" i="17"/>
  <c r="D1239" i="17"/>
  <c r="D980" i="17"/>
  <c r="D1132" i="17"/>
  <c r="D935" i="17"/>
  <c r="D697" i="17"/>
  <c r="D874" i="17"/>
  <c r="D896" i="17"/>
  <c r="D1218" i="17"/>
  <c r="D1043" i="17"/>
  <c r="D1147" i="17"/>
  <c r="D751" i="17"/>
  <c r="D1007" i="17"/>
  <c r="D1145" i="17"/>
  <c r="D1248" i="17"/>
  <c r="D1015" i="17"/>
  <c r="D1245" i="17"/>
  <c r="D876" i="17"/>
  <c r="D1080" i="17"/>
  <c r="D1204" i="17"/>
  <c r="D1289" i="17"/>
  <c r="D932" i="17"/>
  <c r="D1108" i="17"/>
  <c r="D1223" i="17"/>
  <c r="D807" i="17"/>
  <c r="D841" i="17"/>
  <c r="D835" i="17"/>
  <c r="D1089" i="17"/>
  <c r="D700" i="17"/>
  <c r="D756" i="17"/>
  <c r="D999" i="17"/>
  <c r="D1240" i="17"/>
  <c r="D1185" i="17"/>
  <c r="D1228" i="17"/>
  <c r="D800" i="17"/>
  <c r="D703" i="17"/>
  <c r="D823" i="17"/>
  <c r="D1152" i="17"/>
  <c r="D1180" i="17"/>
  <c r="D1283" i="17"/>
  <c r="D1167" i="17"/>
  <c r="D1116" i="17"/>
  <c r="D890" i="17"/>
  <c r="D1151" i="17"/>
  <c r="D1253" i="17"/>
  <c r="D1056" i="17"/>
  <c r="D1084" i="17"/>
  <c r="D1275" i="17"/>
  <c r="D893" i="17"/>
  <c r="D1006" i="17"/>
  <c r="D1158" i="17"/>
  <c r="D811" i="17"/>
  <c r="D1111" i="17"/>
  <c r="D753" i="17"/>
  <c r="D817" i="17"/>
  <c r="D881" i="17"/>
  <c r="D945" i="17"/>
  <c r="D1009" i="17"/>
  <c r="D738" i="17"/>
  <c r="D802" i="17"/>
  <c r="D866" i="17"/>
  <c r="D930" i="17"/>
  <c r="D994" i="17"/>
  <c r="D752" i="17"/>
  <c r="D880" i="17"/>
  <c r="D1008" i="17"/>
  <c r="D1082" i="17"/>
  <c r="D1146" i="17"/>
  <c r="D1210" i="17"/>
  <c r="D1274" i="17"/>
  <c r="D787" i="17"/>
  <c r="D915" i="17"/>
  <c r="D1035" i="17"/>
  <c r="D1099" i="17"/>
  <c r="D725" i="17"/>
  <c r="D789" i="17"/>
  <c r="D853" i="17"/>
  <c r="D917" i="17"/>
  <c r="D981" i="17"/>
  <c r="D710" i="17"/>
  <c r="D774" i="17"/>
  <c r="D838" i="17"/>
  <c r="D902" i="17"/>
  <c r="D966" i="17"/>
  <c r="D696" i="17"/>
  <c r="D824" i="17"/>
  <c r="D952" i="17"/>
  <c r="D1054" i="17"/>
  <c r="D1118" i="17"/>
  <c r="D1182" i="17"/>
  <c r="D1246" i="17"/>
  <c r="D731" i="17"/>
  <c r="D859" i="17"/>
  <c r="D987" i="17"/>
  <c r="D793" i="17"/>
  <c r="D714" i="17"/>
  <c r="D970" i="17"/>
  <c r="D1058" i="17"/>
  <c r="D739" i="17"/>
  <c r="D1091" i="17"/>
  <c r="D1171" i="17"/>
  <c r="D847" i="17"/>
  <c r="D1065" i="17"/>
  <c r="D1193" i="17"/>
  <c r="D1280" i="17"/>
  <c r="D1053" i="17"/>
  <c r="D1267" i="17"/>
  <c r="D908" i="17"/>
  <c r="D1096" i="17"/>
  <c r="D1215" i="17"/>
  <c r="D708" i="17"/>
  <c r="D964" i="17"/>
  <c r="D1124" i="17"/>
  <c r="D1233" i="17"/>
  <c r="D903" i="17"/>
  <c r="D1219" i="17"/>
  <c r="D873" i="17"/>
  <c r="D794" i="17"/>
  <c r="D736" i="17"/>
  <c r="D1138" i="17"/>
  <c r="D899" i="17"/>
  <c r="D1127" i="17"/>
  <c r="D1191" i="17"/>
  <c r="D927" i="17"/>
  <c r="D1105" i="17"/>
  <c r="D1221" i="17"/>
  <c r="D759" i="17"/>
  <c r="D1133" i="17"/>
  <c r="D732" i="17"/>
  <c r="D988" i="17"/>
  <c r="D1136" i="17"/>
  <c r="D1241" i="17"/>
  <c r="D788" i="17"/>
  <c r="D1036" i="17"/>
  <c r="D1164" i="17"/>
  <c r="D1260" i="17"/>
  <c r="D1045" i="17"/>
  <c r="D761" i="17"/>
  <c r="D1017" i="17"/>
  <c r="D938" i="17"/>
  <c r="D1024" i="17"/>
  <c r="D1282" i="17"/>
  <c r="D1075" i="17"/>
  <c r="D1163" i="17"/>
  <c r="D815" i="17"/>
  <c r="D1049" i="17"/>
  <c r="D1177" i="17"/>
  <c r="D1269" i="17"/>
  <c r="D1085" i="17"/>
  <c r="D1288" i="17"/>
  <c r="D940" i="17"/>
  <c r="D1112" i="17"/>
  <c r="D1225" i="17"/>
  <c r="D740" i="17"/>
  <c r="D996" i="17"/>
  <c r="D1140" i="17"/>
  <c r="D1244" i="17"/>
  <c r="D967" i="17"/>
  <c r="D762" i="17"/>
  <c r="D1119" i="17"/>
  <c r="D1211" i="17"/>
  <c r="D956" i="17"/>
  <c r="D1012" i="17"/>
  <c r="D1203" i="17"/>
  <c r="D777" i="17"/>
  <c r="D1037" i="17"/>
  <c r="D1251" i="17"/>
  <c r="D1170" i="17"/>
  <c r="D959" i="17"/>
  <c r="D1165" i="17"/>
  <c r="D1252" i="17"/>
  <c r="D1271" i="17"/>
  <c r="D711" i="17"/>
  <c r="D1057" i="17"/>
  <c r="D839" i="17"/>
  <c r="D928" i="17"/>
  <c r="D767" i="17"/>
  <c r="D919" i="17"/>
  <c r="D1184" i="17"/>
  <c r="D1141" i="17"/>
  <c r="D892" i="17"/>
  <c r="D691" i="17"/>
  <c r="M691" i="17" s="1"/>
  <c r="D829" i="17"/>
  <c r="D1021" i="17"/>
  <c r="D750" i="17"/>
  <c r="D878" i="17"/>
  <c r="D776" i="17"/>
  <c r="D1030" i="17"/>
  <c r="D1222" i="17"/>
  <c r="D939" i="17"/>
  <c r="D781" i="17"/>
  <c r="D909" i="17"/>
  <c r="D702" i="17"/>
  <c r="D830" i="17"/>
  <c r="D958" i="17"/>
  <c r="D808" i="17"/>
  <c r="D1046" i="17"/>
  <c r="D1238" i="17"/>
  <c r="D843" i="17"/>
  <c r="D1063" i="17"/>
  <c r="D769" i="17"/>
  <c r="D897" i="17"/>
  <c r="D1025" i="17"/>
  <c r="D818" i="17"/>
  <c r="D946" i="17"/>
  <c r="D784" i="17"/>
  <c r="D1034" i="17"/>
  <c r="D1162" i="17"/>
  <c r="D819" i="17"/>
  <c r="D1051" i="17"/>
  <c r="D741" i="17"/>
  <c r="D869" i="17"/>
  <c r="D997" i="17"/>
  <c r="D790" i="17"/>
  <c r="D918" i="17"/>
  <c r="D728" i="17"/>
  <c r="D984" i="17"/>
  <c r="D1134" i="17"/>
  <c r="D1262" i="17"/>
  <c r="D891" i="17"/>
  <c r="D857" i="17"/>
  <c r="D1122" i="17"/>
  <c r="D1123" i="17"/>
  <c r="D911" i="17"/>
  <c r="D1216" i="17"/>
  <c r="D1117" i="17"/>
  <c r="D972" i="17"/>
  <c r="D1236" i="17"/>
  <c r="D1028" i="17"/>
  <c r="D1156" i="17"/>
  <c r="D1255" i="17"/>
  <c r="D1029" i="17"/>
  <c r="D1261" i="17"/>
  <c r="D937" i="17"/>
  <c r="D858" i="17"/>
  <c r="D864" i="17"/>
  <c r="D1027" i="17"/>
  <c r="D1143" i="17"/>
  <c r="D735" i="17"/>
  <c r="D991" i="17"/>
  <c r="D1137" i="17"/>
  <c r="D1243" i="17"/>
  <c r="D871" i="17"/>
  <c r="D1197" i="17"/>
  <c r="D796" i="17"/>
  <c r="D1040" i="17"/>
  <c r="D1168" i="17"/>
  <c r="D1263" i="17"/>
  <c r="D852" i="17"/>
  <c r="D1068" i="17"/>
  <c r="D1196" i="17"/>
  <c r="D1281" i="17"/>
  <c r="D1109" i="17"/>
  <c r="D825" i="17"/>
  <c r="D746" i="17"/>
  <c r="D1002" i="17"/>
  <c r="D1090" i="17"/>
  <c r="D803" i="17"/>
  <c r="D1107" i="17"/>
  <c r="D1179" i="17"/>
  <c r="D879" i="17"/>
  <c r="D1081" i="17"/>
  <c r="D1205" i="17"/>
  <c r="D791" i="17"/>
  <c r="D1149" i="17"/>
  <c r="D748" i="17"/>
  <c r="D1004" i="17"/>
  <c r="D1144" i="17"/>
  <c r="D1247" i="17"/>
  <c r="D804" i="17"/>
  <c r="D1044" i="17"/>
  <c r="D1172" i="17"/>
  <c r="D1265" i="17"/>
  <c r="D1061" i="17"/>
  <c r="D1018" i="17"/>
  <c r="D1183" i="17"/>
  <c r="D695" i="17"/>
  <c r="D1120" i="17"/>
  <c r="D1148" i="17"/>
  <c r="D1272" i="17"/>
  <c r="D1042" i="17"/>
  <c r="D1088" i="17"/>
  <c r="D905" i="17"/>
  <c r="D963" i="17"/>
  <c r="D1121" i="17"/>
  <c r="D764" i="17"/>
  <c r="D820" i="17"/>
  <c r="D1077" i="17"/>
  <c r="D698" i="17"/>
  <c r="D1256" i="17"/>
  <c r="D713" i="17"/>
  <c r="D1234" i="17"/>
  <c r="D1023" i="17"/>
  <c r="D1213" i="17"/>
  <c r="D1273" i="17"/>
  <c r="D954" i="17"/>
  <c r="D948" i="17"/>
  <c r="D765" i="17"/>
  <c r="D957" i="17"/>
  <c r="D814" i="17"/>
  <c r="D942" i="17"/>
  <c r="D904" i="17"/>
  <c r="D1094" i="17"/>
  <c r="D1286" i="17"/>
  <c r="D1047" i="17"/>
  <c r="D717" i="17"/>
  <c r="D845" i="17"/>
  <c r="D973" i="17"/>
  <c r="D766" i="17"/>
  <c r="D894" i="17"/>
  <c r="D1022" i="17"/>
  <c r="D936" i="17"/>
  <c r="D1110" i="17"/>
  <c r="D1174" i="17"/>
  <c r="D715" i="17"/>
  <c r="D971" i="17"/>
  <c r="D705" i="17"/>
  <c r="D833" i="17"/>
  <c r="D961" i="17"/>
  <c r="D754" i="17"/>
  <c r="D882" i="17"/>
  <c r="D1010" i="17"/>
  <c r="D912" i="17"/>
  <c r="D1098" i="17"/>
  <c r="D1226" i="17"/>
  <c r="D1290" i="17"/>
  <c r="D947" i="17"/>
  <c r="D1115" i="17"/>
  <c r="D805" i="17"/>
  <c r="D933" i="17"/>
  <c r="D726" i="17"/>
  <c r="D854" i="17"/>
  <c r="D982" i="17"/>
  <c r="D856" i="17"/>
  <c r="D1070" i="17"/>
  <c r="D1198" i="17"/>
  <c r="D763" i="17"/>
  <c r="D1019" i="17"/>
  <c r="D778" i="17"/>
  <c r="D704" i="17"/>
  <c r="D867" i="17"/>
  <c r="D1187" i="17"/>
  <c r="D1097" i="17"/>
  <c r="D727" i="17"/>
  <c r="D716" i="17"/>
  <c r="D1128" i="17"/>
  <c r="D772" i="17"/>
  <c r="D1202" i="17"/>
  <c r="D733" i="17"/>
  <c r="D797" i="17"/>
  <c r="D861" i="17"/>
  <c r="D925" i="17"/>
  <c r="D989" i="17"/>
  <c r="D718" i="17"/>
  <c r="D782" i="17"/>
  <c r="D846" i="17"/>
  <c r="D910" i="17"/>
  <c r="D974" i="17"/>
  <c r="D712" i="17"/>
  <c r="D840" i="17"/>
  <c r="D968" i="17"/>
  <c r="D1062" i="17"/>
  <c r="D1126" i="17"/>
  <c r="D1190" i="17"/>
  <c r="D1254" i="17"/>
  <c r="D747" i="17"/>
  <c r="D875" i="17"/>
  <c r="D1003" i="17"/>
  <c r="D1079" i="17"/>
  <c r="D721" i="17"/>
  <c r="D785" i="17"/>
  <c r="D849" i="17"/>
  <c r="D913" i="17"/>
  <c r="D977" i="17"/>
  <c r="D706" i="17"/>
  <c r="D770" i="17"/>
  <c r="D834" i="17"/>
  <c r="D898" i="17"/>
  <c r="D962" i="17"/>
  <c r="D1026" i="17"/>
  <c r="D816" i="17"/>
  <c r="D944" i="17"/>
  <c r="D1050" i="17"/>
  <c r="D1114" i="17"/>
  <c r="D1178" i="17"/>
  <c r="D1242" i="17"/>
  <c r="D723" i="17"/>
  <c r="D851" i="17"/>
  <c r="D979" i="17"/>
  <c r="D1067" i="17"/>
  <c r="D693" i="17"/>
  <c r="D757" i="17"/>
  <c r="D821" i="17"/>
  <c r="D885" i="17"/>
  <c r="D949" i="17"/>
  <c r="D1013" i="17"/>
  <c r="D742" i="17"/>
  <c r="D806" i="17"/>
  <c r="D870" i="17"/>
  <c r="D934" i="17"/>
  <c r="D998" i="17"/>
  <c r="D760" i="17"/>
  <c r="D888" i="17"/>
  <c r="D1016" i="17"/>
  <c r="D1086" i="17"/>
  <c r="D1150" i="17"/>
  <c r="D1214" i="17"/>
  <c r="D1278" i="17"/>
  <c r="D795" i="17"/>
  <c r="D923" i="17"/>
  <c r="D1039" i="17"/>
  <c r="D921" i="17"/>
  <c r="D842" i="17"/>
  <c r="D832" i="17"/>
  <c r="D1186" i="17"/>
  <c r="D995" i="17"/>
  <c r="D1139" i="17"/>
  <c r="D719" i="17"/>
  <c r="D975" i="17"/>
  <c r="D1129" i="17"/>
  <c r="D1237" i="17"/>
  <c r="D855" i="17"/>
  <c r="D1181" i="17"/>
  <c r="D780" i="17"/>
  <c r="D1032" i="17"/>
  <c r="D1160" i="17"/>
  <c r="D1257" i="17"/>
  <c r="D836" i="17"/>
  <c r="D1060" i="17"/>
  <c r="D1188" i="17"/>
  <c r="D1276" i="17"/>
  <c r="D1093" i="17"/>
  <c r="D745" i="17"/>
  <c r="D1001" i="17"/>
  <c r="D922" i="17"/>
  <c r="D992" i="17"/>
  <c r="D1266" i="17"/>
  <c r="D1071" i="17"/>
  <c r="D1159" i="17"/>
  <c r="D799" i="17"/>
  <c r="D1041" i="17"/>
  <c r="D1169" i="17"/>
  <c r="D1264" i="17"/>
  <c r="D983" i="17"/>
  <c r="D1235" i="17"/>
  <c r="D860" i="17"/>
  <c r="D1072" i="17"/>
  <c r="D1199" i="17"/>
  <c r="D1284" i="17"/>
  <c r="D916" i="17"/>
  <c r="D1100" i="17"/>
  <c r="D1217" i="17"/>
  <c r="D775" i="17"/>
  <c r="D1173" i="17"/>
  <c r="D889" i="17"/>
  <c r="D810" i="17"/>
  <c r="D768" i="17"/>
  <c r="D1154" i="17"/>
  <c r="D931" i="17"/>
  <c r="D1131" i="17"/>
  <c r="D1195" i="17"/>
  <c r="D943" i="17"/>
  <c r="D1113" i="17"/>
  <c r="D1227" i="17"/>
  <c r="D887" i="17"/>
  <c r="D1208" i="17"/>
  <c r="D812" i="17"/>
  <c r="D1048" i="17"/>
  <c r="D1176" i="17"/>
  <c r="D1268" i="17"/>
  <c r="D868" i="17"/>
  <c r="D1076" i="17"/>
  <c r="D1201" i="17"/>
  <c r="D1287" i="17"/>
  <c r="D1125" i="17"/>
  <c r="D1106" i="17"/>
  <c r="D895" i="17"/>
  <c r="D1101" i="17"/>
  <c r="D1231" i="17"/>
  <c r="D1249" i="17"/>
  <c r="D1207" i="17"/>
  <c r="D1087" i="17"/>
  <c r="D692" i="17"/>
  <c r="D826" i="17"/>
  <c r="D1135" i="17"/>
  <c r="D1232" i="17"/>
  <c r="D1020" i="17"/>
  <c r="D1052" i="17"/>
  <c r="D1229" i="17"/>
  <c r="D707" i="17"/>
  <c r="D1209" i="17"/>
  <c r="D969" i="17"/>
  <c r="D1055" i="17"/>
  <c r="D1153" i="17"/>
  <c r="D828" i="17"/>
  <c r="D884" i="17"/>
  <c r="D831" i="17"/>
  <c r="N691" i="17" l="1"/>
  <c r="V691" i="17"/>
  <c r="AJ691" i="17" l="1"/>
  <c r="O691" i="17" s="1"/>
  <c r="P691" i="17" l="1"/>
  <c r="Q691" i="17"/>
  <c r="R691" i="17" l="1"/>
  <c r="S691" i="17" l="1"/>
  <c r="U692" i="17"/>
  <c r="V692" i="17" s="1"/>
  <c r="K692" i="17"/>
  <c r="AQ691" i="17"/>
  <c r="T691" i="17"/>
  <c r="AI691" i="17"/>
  <c r="H692" i="17"/>
  <c r="M692" i="17" l="1"/>
  <c r="N692" i="17" s="1"/>
  <c r="AJ692" i="17" l="1"/>
  <c r="O692" i="17" l="1"/>
  <c r="Q692" i="17"/>
  <c r="P692" i="17"/>
  <c r="R692" i="17" l="1"/>
  <c r="S692" i="17" s="1"/>
  <c r="AQ692" i="17" l="1"/>
  <c r="AI692" i="17"/>
  <c r="K693" i="17"/>
  <c r="T692" i="17"/>
  <c r="H693" i="17"/>
  <c r="M693" i="17" l="1"/>
  <c r="N693" i="17" s="1"/>
  <c r="U693" i="17"/>
  <c r="V693" i="17" s="1"/>
  <c r="AJ693" i="17" l="1"/>
  <c r="O693" i="17" s="1"/>
  <c r="Q693" i="17" l="1"/>
  <c r="P693" i="17"/>
  <c r="R693" i="17" l="1"/>
  <c r="S693" i="17" s="1"/>
  <c r="T693" i="17" l="1"/>
  <c r="AQ693" i="17"/>
  <c r="K694" i="17"/>
  <c r="H694" i="17"/>
  <c r="AI693" i="17"/>
  <c r="U694" i="17" l="1"/>
  <c r="V694" i="17" s="1"/>
  <c r="M694" i="17"/>
  <c r="N694" i="17" s="1"/>
  <c r="AJ694" i="17" l="1"/>
  <c r="O694" i="17" l="1"/>
  <c r="Q694" i="17"/>
  <c r="P694" i="17"/>
  <c r="R694" i="17" l="1"/>
  <c r="S694" i="17" l="1"/>
  <c r="AQ694" i="17"/>
  <c r="T694" i="17"/>
  <c r="AI694" i="17"/>
  <c r="K695" i="17"/>
  <c r="H695" i="17"/>
  <c r="M695" i="17" l="1"/>
  <c r="U695" i="17"/>
  <c r="V695" i="17" s="1"/>
  <c r="N695" i="17" l="1"/>
  <c r="AJ695" i="17" l="1"/>
  <c r="Q695" i="17" s="1"/>
  <c r="O695" i="17" l="1"/>
  <c r="P695" i="17"/>
  <c r="R695" i="17" l="1"/>
  <c r="S695" i="17" s="1"/>
  <c r="AI695" i="17" l="1"/>
  <c r="T695" i="17"/>
  <c r="H696" i="17"/>
  <c r="K696" i="17"/>
  <c r="M696" i="17" s="1"/>
  <c r="AQ695" i="17"/>
  <c r="U696" i="17" l="1"/>
  <c r="V696" i="17" s="1"/>
  <c r="N696" i="17"/>
  <c r="AJ696" i="17" l="1"/>
  <c r="P696" i="17" s="1"/>
  <c r="O696" i="17" l="1"/>
  <c r="Q696" i="17"/>
  <c r="R696" i="17" l="1"/>
  <c r="S696" i="17" l="1"/>
  <c r="AQ696" i="17"/>
  <c r="T696" i="17"/>
  <c r="K697" i="17"/>
  <c r="H697" i="17"/>
  <c r="AI696" i="17"/>
  <c r="U697" i="17" l="1"/>
  <c r="V697" i="17" s="1"/>
  <c r="M697" i="17"/>
  <c r="N697" i="17" s="1"/>
  <c r="AJ697" i="17" l="1"/>
  <c r="O697" i="17" s="1"/>
  <c r="Q697" i="17" l="1"/>
  <c r="P697" i="17"/>
  <c r="R697" i="17" l="1"/>
  <c r="S697" i="17" s="1"/>
  <c r="T697" i="17" l="1"/>
  <c r="K698" i="17"/>
  <c r="U698" i="17" s="1"/>
  <c r="V698" i="17" s="1"/>
  <c r="AI697" i="17"/>
  <c r="H698" i="17"/>
  <c r="AQ697" i="17"/>
  <c r="M698" i="17" l="1"/>
  <c r="N698" i="17" s="1"/>
  <c r="AJ698" i="17" s="1"/>
  <c r="O698" i="17" s="1"/>
  <c r="P698" i="17" l="1"/>
  <c r="Q698" i="17"/>
  <c r="R698" i="17" l="1"/>
  <c r="S698" i="17" s="1"/>
  <c r="H699" i="17" l="1"/>
  <c r="AQ698" i="17"/>
  <c r="T698" i="17"/>
  <c r="AI698" i="17"/>
  <c r="K699" i="17"/>
  <c r="U699" i="17" s="1"/>
  <c r="V699" i="17" s="1"/>
  <c r="M699" i="17" l="1"/>
  <c r="N699" i="17" s="1"/>
  <c r="AJ699" i="17" s="1"/>
  <c r="O699" i="17" s="1"/>
  <c r="Q699" i="17" l="1"/>
  <c r="P699" i="17"/>
  <c r="R699" i="17" l="1"/>
  <c r="AI699" i="17" s="1"/>
  <c r="AQ699" i="17" l="1"/>
  <c r="H700" i="17"/>
  <c r="K700" i="17"/>
  <c r="U700" i="17" s="1"/>
  <c r="V700" i="17" s="1"/>
  <c r="S699" i="17"/>
  <c r="T699" i="17"/>
  <c r="M700" i="17" l="1"/>
  <c r="N700" i="17" s="1"/>
  <c r="AJ700" i="17" s="1"/>
  <c r="O700" i="17" s="1"/>
  <c r="Q700" i="17" l="1"/>
  <c r="P700" i="17"/>
  <c r="R700" i="17" l="1"/>
  <c r="S700" i="17" l="1"/>
  <c r="T700" i="17"/>
  <c r="K701" i="17"/>
  <c r="H701" i="17"/>
  <c r="AQ700" i="17"/>
  <c r="AI700" i="17"/>
  <c r="M701" i="17" l="1"/>
  <c r="N701" i="17" s="1"/>
  <c r="AJ701" i="17" s="1"/>
  <c r="O701" i="17" s="1"/>
  <c r="U701" i="17"/>
  <c r="V701" i="17" s="1"/>
  <c r="Q701" i="17" l="1"/>
  <c r="P701" i="17"/>
  <c r="R701" i="17" l="1"/>
  <c r="AI701" i="17" s="1"/>
  <c r="H702" i="17" l="1"/>
  <c r="T701" i="17"/>
  <c r="K702" i="17"/>
  <c r="U702" i="17" s="1"/>
  <c r="V702" i="17" s="1"/>
  <c r="S701" i="17"/>
  <c r="AQ701" i="17"/>
  <c r="M702" i="17" l="1"/>
  <c r="N702" i="17" s="1"/>
  <c r="AJ702" i="17" s="1"/>
  <c r="O702" i="17" s="1"/>
  <c r="P702" i="17" l="1"/>
  <c r="Q702" i="17"/>
  <c r="R702" i="17" l="1"/>
  <c r="S702" i="17" s="1"/>
  <c r="K703" i="17" l="1"/>
  <c r="U703" i="17" s="1"/>
  <c r="V703" i="17" s="1"/>
  <c r="AQ702" i="17"/>
  <c r="H703" i="17"/>
  <c r="AI702" i="17"/>
  <c r="T702" i="17"/>
  <c r="M703" i="17" l="1"/>
  <c r="N703" i="17" s="1"/>
  <c r="AJ703" i="17" l="1"/>
  <c r="Q703" i="17" s="1"/>
  <c r="O703" i="17" l="1"/>
  <c r="P703" i="17"/>
  <c r="R703" i="17" l="1"/>
  <c r="S703" i="17" l="1"/>
  <c r="AQ703" i="17"/>
  <c r="AK703" i="17"/>
  <c r="AI703" i="17"/>
  <c r="K704" i="17"/>
  <c r="H704" i="17"/>
  <c r="T703" i="17"/>
  <c r="G21" i="17" l="1"/>
  <c r="U704" i="17"/>
  <c r="V704" i="17" s="1"/>
  <c r="M704" i="17"/>
  <c r="L22" i="13" l="1"/>
  <c r="M23" i="13"/>
  <c r="Q22" i="13"/>
  <c r="N704" i="17"/>
  <c r="AJ704" i="17" l="1"/>
  <c r="O704" i="17" s="1"/>
  <c r="P704" i="17" l="1"/>
  <c r="Q704" i="17"/>
  <c r="R704" i="17" l="1"/>
  <c r="AK704" i="17" s="1"/>
  <c r="T704" i="17" l="1"/>
  <c r="H705" i="17"/>
  <c r="AQ704" i="17"/>
  <c r="S704" i="17"/>
  <c r="K705" i="17"/>
  <c r="M705" i="17" s="1"/>
  <c r="N705" i="17" s="1"/>
  <c r="AJ705" i="17" s="1"/>
  <c r="O705" i="17" s="1"/>
  <c r="AI704" i="17"/>
  <c r="U705" i="17" l="1"/>
  <c r="V705" i="17" s="1"/>
  <c r="Q705" i="17"/>
  <c r="P705" i="17"/>
  <c r="R705" i="17" l="1"/>
  <c r="K706" i="17" s="1"/>
  <c r="H706" i="17" l="1"/>
  <c r="S705" i="17"/>
  <c r="AK705" i="17"/>
  <c r="AQ705" i="17"/>
  <c r="T705" i="17"/>
  <c r="AI705" i="17"/>
  <c r="U706" i="17"/>
  <c r="V706" i="17" s="1"/>
  <c r="M706" i="17"/>
  <c r="N706" i="17" l="1"/>
  <c r="AJ706" i="17" l="1"/>
  <c r="O706" i="17" s="1"/>
  <c r="Q706" i="17" l="1"/>
  <c r="P706" i="17"/>
  <c r="R706" i="17" l="1"/>
  <c r="S706" i="17" l="1"/>
  <c r="AQ706" i="17"/>
  <c r="AK706" i="17"/>
  <c r="K707" i="17"/>
  <c r="T706" i="17"/>
  <c r="AI706" i="17"/>
  <c r="H707" i="17"/>
  <c r="M707" i="17" l="1"/>
  <c r="N707" i="17" s="1"/>
  <c r="AJ707" i="17" s="1"/>
  <c r="U707" i="17"/>
  <c r="V707" i="17" s="1"/>
  <c r="O707" i="17" l="1"/>
  <c r="P707" i="17"/>
  <c r="Q707" i="17"/>
  <c r="R707" i="17" l="1"/>
  <c r="S707" i="17" s="1"/>
  <c r="H708" i="17" l="1"/>
  <c r="AI707" i="17"/>
  <c r="K708" i="17"/>
  <c r="M708" i="17" s="1"/>
  <c r="T707" i="17"/>
  <c r="AQ707" i="17"/>
  <c r="AK707" i="17"/>
  <c r="U708" i="17" l="1"/>
  <c r="V708" i="17" s="1"/>
  <c r="N708" i="17"/>
  <c r="AJ708" i="17" l="1"/>
  <c r="O708" i="17" s="1"/>
  <c r="Q708" i="17" l="1"/>
  <c r="P708" i="17"/>
  <c r="R708" i="17" l="1"/>
  <c r="K709" i="17" s="1"/>
  <c r="AQ708" i="17" l="1"/>
  <c r="AK708" i="17"/>
  <c r="S708" i="17"/>
  <c r="T708" i="17"/>
  <c r="AI708" i="17"/>
  <c r="H709" i="17"/>
  <c r="U709" i="17"/>
  <c r="V709" i="17" s="1"/>
  <c r="M709" i="17"/>
  <c r="N709" i="17" s="1"/>
  <c r="AJ709" i="17" s="1"/>
  <c r="O709" i="17" s="1"/>
  <c r="P709" i="17" l="1"/>
  <c r="Q709" i="17"/>
  <c r="R709" i="17" l="1"/>
  <c r="AK709" i="17" s="1"/>
  <c r="AQ709" i="17" l="1"/>
  <c r="S709" i="17"/>
  <c r="H710" i="17"/>
  <c r="AI709" i="17"/>
  <c r="T709" i="17"/>
  <c r="K710" i="17"/>
  <c r="M710" i="17" s="1"/>
  <c r="N710" i="17" s="1"/>
  <c r="AJ710" i="17" s="1"/>
  <c r="O710" i="17" s="1"/>
  <c r="U710" i="17" l="1"/>
  <c r="V710" i="17" s="1"/>
  <c r="P710" i="17"/>
  <c r="Q710" i="17"/>
  <c r="R710" i="17" l="1"/>
  <c r="AI710" i="17" s="1"/>
  <c r="AQ710" i="17" l="1"/>
  <c r="AK710" i="17"/>
  <c r="S710" i="17"/>
  <c r="K711" i="17"/>
  <c r="U711" i="17" s="1"/>
  <c r="V711" i="17" s="1"/>
  <c r="T710" i="17"/>
  <c r="H711" i="17"/>
  <c r="M711" i="17" l="1"/>
  <c r="N711" i="17" s="1"/>
  <c r="AJ711" i="17" s="1"/>
  <c r="O711" i="17" s="1"/>
  <c r="Q711" i="17" l="1"/>
  <c r="P711" i="17"/>
  <c r="R711" i="17" l="1"/>
  <c r="S711" i="17" s="1"/>
  <c r="K712" i="17" l="1"/>
  <c r="U712" i="17" s="1"/>
  <c r="V712" i="17" s="1"/>
  <c r="AK711" i="17"/>
  <c r="AQ711" i="17"/>
  <c r="AI711" i="17"/>
  <c r="T711" i="17"/>
  <c r="H712" i="17"/>
  <c r="M712" i="17" l="1"/>
  <c r="N712" i="17" s="1"/>
  <c r="AJ712" i="17" l="1"/>
  <c r="O712" i="17" s="1"/>
  <c r="Q712" i="17" l="1"/>
  <c r="P712" i="17"/>
  <c r="R712" i="17" l="1"/>
  <c r="AK712" i="17" s="1"/>
  <c r="S712" i="17" l="1"/>
  <c r="H713" i="17"/>
  <c r="T712" i="17"/>
  <c r="AQ712" i="17"/>
  <c r="AI712" i="17"/>
  <c r="K713" i="17"/>
  <c r="U713" i="17" s="1"/>
  <c r="V713" i="17" s="1"/>
  <c r="M713" i="17" l="1"/>
  <c r="N713" i="17" s="1"/>
  <c r="AJ713" i="17" s="1"/>
  <c r="O713" i="17" s="1"/>
  <c r="P713" i="17" l="1"/>
  <c r="Q713" i="17"/>
  <c r="R713" i="17" l="1"/>
  <c r="AK713" i="17" s="1"/>
  <c r="T713" i="17" l="1"/>
  <c r="AI713" i="17"/>
  <c r="K714" i="17"/>
  <c r="U714" i="17" s="1"/>
  <c r="V714" i="17" s="1"/>
  <c r="AQ713" i="17"/>
  <c r="H714" i="17"/>
  <c r="S713" i="17"/>
  <c r="M714" i="17"/>
  <c r="N714" i="17" s="1"/>
  <c r="AJ714" i="17" l="1"/>
  <c r="Q714" i="17" s="1"/>
  <c r="O714" i="17" l="1"/>
  <c r="P714" i="17"/>
  <c r="R714" i="17" l="1"/>
  <c r="AQ714" i="17" l="1"/>
  <c r="AK714" i="17"/>
  <c r="AI714" i="17"/>
  <c r="K715" i="17"/>
  <c r="S714" i="17"/>
  <c r="H715" i="17"/>
  <c r="T714" i="17"/>
  <c r="M715" i="17" l="1"/>
  <c r="N715" i="17" s="1"/>
  <c r="AJ715" i="17" s="1"/>
  <c r="U715" i="17"/>
  <c r="V715" i="17" s="1"/>
  <c r="P715" i="17" l="1"/>
  <c r="O715" i="17"/>
  <c r="Q715" i="17"/>
  <c r="G22" i="17"/>
  <c r="R715" i="17" l="1"/>
  <c r="H716" i="17" s="1"/>
  <c r="L23" i="13"/>
  <c r="Q23" i="13"/>
  <c r="M24" i="13"/>
  <c r="AK715" i="17" l="1"/>
  <c r="T715" i="17"/>
  <c r="K716" i="17"/>
  <c r="U716" i="17" s="1"/>
  <c r="V716" i="17" s="1"/>
  <c r="AI715" i="17"/>
  <c r="AQ715" i="17"/>
  <c r="S715" i="17"/>
  <c r="M716" i="17" l="1"/>
  <c r="N716" i="17" s="1"/>
  <c r="AJ716" i="17" s="1"/>
  <c r="O716" i="17" s="1"/>
  <c r="P716" i="17" l="1"/>
  <c r="Q716" i="17"/>
  <c r="R716" i="17" l="1"/>
  <c r="T716" i="17" s="1"/>
  <c r="AQ716" i="17" l="1"/>
  <c r="K717" i="17"/>
  <c r="U717" i="17" s="1"/>
  <c r="V717" i="17" s="1"/>
  <c r="AI716" i="17"/>
  <c r="S716" i="17"/>
  <c r="H717" i="17"/>
  <c r="AK716" i="17"/>
  <c r="M717" i="17" l="1"/>
  <c r="N717" i="17" s="1"/>
  <c r="AJ717" i="17" s="1"/>
  <c r="O717" i="17" s="1"/>
  <c r="Q717" i="17" l="1"/>
  <c r="P717" i="17"/>
  <c r="R717" i="17" l="1"/>
  <c r="S717" i="17" s="1"/>
  <c r="H718" i="17" l="1"/>
  <c r="AI717" i="17"/>
  <c r="K718" i="17"/>
  <c r="U718" i="17" s="1"/>
  <c r="V718" i="17" s="1"/>
  <c r="AQ717" i="17"/>
  <c r="T717" i="17"/>
  <c r="AK717" i="17"/>
  <c r="M718" i="17" l="1"/>
  <c r="N718" i="17" s="1"/>
  <c r="AJ718" i="17" s="1"/>
  <c r="P718" i="17" s="1"/>
  <c r="O718" i="17" l="1"/>
  <c r="Q718" i="17"/>
  <c r="R718" i="17" l="1"/>
  <c r="S718" i="17" s="1"/>
  <c r="AQ718" i="17" l="1"/>
  <c r="AK718" i="17"/>
  <c r="T718" i="17"/>
  <c r="H719" i="17"/>
  <c r="AI718" i="17"/>
  <c r="K719" i="17"/>
  <c r="M719" i="17" l="1"/>
  <c r="N719" i="17" s="1"/>
  <c r="AJ719" i="17" s="1"/>
  <c r="O719" i="17" s="1"/>
  <c r="U719" i="17"/>
  <c r="V719" i="17" s="1"/>
  <c r="P719" i="17" l="1"/>
  <c r="Q719" i="17"/>
  <c r="R719" i="17" l="1"/>
  <c r="S719" i="17" s="1"/>
  <c r="T719" i="17" l="1"/>
  <c r="H720" i="17"/>
  <c r="AI719" i="17"/>
  <c r="AK719" i="17"/>
  <c r="K720" i="17"/>
  <c r="M720" i="17" s="1"/>
  <c r="N720" i="17" s="1"/>
  <c r="AJ720" i="17" s="1"/>
  <c r="O720" i="17" s="1"/>
  <c r="AQ719" i="17"/>
  <c r="U720" i="17" l="1"/>
  <c r="V720" i="17" s="1"/>
  <c r="P720" i="17"/>
  <c r="Q720" i="17"/>
  <c r="R720" i="17" l="1"/>
  <c r="S720" i="17" s="1"/>
  <c r="AI720" i="17" l="1"/>
  <c r="K721" i="17"/>
  <c r="M721" i="17" s="1"/>
  <c r="N721" i="17" s="1"/>
  <c r="AJ721" i="17" s="1"/>
  <c r="O721" i="17" s="1"/>
  <c r="T720" i="17"/>
  <c r="AQ720" i="17"/>
  <c r="AK720" i="17"/>
  <c r="H721" i="17"/>
  <c r="P721" i="17" l="1"/>
  <c r="U721" i="17"/>
  <c r="V721" i="17" s="1"/>
  <c r="Q721" i="17"/>
  <c r="R721" i="17" l="1"/>
  <c r="S721" i="17" s="1"/>
  <c r="T721" i="17" l="1"/>
  <c r="AK721" i="17"/>
  <c r="AI721" i="17"/>
  <c r="K722" i="17"/>
  <c r="M722" i="17" s="1"/>
  <c r="N722" i="17" s="1"/>
  <c r="H722" i="17"/>
  <c r="AQ721" i="17"/>
  <c r="U722" i="17" l="1"/>
  <c r="V722" i="17" s="1"/>
  <c r="AJ722" i="17"/>
  <c r="O722" i="17" l="1"/>
  <c r="P722" i="17"/>
  <c r="Q722" i="17"/>
  <c r="R722" i="17" l="1"/>
  <c r="S722" i="17" s="1"/>
  <c r="H723" i="17" l="1"/>
  <c r="K723" i="17"/>
  <c r="AI722" i="17"/>
  <c r="AK722" i="17"/>
  <c r="T722" i="17"/>
  <c r="AQ722" i="17"/>
  <c r="M723" i="17" l="1"/>
  <c r="U723" i="17"/>
  <c r="V723" i="17" s="1"/>
  <c r="N723" i="17" l="1"/>
  <c r="AJ723" i="17" l="1"/>
  <c r="O723" i="17" s="1"/>
  <c r="P723" i="17" l="1"/>
  <c r="Q723" i="17"/>
  <c r="R723" i="17" l="1"/>
  <c r="S723" i="17" s="1"/>
  <c r="T723" i="17" l="1"/>
  <c r="K724" i="17"/>
  <c r="U724" i="17" s="1"/>
  <c r="V724" i="17" s="1"/>
  <c r="AK723" i="17"/>
  <c r="AQ723" i="17"/>
  <c r="H724" i="17"/>
  <c r="AI723" i="17"/>
  <c r="M724" i="17" l="1"/>
  <c r="N724" i="17" s="1"/>
  <c r="AJ724" i="17" s="1"/>
  <c r="O724" i="17" s="1"/>
  <c r="Q724" i="17" l="1"/>
  <c r="P724" i="17"/>
  <c r="R724" i="17" l="1"/>
  <c r="S724" i="17" s="1"/>
  <c r="H725" i="17" l="1"/>
  <c r="T724" i="17"/>
  <c r="AQ724" i="17"/>
  <c r="K725" i="17"/>
  <c r="U725" i="17" s="1"/>
  <c r="V725" i="17" s="1"/>
  <c r="AI724" i="17"/>
  <c r="AK724" i="17"/>
  <c r="M725" i="17" l="1"/>
  <c r="N725" i="17" s="1"/>
  <c r="AJ725" i="17" s="1"/>
  <c r="P725" i="17" s="1"/>
  <c r="Q725" i="17" l="1"/>
  <c r="O725" i="17"/>
  <c r="R725" i="17" s="1"/>
  <c r="S725" i="17" s="1"/>
  <c r="K726" i="17" l="1"/>
  <c r="M726" i="17" s="1"/>
  <c r="AK725" i="17"/>
  <c r="AQ725" i="17"/>
  <c r="T725" i="17"/>
  <c r="AI725" i="17"/>
  <c r="H726" i="17"/>
  <c r="N726" i="17" l="1"/>
  <c r="AJ726" i="17" s="1"/>
  <c r="U726" i="17"/>
  <c r="V726" i="17" s="1"/>
  <c r="P726" i="17" l="1"/>
  <c r="O726" i="17"/>
  <c r="Q726" i="17"/>
  <c r="R726" i="17" l="1"/>
  <c r="S726" i="17" s="1"/>
  <c r="AQ726" i="17" l="1"/>
  <c r="AK726" i="17"/>
  <c r="K727" i="17"/>
  <c r="H727" i="17"/>
  <c r="T726" i="17"/>
  <c r="AI726" i="17"/>
  <c r="U727" i="17" l="1"/>
  <c r="V727" i="17" s="1"/>
  <c r="M727" i="17"/>
  <c r="N727" i="17" l="1"/>
  <c r="AJ727" i="17" l="1"/>
  <c r="P727" i="17" l="1"/>
  <c r="O727" i="17"/>
  <c r="Q727" i="17"/>
  <c r="R727" i="17" l="1"/>
  <c r="S727" i="17" s="1"/>
  <c r="AQ727" i="17" l="1"/>
  <c r="AK727" i="17"/>
  <c r="K728" i="17"/>
  <c r="T727" i="17"/>
  <c r="AI727" i="17"/>
  <c r="H728" i="17"/>
  <c r="G23" i="17" l="1"/>
  <c r="U728" i="17"/>
  <c r="V728" i="17" s="1"/>
  <c r="M728" i="17"/>
  <c r="N728" i="17" s="1"/>
  <c r="L24" i="13" l="1"/>
  <c r="Q24" i="13"/>
  <c r="M25" i="13"/>
  <c r="AJ728" i="17"/>
  <c r="Q728" i="17" s="1"/>
  <c r="O728" i="17" l="1"/>
  <c r="P728" i="17"/>
  <c r="R728" i="17" l="1"/>
  <c r="S728" i="17" s="1"/>
  <c r="K729" i="17" l="1"/>
  <c r="U729" i="17" s="1"/>
  <c r="V729" i="17" s="1"/>
  <c r="T728" i="17"/>
  <c r="H729" i="17"/>
  <c r="AK728" i="17"/>
  <c r="AI728" i="17"/>
  <c r="AQ728" i="17"/>
  <c r="M729" i="17" l="1"/>
  <c r="N729" i="17" s="1"/>
  <c r="AJ729" i="17" s="1"/>
  <c r="O729" i="17" l="1"/>
  <c r="P729" i="17"/>
  <c r="Q729" i="17"/>
  <c r="R729" i="17" l="1"/>
  <c r="S729" i="17" s="1"/>
  <c r="H730" i="17" l="1"/>
  <c r="AI729" i="17"/>
  <c r="T729" i="17"/>
  <c r="K730" i="17"/>
  <c r="U730" i="17" s="1"/>
  <c r="V730" i="17" s="1"/>
  <c r="AQ729" i="17"/>
  <c r="AK729" i="17"/>
  <c r="M730" i="17" l="1"/>
  <c r="N730" i="17" s="1"/>
  <c r="AJ730" i="17" s="1"/>
  <c r="O730" i="17" s="1"/>
  <c r="Q730" i="17" l="1"/>
  <c r="P730" i="17"/>
  <c r="R730" i="17" l="1"/>
  <c r="S730" i="17" s="1"/>
  <c r="T730" i="17" l="1"/>
  <c r="K731" i="17"/>
  <c r="M731" i="17" s="1"/>
  <c r="N731" i="17" s="1"/>
  <c r="AJ731" i="17" s="1"/>
  <c r="O731" i="17" s="1"/>
  <c r="H731" i="17"/>
  <c r="AK730" i="17"/>
  <c r="AI730" i="17"/>
  <c r="AQ730" i="17"/>
  <c r="Q731" i="17" l="1"/>
  <c r="P731" i="17"/>
  <c r="U731" i="17"/>
  <c r="V731" i="17" s="1"/>
  <c r="R731" i="17" l="1"/>
  <c r="S731" i="17" s="1"/>
  <c r="H732" i="17" l="1"/>
  <c r="T731" i="17"/>
  <c r="AK731" i="17"/>
  <c r="AQ731" i="17"/>
  <c r="K732" i="17"/>
  <c r="U732" i="17" s="1"/>
  <c r="V732" i="17" s="1"/>
  <c r="AI731" i="17"/>
  <c r="M732" i="17" l="1"/>
  <c r="N732" i="17" s="1"/>
  <c r="AJ732" i="17" s="1"/>
  <c r="P732" i="17" s="1"/>
  <c r="O732" i="17" l="1"/>
  <c r="Q732" i="17"/>
  <c r="R732" i="17" l="1"/>
  <c r="S732" i="17" s="1"/>
  <c r="AI732" i="17" l="1"/>
  <c r="H733" i="17"/>
  <c r="AK732" i="17"/>
  <c r="AQ732" i="17"/>
  <c r="T732" i="17"/>
  <c r="K733" i="17"/>
  <c r="U733" i="17" s="1"/>
  <c r="V733" i="17" s="1"/>
  <c r="M733" i="17" l="1"/>
  <c r="N733" i="17" s="1"/>
  <c r="AJ733" i="17" s="1"/>
  <c r="O733" i="17" s="1"/>
  <c r="Q733" i="17" l="1"/>
  <c r="P733" i="17"/>
  <c r="R733" i="17" s="1"/>
  <c r="S733" i="17" s="1"/>
  <c r="K734" i="17" l="1"/>
  <c r="M734" i="17" s="1"/>
  <c r="N734" i="17" s="1"/>
  <c r="AJ734" i="17" s="1"/>
  <c r="O734" i="17" s="1"/>
  <c r="AI733" i="17"/>
  <c r="H734" i="17"/>
  <c r="AK733" i="17"/>
  <c r="AQ733" i="17"/>
  <c r="T733" i="17"/>
  <c r="Q734" i="17" l="1"/>
  <c r="P734" i="17"/>
  <c r="U734" i="17"/>
  <c r="V734" i="17" s="1"/>
  <c r="R734" i="17" l="1"/>
  <c r="S734" i="17" s="1"/>
  <c r="AQ734" i="17" l="1"/>
  <c r="H735" i="17"/>
  <c r="K735" i="17"/>
  <c r="M735" i="17" s="1"/>
  <c r="N735" i="17" s="1"/>
  <c r="AJ735" i="17" s="1"/>
  <c r="O735" i="17" s="1"/>
  <c r="T734" i="17"/>
  <c r="AI734" i="17"/>
  <c r="AK734" i="17"/>
  <c r="Q735" i="17" l="1"/>
  <c r="P735" i="17"/>
  <c r="U735" i="17"/>
  <c r="V735" i="17" s="1"/>
  <c r="R735" i="17" l="1"/>
  <c r="S735" i="17" s="1"/>
  <c r="T735" i="17" l="1"/>
  <c r="AQ735" i="17"/>
  <c r="AK735" i="17"/>
  <c r="K736" i="17"/>
  <c r="U736" i="17" s="1"/>
  <c r="V736" i="17" s="1"/>
  <c r="H736" i="17"/>
  <c r="AI735" i="17"/>
  <c r="M736" i="17" l="1"/>
  <c r="N736" i="17" s="1"/>
  <c r="AJ736" i="17" s="1"/>
  <c r="O736" i="17" l="1"/>
  <c r="Q736" i="17"/>
  <c r="P736" i="17"/>
  <c r="R736" i="17" l="1"/>
  <c r="S736" i="17" s="1"/>
  <c r="AQ736" i="17" l="1"/>
  <c r="H737" i="17"/>
  <c r="T736" i="17"/>
  <c r="AI736" i="17"/>
  <c r="K737" i="17"/>
  <c r="AK736" i="17"/>
  <c r="U737" i="17" l="1"/>
  <c r="V737" i="17" s="1"/>
  <c r="M737" i="17"/>
  <c r="N737" i="17" s="1"/>
  <c r="AJ737" i="17" l="1"/>
  <c r="O737" i="17" s="1"/>
  <c r="P737" i="17" l="1"/>
  <c r="Q737" i="17"/>
  <c r="R737" i="17" l="1"/>
  <c r="S737" i="17" s="1"/>
  <c r="AI737" i="17" l="1"/>
  <c r="AK737" i="17"/>
  <c r="K738" i="17"/>
  <c r="AQ737" i="17"/>
  <c r="T737" i="17"/>
  <c r="H738" i="17"/>
  <c r="U738" i="17" l="1"/>
  <c r="V738" i="17" s="1"/>
  <c r="M738" i="17"/>
  <c r="N738" i="17" s="1"/>
  <c r="AJ738" i="17" l="1"/>
  <c r="O738" i="17" l="1"/>
  <c r="P738" i="17"/>
  <c r="Q738" i="17"/>
  <c r="R738" i="17" l="1"/>
  <c r="S738" i="17" l="1"/>
  <c r="AQ738" i="17"/>
  <c r="H739" i="17"/>
  <c r="K739" i="17"/>
  <c r="AK738" i="17"/>
  <c r="T738" i="17"/>
  <c r="AI738" i="17"/>
  <c r="M739" i="17" l="1"/>
  <c r="N739" i="17" s="1"/>
  <c r="AJ739" i="17" s="1"/>
  <c r="U739" i="17"/>
  <c r="V739" i="17" s="1"/>
  <c r="O739" i="17" l="1"/>
  <c r="Q739" i="17"/>
  <c r="P739" i="17"/>
  <c r="R739" i="17" l="1"/>
  <c r="S739" i="17" s="1"/>
  <c r="AI739" i="17" l="1"/>
  <c r="AQ739" i="17"/>
  <c r="K740" i="17"/>
  <c r="T739" i="17"/>
  <c r="AK739" i="17"/>
  <c r="H740" i="17"/>
  <c r="G24" i="17" l="1"/>
  <c r="U740" i="17"/>
  <c r="V740" i="17" s="1"/>
  <c r="M740" i="17"/>
  <c r="N740" i="17" s="1"/>
  <c r="AJ740" i="17" s="1"/>
  <c r="O740" i="17" s="1"/>
  <c r="P740" i="17" l="1"/>
  <c r="M26" i="13"/>
  <c r="Q25" i="13"/>
  <c r="Q740" i="17"/>
  <c r="R740" i="17" l="1"/>
  <c r="S740" i="17" s="1"/>
  <c r="AQ740" i="17" l="1"/>
  <c r="H741" i="17"/>
  <c r="K741" i="17"/>
  <c r="M741" i="17" s="1"/>
  <c r="T740" i="17"/>
  <c r="AI740" i="17"/>
  <c r="AK740" i="17"/>
  <c r="U741" i="17" l="1"/>
  <c r="V741" i="17" s="1"/>
  <c r="N741" i="17"/>
  <c r="AJ741" i="17" s="1"/>
  <c r="Q741" i="17" s="1"/>
  <c r="P741" i="17" l="1"/>
  <c r="O741" i="17"/>
  <c r="R741" i="17" l="1"/>
  <c r="S741" i="17" s="1"/>
  <c r="K742" i="17" l="1"/>
  <c r="M742" i="17" s="1"/>
  <c r="H742" i="17"/>
  <c r="AI741" i="17"/>
  <c r="T741" i="17"/>
  <c r="AQ741" i="17"/>
  <c r="AK741" i="17"/>
  <c r="N742" i="17" l="1"/>
  <c r="AJ742" i="17" s="1"/>
  <c r="O742" i="17" s="1"/>
  <c r="U742" i="17"/>
  <c r="V742" i="17" s="1"/>
  <c r="Q742" i="17" l="1"/>
  <c r="P742" i="17"/>
  <c r="R742" i="17" l="1"/>
  <c r="S742" i="17" s="1"/>
  <c r="T742" i="17" l="1"/>
  <c r="AI742" i="17"/>
  <c r="K743" i="17"/>
  <c r="M743" i="17" s="1"/>
  <c r="H743" i="17"/>
  <c r="AQ742" i="17"/>
  <c r="AK742" i="17"/>
  <c r="N743" i="17" l="1"/>
  <c r="AJ743" i="17" s="1"/>
  <c r="O743" i="17" s="1"/>
  <c r="U743" i="17"/>
  <c r="V743" i="17" s="1"/>
  <c r="P743" i="17" l="1"/>
  <c r="Q743" i="17"/>
  <c r="R743" i="17" l="1"/>
  <c r="H744" i="17" s="1"/>
  <c r="T743" i="17" l="1"/>
  <c r="AK743" i="17"/>
  <c r="S743" i="17"/>
  <c r="AQ743" i="17"/>
  <c r="AI743" i="17"/>
  <c r="K744" i="17"/>
  <c r="U744" i="17" s="1"/>
  <c r="V744" i="17" s="1"/>
  <c r="M744" i="17" l="1"/>
  <c r="N744" i="17" s="1"/>
  <c r="AJ744" i="17" s="1"/>
  <c r="Q744" i="17" l="1"/>
  <c r="O744" i="17"/>
  <c r="P744" i="17"/>
  <c r="R744" i="17" l="1"/>
  <c r="S744" i="17" s="1"/>
  <c r="AK744" i="17" l="1"/>
  <c r="H745" i="17"/>
  <c r="AI744" i="17"/>
  <c r="K745" i="17"/>
  <c r="U745" i="17" s="1"/>
  <c r="V745" i="17" s="1"/>
  <c r="T744" i="17"/>
  <c r="AQ744" i="17"/>
  <c r="M745" i="17" l="1"/>
  <c r="N745" i="17" s="1"/>
  <c r="AJ745" i="17" l="1"/>
  <c r="O745" i="17" s="1"/>
  <c r="Q745" i="17" l="1"/>
  <c r="P745" i="17"/>
  <c r="R745" i="17" l="1"/>
  <c r="AK745" i="17" s="1"/>
  <c r="AI745" i="17" l="1"/>
  <c r="S745" i="17"/>
  <c r="K746" i="17"/>
  <c r="M746" i="17" s="1"/>
  <c r="N746" i="17" s="1"/>
  <c r="AJ746" i="17" s="1"/>
  <c r="O746" i="17" s="1"/>
  <c r="H746" i="17"/>
  <c r="T745" i="17"/>
  <c r="AQ745" i="17"/>
  <c r="U746" i="17" l="1"/>
  <c r="V746" i="17" s="1"/>
  <c r="P746" i="17"/>
  <c r="Q746" i="17"/>
  <c r="R746" i="17" l="1"/>
  <c r="H747" i="17" s="1"/>
  <c r="AI746" i="17" l="1"/>
  <c r="K747" i="17"/>
  <c r="M747" i="17" s="1"/>
  <c r="N747" i="17" s="1"/>
  <c r="T746" i="17"/>
  <c r="S746" i="17"/>
  <c r="AQ746" i="17"/>
  <c r="AK746" i="17"/>
  <c r="AJ747" i="17" l="1"/>
  <c r="O747" i="17" s="1"/>
  <c r="U747" i="17"/>
  <c r="V747" i="17" s="1"/>
  <c r="P747" i="17"/>
  <c r="Q747" i="17" l="1"/>
  <c r="R747" i="17" s="1"/>
  <c r="S747" i="17" s="1"/>
  <c r="AK747" i="17" l="1"/>
  <c r="H748" i="17"/>
  <c r="AQ747" i="17"/>
  <c r="K748" i="17"/>
  <c r="M748" i="17" s="1"/>
  <c r="T747" i="17"/>
  <c r="AI747" i="17"/>
  <c r="N748" i="17" l="1"/>
  <c r="AJ748" i="17" s="1"/>
  <c r="O748" i="17" s="1"/>
  <c r="U748" i="17"/>
  <c r="V748" i="17" s="1"/>
  <c r="Q748" i="17" l="1"/>
  <c r="P748" i="17"/>
  <c r="R748" i="17" l="1"/>
  <c r="S748" i="17" s="1"/>
  <c r="H749" i="17" l="1"/>
  <c r="T748" i="17"/>
  <c r="K749" i="17"/>
  <c r="AQ748" i="17"/>
  <c r="AK748" i="17"/>
  <c r="AI748" i="17"/>
  <c r="M749" i="17" l="1"/>
  <c r="N749" i="17" s="1"/>
  <c r="U749" i="17"/>
  <c r="V749" i="17" s="1"/>
  <c r="AJ749" i="17" l="1"/>
  <c r="O749" i="17" s="1"/>
  <c r="P749" i="17" l="1"/>
  <c r="Q749" i="17"/>
  <c r="R749" i="17" l="1"/>
  <c r="S749" i="17" s="1"/>
  <c r="AQ749" i="17" l="1"/>
  <c r="K750" i="17"/>
  <c r="AI749" i="17"/>
  <c r="H750" i="17"/>
  <c r="T749" i="17"/>
  <c r="AK749" i="17"/>
  <c r="U750" i="17" l="1"/>
  <c r="V750" i="17" s="1"/>
  <c r="M750" i="17"/>
  <c r="N750" i="17" s="1"/>
  <c r="AJ750" i="17" s="1"/>
  <c r="O750" i="17" s="1"/>
  <c r="Q750" i="17" l="1"/>
  <c r="P750" i="17"/>
  <c r="R750" i="17" l="1"/>
  <c r="S750" i="17" s="1"/>
  <c r="T750" i="17" l="1"/>
  <c r="H751" i="17"/>
  <c r="AI750" i="17"/>
  <c r="K751" i="17"/>
  <c r="AK750" i="17"/>
  <c r="AQ750" i="17"/>
  <c r="M751" i="17" l="1"/>
  <c r="N751" i="17" s="1"/>
  <c r="AJ751" i="17" s="1"/>
  <c r="O751" i="17" s="1"/>
  <c r="U751" i="17"/>
  <c r="V751" i="17" s="1"/>
  <c r="Q751" i="17" l="1"/>
  <c r="P751" i="17"/>
  <c r="R751" i="17" l="1"/>
  <c r="S751" i="17" s="1"/>
  <c r="AK751" i="17" l="1"/>
  <c r="AI751" i="17"/>
  <c r="H752" i="17"/>
  <c r="K752" i="17"/>
  <c r="AQ751" i="17"/>
  <c r="T751" i="17"/>
  <c r="G25" i="17" l="1"/>
  <c r="M752" i="17"/>
  <c r="N752" i="17" s="1"/>
  <c r="AJ752" i="17" s="1"/>
  <c r="O752" i="17" s="1"/>
  <c r="U752" i="17"/>
  <c r="V752" i="17" s="1"/>
  <c r="L26" i="13" l="1"/>
  <c r="M27" i="13"/>
  <c r="Q26" i="13"/>
  <c r="P752" i="17"/>
  <c r="Q752" i="17"/>
  <c r="R752" i="17" l="1"/>
  <c r="S752" i="17" s="1"/>
  <c r="AK752" i="17" l="1"/>
  <c r="AQ752" i="17"/>
  <c r="K753" i="17"/>
  <c r="AI752" i="17"/>
  <c r="H753" i="17"/>
  <c r="T752" i="17"/>
  <c r="M753" i="17" l="1"/>
  <c r="N753" i="17" s="1"/>
  <c r="AJ753" i="17" s="1"/>
  <c r="O753" i="17" s="1"/>
  <c r="U753" i="17"/>
  <c r="V753" i="17" s="1"/>
  <c r="P753" i="17" l="1"/>
  <c r="Q753" i="17"/>
  <c r="R753" i="17" l="1"/>
  <c r="S753" i="17" s="1"/>
  <c r="AK753" i="17" l="1"/>
  <c r="AI753" i="17"/>
  <c r="H754" i="17"/>
  <c r="K754" i="17"/>
  <c r="AQ753" i="17"/>
  <c r="T753" i="17"/>
  <c r="U754" i="17" l="1"/>
  <c r="V754" i="17" s="1"/>
  <c r="M754" i="17"/>
  <c r="N754" i="17" s="1"/>
  <c r="AJ754" i="17" l="1"/>
  <c r="O754" i="17" s="1"/>
  <c r="Q754" i="17" l="1"/>
  <c r="P754" i="17"/>
  <c r="R754" i="17" l="1"/>
  <c r="S754" i="17" s="1"/>
  <c r="AK754" i="17" l="1"/>
  <c r="T754" i="17"/>
  <c r="AI754" i="17"/>
  <c r="K755" i="17"/>
  <c r="AQ754" i="17"/>
  <c r="H755" i="17"/>
  <c r="M755" i="17" l="1"/>
  <c r="N755" i="17" s="1"/>
  <c r="U755" i="17"/>
  <c r="V755" i="17" s="1"/>
  <c r="AJ755" i="17" l="1"/>
  <c r="P755" i="17" s="1"/>
  <c r="Q755" i="17" l="1"/>
  <c r="O755" i="17"/>
  <c r="R755" i="17" l="1"/>
  <c r="S755" i="17" s="1"/>
  <c r="T755" i="17" l="1"/>
  <c r="AI755" i="17"/>
  <c r="H756" i="17"/>
  <c r="K756" i="17"/>
  <c r="AQ755" i="17"/>
  <c r="AK755" i="17"/>
  <c r="U756" i="17" l="1"/>
  <c r="V756" i="17" s="1"/>
  <c r="M756" i="17"/>
  <c r="N756" i="17" s="1"/>
  <c r="AJ756" i="17" l="1"/>
  <c r="O756" i="17" s="1"/>
  <c r="P756" i="17" l="1"/>
  <c r="Q756" i="17"/>
  <c r="R756" i="17" l="1"/>
  <c r="S756" i="17" s="1"/>
  <c r="K757" i="17" l="1"/>
  <c r="M757" i="17" s="1"/>
  <c r="N757" i="17" s="1"/>
  <c r="AJ757" i="17" s="1"/>
  <c r="AK756" i="17"/>
  <c r="AI756" i="17"/>
  <c r="T756" i="17"/>
  <c r="H757" i="17"/>
  <c r="AQ756" i="17"/>
  <c r="U757" i="17" l="1"/>
  <c r="V757" i="17" s="1"/>
  <c r="O757" i="17"/>
  <c r="P757" i="17"/>
  <c r="Q757" i="17"/>
  <c r="R757" i="17" l="1"/>
  <c r="S757" i="17" s="1"/>
  <c r="AQ757" i="17" l="1"/>
  <c r="H758" i="17"/>
  <c r="AK757" i="17"/>
  <c r="K758" i="17"/>
  <c r="AI757" i="17"/>
  <c r="T757" i="17"/>
  <c r="M758" i="17" l="1"/>
  <c r="N758" i="17" s="1"/>
  <c r="AJ758" i="17" s="1"/>
  <c r="O758" i="17" s="1"/>
  <c r="U758" i="17"/>
  <c r="V758" i="17" s="1"/>
  <c r="P758" i="17" l="1"/>
  <c r="Q758" i="17"/>
  <c r="R758" i="17" l="1"/>
  <c r="S758" i="17" s="1"/>
  <c r="AK758" i="17" l="1"/>
  <c r="K759" i="17"/>
  <c r="H759" i="17"/>
  <c r="AI758" i="17"/>
  <c r="AQ758" i="17"/>
  <c r="T758" i="17"/>
  <c r="M759" i="17" l="1"/>
  <c r="N759" i="17" s="1"/>
  <c r="AJ759" i="17" s="1"/>
  <c r="O759" i="17" s="1"/>
  <c r="U759" i="17"/>
  <c r="V759" i="17" s="1"/>
  <c r="Q759" i="17" l="1"/>
  <c r="P759" i="17"/>
  <c r="R759" i="17" l="1"/>
  <c r="S759" i="17" s="1"/>
  <c r="AK759" i="17" l="1"/>
  <c r="AI759" i="17"/>
  <c r="AQ759" i="17"/>
  <c r="H760" i="17"/>
  <c r="K760" i="17"/>
  <c r="T759" i="17"/>
  <c r="M760" i="17" l="1"/>
  <c r="N760" i="17" s="1"/>
  <c r="AJ760" i="17" s="1"/>
  <c r="O760" i="17" s="1"/>
  <c r="U760" i="17"/>
  <c r="V760" i="17" s="1"/>
  <c r="Q760" i="17" l="1"/>
  <c r="P760" i="17"/>
  <c r="R760" i="17" l="1"/>
  <c r="S760" i="17" s="1"/>
  <c r="AQ760" i="17" l="1"/>
  <c r="H761" i="17"/>
  <c r="AI760" i="17"/>
  <c r="AK760" i="17"/>
  <c r="T760" i="17"/>
  <c r="K761" i="17"/>
  <c r="U761" i="17" l="1"/>
  <c r="V761" i="17" s="1"/>
  <c r="M761" i="17"/>
  <c r="N761" i="17" s="1"/>
  <c r="AJ761" i="17" s="1"/>
  <c r="O761" i="17" l="1"/>
  <c r="P761" i="17"/>
  <c r="Q761" i="17"/>
  <c r="R761" i="17" l="1"/>
  <c r="S761" i="17" s="1"/>
  <c r="AK761" i="17" l="1"/>
  <c r="AQ761" i="17"/>
  <c r="AI761" i="17"/>
  <c r="K762" i="17"/>
  <c r="T761" i="17"/>
  <c r="H762" i="17"/>
  <c r="M762" i="17" l="1"/>
  <c r="N762" i="17" s="1"/>
  <c r="U762" i="17"/>
  <c r="V762" i="17" s="1"/>
  <c r="AJ762" i="17" l="1"/>
  <c r="P762" i="17" s="1"/>
  <c r="O762" i="17" l="1"/>
  <c r="Q762" i="17"/>
  <c r="R762" i="17" l="1"/>
  <c r="S762" i="17" s="1"/>
  <c r="AK762" i="17" l="1"/>
  <c r="AI762" i="17"/>
  <c r="AQ762" i="17"/>
  <c r="T762" i="17"/>
  <c r="H763" i="17"/>
  <c r="K763" i="17"/>
  <c r="U763" i="17" l="1"/>
  <c r="V763" i="17" s="1"/>
  <c r="M763" i="17"/>
  <c r="N763" i="17" s="1"/>
  <c r="AJ763" i="17" l="1"/>
  <c r="Q763" i="17" s="1"/>
  <c r="O763" i="17" l="1"/>
  <c r="P763" i="17"/>
  <c r="R763" i="17" l="1"/>
  <c r="S763" i="17" s="1"/>
  <c r="AK763" i="17" l="1"/>
  <c r="AQ763" i="17"/>
  <c r="AI763" i="17"/>
  <c r="K764" i="17"/>
  <c r="H764" i="17"/>
  <c r="T763" i="17"/>
  <c r="M764" i="17" l="1"/>
  <c r="N764" i="17" s="1"/>
  <c r="U764" i="17"/>
  <c r="V764" i="17" s="1"/>
  <c r="AJ764" i="17" l="1"/>
  <c r="O764" i="17" s="1"/>
  <c r="Q764" i="17" l="1"/>
  <c r="P764" i="17"/>
  <c r="R764" i="17" l="1"/>
  <c r="S764" i="17" s="1"/>
  <c r="AK764" i="17" l="1"/>
  <c r="K765" i="17"/>
  <c r="H765" i="17"/>
  <c r="AI764" i="17"/>
  <c r="T764" i="17"/>
  <c r="AQ764" i="17"/>
  <c r="U765" i="17" l="1"/>
  <c r="V765" i="17" s="1"/>
  <c r="M765" i="17"/>
  <c r="N765" i="17" s="1"/>
  <c r="AJ765" i="17" l="1"/>
  <c r="O765" i="17" s="1"/>
  <c r="P765" i="17" l="1"/>
  <c r="Q765" i="17"/>
  <c r="R765" i="17" l="1"/>
  <c r="S765" i="17" s="1"/>
  <c r="AK765" i="17" l="1"/>
  <c r="H766" i="17"/>
  <c r="AI765" i="17"/>
  <c r="T765" i="17"/>
  <c r="AQ765" i="17"/>
  <c r="K766" i="17"/>
  <c r="M766" i="17" l="1"/>
  <c r="N766" i="17" s="1"/>
  <c r="U766" i="17"/>
  <c r="V766" i="17" s="1"/>
  <c r="AJ766" i="17" l="1"/>
  <c r="O766" i="17" s="1"/>
  <c r="Q766" i="17" l="1"/>
  <c r="P766" i="17"/>
  <c r="R766" i="17" l="1"/>
  <c r="S766" i="17" s="1"/>
  <c r="AK766" i="17" l="1"/>
  <c r="AI766" i="17"/>
  <c r="K767" i="17"/>
  <c r="T766" i="17"/>
  <c r="H767" i="17"/>
  <c r="AQ766" i="17"/>
  <c r="U767" i="17" l="1"/>
  <c r="V767" i="17" s="1"/>
  <c r="M767" i="17"/>
  <c r="N767" i="17" s="1"/>
  <c r="AJ767" i="17" l="1"/>
  <c r="O767" i="17" s="1"/>
  <c r="P767" i="17" l="1"/>
  <c r="Q767" i="17"/>
  <c r="R767" i="17" l="1"/>
  <c r="S767" i="17" s="1"/>
  <c r="AQ767" i="17" l="1"/>
  <c r="K768" i="17"/>
  <c r="AK767" i="17"/>
  <c r="H768" i="17"/>
  <c r="AI767" i="17"/>
  <c r="T767" i="17"/>
  <c r="U768" i="17" l="1"/>
  <c r="V768" i="17" s="1"/>
  <c r="M768" i="17"/>
  <c r="N768" i="17" s="1"/>
  <c r="AJ768" i="17" s="1"/>
  <c r="O768" i="17" s="1"/>
  <c r="Q768" i="17" l="1"/>
  <c r="P768" i="17"/>
  <c r="R768" i="17" l="1"/>
  <c r="S768" i="17" s="1"/>
  <c r="AQ768" i="17" l="1"/>
  <c r="K769" i="17"/>
  <c r="T768" i="17"/>
  <c r="AK768" i="17"/>
  <c r="H769" i="17"/>
  <c r="AI768" i="17"/>
  <c r="U769" i="17" l="1"/>
  <c r="V769" i="17" s="1"/>
  <c r="M769" i="17"/>
  <c r="N769" i="17" s="1"/>
  <c r="AJ769" i="17" l="1"/>
  <c r="O769" i="17" s="1"/>
  <c r="P769" i="17" l="1"/>
  <c r="Q769" i="17"/>
  <c r="R769" i="17" l="1"/>
  <c r="S769" i="17" s="1"/>
  <c r="AK769" i="17" l="1"/>
  <c r="AQ769" i="17"/>
  <c r="H770" i="17"/>
  <c r="AI769" i="17"/>
  <c r="T769" i="17"/>
  <c r="K770" i="17"/>
  <c r="U770" i="17" l="1"/>
  <c r="V770" i="17" s="1"/>
  <c r="M770" i="17"/>
  <c r="N770" i="17" s="1"/>
  <c r="AJ770" i="17" s="1"/>
  <c r="O770" i="17" s="1"/>
  <c r="P770" i="17" l="1"/>
  <c r="Q770" i="17"/>
  <c r="R770" i="17" l="1"/>
  <c r="S770" i="17" s="1"/>
  <c r="AK770" i="17" l="1"/>
  <c r="H771" i="17"/>
  <c r="AQ770" i="17"/>
  <c r="T770" i="17"/>
  <c r="K771" i="17"/>
  <c r="AI770" i="17"/>
  <c r="M771" i="17" l="1"/>
  <c r="N771" i="17" s="1"/>
  <c r="AJ771" i="17" s="1"/>
  <c r="U771" i="17"/>
  <c r="V771" i="17" s="1"/>
  <c r="P771" i="17" l="1"/>
  <c r="O771" i="17"/>
  <c r="Q771" i="17"/>
  <c r="R771" i="17" l="1"/>
  <c r="S771" i="17" s="1"/>
  <c r="AK771" i="17" l="1"/>
  <c r="H772" i="17"/>
  <c r="T771" i="17"/>
  <c r="K772" i="17"/>
  <c r="AQ771" i="17"/>
  <c r="AI771" i="17"/>
  <c r="M772" i="17" l="1"/>
  <c r="N772" i="17" s="1"/>
  <c r="U772" i="17"/>
  <c r="V772" i="17" s="1"/>
  <c r="AJ772" i="17" l="1"/>
  <c r="O772" i="17" s="1"/>
  <c r="P772" i="17" l="1"/>
  <c r="Q772" i="17"/>
  <c r="R772" i="17" l="1"/>
  <c r="S772" i="17" s="1"/>
  <c r="T772" i="17" l="1"/>
  <c r="AK772" i="17"/>
  <c r="AI772" i="17"/>
  <c r="H773" i="17"/>
  <c r="AQ772" i="17"/>
  <c r="K773" i="17"/>
  <c r="M773" i="17" s="1"/>
  <c r="N773" i="17" s="1"/>
  <c r="U773" i="17" l="1"/>
  <c r="V773" i="17" s="1"/>
  <c r="AJ773" i="17"/>
  <c r="O773" i="17" s="1"/>
  <c r="P773" i="17" l="1"/>
  <c r="Q773" i="17"/>
  <c r="R773" i="17" l="1"/>
  <c r="S773" i="17" s="1"/>
  <c r="AI773" i="17" l="1"/>
  <c r="AK773" i="17"/>
  <c r="T773" i="17"/>
  <c r="H774" i="17"/>
  <c r="K774" i="17"/>
  <c r="AQ773" i="17"/>
  <c r="M774" i="17" l="1"/>
  <c r="N774" i="17" s="1"/>
  <c r="AJ774" i="17" s="1"/>
  <c r="O774" i="17" s="1"/>
  <c r="U774" i="17"/>
  <c r="V774" i="17" s="1"/>
  <c r="P774" i="17" l="1"/>
  <c r="Q774" i="17"/>
  <c r="R774" i="17" l="1"/>
  <c r="S774" i="17" s="1"/>
  <c r="AK774" i="17" l="1"/>
  <c r="AI774" i="17"/>
  <c r="H775" i="17"/>
  <c r="T774" i="17"/>
  <c r="K775" i="17"/>
  <c r="AQ774" i="17"/>
  <c r="U775" i="17" l="1"/>
  <c r="V775" i="17" s="1"/>
  <c r="M775" i="17"/>
  <c r="N775" i="17" s="1"/>
  <c r="AJ775" i="17" l="1"/>
  <c r="O775" i="17" s="1"/>
  <c r="P775" i="17" l="1"/>
  <c r="Q775" i="17"/>
  <c r="R775" i="17" l="1"/>
  <c r="S775" i="17" s="1"/>
  <c r="AK775" i="17" l="1"/>
  <c r="T775" i="17"/>
  <c r="H776" i="17"/>
  <c r="AI775" i="17"/>
  <c r="AQ775" i="17"/>
  <c r="K776" i="17"/>
  <c r="M776" i="17" l="1"/>
  <c r="N776" i="17" s="1"/>
  <c r="AJ776" i="17" s="1"/>
  <c r="O776" i="17" s="1"/>
  <c r="U776" i="17"/>
  <c r="V776" i="17" s="1"/>
  <c r="P776" i="17" l="1"/>
  <c r="Q776" i="17"/>
  <c r="R776" i="17" l="1"/>
  <c r="S776" i="17" s="1"/>
  <c r="AQ776" i="17" l="1"/>
  <c r="H777" i="17"/>
  <c r="K777" i="17"/>
  <c r="AI776" i="17"/>
  <c r="T776" i="17"/>
  <c r="AK776" i="17"/>
  <c r="M777" i="17" l="1"/>
  <c r="N777" i="17" s="1"/>
  <c r="U777" i="17"/>
  <c r="V777" i="17" s="1"/>
  <c r="AJ777" i="17" l="1"/>
  <c r="Q777" i="17" s="1"/>
  <c r="P777" i="17" l="1"/>
  <c r="O777" i="17"/>
  <c r="R777" i="17" l="1"/>
  <c r="S777" i="17" s="1"/>
  <c r="K778" i="17" l="1"/>
  <c r="U778" i="17" s="1"/>
  <c r="V778" i="17" s="1"/>
  <c r="AI777" i="17"/>
  <c r="AQ777" i="17"/>
  <c r="AK777" i="17"/>
  <c r="H778" i="17"/>
  <c r="T777" i="17"/>
  <c r="M778" i="17" l="1"/>
  <c r="N778" i="17" s="1"/>
  <c r="AJ778" i="17" l="1"/>
  <c r="P778" i="17" s="1"/>
  <c r="Q778" i="17" l="1"/>
  <c r="O778" i="17"/>
  <c r="R778" i="17" l="1"/>
  <c r="S778" i="17" s="1"/>
  <c r="K779" i="17" l="1"/>
  <c r="U779" i="17" s="1"/>
  <c r="V779" i="17" s="1"/>
  <c r="T778" i="17"/>
  <c r="AI778" i="17"/>
  <c r="AQ778" i="17"/>
  <c r="H779" i="17"/>
  <c r="AK778" i="17"/>
  <c r="M779" i="17" l="1"/>
  <c r="N779" i="17" s="1"/>
  <c r="AJ779" i="17" l="1"/>
  <c r="O779" i="17" s="1"/>
  <c r="Q779" i="17" l="1"/>
  <c r="P779" i="17"/>
  <c r="R779" i="17" l="1"/>
  <c r="S779" i="17" s="1"/>
  <c r="AI779" i="17" l="1"/>
  <c r="H780" i="17"/>
  <c r="T779" i="17"/>
  <c r="K780" i="17"/>
  <c r="M780" i="17" s="1"/>
  <c r="N780" i="17" s="1"/>
  <c r="AJ780" i="17" s="1"/>
  <c r="O780" i="17" s="1"/>
  <c r="AQ779" i="17"/>
  <c r="AK779" i="17"/>
  <c r="U780" i="17" l="1"/>
  <c r="V780" i="17" s="1"/>
  <c r="Q780" i="17"/>
  <c r="P780" i="17"/>
  <c r="R780" i="17" l="1"/>
  <c r="S780" i="17" s="1"/>
  <c r="AQ780" i="17" l="1"/>
  <c r="AI780" i="17"/>
  <c r="H781" i="17"/>
  <c r="T780" i="17"/>
  <c r="K781" i="17"/>
  <c r="AK780" i="17"/>
  <c r="M781" i="17" l="1"/>
  <c r="N781" i="17" s="1"/>
  <c r="AJ781" i="17" s="1"/>
  <c r="O781" i="17" s="1"/>
  <c r="U781" i="17"/>
  <c r="V781" i="17" s="1"/>
  <c r="Q781" i="17" l="1"/>
  <c r="P781" i="17"/>
  <c r="R781" i="17" l="1"/>
  <c r="S781" i="17" s="1"/>
  <c r="K782" i="17" l="1"/>
  <c r="H782" i="17"/>
  <c r="AI781" i="17"/>
  <c r="T781" i="17"/>
  <c r="AQ781" i="17"/>
  <c r="AK781" i="17"/>
  <c r="U782" i="17" l="1"/>
  <c r="V782" i="17" s="1"/>
  <c r="M782" i="17"/>
  <c r="N782" i="17" s="1"/>
  <c r="AJ782" i="17" l="1"/>
  <c r="Q782" i="17" s="1"/>
  <c r="O782" i="17" l="1"/>
  <c r="P782" i="17"/>
  <c r="R782" i="17" l="1"/>
  <c r="S782" i="17" s="1"/>
  <c r="AK782" i="17" l="1"/>
  <c r="AQ782" i="17"/>
  <c r="T782" i="17"/>
  <c r="AI782" i="17"/>
  <c r="K783" i="17"/>
  <c r="H783" i="17"/>
  <c r="M783" i="17" l="1"/>
  <c r="N783" i="17" s="1"/>
  <c r="AJ783" i="17" s="1"/>
  <c r="O783" i="17" s="1"/>
  <c r="U783" i="17"/>
  <c r="V783" i="17" s="1"/>
  <c r="P783" i="17" l="1"/>
  <c r="Q783" i="17"/>
  <c r="R783" i="17" l="1"/>
  <c r="S783" i="17" s="1"/>
  <c r="AQ783" i="17" l="1"/>
  <c r="H784" i="17"/>
  <c r="AK783" i="17"/>
  <c r="K784" i="17"/>
  <c r="AI783" i="17"/>
  <c r="T783" i="17"/>
  <c r="M784" i="17" l="1"/>
  <c r="N784" i="17" s="1"/>
  <c r="AJ784" i="17" s="1"/>
  <c r="O784" i="17" s="1"/>
  <c r="U784" i="17"/>
  <c r="V784" i="17" s="1"/>
  <c r="P784" i="17" l="1"/>
  <c r="Q784" i="17"/>
  <c r="R784" i="17" l="1"/>
  <c r="S784" i="17" s="1"/>
  <c r="K785" i="17" l="1"/>
  <c r="U785" i="17" s="1"/>
  <c r="V785" i="17" s="1"/>
  <c r="AK784" i="17"/>
  <c r="AI784" i="17"/>
  <c r="T784" i="17"/>
  <c r="AQ784" i="17"/>
  <c r="H785" i="17"/>
  <c r="M785" i="17" l="1"/>
  <c r="N785" i="17" s="1"/>
  <c r="AJ785" i="17" s="1"/>
  <c r="O785" i="17" s="1"/>
  <c r="Q785" i="17" l="1"/>
  <c r="P785" i="17"/>
  <c r="R785" i="17" l="1"/>
  <c r="S785" i="17" s="1"/>
  <c r="K786" i="17" l="1"/>
  <c r="U786" i="17" s="1"/>
  <c r="V786" i="17" s="1"/>
  <c r="T785" i="17"/>
  <c r="H786" i="17"/>
  <c r="AQ785" i="17"/>
  <c r="AK785" i="17"/>
  <c r="AI785" i="17"/>
  <c r="M786" i="17" l="1"/>
  <c r="N786" i="17" s="1"/>
  <c r="AJ786" i="17" s="1"/>
  <c r="O786" i="17" l="1"/>
  <c r="P786" i="17"/>
  <c r="Q786" i="17"/>
  <c r="R786" i="17" l="1"/>
  <c r="S786" i="17" s="1"/>
  <c r="AQ786" i="17" l="1"/>
  <c r="AK786" i="17"/>
  <c r="T786" i="17"/>
  <c r="H787" i="17"/>
  <c r="K787" i="17"/>
  <c r="AI786" i="17"/>
  <c r="M787" i="17" l="1"/>
  <c r="U787" i="17"/>
  <c r="V787" i="17" s="1"/>
  <c r="N787" i="17" l="1"/>
  <c r="AJ787" i="17" l="1"/>
  <c r="O787" i="17" s="1"/>
  <c r="Q787" i="17" l="1"/>
  <c r="P787" i="17"/>
  <c r="R787" i="17" l="1"/>
  <c r="S787" i="17" s="1"/>
  <c r="AQ787" i="17" l="1"/>
  <c r="AK787" i="17"/>
  <c r="H788" i="17"/>
  <c r="K788" i="17"/>
  <c r="AI787" i="17"/>
  <c r="T787" i="17"/>
  <c r="M788" i="17" l="1"/>
  <c r="N788" i="17" s="1"/>
  <c r="U788" i="17"/>
  <c r="V788" i="17" s="1"/>
  <c r="AJ788" i="17" l="1"/>
  <c r="O788" i="17" s="1"/>
  <c r="P788" i="17" l="1"/>
  <c r="Q788" i="17"/>
  <c r="R788" i="17" l="1"/>
  <c r="S788" i="17" s="1"/>
  <c r="AQ788" i="17" l="1"/>
  <c r="T788" i="17"/>
  <c r="H789" i="17"/>
  <c r="AI788" i="17"/>
  <c r="AK788" i="17"/>
  <c r="K789" i="17"/>
  <c r="U789" i="17" s="1"/>
  <c r="V789" i="17" s="1"/>
  <c r="M789" i="17" l="1"/>
  <c r="N789" i="17" s="1"/>
  <c r="AJ789" i="17" l="1"/>
  <c r="O789" i="17" s="1"/>
  <c r="Q789" i="17" l="1"/>
  <c r="P789" i="17"/>
  <c r="R789" i="17" l="1"/>
  <c r="S789" i="17" s="1"/>
  <c r="AK789" i="17" l="1"/>
  <c r="T789" i="17"/>
  <c r="K790" i="17"/>
  <c r="AI789" i="17"/>
  <c r="AQ789" i="17"/>
  <c r="H790" i="17"/>
  <c r="M790" i="17" l="1"/>
  <c r="N790" i="17" s="1"/>
  <c r="AJ790" i="17" s="1"/>
  <c r="O790" i="17" s="1"/>
  <c r="U790" i="17"/>
  <c r="V790" i="17" s="1"/>
  <c r="P790" i="17" l="1"/>
  <c r="Q790" i="17"/>
  <c r="R790" i="17" l="1"/>
  <c r="S790" i="17" s="1"/>
  <c r="AI790" i="17" l="1"/>
  <c r="H791" i="17"/>
  <c r="T790" i="17"/>
  <c r="K791" i="17"/>
  <c r="AQ790" i="17"/>
  <c r="AK790" i="17"/>
  <c r="U791" i="17" l="1"/>
  <c r="V791" i="17" s="1"/>
  <c r="M791" i="17"/>
  <c r="N791" i="17" s="1"/>
  <c r="AJ791" i="17" s="1"/>
  <c r="O791" i="17" s="1"/>
  <c r="P791" i="17" l="1"/>
  <c r="Q791" i="17"/>
  <c r="R791" i="17" l="1"/>
  <c r="S791" i="17" s="1"/>
  <c r="AQ791" i="17" l="1"/>
  <c r="AK791" i="17"/>
  <c r="AI791" i="17"/>
  <c r="H792" i="17"/>
  <c r="K792" i="17"/>
  <c r="T791" i="17"/>
  <c r="M792" i="17" l="1"/>
  <c r="N792" i="17" s="1"/>
  <c r="AJ792" i="17" s="1"/>
  <c r="O792" i="17" s="1"/>
  <c r="U792" i="17"/>
  <c r="V792" i="17" s="1"/>
  <c r="P792" i="17" l="1"/>
  <c r="Q792" i="17"/>
  <c r="R792" i="17" l="1"/>
  <c r="S792" i="17" s="1"/>
  <c r="AK792" i="17" l="1"/>
  <c r="T792" i="17"/>
  <c r="AQ792" i="17"/>
  <c r="H793" i="17"/>
  <c r="AI792" i="17"/>
  <c r="K793" i="17"/>
  <c r="M793" i="17" l="1"/>
  <c r="N793" i="17" s="1"/>
  <c r="U793" i="17"/>
  <c r="V793" i="17" s="1"/>
  <c r="AJ793" i="17" l="1"/>
  <c r="P793" i="17" s="1"/>
  <c r="Q793" i="17" l="1"/>
  <c r="O793" i="17"/>
  <c r="R793" i="17" l="1"/>
  <c r="S793" i="17" s="1"/>
  <c r="K794" i="17" l="1"/>
  <c r="U794" i="17" s="1"/>
  <c r="V794" i="17" s="1"/>
  <c r="AI793" i="17"/>
  <c r="AK793" i="17"/>
  <c r="T793" i="17"/>
  <c r="AQ793" i="17"/>
  <c r="H794" i="17"/>
  <c r="M794" i="17" l="1"/>
  <c r="N794" i="17" s="1"/>
  <c r="AJ794" i="17" s="1"/>
  <c r="O794" i="17" s="1"/>
  <c r="P794" i="17" l="1"/>
  <c r="Q794" i="17"/>
  <c r="R794" i="17" l="1"/>
  <c r="S794" i="17" s="1"/>
  <c r="T794" i="17" l="1"/>
  <c r="K795" i="17"/>
  <c r="M795" i="17" s="1"/>
  <c r="N795" i="17" s="1"/>
  <c r="AI794" i="17"/>
  <c r="H795" i="17"/>
  <c r="AK794" i="17"/>
  <c r="AQ794" i="17"/>
  <c r="U795" i="17" l="1"/>
  <c r="V795" i="17" s="1"/>
  <c r="AJ795" i="17"/>
  <c r="O795" i="17" s="1"/>
  <c r="P795" i="17" l="1"/>
  <c r="Q795" i="17"/>
  <c r="R795" i="17" l="1"/>
  <c r="S795" i="17" s="1"/>
  <c r="H796" i="17" l="1"/>
  <c r="T795" i="17"/>
  <c r="AI795" i="17"/>
  <c r="AK795" i="17"/>
  <c r="AQ795" i="17"/>
  <c r="K796" i="17"/>
  <c r="M796" i="17" s="1"/>
  <c r="N796" i="17" s="1"/>
  <c r="AJ796" i="17" s="1"/>
  <c r="P796" i="17" s="1"/>
  <c r="U796" i="17" l="1"/>
  <c r="V796" i="17" s="1"/>
  <c r="Q796" i="17"/>
  <c r="O796" i="17"/>
  <c r="R796" i="17" l="1"/>
  <c r="S796" i="17" s="1"/>
  <c r="AI796" i="17" l="1"/>
  <c r="K797" i="17"/>
  <c r="M797" i="17" s="1"/>
  <c r="N797" i="17" s="1"/>
  <c r="T796" i="17"/>
  <c r="H797" i="17"/>
  <c r="AQ796" i="17"/>
  <c r="AK796" i="17"/>
  <c r="U797" i="17" l="1"/>
  <c r="V797" i="17" s="1"/>
  <c r="AJ797" i="17"/>
  <c r="O797" i="17" s="1"/>
  <c r="P797" i="17" l="1"/>
  <c r="Q797" i="17"/>
  <c r="R797" i="17" l="1"/>
  <c r="S797" i="17" s="1"/>
  <c r="H798" i="17" l="1"/>
  <c r="T797" i="17"/>
  <c r="AQ797" i="17"/>
  <c r="AK797" i="17"/>
  <c r="K798" i="17"/>
  <c r="M798" i="17" s="1"/>
  <c r="N798" i="17" s="1"/>
  <c r="AI797" i="17"/>
  <c r="U798" i="17" l="1"/>
  <c r="V798" i="17" s="1"/>
  <c r="AJ798" i="17"/>
  <c r="O798" i="17" s="1"/>
  <c r="P798" i="17" l="1"/>
  <c r="Q798" i="17"/>
  <c r="R798" i="17" l="1"/>
  <c r="S798" i="17" s="1"/>
  <c r="AQ798" i="17" l="1"/>
  <c r="AK798" i="17"/>
  <c r="AI798" i="17"/>
  <c r="T798" i="17"/>
  <c r="H799" i="17"/>
  <c r="K799" i="17"/>
  <c r="U799" i="17" s="1"/>
  <c r="V799" i="17" s="1"/>
  <c r="M799" i="17" l="1"/>
  <c r="N799" i="17" s="1"/>
  <c r="AJ799" i="17" s="1"/>
  <c r="O799" i="17" s="1"/>
  <c r="Q799" i="17" l="1"/>
  <c r="P799" i="17"/>
  <c r="R799" i="17" l="1"/>
  <c r="S799" i="17" s="1"/>
  <c r="AI799" i="17" l="1"/>
  <c r="AQ799" i="17"/>
  <c r="H800" i="17"/>
  <c r="AK799" i="17"/>
  <c r="T799" i="17"/>
  <c r="K800" i="17"/>
  <c r="M800" i="17" s="1"/>
  <c r="N800" i="17" s="1"/>
  <c r="U800" i="17" l="1"/>
  <c r="V800" i="17" s="1"/>
  <c r="AJ800" i="17"/>
  <c r="O800" i="17" s="1"/>
  <c r="P800" i="17" l="1"/>
  <c r="Q800" i="17"/>
  <c r="R800" i="17" l="1"/>
  <c r="S800" i="17" s="1"/>
  <c r="K801" i="17" l="1"/>
  <c r="U801" i="17" s="1"/>
  <c r="V801" i="17" s="1"/>
  <c r="AQ800" i="17"/>
  <c r="T800" i="17"/>
  <c r="H801" i="17"/>
  <c r="AI800" i="17"/>
  <c r="AK800" i="17"/>
  <c r="M801" i="17" l="1"/>
  <c r="N801" i="17" l="1"/>
  <c r="AJ801" i="17" s="1"/>
  <c r="O801" i="17" s="1"/>
  <c r="Q801" i="17" l="1"/>
  <c r="P801" i="17"/>
  <c r="R801" i="17" l="1"/>
  <c r="S801" i="17" s="1"/>
  <c r="AI801" i="17" l="1"/>
  <c r="H802" i="17"/>
  <c r="AQ801" i="17"/>
  <c r="T801" i="17"/>
  <c r="K802" i="17"/>
  <c r="AK801" i="17"/>
  <c r="U802" i="17" l="1"/>
  <c r="V802" i="17" s="1"/>
  <c r="M802" i="17"/>
  <c r="N802" i="17" l="1"/>
  <c r="AJ802" i="17" s="1"/>
  <c r="O802" i="17" s="1"/>
  <c r="P802" i="17" l="1"/>
  <c r="Q802" i="17"/>
  <c r="R802" i="17" l="1"/>
  <c r="K803" i="17" s="1"/>
  <c r="T802" i="17" l="1"/>
  <c r="AK802" i="17"/>
  <c r="S802" i="17"/>
  <c r="AQ802" i="17"/>
  <c r="AI802" i="17"/>
  <c r="H803" i="17"/>
  <c r="U803" i="17"/>
  <c r="V803" i="17" s="1"/>
  <c r="M803" i="17"/>
  <c r="N803" i="17" l="1"/>
  <c r="AJ803" i="17" s="1"/>
  <c r="Q803" i="17" l="1"/>
  <c r="O803" i="17"/>
  <c r="P803" i="17"/>
  <c r="R803" i="17" l="1"/>
  <c r="S803" i="17" l="1"/>
  <c r="H804" i="17"/>
  <c r="AQ803" i="17"/>
  <c r="T803" i="17"/>
  <c r="AI803" i="17"/>
  <c r="K804" i="17"/>
  <c r="AK803" i="17"/>
  <c r="U804" i="17" l="1"/>
  <c r="V804" i="17" s="1"/>
  <c r="M804" i="17"/>
  <c r="N804" i="17" l="1"/>
  <c r="AJ804" i="17" s="1"/>
  <c r="O804" i="17" s="1"/>
  <c r="P804" i="17" l="1"/>
  <c r="Q804" i="17"/>
  <c r="R804" i="17" l="1"/>
  <c r="S804" i="17" l="1"/>
  <c r="AQ804" i="17"/>
  <c r="H805" i="17"/>
  <c r="AI804" i="17"/>
  <c r="AK804" i="17"/>
  <c r="T804" i="17"/>
  <c r="K805" i="17"/>
  <c r="M805" i="17" l="1"/>
  <c r="U805" i="17"/>
  <c r="V805" i="17" s="1"/>
  <c r="N805" i="17" l="1"/>
  <c r="AJ805" i="17" s="1"/>
  <c r="O805" i="17" s="1"/>
  <c r="Q805" i="17" l="1"/>
  <c r="P805" i="17"/>
  <c r="R805" i="17" l="1"/>
  <c r="T805" i="17" s="1"/>
  <c r="H806" i="17" l="1"/>
  <c r="AI805" i="17"/>
  <c r="AK805" i="17"/>
  <c r="AQ805" i="17"/>
  <c r="S805" i="17"/>
  <c r="K806" i="17"/>
  <c r="M806" i="17" s="1"/>
  <c r="U806" i="17" l="1"/>
  <c r="V806" i="17" s="1"/>
  <c r="N806" i="17"/>
  <c r="AJ806" i="17" s="1"/>
  <c r="O806" i="17" s="1"/>
  <c r="Q806" i="17" l="1"/>
  <c r="P806" i="17"/>
  <c r="R806" i="17" l="1"/>
  <c r="H807" i="17" s="1"/>
  <c r="AQ806" i="17" l="1"/>
  <c r="K807" i="17"/>
  <c r="U807" i="17" s="1"/>
  <c r="V807" i="17" s="1"/>
  <c r="S806" i="17"/>
  <c r="AI806" i="17"/>
  <c r="T806" i="17"/>
  <c r="AK806" i="17"/>
  <c r="M807" i="17" l="1"/>
  <c r="N807" i="17" s="1"/>
  <c r="AJ807" i="17" s="1"/>
  <c r="O807" i="17" s="1"/>
  <c r="Q807" i="17" l="1"/>
  <c r="P807" i="17"/>
  <c r="R807" i="17" l="1"/>
  <c r="T807" i="17" s="1"/>
  <c r="H808" i="17" l="1"/>
  <c r="AQ807" i="17"/>
  <c r="S807" i="17"/>
  <c r="AK807" i="17"/>
  <c r="AI807" i="17"/>
  <c r="K808" i="17"/>
  <c r="M808" i="17" s="1"/>
  <c r="U808" i="17" l="1"/>
  <c r="V808" i="17" s="1"/>
  <c r="N808" i="17"/>
  <c r="AJ808" i="17" s="1"/>
  <c r="O808" i="17" s="1"/>
  <c r="Q808" i="17" l="1"/>
  <c r="P808" i="17"/>
  <c r="R808" i="17" l="1"/>
  <c r="AK808" i="17" s="1"/>
  <c r="AI808" i="17" l="1"/>
  <c r="T808" i="17"/>
  <c r="K809" i="17"/>
  <c r="M809" i="17" s="1"/>
  <c r="S808" i="17"/>
  <c r="AQ808" i="17"/>
  <c r="H809" i="17"/>
  <c r="U809" i="17" l="1"/>
  <c r="V809" i="17" s="1"/>
  <c r="N809" i="17"/>
  <c r="AJ809" i="17" s="1"/>
  <c r="O809" i="17" s="1"/>
  <c r="P809" i="17" l="1"/>
  <c r="Q809" i="17"/>
  <c r="R809" i="17" l="1"/>
  <c r="S809" i="17" l="1"/>
  <c r="AQ809" i="17"/>
  <c r="AK809" i="17"/>
  <c r="K810" i="17"/>
  <c r="H810" i="17"/>
  <c r="AI809" i="17"/>
  <c r="T809" i="17"/>
  <c r="U810" i="17" l="1"/>
  <c r="V810" i="17" s="1"/>
  <c r="M810" i="17"/>
  <c r="N810" i="17" l="1"/>
  <c r="AJ810" i="17" s="1"/>
  <c r="O810" i="17" s="1"/>
  <c r="Q810" i="17" l="1"/>
  <c r="P810" i="17"/>
  <c r="R810" i="17" l="1"/>
  <c r="S810" i="17" s="1"/>
  <c r="AI810" i="17" l="1"/>
  <c r="AK810" i="17"/>
  <c r="K811" i="17"/>
  <c r="M811" i="17" s="1"/>
  <c r="N811" i="17" s="1"/>
  <c r="AJ811" i="17" s="1"/>
  <c r="H811" i="17"/>
  <c r="T810" i="17"/>
  <c r="AQ810" i="17"/>
  <c r="U811" i="17" l="1"/>
  <c r="V811" i="17" s="1"/>
  <c r="Q811" i="17"/>
  <c r="O811" i="17"/>
  <c r="P811" i="17"/>
  <c r="R811" i="17" l="1"/>
  <c r="S811" i="17" l="1"/>
  <c r="K812" i="17"/>
  <c r="H812" i="17"/>
  <c r="AI811" i="17"/>
  <c r="AK811" i="17"/>
  <c r="AQ811" i="17"/>
  <c r="T811" i="17"/>
  <c r="G26" i="17" l="1"/>
  <c r="U812" i="17"/>
  <c r="V812" i="17" s="1"/>
  <c r="M812" i="17"/>
  <c r="N812" i="17" l="1"/>
  <c r="AJ812" i="17" s="1"/>
  <c r="O812" i="17" s="1"/>
  <c r="M28" i="13"/>
  <c r="Q27" i="13"/>
  <c r="P812" i="17" l="1"/>
  <c r="Q812" i="17"/>
  <c r="R812" i="17" l="1"/>
  <c r="H813" i="17" s="1"/>
  <c r="AK812" i="17" l="1"/>
  <c r="AQ812" i="17"/>
  <c r="S812" i="17"/>
  <c r="AI812" i="17"/>
  <c r="K813" i="17"/>
  <c r="U813" i="17" s="1"/>
  <c r="V813" i="17" s="1"/>
  <c r="T812" i="17"/>
  <c r="M813" i="17" l="1"/>
  <c r="N813" i="17" s="1"/>
  <c r="AJ813" i="17" s="1"/>
  <c r="O813" i="17" s="1"/>
  <c r="P813" i="17" l="1"/>
  <c r="Q813" i="17"/>
  <c r="R813" i="17" l="1"/>
  <c r="H814" i="17" s="1"/>
  <c r="T813" i="17" l="1"/>
  <c r="S813" i="17"/>
  <c r="AI813" i="17"/>
  <c r="AK813" i="17"/>
  <c r="AQ813" i="17"/>
  <c r="K814" i="17"/>
  <c r="U814" i="17" s="1"/>
  <c r="V814" i="17" s="1"/>
  <c r="M814" i="17" l="1"/>
  <c r="N814" i="17" s="1"/>
  <c r="AJ814" i="17" s="1"/>
  <c r="O814" i="17" s="1"/>
  <c r="P814" i="17" l="1"/>
  <c r="Q814" i="17"/>
  <c r="R814" i="17" l="1"/>
  <c r="S814" i="17" s="1"/>
  <c r="T814" i="17" l="1"/>
  <c r="AQ814" i="17"/>
  <c r="H815" i="17"/>
  <c r="AK814" i="17"/>
  <c r="AI814" i="17"/>
  <c r="K815" i="17"/>
  <c r="M815" i="17" s="1"/>
  <c r="N815" i="17" s="1"/>
  <c r="AJ815" i="17" s="1"/>
  <c r="O815" i="17" s="1"/>
  <c r="U815" i="17" l="1"/>
  <c r="V815" i="17" s="1"/>
  <c r="Q815" i="17"/>
  <c r="P815" i="17"/>
  <c r="R815" i="17" l="1"/>
  <c r="S815" i="17" s="1"/>
  <c r="T815" i="17" l="1"/>
  <c r="K816" i="17"/>
  <c r="M816" i="17" s="1"/>
  <c r="N816" i="17" s="1"/>
  <c r="H816" i="17"/>
  <c r="AQ815" i="17"/>
  <c r="AI815" i="17"/>
  <c r="AK815" i="17"/>
  <c r="AJ816" i="17" l="1"/>
  <c r="O816" i="17" s="1"/>
  <c r="U816" i="17"/>
  <c r="V816" i="17" s="1"/>
  <c r="P816" i="17" l="1"/>
  <c r="Q816" i="17"/>
  <c r="R816" i="17" l="1"/>
  <c r="S816" i="17" s="1"/>
  <c r="T816" i="17" l="1"/>
  <c r="AI816" i="17"/>
  <c r="AK816" i="17"/>
  <c r="K817" i="17"/>
  <c r="U817" i="17" s="1"/>
  <c r="V817" i="17" s="1"/>
  <c r="H817" i="17"/>
  <c r="AQ816" i="17"/>
  <c r="M817" i="17" l="1"/>
  <c r="N817" i="17" s="1"/>
  <c r="AJ817" i="17" s="1"/>
  <c r="O817" i="17" s="1"/>
  <c r="Q817" i="17" l="1"/>
  <c r="P817" i="17"/>
  <c r="R817" i="17" s="1"/>
  <c r="S817" i="17" s="1"/>
  <c r="AI817" i="17" l="1"/>
  <c r="AQ817" i="17"/>
  <c r="H818" i="17"/>
  <c r="K818" i="17"/>
  <c r="U818" i="17" s="1"/>
  <c r="V818" i="17" s="1"/>
  <c r="T817" i="17"/>
  <c r="AK817" i="17"/>
  <c r="M818" i="17" l="1"/>
  <c r="N818" i="17" s="1"/>
  <c r="AJ818" i="17" l="1"/>
  <c r="O818" i="17" s="1"/>
  <c r="P818" i="17" l="1"/>
  <c r="Q818" i="17"/>
  <c r="R818" i="17" l="1"/>
  <c r="S818" i="17" s="1"/>
  <c r="K819" i="17" l="1"/>
  <c r="U819" i="17" s="1"/>
  <c r="V819" i="17" s="1"/>
  <c r="AQ818" i="17"/>
  <c r="H819" i="17"/>
  <c r="T818" i="17"/>
  <c r="AI818" i="17"/>
  <c r="AK818" i="17"/>
  <c r="M819" i="17" l="1"/>
  <c r="N819" i="17" s="1"/>
  <c r="AJ819" i="17" s="1"/>
  <c r="O819" i="17" s="1"/>
  <c r="P819" i="17" l="1"/>
  <c r="Q819" i="17"/>
  <c r="R819" i="17" l="1"/>
  <c r="S819" i="17" s="1"/>
  <c r="H820" i="17" l="1"/>
  <c r="AK819" i="17"/>
  <c r="T819" i="17"/>
  <c r="AQ819" i="17"/>
  <c r="AI819" i="17"/>
  <c r="K820" i="17"/>
  <c r="M820" i="17" s="1"/>
  <c r="N820" i="17" s="1"/>
  <c r="AJ820" i="17" s="1"/>
  <c r="O820" i="17" s="1"/>
  <c r="U820" i="17" l="1"/>
  <c r="V820" i="17" s="1"/>
  <c r="P820" i="17"/>
  <c r="Q820" i="17"/>
  <c r="R820" i="17" l="1"/>
  <c r="S820" i="17" s="1"/>
  <c r="AK820" i="17" l="1"/>
  <c r="T820" i="17"/>
  <c r="H821" i="17"/>
  <c r="K821" i="17"/>
  <c r="AQ820" i="17"/>
  <c r="AI820" i="17"/>
  <c r="M821" i="17" l="1"/>
  <c r="N821" i="17" s="1"/>
  <c r="AJ821" i="17" s="1"/>
  <c r="O821" i="17" s="1"/>
  <c r="U821" i="17"/>
  <c r="V821" i="17" s="1"/>
  <c r="P821" i="17" l="1"/>
  <c r="Q821" i="17"/>
  <c r="R821" i="17" l="1"/>
  <c r="S821" i="17" s="1"/>
  <c r="K822" i="17" l="1"/>
  <c r="U822" i="17" s="1"/>
  <c r="V822" i="17" s="1"/>
  <c r="AK821" i="17"/>
  <c r="H822" i="17"/>
  <c r="T821" i="17"/>
  <c r="AI821" i="17"/>
  <c r="AQ821" i="17"/>
  <c r="M822" i="17" l="1"/>
  <c r="N822" i="17" s="1"/>
  <c r="AJ822" i="17" l="1"/>
  <c r="O822" i="17" s="1"/>
  <c r="Q822" i="17" l="1"/>
  <c r="P822" i="17"/>
  <c r="R822" i="17" l="1"/>
  <c r="S822" i="17" s="1"/>
  <c r="H823" i="17" l="1"/>
  <c r="AI822" i="17"/>
  <c r="AQ822" i="17"/>
  <c r="T822" i="17"/>
  <c r="AK822" i="17"/>
  <c r="K823" i="17"/>
  <c r="M823" i="17" l="1"/>
  <c r="N823" i="17" s="1"/>
  <c r="U823" i="17"/>
  <c r="V823" i="17" s="1"/>
  <c r="AJ823" i="17" l="1"/>
  <c r="O823" i="17" s="1"/>
  <c r="Q823" i="17" l="1"/>
  <c r="P823" i="17"/>
  <c r="R823" i="17" l="1"/>
  <c r="S823" i="17" s="1"/>
  <c r="K824" i="17" l="1"/>
  <c r="M824" i="17" s="1"/>
  <c r="N824" i="17" s="1"/>
  <c r="AJ824" i="17" s="1"/>
  <c r="O824" i="17" s="1"/>
  <c r="T823" i="17"/>
  <c r="AK823" i="17"/>
  <c r="H824" i="17"/>
  <c r="AQ823" i="17"/>
  <c r="AI823" i="17"/>
  <c r="U824" i="17" l="1"/>
  <c r="V824" i="17" s="1"/>
  <c r="Q824" i="17"/>
  <c r="P824" i="17"/>
  <c r="R824" i="17" l="1"/>
  <c r="S824" i="17" s="1"/>
  <c r="AQ824" i="17" l="1"/>
  <c r="H825" i="17"/>
  <c r="T824" i="17"/>
  <c r="AI824" i="17"/>
  <c r="AK824" i="17"/>
  <c r="K825" i="17"/>
  <c r="U825" i="17" l="1"/>
  <c r="V825" i="17" s="1"/>
  <c r="M825" i="17"/>
  <c r="N825" i="17" s="1"/>
  <c r="AJ825" i="17" s="1"/>
  <c r="O825" i="17" s="1"/>
  <c r="P825" i="17" l="1"/>
  <c r="Q825" i="17"/>
  <c r="R825" i="17" l="1"/>
  <c r="S825" i="17" s="1"/>
  <c r="AQ825" i="17" l="1"/>
  <c r="K826" i="17"/>
  <c r="T825" i="17"/>
  <c r="AI825" i="17"/>
  <c r="AK825" i="17"/>
  <c r="H826" i="17"/>
  <c r="U826" i="17" l="1"/>
  <c r="V826" i="17" s="1"/>
  <c r="M826" i="17"/>
  <c r="N826" i="17" s="1"/>
  <c r="AJ826" i="17" l="1"/>
  <c r="O826" i="17" s="1"/>
  <c r="Q826" i="17" l="1"/>
  <c r="P826" i="17"/>
  <c r="R826" i="17" l="1"/>
  <c r="S826" i="17" s="1"/>
  <c r="AI826" i="17" l="1"/>
  <c r="T826" i="17"/>
  <c r="K827" i="17"/>
  <c r="H827" i="17"/>
  <c r="AQ826" i="17"/>
  <c r="AK826" i="17"/>
  <c r="M827" i="17" l="1"/>
  <c r="N827" i="17" s="1"/>
  <c r="AJ827" i="17" s="1"/>
  <c r="O827" i="17" s="1"/>
  <c r="U827" i="17"/>
  <c r="V827" i="17" s="1"/>
  <c r="P827" i="17" l="1"/>
  <c r="Q827" i="17"/>
  <c r="R827" i="17" l="1"/>
  <c r="S827" i="17" s="1"/>
  <c r="AK827" i="17" l="1"/>
  <c r="K828" i="17"/>
  <c r="AI827" i="17"/>
  <c r="AQ827" i="17"/>
  <c r="T827" i="17"/>
  <c r="H828" i="17"/>
  <c r="M828" i="17" l="1"/>
  <c r="N828" i="17" s="1"/>
  <c r="U828" i="17"/>
  <c r="V828" i="17" s="1"/>
  <c r="AJ828" i="17" l="1"/>
  <c r="O828" i="17" s="1"/>
  <c r="P828" i="17" l="1"/>
  <c r="Q828" i="17"/>
  <c r="R828" i="17" l="1"/>
  <c r="S828" i="17" s="1"/>
  <c r="AK828" i="17" l="1"/>
  <c r="T828" i="17"/>
  <c r="AI828" i="17"/>
  <c r="H829" i="17"/>
  <c r="AQ828" i="17"/>
  <c r="K829" i="17"/>
  <c r="U829" i="17" l="1"/>
  <c r="V829" i="17" s="1"/>
  <c r="M829" i="17"/>
  <c r="N829" i="17" s="1"/>
  <c r="AJ829" i="17" l="1"/>
  <c r="O829" i="17" s="1"/>
  <c r="Q829" i="17" l="1"/>
  <c r="P829" i="17"/>
  <c r="R829" i="17" l="1"/>
  <c r="S829" i="17" s="1"/>
  <c r="AQ829" i="17" l="1"/>
  <c r="T829" i="17"/>
  <c r="K830" i="17"/>
  <c r="H830" i="17"/>
  <c r="AK829" i="17"/>
  <c r="AI829" i="17"/>
  <c r="M830" i="17" l="1"/>
  <c r="N830" i="17" s="1"/>
  <c r="AJ830" i="17" s="1"/>
  <c r="O830" i="17" s="1"/>
  <c r="U830" i="17"/>
  <c r="V830" i="17" s="1"/>
  <c r="P830" i="17" l="1"/>
  <c r="Q830" i="17"/>
  <c r="R830" i="17" l="1"/>
  <c r="S830" i="17" s="1"/>
  <c r="AQ830" i="17" l="1"/>
  <c r="K831" i="17"/>
  <c r="AI830" i="17"/>
  <c r="T830" i="17"/>
  <c r="AK830" i="17"/>
  <c r="H831" i="17"/>
  <c r="M831" i="17" l="1"/>
  <c r="N831" i="17" s="1"/>
  <c r="U831" i="17"/>
  <c r="V831" i="17" s="1"/>
  <c r="AJ831" i="17" l="1"/>
  <c r="O831" i="17" s="1"/>
  <c r="P831" i="17" l="1"/>
  <c r="Q831" i="17"/>
  <c r="R831" i="17" l="1"/>
  <c r="S831" i="17" s="1"/>
  <c r="AQ831" i="17" l="1"/>
  <c r="K832" i="17"/>
  <c r="U832" i="17" s="1"/>
  <c r="V832" i="17" s="1"/>
  <c r="H832" i="17"/>
  <c r="T831" i="17"/>
  <c r="AI831" i="17"/>
  <c r="AK831" i="17"/>
  <c r="M832" i="17" l="1"/>
  <c r="N832" i="17" s="1"/>
  <c r="AJ832" i="17" l="1"/>
  <c r="O832" i="17" s="1"/>
  <c r="P832" i="17" l="1"/>
  <c r="Q832" i="17"/>
  <c r="R832" i="17" l="1"/>
  <c r="S832" i="17" s="1"/>
  <c r="K833" i="17" l="1"/>
  <c r="U833" i="17" s="1"/>
  <c r="V833" i="17" s="1"/>
  <c r="T832" i="17"/>
  <c r="AK832" i="17"/>
  <c r="AI832" i="17"/>
  <c r="H833" i="17"/>
  <c r="AQ832" i="17"/>
  <c r="M833" i="17" l="1"/>
  <c r="N833" i="17" s="1"/>
  <c r="AJ833" i="17" l="1"/>
  <c r="O833" i="17" s="1"/>
  <c r="P833" i="17" l="1"/>
  <c r="Q833" i="17"/>
  <c r="R833" i="17" l="1"/>
  <c r="S833" i="17" s="1"/>
  <c r="H834" i="17" l="1"/>
  <c r="AI833" i="17"/>
  <c r="AQ833" i="17"/>
  <c r="AK833" i="17"/>
  <c r="T833" i="17"/>
  <c r="K834" i="17"/>
  <c r="U834" i="17" s="1"/>
  <c r="V834" i="17" s="1"/>
  <c r="M834" i="17" l="1"/>
  <c r="N834" i="17" s="1"/>
  <c r="AJ834" i="17" s="1"/>
  <c r="O834" i="17" s="1"/>
  <c r="Q834" i="17" l="1"/>
  <c r="P834" i="17"/>
  <c r="R834" i="17" l="1"/>
  <c r="S834" i="17" s="1"/>
  <c r="AI834" i="17" l="1"/>
  <c r="T834" i="17"/>
  <c r="AQ834" i="17"/>
  <c r="K835" i="17"/>
  <c r="AK834" i="17"/>
  <c r="H835" i="17"/>
  <c r="M835" i="17" l="1"/>
  <c r="N835" i="17" s="1"/>
  <c r="U835" i="17"/>
  <c r="V835" i="17" s="1"/>
  <c r="AJ835" i="17" l="1"/>
  <c r="O835" i="17" s="1"/>
  <c r="Q835" i="17" l="1"/>
  <c r="P835" i="17"/>
  <c r="R835" i="17" l="1"/>
  <c r="S835" i="17" s="1"/>
  <c r="AQ835" i="17" l="1"/>
  <c r="AK835" i="17"/>
  <c r="T835" i="17"/>
  <c r="K836" i="17"/>
  <c r="H836" i="17"/>
  <c r="AI835" i="17"/>
  <c r="U836" i="17" l="1"/>
  <c r="V836" i="17" s="1"/>
  <c r="M836" i="17"/>
  <c r="N836" i="17" s="1"/>
  <c r="AJ836" i="17" s="1"/>
  <c r="O836" i="17" s="1"/>
  <c r="P836" i="17" l="1"/>
  <c r="Q836" i="17"/>
  <c r="R836" i="17" l="1"/>
  <c r="S836" i="17" s="1"/>
  <c r="T836" i="17" l="1"/>
  <c r="H837" i="17"/>
  <c r="AI836" i="17"/>
  <c r="AK836" i="17"/>
  <c r="AQ836" i="17"/>
  <c r="K837" i="17"/>
  <c r="M837" i="17" l="1"/>
  <c r="N837" i="17" s="1"/>
  <c r="U837" i="17"/>
  <c r="V837" i="17" s="1"/>
  <c r="AJ837" i="17" l="1"/>
  <c r="O837" i="17" s="1"/>
  <c r="P837" i="17" l="1"/>
  <c r="Q837" i="17"/>
  <c r="R837" i="17" l="1"/>
  <c r="S837" i="17" s="1"/>
  <c r="K838" i="17" l="1"/>
  <c r="U838" i="17" s="1"/>
  <c r="V838" i="17" s="1"/>
  <c r="H838" i="17"/>
  <c r="T837" i="17"/>
  <c r="AQ837" i="17"/>
  <c r="AI837" i="17"/>
  <c r="AK837" i="17"/>
  <c r="M838" i="17" l="1"/>
  <c r="N838" i="17" s="1"/>
  <c r="AJ838" i="17" s="1"/>
  <c r="O838" i="17" s="1"/>
  <c r="Q838" i="17" l="1"/>
  <c r="P838" i="17"/>
  <c r="R838" i="17" l="1"/>
  <c r="S838" i="17" s="1"/>
  <c r="K839" i="17" l="1"/>
  <c r="U839" i="17" s="1"/>
  <c r="V839" i="17" s="1"/>
  <c r="T838" i="17"/>
  <c r="AK838" i="17"/>
  <c r="AQ838" i="17"/>
  <c r="H839" i="17"/>
  <c r="AI838" i="17"/>
  <c r="M839" i="17" l="1"/>
  <c r="N839" i="17" s="1"/>
  <c r="AJ839" i="17" s="1"/>
  <c r="O839" i="17" s="1"/>
  <c r="Q839" i="17" l="1"/>
  <c r="P839" i="17"/>
  <c r="R839" i="17" l="1"/>
  <c r="S839" i="17" s="1"/>
  <c r="K840" i="17" l="1"/>
  <c r="U840" i="17" s="1"/>
  <c r="V840" i="17" s="1"/>
  <c r="H840" i="17"/>
  <c r="AK839" i="17"/>
  <c r="AQ839" i="17"/>
  <c r="T839" i="17"/>
  <c r="AI839" i="17"/>
  <c r="M840" i="17" l="1"/>
  <c r="N840" i="17"/>
  <c r="AJ840" i="17" l="1"/>
  <c r="O840" i="17" s="1"/>
  <c r="P840" i="17" l="1"/>
  <c r="Q840" i="17"/>
  <c r="R840" i="17" l="1"/>
  <c r="S840" i="17" s="1"/>
  <c r="T840" i="17" l="1"/>
  <c r="AI840" i="17"/>
  <c r="H841" i="17"/>
  <c r="AQ840" i="17"/>
  <c r="K841" i="17"/>
  <c r="M841" i="17" s="1"/>
  <c r="N841" i="17" s="1"/>
  <c r="AJ841" i="17" s="1"/>
  <c r="O841" i="17" s="1"/>
  <c r="AK840" i="17"/>
  <c r="U841" i="17" l="1"/>
  <c r="V841" i="17" s="1"/>
  <c r="P841" i="17"/>
  <c r="Q841" i="17"/>
  <c r="R841" i="17" l="1"/>
  <c r="AK841" i="17" s="1"/>
  <c r="K842" i="17" l="1"/>
  <c r="M842" i="17" s="1"/>
  <c r="N842" i="17" s="1"/>
  <c r="AI841" i="17"/>
  <c r="H842" i="17"/>
  <c r="T841" i="17"/>
  <c r="AQ841" i="17"/>
  <c r="S841" i="17"/>
  <c r="U842" i="17" l="1"/>
  <c r="V842" i="17" s="1"/>
  <c r="AJ842" i="17"/>
  <c r="O842" i="17" l="1"/>
  <c r="Q842" i="17"/>
  <c r="P842" i="17"/>
  <c r="R842" i="17" l="1"/>
  <c r="S842" i="17" s="1"/>
  <c r="AQ842" i="17" l="1"/>
  <c r="AK842" i="17"/>
  <c r="H843" i="17"/>
  <c r="K843" i="17"/>
  <c r="AI842" i="17"/>
  <c r="T842" i="17"/>
  <c r="U843" i="17" l="1"/>
  <c r="V843" i="17" s="1"/>
  <c r="M843" i="17"/>
  <c r="N843" i="17" s="1"/>
  <c r="AJ843" i="17" l="1"/>
  <c r="O843" i="17" s="1"/>
  <c r="P843" i="17" l="1"/>
  <c r="Q843" i="17"/>
  <c r="R843" i="17" l="1"/>
  <c r="S843" i="17" s="1"/>
  <c r="K844" i="17" l="1"/>
  <c r="U844" i="17" s="1"/>
  <c r="V844" i="17" s="1"/>
  <c r="AQ843" i="17"/>
  <c r="AI843" i="17"/>
  <c r="T843" i="17"/>
  <c r="AK843" i="17"/>
  <c r="H844" i="17"/>
  <c r="M844" i="17" l="1"/>
  <c r="N844" i="17" s="1"/>
  <c r="AJ844" i="17" s="1"/>
  <c r="O844" i="17" s="1"/>
  <c r="Q844" i="17" l="1"/>
  <c r="P844" i="17"/>
  <c r="R844" i="17" l="1"/>
  <c r="S844" i="17" s="1"/>
  <c r="T844" i="17" l="1"/>
  <c r="K845" i="17"/>
  <c r="U845" i="17" s="1"/>
  <c r="V845" i="17" s="1"/>
  <c r="AI844" i="17"/>
  <c r="AQ844" i="17"/>
  <c r="AK844" i="17"/>
  <c r="H845" i="17"/>
  <c r="M845" i="17" l="1"/>
  <c r="N845" i="17" s="1"/>
  <c r="AJ845" i="17" l="1"/>
  <c r="O845" i="17" s="1"/>
  <c r="Q845" i="17" l="1"/>
  <c r="P845" i="17"/>
  <c r="R845" i="17" l="1"/>
  <c r="S845" i="17" s="1"/>
  <c r="K846" i="17" l="1"/>
  <c r="U846" i="17" s="1"/>
  <c r="V846" i="17" s="1"/>
  <c r="AI845" i="17"/>
  <c r="AQ845" i="17"/>
  <c r="AK845" i="17"/>
  <c r="T845" i="17"/>
  <c r="H846" i="17"/>
  <c r="M846" i="17" l="1"/>
  <c r="N846" i="17" s="1"/>
  <c r="AJ846" i="17" s="1"/>
  <c r="O846" i="17" s="1"/>
  <c r="P846" i="17" l="1"/>
  <c r="Q846" i="17"/>
  <c r="R846" i="17" l="1"/>
  <c r="S846" i="17" s="1"/>
  <c r="K847" i="17" l="1"/>
  <c r="U847" i="17" s="1"/>
  <c r="V847" i="17" s="1"/>
  <c r="AI846" i="17"/>
  <c r="T846" i="17"/>
  <c r="AK846" i="17"/>
  <c r="H847" i="17"/>
  <c r="AQ846" i="17"/>
  <c r="M847" i="17" l="1"/>
  <c r="N847" i="17" s="1"/>
  <c r="AJ847" i="17" s="1"/>
  <c r="O847" i="17" s="1"/>
  <c r="P847" i="17" l="1"/>
  <c r="Q847" i="17"/>
  <c r="R847" i="17" l="1"/>
  <c r="S847" i="17" s="1"/>
  <c r="H848" i="17" l="1"/>
  <c r="K848" i="17"/>
  <c r="M848" i="17" s="1"/>
  <c r="T847" i="17"/>
  <c r="AI847" i="17"/>
  <c r="AQ847" i="17"/>
  <c r="AK847" i="17"/>
  <c r="N848" i="17" l="1"/>
  <c r="AJ848" i="17" s="1"/>
  <c r="U848" i="17"/>
  <c r="V848" i="17" s="1"/>
  <c r="O848" i="17" l="1"/>
  <c r="Q848" i="17"/>
  <c r="P848" i="17"/>
  <c r="R848" i="17" l="1"/>
  <c r="S848" i="17" s="1"/>
  <c r="AQ848" i="17" l="1"/>
  <c r="AK848" i="17"/>
  <c r="H849" i="17"/>
  <c r="AI848" i="17"/>
  <c r="T848" i="17"/>
  <c r="K849" i="17"/>
  <c r="M849" i="17" l="1"/>
  <c r="N849" i="17" s="1"/>
  <c r="AJ849" i="17" s="1"/>
  <c r="O849" i="17" s="1"/>
  <c r="U849" i="17"/>
  <c r="V849" i="17" s="1"/>
  <c r="Q849" i="17" l="1"/>
  <c r="P849" i="17"/>
  <c r="R849" i="17" l="1"/>
  <c r="S849" i="17" s="1"/>
  <c r="AK849" i="17" l="1"/>
  <c r="AQ849" i="17"/>
  <c r="H850" i="17"/>
  <c r="T849" i="17"/>
  <c r="K850" i="17"/>
  <c r="AI849" i="17"/>
  <c r="U850" i="17" l="1"/>
  <c r="V850" i="17" s="1"/>
  <c r="M850" i="17"/>
  <c r="N850" i="17" s="1"/>
  <c r="AJ850" i="17" s="1"/>
  <c r="Q850" i="17" s="1"/>
  <c r="P850" i="17" l="1"/>
  <c r="O850" i="17"/>
  <c r="R850" i="17" l="1"/>
  <c r="S850" i="17" s="1"/>
  <c r="T850" i="17" l="1"/>
  <c r="K851" i="17"/>
  <c r="U851" i="17" s="1"/>
  <c r="V851" i="17" s="1"/>
  <c r="H851" i="17"/>
  <c r="AQ850" i="17"/>
  <c r="AK850" i="17"/>
  <c r="AI850" i="17"/>
  <c r="M851" i="17" l="1"/>
  <c r="N851" i="17" s="1"/>
  <c r="AJ851" i="17" s="1"/>
  <c r="O851" i="17" s="1"/>
  <c r="P851" i="17" l="1"/>
  <c r="Q851" i="17"/>
  <c r="R851" i="17" l="1"/>
  <c r="H852" i="17" s="1"/>
  <c r="AI851" i="17" l="1"/>
  <c r="K852" i="17"/>
  <c r="U852" i="17" s="1"/>
  <c r="V852" i="17" s="1"/>
  <c r="T851" i="17"/>
  <c r="S851" i="17"/>
  <c r="AK851" i="17"/>
  <c r="AQ851" i="17"/>
  <c r="M852" i="17" l="1"/>
  <c r="N852" i="17" s="1"/>
  <c r="AJ852" i="17" s="1"/>
  <c r="O852" i="17" s="1"/>
  <c r="Q852" i="17" l="1"/>
  <c r="P852" i="17"/>
  <c r="R852" i="17" l="1"/>
  <c r="S852" i="17" s="1"/>
  <c r="AQ852" i="17" l="1"/>
  <c r="K853" i="17"/>
  <c r="U853" i="17" s="1"/>
  <c r="V853" i="17" s="1"/>
  <c r="H853" i="17"/>
  <c r="AI852" i="17"/>
  <c r="T852" i="17"/>
  <c r="AK852" i="17"/>
  <c r="M853" i="17" l="1"/>
  <c r="N853" i="17" s="1"/>
  <c r="AJ853" i="17" s="1"/>
  <c r="O853" i="17" s="1"/>
  <c r="P853" i="17" l="1"/>
  <c r="Q853" i="17"/>
  <c r="R853" i="17" l="1"/>
  <c r="S853" i="17" s="1"/>
  <c r="K854" i="17" l="1"/>
  <c r="M854" i="17" s="1"/>
  <c r="N854" i="17" s="1"/>
  <c r="T853" i="17"/>
  <c r="AQ853" i="17"/>
  <c r="AK853" i="17"/>
  <c r="AI853" i="17"/>
  <c r="H854" i="17"/>
  <c r="U854" i="17" l="1"/>
  <c r="V854" i="17" s="1"/>
  <c r="AJ854" i="17"/>
  <c r="P854" i="17" s="1"/>
  <c r="O854" i="17" l="1"/>
  <c r="Q854" i="17"/>
  <c r="R854" i="17" l="1"/>
  <c r="S854" i="17" s="1"/>
  <c r="AK854" i="17" l="1"/>
  <c r="AQ854" i="17"/>
  <c r="T854" i="17"/>
  <c r="AI854" i="17"/>
  <c r="K855" i="17"/>
  <c r="H855" i="17"/>
  <c r="M855" i="17" l="1"/>
  <c r="N855" i="17" s="1"/>
  <c r="U855" i="17"/>
  <c r="V855" i="17" s="1"/>
  <c r="AJ855" i="17" l="1"/>
  <c r="O855" i="17" s="1"/>
  <c r="Q855" i="17" l="1"/>
  <c r="P855" i="17"/>
  <c r="R855" i="17" l="1"/>
  <c r="S855" i="17" s="1"/>
  <c r="AQ855" i="17" l="1"/>
  <c r="AK855" i="17"/>
  <c r="H856" i="17"/>
  <c r="K856" i="17"/>
  <c r="M856" i="17" s="1"/>
  <c r="N856" i="17" s="1"/>
  <c r="AJ856" i="17" s="1"/>
  <c r="O856" i="17" s="1"/>
  <c r="AI855" i="17"/>
  <c r="T855" i="17"/>
  <c r="P856" i="17" l="1"/>
  <c r="U856" i="17"/>
  <c r="V856" i="17" s="1"/>
  <c r="Q856" i="17"/>
  <c r="R856" i="17" l="1"/>
  <c r="S856" i="17" s="1"/>
  <c r="AK856" i="17" l="1"/>
  <c r="AQ856" i="17"/>
  <c r="K857" i="17"/>
  <c r="M857" i="17" s="1"/>
  <c r="N857" i="17" s="1"/>
  <c r="T856" i="17"/>
  <c r="AI856" i="17"/>
  <c r="H857" i="17"/>
  <c r="AJ857" i="17" l="1"/>
  <c r="P857" i="17" s="1"/>
  <c r="U857" i="17"/>
  <c r="V857" i="17" s="1"/>
  <c r="Q857" i="17"/>
  <c r="O857" i="17" l="1"/>
  <c r="R857" i="17" s="1"/>
  <c r="S857" i="17" s="1"/>
  <c r="AK857" i="17" l="1"/>
  <c r="AI857" i="17"/>
  <c r="H858" i="17"/>
  <c r="AQ857" i="17"/>
  <c r="T857" i="17"/>
  <c r="K858" i="17"/>
  <c r="M858" i="17" l="1"/>
  <c r="U858" i="17"/>
  <c r="V858" i="17" s="1"/>
  <c r="N858" i="17" l="1"/>
  <c r="AJ858" i="17" l="1"/>
  <c r="P858" i="17" s="1"/>
  <c r="O858" i="17" l="1"/>
  <c r="Q858" i="17"/>
  <c r="R858" i="17" l="1"/>
  <c r="S858" i="17" s="1"/>
  <c r="AI858" i="17" l="1"/>
  <c r="H859" i="17"/>
  <c r="AQ858" i="17"/>
  <c r="T858" i="17"/>
  <c r="K859" i="17"/>
  <c r="AK858" i="17"/>
  <c r="M859" i="17" l="1"/>
  <c r="N859" i="17" s="1"/>
  <c r="AJ859" i="17" s="1"/>
  <c r="Q859" i="17" s="1"/>
  <c r="U859" i="17"/>
  <c r="V859" i="17" s="1"/>
  <c r="P859" i="17" l="1"/>
  <c r="O859" i="17"/>
  <c r="R859" i="17" l="1"/>
  <c r="S859" i="17" s="1"/>
  <c r="H860" i="17" l="1"/>
  <c r="K860" i="17"/>
  <c r="U860" i="17" s="1"/>
  <c r="V860" i="17" s="1"/>
  <c r="AK859" i="17"/>
  <c r="AI859" i="17"/>
  <c r="T859" i="17"/>
  <c r="AQ859" i="17"/>
  <c r="M860" i="17" l="1"/>
  <c r="N860" i="17" s="1"/>
  <c r="AJ860" i="17" s="1"/>
  <c r="O860" i="17" s="1"/>
  <c r="Q860" i="17" l="1"/>
  <c r="P860" i="17"/>
  <c r="R860" i="17" l="1"/>
  <c r="S860" i="17" s="1"/>
  <c r="AK860" i="17" l="1"/>
  <c r="H861" i="17"/>
  <c r="T860" i="17"/>
  <c r="AI860" i="17"/>
  <c r="K861" i="17"/>
  <c r="U861" i="17" s="1"/>
  <c r="V861" i="17" s="1"/>
  <c r="AQ860" i="17"/>
  <c r="M861" i="17" l="1"/>
  <c r="N861" i="17" s="1"/>
  <c r="AJ861" i="17" s="1"/>
  <c r="O861" i="17" s="1"/>
  <c r="P861" i="17" l="1"/>
  <c r="Q861" i="17"/>
  <c r="R861" i="17" l="1"/>
  <c r="S861" i="17" s="1"/>
  <c r="T861" i="17" l="1"/>
  <c r="H862" i="17"/>
  <c r="K862" i="17"/>
  <c r="U862" i="17" s="1"/>
  <c r="V862" i="17" s="1"/>
  <c r="AK861" i="17"/>
  <c r="AQ861" i="17"/>
  <c r="AI861" i="17"/>
  <c r="M862" i="17" l="1"/>
  <c r="N862" i="17" s="1"/>
  <c r="AJ862" i="17" l="1"/>
  <c r="O862" i="17" s="1"/>
  <c r="Q862" i="17" l="1"/>
  <c r="P862" i="17"/>
  <c r="R862" i="17" l="1"/>
  <c r="S862" i="17" s="1"/>
  <c r="AQ862" i="17" l="1"/>
  <c r="K863" i="17"/>
  <c r="M863" i="17" s="1"/>
  <c r="N863" i="17" s="1"/>
  <c r="AJ863" i="17" s="1"/>
  <c r="O863" i="17" s="1"/>
  <c r="AI862" i="17"/>
  <c r="T862" i="17"/>
  <c r="AK862" i="17"/>
  <c r="H863" i="17"/>
  <c r="U863" i="17" l="1"/>
  <c r="V863" i="17" s="1"/>
  <c r="P863" i="17"/>
  <c r="Q863" i="17"/>
  <c r="R863" i="17" l="1"/>
  <c r="S863" i="17" s="1"/>
  <c r="K864" i="17" l="1"/>
  <c r="M864" i="17" s="1"/>
  <c r="AK863" i="17"/>
  <c r="T863" i="17"/>
  <c r="AQ863" i="17"/>
  <c r="AI863" i="17"/>
  <c r="H864" i="17"/>
  <c r="U864" i="17" l="1"/>
  <c r="V864" i="17" s="1"/>
  <c r="N864" i="17"/>
  <c r="AJ864" i="17" l="1"/>
  <c r="O864" i="17" s="1"/>
  <c r="Q864" i="17" l="1"/>
  <c r="P864" i="17"/>
  <c r="R864" i="17" l="1"/>
  <c r="S864" i="17" s="1"/>
  <c r="K865" i="17" l="1"/>
  <c r="M865" i="17" s="1"/>
  <c r="N865" i="17" s="1"/>
  <c r="AJ865" i="17" s="1"/>
  <c r="O865" i="17" s="1"/>
  <c r="AK864" i="17"/>
  <c r="AI864" i="17"/>
  <c r="H865" i="17"/>
  <c r="T864" i="17"/>
  <c r="AQ864" i="17"/>
  <c r="U865" i="17" l="1"/>
  <c r="V865" i="17" s="1"/>
  <c r="Q865" i="17"/>
  <c r="P865" i="17"/>
  <c r="R865" i="17" l="1"/>
  <c r="S865" i="17" s="1"/>
  <c r="H866" i="17" l="1"/>
  <c r="AQ865" i="17"/>
  <c r="T865" i="17"/>
  <c r="AI865" i="17"/>
  <c r="K866" i="17"/>
  <c r="M866" i="17" s="1"/>
  <c r="N866" i="17" s="1"/>
  <c r="AJ866" i="17" s="1"/>
  <c r="O866" i="17" s="1"/>
  <c r="AK865" i="17"/>
  <c r="U866" i="17" l="1"/>
  <c r="V866" i="17" s="1"/>
  <c r="Q866" i="17"/>
  <c r="P866" i="17"/>
  <c r="R866" i="17" l="1"/>
  <c r="S866" i="17" s="1"/>
  <c r="K867" i="17" l="1"/>
  <c r="U867" i="17" s="1"/>
  <c r="V867" i="17" s="1"/>
  <c r="AI866" i="17"/>
  <c r="T866" i="17"/>
  <c r="AK866" i="17"/>
  <c r="AQ866" i="17"/>
  <c r="H867" i="17"/>
  <c r="M867" i="17" l="1"/>
  <c r="N867" i="17" s="1"/>
  <c r="AJ867" i="17" s="1"/>
  <c r="O867" i="17" s="1"/>
  <c r="Q867" i="17" l="1"/>
  <c r="P867" i="17"/>
  <c r="R867" i="17" l="1"/>
  <c r="S867" i="17" s="1"/>
  <c r="AK867" i="17" l="1"/>
  <c r="H868" i="17"/>
  <c r="T867" i="17"/>
  <c r="AQ867" i="17"/>
  <c r="K868" i="17"/>
  <c r="U868" i="17" s="1"/>
  <c r="V868" i="17" s="1"/>
  <c r="AI867" i="17"/>
  <c r="M868" i="17" l="1"/>
  <c r="N868" i="17" s="1"/>
  <c r="AJ868" i="17" s="1"/>
  <c r="O868" i="17" s="1"/>
  <c r="P868" i="17" l="1"/>
  <c r="Q868" i="17"/>
  <c r="R868" i="17" l="1"/>
  <c r="S868" i="17" s="1"/>
  <c r="AI868" i="17" l="1"/>
  <c r="K869" i="17"/>
  <c r="M869" i="17" s="1"/>
  <c r="N869" i="17" s="1"/>
  <c r="AJ869" i="17" s="1"/>
  <c r="O869" i="17" s="1"/>
  <c r="T868" i="17"/>
  <c r="H869" i="17"/>
  <c r="AK868" i="17"/>
  <c r="AQ868" i="17"/>
  <c r="U869" i="17" l="1"/>
  <c r="V869" i="17" s="1"/>
  <c r="Q869" i="17"/>
  <c r="P869" i="17"/>
  <c r="R869" i="17" l="1"/>
  <c r="T869" i="17" s="1"/>
  <c r="S869" i="17" l="1"/>
  <c r="AI869" i="17"/>
  <c r="AK869" i="17"/>
  <c r="H870" i="17"/>
  <c r="AQ869" i="17"/>
  <c r="K870" i="17"/>
  <c r="M870" i="17" s="1"/>
  <c r="N870" i="17" s="1"/>
  <c r="AJ870" i="17" s="1"/>
  <c r="O870" i="17" s="1"/>
  <c r="U870" i="17" l="1"/>
  <c r="V870" i="17" s="1"/>
  <c r="P870" i="17"/>
  <c r="Q870" i="17"/>
  <c r="R870" i="17" l="1"/>
  <c r="S870" i="17" s="1"/>
  <c r="K871" i="17" l="1"/>
  <c r="M871" i="17" s="1"/>
  <c r="N871" i="17" s="1"/>
  <c r="AJ871" i="17" s="1"/>
  <c r="O871" i="17" s="1"/>
  <c r="H871" i="17"/>
  <c r="AQ870" i="17"/>
  <c r="T870" i="17"/>
  <c r="AK870" i="17"/>
  <c r="AI870" i="17"/>
  <c r="U871" i="17" l="1"/>
  <c r="V871" i="17" s="1"/>
  <c r="P871" i="17"/>
  <c r="Q871" i="17"/>
  <c r="R871" i="17" l="1"/>
  <c r="S871" i="17" s="1"/>
  <c r="AI871" i="17" l="1"/>
  <c r="K872" i="17"/>
  <c r="G27" i="17" s="1"/>
  <c r="H872" i="17"/>
  <c r="AK871" i="17"/>
  <c r="T871" i="17"/>
  <c r="AQ871" i="17"/>
  <c r="M29" i="13" l="1"/>
  <c r="Q28" i="13"/>
  <c r="M872" i="17"/>
  <c r="N872" i="17" s="1"/>
  <c r="U872" i="17"/>
  <c r="V872" i="17" s="1"/>
  <c r="AJ872" i="17" l="1"/>
  <c r="O872" i="17" s="1"/>
  <c r="P872" i="17" l="1"/>
  <c r="Q872" i="17"/>
  <c r="R872" i="17" l="1"/>
  <c r="S872" i="17" s="1"/>
  <c r="AK872" i="17" l="1"/>
  <c r="K873" i="17"/>
  <c r="U873" i="17" s="1"/>
  <c r="V873" i="17" s="1"/>
  <c r="H873" i="17"/>
  <c r="T872" i="17"/>
  <c r="AI872" i="17"/>
  <c r="AQ872" i="17"/>
  <c r="M873" i="17" l="1"/>
  <c r="N873" i="17" s="1"/>
  <c r="AJ873" i="17" s="1"/>
  <c r="Q873" i="17" s="1"/>
  <c r="P873" i="17" l="1"/>
  <c r="O873" i="17"/>
  <c r="R873" i="17" l="1"/>
  <c r="S873" i="17" s="1"/>
  <c r="T873" i="17" l="1"/>
  <c r="K874" i="17"/>
  <c r="M874" i="17" s="1"/>
  <c r="N874" i="17" s="1"/>
  <c r="AJ874" i="17" s="1"/>
  <c r="O874" i="17" s="1"/>
  <c r="H874" i="17"/>
  <c r="AI873" i="17"/>
  <c r="AQ873" i="17"/>
  <c r="AK873" i="17"/>
  <c r="U874" i="17" l="1"/>
  <c r="V874" i="17" s="1"/>
  <c r="Q874" i="17"/>
  <c r="P874" i="17"/>
  <c r="R874" i="17" l="1"/>
  <c r="S874" i="17" s="1"/>
  <c r="H875" i="17" l="1"/>
  <c r="AK874" i="17"/>
  <c r="AQ874" i="17"/>
  <c r="T874" i="17"/>
  <c r="K875" i="17"/>
  <c r="AI874" i="17"/>
  <c r="M875" i="17" l="1"/>
  <c r="N875" i="17" s="1"/>
  <c r="AJ875" i="17" s="1"/>
  <c r="O875" i="17" s="1"/>
  <c r="U875" i="17"/>
  <c r="V875" i="17" s="1"/>
  <c r="P875" i="17" l="1"/>
  <c r="Q875" i="17"/>
  <c r="R875" i="17" l="1"/>
  <c r="S875" i="17" s="1"/>
  <c r="AK875" i="17" l="1"/>
  <c r="T875" i="17"/>
  <c r="H876" i="17"/>
  <c r="AI875" i="17"/>
  <c r="AQ875" i="17"/>
  <c r="K876" i="17"/>
  <c r="M876" i="17" l="1"/>
  <c r="N876" i="17" s="1"/>
  <c r="AJ876" i="17" s="1"/>
  <c r="O876" i="17" s="1"/>
  <c r="U876" i="17"/>
  <c r="V876" i="17" s="1"/>
  <c r="P876" i="17" l="1"/>
  <c r="Q876" i="17"/>
  <c r="R876" i="17" l="1"/>
  <c r="S876" i="17" s="1"/>
  <c r="K877" i="17" l="1"/>
  <c r="U877" i="17" s="1"/>
  <c r="V877" i="17" s="1"/>
  <c r="H877" i="17"/>
  <c r="AK876" i="17"/>
  <c r="T876" i="17"/>
  <c r="AI876" i="17"/>
  <c r="AQ876" i="17"/>
  <c r="M877" i="17" l="1"/>
  <c r="N877" i="17" s="1"/>
  <c r="AJ877" i="17" s="1"/>
  <c r="O877" i="17" s="1"/>
  <c r="P877" i="17" l="1"/>
  <c r="Q877" i="17"/>
  <c r="R877" i="17" l="1"/>
  <c r="S877" i="17" s="1"/>
  <c r="K878" i="17" l="1"/>
  <c r="U878" i="17" s="1"/>
  <c r="V878" i="17" s="1"/>
  <c r="T877" i="17"/>
  <c r="AI877" i="17"/>
  <c r="AK877" i="17"/>
  <c r="AQ877" i="17"/>
  <c r="H878" i="17"/>
  <c r="M878" i="17" l="1"/>
  <c r="N878" i="17" s="1"/>
  <c r="AJ878" i="17" l="1"/>
  <c r="Q878" i="17" s="1"/>
  <c r="O878" i="17" l="1"/>
  <c r="P878" i="17"/>
  <c r="R878" i="17" l="1"/>
  <c r="S878" i="17" s="1"/>
  <c r="AQ878" i="17" l="1"/>
  <c r="AK878" i="17"/>
  <c r="H879" i="17"/>
  <c r="K879" i="17"/>
  <c r="U879" i="17" s="1"/>
  <c r="V879" i="17" s="1"/>
  <c r="T878" i="17"/>
  <c r="AI878" i="17"/>
  <c r="M879" i="17" l="1"/>
  <c r="N879" i="17" s="1"/>
  <c r="AJ879" i="17" s="1"/>
  <c r="O879" i="17" s="1"/>
  <c r="P879" i="17"/>
  <c r="Q879" i="17" l="1"/>
  <c r="R879" i="17" s="1"/>
  <c r="S879" i="17" s="1"/>
  <c r="AK879" i="17" l="1"/>
  <c r="AQ879" i="17"/>
  <c r="K880" i="17"/>
  <c r="T879" i="17"/>
  <c r="H880" i="17"/>
  <c r="AI879" i="17"/>
  <c r="U880" i="17" l="1"/>
  <c r="V880" i="17" s="1"/>
  <c r="M880" i="17"/>
  <c r="N880" i="17" s="1"/>
  <c r="AJ880" i="17" l="1"/>
  <c r="O880" i="17" s="1"/>
  <c r="Q880" i="17" l="1"/>
  <c r="P880" i="17"/>
  <c r="R880" i="17" l="1"/>
  <c r="S880" i="17" s="1"/>
  <c r="AQ880" i="17" l="1"/>
  <c r="AI880" i="17"/>
  <c r="K881" i="17"/>
  <c r="T880" i="17"/>
  <c r="H881" i="17"/>
  <c r="AK880" i="17"/>
  <c r="U881" i="17" l="1"/>
  <c r="V881" i="17" s="1"/>
  <c r="M881" i="17"/>
  <c r="N881" i="17" s="1"/>
  <c r="AJ881" i="17" l="1"/>
  <c r="O881" i="17" s="1"/>
  <c r="Q881" i="17" l="1"/>
  <c r="P881" i="17"/>
  <c r="R881" i="17" l="1"/>
  <c r="S881" i="17" s="1"/>
  <c r="AQ881" i="17" l="1"/>
  <c r="AI881" i="17"/>
  <c r="K882" i="17"/>
  <c r="H882" i="17"/>
  <c r="T881" i="17"/>
  <c r="AK881" i="17"/>
  <c r="U882" i="17" l="1"/>
  <c r="V882" i="17" s="1"/>
  <c r="M882" i="17"/>
  <c r="N882" i="17" s="1"/>
  <c r="AJ882" i="17" s="1"/>
  <c r="O882" i="17" s="1"/>
  <c r="P882" i="17" l="1"/>
  <c r="Q882" i="17"/>
  <c r="R882" i="17" l="1"/>
  <c r="S882" i="17" s="1"/>
  <c r="AQ882" i="17" l="1"/>
  <c r="K883" i="17"/>
  <c r="T882" i="17"/>
  <c r="AI882" i="17"/>
  <c r="AK882" i="17"/>
  <c r="H883" i="17"/>
  <c r="U883" i="17" l="1"/>
  <c r="V883" i="17" s="1"/>
  <c r="M883" i="17"/>
  <c r="N883" i="17" s="1"/>
  <c r="AJ883" i="17" l="1"/>
  <c r="O883" i="17" s="1"/>
  <c r="Q883" i="17" l="1"/>
  <c r="P883" i="17"/>
  <c r="R883" i="17" l="1"/>
  <c r="S883" i="17" s="1"/>
  <c r="AQ883" i="17" l="1"/>
  <c r="AK883" i="17"/>
  <c r="T883" i="17"/>
  <c r="K884" i="17"/>
  <c r="H884" i="17"/>
  <c r="AI883" i="17"/>
  <c r="M884" i="17" l="1"/>
  <c r="N884" i="17" s="1"/>
  <c r="AJ884" i="17" s="1"/>
  <c r="O884" i="17" s="1"/>
  <c r="U884" i="17"/>
  <c r="V884" i="17" s="1"/>
  <c r="P884" i="17" l="1"/>
  <c r="Q884" i="17"/>
  <c r="R884" i="17" l="1"/>
  <c r="S884" i="17" s="1"/>
  <c r="H885" i="17" l="1"/>
  <c r="AQ884" i="17"/>
  <c r="AI884" i="17"/>
  <c r="AK884" i="17"/>
  <c r="K885" i="17"/>
  <c r="T884" i="17"/>
  <c r="U885" i="17" l="1"/>
  <c r="V885" i="17" s="1"/>
  <c r="M885" i="17"/>
  <c r="N885" i="17" s="1"/>
  <c r="AJ885" i="17" l="1"/>
  <c r="Q885" i="17" s="1"/>
  <c r="O885" i="17" l="1"/>
  <c r="P885" i="17"/>
  <c r="R885" i="17" l="1"/>
  <c r="S885" i="17" s="1"/>
  <c r="T885" i="17" l="1"/>
  <c r="K886" i="17"/>
  <c r="U886" i="17" s="1"/>
  <c r="V886" i="17" s="1"/>
  <c r="H886" i="17"/>
  <c r="AI885" i="17"/>
  <c r="AQ885" i="17"/>
  <c r="AK885" i="17"/>
  <c r="M886" i="17" l="1"/>
  <c r="N886" i="17" s="1"/>
  <c r="AJ886" i="17" l="1"/>
  <c r="O886" i="17" s="1"/>
  <c r="Q886" i="17" l="1"/>
  <c r="P886" i="17"/>
  <c r="R886" i="17" l="1"/>
  <c r="S886" i="17" s="1"/>
  <c r="AK886" i="17" l="1"/>
  <c r="H887" i="17"/>
  <c r="AI886" i="17"/>
  <c r="AQ886" i="17"/>
  <c r="K887" i="17"/>
  <c r="U887" i="17" s="1"/>
  <c r="V887" i="17" s="1"/>
  <c r="T886" i="17"/>
  <c r="M887" i="17" l="1"/>
  <c r="N887" i="17" s="1"/>
  <c r="AJ887" i="17" s="1"/>
  <c r="O887" i="17" s="1"/>
  <c r="Q887" i="17" l="1"/>
  <c r="P887" i="17"/>
  <c r="R887" i="17" s="1"/>
  <c r="S887" i="17" s="1"/>
  <c r="H888" i="17" l="1"/>
  <c r="K888" i="17"/>
  <c r="AK887" i="17"/>
  <c r="T887" i="17"/>
  <c r="AQ887" i="17"/>
  <c r="AI887" i="17"/>
  <c r="U888" i="17" l="1"/>
  <c r="V888" i="17" s="1"/>
  <c r="M888" i="17"/>
  <c r="N888" i="17" s="1"/>
  <c r="AJ888" i="17" s="1"/>
  <c r="O888" i="17" s="1"/>
  <c r="P888" i="17" l="1"/>
  <c r="Q888" i="17"/>
  <c r="R888" i="17" l="1"/>
  <c r="S888" i="17" s="1"/>
  <c r="AK888" i="17" l="1"/>
  <c r="AQ888" i="17"/>
  <c r="H889" i="17"/>
  <c r="K889" i="17"/>
  <c r="AI888" i="17"/>
  <c r="T888" i="17"/>
  <c r="U889" i="17" l="1"/>
  <c r="V889" i="17" s="1"/>
  <c r="M889" i="17"/>
  <c r="N889" i="17" s="1"/>
  <c r="AJ889" i="17" l="1"/>
  <c r="O889" i="17" s="1"/>
  <c r="Q889" i="17" l="1"/>
  <c r="P889" i="17"/>
  <c r="R889" i="17" l="1"/>
  <c r="S889" i="17" s="1"/>
  <c r="AK889" i="17" l="1"/>
  <c r="K890" i="17"/>
  <c r="T889" i="17"/>
  <c r="H890" i="17"/>
  <c r="AQ889" i="17"/>
  <c r="AI889" i="17"/>
  <c r="M890" i="17" l="1"/>
  <c r="N890" i="17" s="1"/>
  <c r="AJ890" i="17" s="1"/>
  <c r="U890" i="17"/>
  <c r="V890" i="17" s="1"/>
  <c r="O890" i="17" l="1"/>
  <c r="Q890" i="17"/>
  <c r="P890" i="17"/>
  <c r="R890" i="17" l="1"/>
  <c r="S890" i="17" s="1"/>
  <c r="AQ890" i="17" l="1"/>
  <c r="AI890" i="17"/>
  <c r="H891" i="17"/>
  <c r="T890" i="17"/>
  <c r="AK890" i="17"/>
  <c r="K891" i="17"/>
  <c r="U891" i="17" l="1"/>
  <c r="V891" i="17" s="1"/>
  <c r="M891" i="17"/>
  <c r="N891" i="17" s="1"/>
  <c r="AJ891" i="17" s="1"/>
  <c r="O891" i="17" s="1"/>
  <c r="Q891" i="17" l="1"/>
  <c r="P891" i="17"/>
  <c r="R891" i="17" l="1"/>
  <c r="S891" i="17" s="1"/>
  <c r="AQ891" i="17" l="1"/>
  <c r="T891" i="17"/>
  <c r="H892" i="17"/>
  <c r="AI891" i="17"/>
  <c r="AK891" i="17"/>
  <c r="K892" i="17"/>
  <c r="M892" i="17" l="1"/>
  <c r="N892" i="17" s="1"/>
  <c r="U892" i="17"/>
  <c r="V892" i="17" s="1"/>
  <c r="AJ892" i="17" l="1"/>
  <c r="O892" i="17" s="1"/>
  <c r="P892" i="17" l="1"/>
  <c r="Q892" i="17"/>
  <c r="R892" i="17" l="1"/>
  <c r="S892" i="17" s="1"/>
  <c r="AQ892" i="17" l="1"/>
  <c r="K893" i="17"/>
  <c r="H893" i="17"/>
  <c r="T892" i="17"/>
  <c r="AK892" i="17"/>
  <c r="AI892" i="17"/>
  <c r="U893" i="17" l="1"/>
  <c r="V893" i="17" s="1"/>
  <c r="M893" i="17"/>
  <c r="N893" i="17" s="1"/>
  <c r="AJ893" i="17" l="1"/>
  <c r="O893" i="17" s="1"/>
  <c r="Q893" i="17" l="1"/>
  <c r="P893" i="17"/>
  <c r="R893" i="17" l="1"/>
  <c r="S893" i="17" s="1"/>
  <c r="AK893" i="17" l="1"/>
  <c r="T893" i="17"/>
  <c r="AI893" i="17"/>
  <c r="AQ893" i="17"/>
  <c r="K894" i="17"/>
  <c r="H894" i="17"/>
  <c r="U894" i="17" l="1"/>
  <c r="V894" i="17" s="1"/>
  <c r="M894" i="17"/>
  <c r="N894" i="17" s="1"/>
  <c r="AJ894" i="17" l="1"/>
  <c r="O894" i="17" l="1"/>
  <c r="Q894" i="17"/>
  <c r="P894" i="17"/>
  <c r="R894" i="17" l="1"/>
  <c r="S894" i="17" s="1"/>
  <c r="T894" i="17" l="1"/>
  <c r="AQ894" i="17"/>
  <c r="AK894" i="17"/>
  <c r="H895" i="17"/>
  <c r="K895" i="17"/>
  <c r="AI894" i="17"/>
  <c r="U895" i="17" l="1"/>
  <c r="V895" i="17" s="1"/>
  <c r="M895" i="17"/>
  <c r="N895" i="17" s="1"/>
  <c r="AJ895" i="17" s="1"/>
  <c r="O895" i="17" l="1"/>
  <c r="P895" i="17"/>
  <c r="Q895" i="17"/>
  <c r="R895" i="17" l="1"/>
  <c r="S895" i="17" s="1"/>
  <c r="AQ895" i="17" l="1"/>
  <c r="AI895" i="17"/>
  <c r="K896" i="17"/>
  <c r="T895" i="17"/>
  <c r="AK895" i="17"/>
  <c r="H896" i="17"/>
  <c r="U896" i="17" l="1"/>
  <c r="V896" i="17" s="1"/>
  <c r="M896" i="17"/>
  <c r="N896" i="17" s="1"/>
  <c r="AJ896" i="17" s="1"/>
  <c r="O896" i="17" s="1"/>
  <c r="P896" i="17" l="1"/>
  <c r="Q896" i="17"/>
  <c r="R896" i="17" l="1"/>
  <c r="S896" i="17" s="1"/>
  <c r="AQ896" i="17" l="1"/>
  <c r="H897" i="17"/>
  <c r="K897" i="17"/>
  <c r="AK896" i="17"/>
  <c r="AI896" i="17"/>
  <c r="T896" i="17"/>
  <c r="M897" i="17" l="1"/>
  <c r="N897" i="17" s="1"/>
  <c r="U897" i="17"/>
  <c r="V897" i="17" s="1"/>
  <c r="AJ897" i="17" l="1"/>
  <c r="O897" i="17" s="1"/>
  <c r="P897" i="17" l="1"/>
  <c r="Q897" i="17"/>
  <c r="R897" i="17" l="1"/>
  <c r="S897" i="17" s="1"/>
  <c r="K898" i="17" l="1"/>
  <c r="U898" i="17" s="1"/>
  <c r="V898" i="17" s="1"/>
  <c r="T897" i="17"/>
  <c r="AK897" i="17"/>
  <c r="H898" i="17"/>
  <c r="AQ897" i="17"/>
  <c r="AI897" i="17"/>
  <c r="M898" i="17" l="1"/>
  <c r="N898" i="17" s="1"/>
  <c r="AJ898" i="17" s="1"/>
  <c r="O898" i="17" s="1"/>
  <c r="Q898" i="17" l="1"/>
  <c r="P898" i="17"/>
  <c r="R898" i="17" l="1"/>
  <c r="S898" i="17" s="1"/>
  <c r="AK898" i="17" l="1"/>
  <c r="AQ898" i="17"/>
  <c r="AI898" i="17"/>
  <c r="T898" i="17"/>
  <c r="H899" i="17"/>
  <c r="K899" i="17"/>
  <c r="M899" i="17" s="1"/>
  <c r="N899" i="17" s="1"/>
  <c r="U899" i="17" l="1"/>
  <c r="V899" i="17" s="1"/>
  <c r="AJ899" i="17"/>
  <c r="O899" i="17" s="1"/>
  <c r="P899" i="17" l="1"/>
  <c r="Q899" i="17"/>
  <c r="R899" i="17" l="1"/>
  <c r="S899" i="17" s="1"/>
  <c r="AQ899" i="17" l="1"/>
  <c r="K900" i="17"/>
  <c r="H900" i="17"/>
  <c r="AI899" i="17"/>
  <c r="T899" i="17"/>
  <c r="AK899" i="17"/>
  <c r="U900" i="17" l="1"/>
  <c r="V900" i="17" s="1"/>
  <c r="M900" i="17"/>
  <c r="N900" i="17" s="1"/>
  <c r="AJ900" i="17" l="1"/>
  <c r="P900" i="17" s="1"/>
  <c r="Q900" i="17" l="1"/>
  <c r="O900" i="17"/>
  <c r="R900" i="17" l="1"/>
  <c r="S900" i="17" s="1"/>
  <c r="AQ900" i="17" l="1"/>
  <c r="T900" i="17"/>
  <c r="K901" i="17"/>
  <c r="AK900" i="17"/>
  <c r="H901" i="17"/>
  <c r="AI900" i="17"/>
  <c r="U901" i="17" l="1"/>
  <c r="V901" i="17" s="1"/>
  <c r="M901" i="17"/>
  <c r="N901" i="17" s="1"/>
  <c r="AJ901" i="17" s="1"/>
  <c r="O901" i="17" s="1"/>
  <c r="P901" i="17" l="1"/>
  <c r="Q901" i="17"/>
  <c r="R901" i="17" l="1"/>
  <c r="S901" i="17" s="1"/>
  <c r="AK901" i="17" l="1"/>
  <c r="AI901" i="17"/>
  <c r="K902" i="17"/>
  <c r="H902" i="17"/>
  <c r="T901" i="17"/>
  <c r="AQ901" i="17"/>
  <c r="U902" i="17" l="1"/>
  <c r="V902" i="17" s="1"/>
  <c r="M902" i="17"/>
  <c r="N902" i="17" s="1"/>
  <c r="AJ902" i="17" l="1"/>
  <c r="O902" i="17" s="1"/>
  <c r="P902" i="17" l="1"/>
  <c r="Q902" i="17"/>
  <c r="R902" i="17" l="1"/>
  <c r="S902" i="17" s="1"/>
  <c r="AQ902" i="17" l="1"/>
  <c r="K903" i="17"/>
  <c r="AK902" i="17"/>
  <c r="T902" i="17"/>
  <c r="H903" i="17"/>
  <c r="AI902" i="17"/>
  <c r="U903" i="17" l="1"/>
  <c r="V903" i="17" s="1"/>
  <c r="M903" i="17"/>
  <c r="N903" i="17" s="1"/>
  <c r="AJ903" i="17" s="1"/>
  <c r="O903" i="17" s="1"/>
  <c r="P903" i="17" l="1"/>
  <c r="Q903" i="17"/>
  <c r="R903" i="17" l="1"/>
  <c r="S903" i="17" s="1"/>
  <c r="AK903" i="17" l="1"/>
  <c r="T903" i="17"/>
  <c r="AQ903" i="17"/>
  <c r="AI903" i="17"/>
  <c r="H904" i="17"/>
  <c r="K904" i="17"/>
  <c r="U904" i="17" l="1"/>
  <c r="V904" i="17" s="1"/>
  <c r="M904" i="17"/>
  <c r="N904" i="17" s="1"/>
  <c r="AJ904" i="17" l="1"/>
  <c r="O904" i="17" s="1"/>
  <c r="P904" i="17" l="1"/>
  <c r="Q904" i="17"/>
  <c r="R904" i="17" l="1"/>
  <c r="S904" i="17" s="1"/>
  <c r="AQ904" i="17" l="1"/>
  <c r="AK904" i="17"/>
  <c r="H905" i="17"/>
  <c r="T904" i="17"/>
  <c r="K905" i="17"/>
  <c r="AI904" i="17"/>
  <c r="M905" i="17" l="1"/>
  <c r="N905" i="17" s="1"/>
  <c r="AJ905" i="17" s="1"/>
  <c r="O905" i="17" s="1"/>
  <c r="U905" i="17"/>
  <c r="V905" i="17" s="1"/>
  <c r="P905" i="17" l="1"/>
  <c r="Q905" i="17"/>
  <c r="R905" i="17" l="1"/>
  <c r="S905" i="17" s="1"/>
  <c r="H906" i="17" l="1"/>
  <c r="AK905" i="17"/>
  <c r="T905" i="17"/>
  <c r="AI905" i="17"/>
  <c r="AQ905" i="17"/>
  <c r="K906" i="17"/>
  <c r="U906" i="17" l="1"/>
  <c r="V906" i="17" s="1"/>
  <c r="M906" i="17"/>
  <c r="N906" i="17" s="1"/>
  <c r="AJ906" i="17" l="1"/>
  <c r="Q906" i="17" s="1"/>
  <c r="P906" i="17" l="1"/>
  <c r="O906" i="17"/>
  <c r="R906" i="17" l="1"/>
  <c r="S906" i="17" s="1"/>
  <c r="AQ906" i="17" l="1"/>
  <c r="K907" i="17"/>
  <c r="AI906" i="17"/>
  <c r="AK906" i="17"/>
  <c r="H907" i="17"/>
  <c r="T906" i="17"/>
  <c r="M907" i="17" l="1"/>
  <c r="N907" i="17" s="1"/>
  <c r="U907" i="17"/>
  <c r="V907" i="17" s="1"/>
  <c r="AJ907" i="17" l="1"/>
  <c r="O907" i="17" s="1"/>
  <c r="P907" i="17" l="1"/>
  <c r="Q907" i="17"/>
  <c r="R907" i="17" l="1"/>
  <c r="S907" i="17" s="1"/>
  <c r="K908" i="17" l="1"/>
  <c r="U908" i="17" s="1"/>
  <c r="V908" i="17" s="1"/>
  <c r="AI907" i="17"/>
  <c r="T907" i="17"/>
  <c r="H908" i="17"/>
  <c r="AK907" i="17"/>
  <c r="AQ907" i="17"/>
  <c r="M908" i="17" l="1"/>
  <c r="N908" i="17" s="1"/>
  <c r="AJ908" i="17" s="1"/>
  <c r="O908" i="17" s="1"/>
  <c r="Q908" i="17" l="1"/>
  <c r="P908" i="17"/>
  <c r="R908" i="17" l="1"/>
  <c r="S908" i="17" s="1"/>
  <c r="T908" i="17" l="1"/>
  <c r="AQ908" i="17"/>
  <c r="AK908" i="17"/>
  <c r="H909" i="17"/>
  <c r="AI908" i="17"/>
  <c r="K909" i="17"/>
  <c r="U909" i="17" s="1"/>
  <c r="V909" i="17" s="1"/>
  <c r="M909" i="17" l="1"/>
  <c r="N909" i="17" s="1"/>
  <c r="AJ909" i="17" s="1"/>
  <c r="O909" i="17" s="1"/>
  <c r="P909" i="17" l="1"/>
  <c r="Q909" i="17"/>
  <c r="R909" i="17" l="1"/>
  <c r="S909" i="17" s="1"/>
  <c r="AI909" i="17" l="1"/>
  <c r="T909" i="17"/>
  <c r="AK909" i="17"/>
  <c r="AQ909" i="17"/>
  <c r="H910" i="17"/>
  <c r="K910" i="17"/>
  <c r="M910" i="17" s="1"/>
  <c r="N910" i="17" s="1"/>
  <c r="U910" i="17" l="1"/>
  <c r="V910" i="17" s="1"/>
  <c r="AJ910" i="17"/>
  <c r="O910" i="17" s="1"/>
  <c r="Q910" i="17" l="1"/>
  <c r="P910" i="17"/>
  <c r="R910" i="17" l="1"/>
  <c r="S910" i="17" s="1"/>
  <c r="AQ910" i="17" l="1"/>
  <c r="H911" i="17"/>
  <c r="AK910" i="17"/>
  <c r="K911" i="17"/>
  <c r="M911" i="17" s="1"/>
  <c r="N911" i="17" s="1"/>
  <c r="AJ911" i="17" s="1"/>
  <c r="O911" i="17" s="1"/>
  <c r="T910" i="17"/>
  <c r="AI910" i="17"/>
  <c r="U911" i="17" l="1"/>
  <c r="V911" i="17" s="1"/>
  <c r="Q911" i="17"/>
  <c r="P911" i="17"/>
  <c r="R911" i="17" l="1"/>
  <c r="S911" i="17" s="1"/>
  <c r="AK911" i="17" l="1"/>
  <c r="AQ911" i="17"/>
  <c r="H912" i="17"/>
  <c r="T911" i="17"/>
  <c r="AI911" i="17"/>
  <c r="K912" i="17"/>
  <c r="M912" i="17" l="1"/>
  <c r="N912" i="17" s="1"/>
  <c r="AJ912" i="17" s="1"/>
  <c r="O912" i="17" s="1"/>
  <c r="U912" i="17"/>
  <c r="V912" i="17" s="1"/>
  <c r="P912" i="17" l="1"/>
  <c r="Q912" i="17"/>
  <c r="R912" i="17" l="1"/>
  <c r="AI912" i="17" s="1"/>
  <c r="AQ912" i="17" l="1"/>
  <c r="K913" i="17"/>
  <c r="M913" i="17" s="1"/>
  <c r="N913" i="17" s="1"/>
  <c r="AJ913" i="17" s="1"/>
  <c r="O913" i="17" s="1"/>
  <c r="T912" i="17"/>
  <c r="S912" i="17"/>
  <c r="H913" i="17"/>
  <c r="AK912" i="17"/>
  <c r="U913" i="17" l="1"/>
  <c r="V913" i="17" s="1"/>
  <c r="Q913" i="17"/>
  <c r="P913" i="17"/>
  <c r="R913" i="17" l="1"/>
  <c r="S913" i="17" s="1"/>
  <c r="H914" i="17" l="1"/>
  <c r="AI913" i="17"/>
  <c r="K914" i="17"/>
  <c r="M914" i="17" s="1"/>
  <c r="N914" i="17" s="1"/>
  <c r="AJ914" i="17" s="1"/>
  <c r="O914" i="17" s="1"/>
  <c r="AK913" i="17"/>
  <c r="AQ913" i="17"/>
  <c r="T913" i="17"/>
  <c r="U914" i="17" l="1"/>
  <c r="V914" i="17" s="1"/>
  <c r="P914" i="17"/>
  <c r="Q914" i="17"/>
  <c r="R914" i="17" l="1"/>
  <c r="S914" i="17" s="1"/>
  <c r="K915" i="17" l="1"/>
  <c r="T914" i="17"/>
  <c r="AQ914" i="17"/>
  <c r="AK914" i="17"/>
  <c r="H915" i="17"/>
  <c r="AI914" i="17"/>
  <c r="M915" i="17" l="1"/>
  <c r="U915" i="17"/>
  <c r="V915" i="17" s="1"/>
  <c r="N915" i="17" l="1"/>
  <c r="AJ915" i="17" l="1"/>
  <c r="O915" i="17" l="1"/>
  <c r="P915" i="17"/>
  <c r="Q915" i="17"/>
  <c r="R915" i="17" l="1"/>
  <c r="S915" i="17" s="1"/>
  <c r="T915" i="17" l="1"/>
  <c r="K916" i="17"/>
  <c r="AK915" i="17"/>
  <c r="AI915" i="17"/>
  <c r="H916" i="17"/>
  <c r="AQ915" i="17"/>
  <c r="U916" i="17" l="1"/>
  <c r="V916" i="17" s="1"/>
  <c r="M916" i="17"/>
  <c r="N916" i="17" l="1"/>
  <c r="AJ916" i="17" l="1"/>
  <c r="P916" i="17" s="1"/>
  <c r="O916" i="17" l="1"/>
  <c r="Q916" i="17"/>
  <c r="R916" i="17" l="1"/>
  <c r="S916" i="17" s="1"/>
  <c r="AI916" i="17" l="1"/>
  <c r="T916" i="17"/>
  <c r="H917" i="17"/>
  <c r="K917" i="17"/>
  <c r="AQ916" i="17"/>
  <c r="AK916" i="17"/>
  <c r="U917" i="17" l="1"/>
  <c r="V917" i="17" s="1"/>
  <c r="M917" i="17"/>
  <c r="N917" i="17" l="1"/>
  <c r="AJ917" i="17" s="1"/>
  <c r="O917" i="17" s="1"/>
  <c r="P917" i="17" l="1"/>
  <c r="Q917" i="17"/>
  <c r="R917" i="17" l="1"/>
  <c r="K918" i="17" s="1"/>
  <c r="U918" i="17" s="1"/>
  <c r="V918" i="17" s="1"/>
  <c r="AK917" i="17" l="1"/>
  <c r="T917" i="17"/>
  <c r="S917" i="17"/>
  <c r="AQ917" i="17"/>
  <c r="AI917" i="17"/>
  <c r="H918" i="17"/>
  <c r="M918" i="17"/>
  <c r="N918" i="17" s="1"/>
  <c r="AJ918" i="17" l="1"/>
  <c r="O918" i="17" s="1"/>
  <c r="Q918" i="17" l="1"/>
  <c r="P918" i="17"/>
  <c r="R918" i="17" l="1"/>
  <c r="S918" i="17" s="1"/>
  <c r="T918" i="17" l="1"/>
  <c r="AI918" i="17"/>
  <c r="AQ918" i="17"/>
  <c r="H919" i="17"/>
  <c r="K919" i="17"/>
  <c r="M919" i="17" s="1"/>
  <c r="AK918" i="17"/>
  <c r="N919" i="17" l="1"/>
  <c r="AJ919" i="17" s="1"/>
  <c r="O919" i="17" s="1"/>
  <c r="U919" i="17"/>
  <c r="V919" i="17" s="1"/>
  <c r="Q919" i="17" l="1"/>
  <c r="P919" i="17"/>
  <c r="R919" i="17" l="1"/>
  <c r="S919" i="17" s="1"/>
  <c r="K920" i="17" l="1"/>
  <c r="M920" i="17" s="1"/>
  <c r="H920" i="17"/>
  <c r="AQ919" i="17"/>
  <c r="T919" i="17"/>
  <c r="AI919" i="17"/>
  <c r="AK919" i="17"/>
  <c r="U920" i="17" l="1"/>
  <c r="V920" i="17" s="1"/>
  <c r="N920" i="17"/>
  <c r="AJ920" i="17" s="1"/>
  <c r="P920" i="17" s="1"/>
  <c r="Q920" i="17" l="1"/>
  <c r="O920" i="17"/>
  <c r="R920" i="17" l="1"/>
  <c r="S920" i="17" s="1"/>
  <c r="AI920" i="17" l="1"/>
  <c r="K921" i="17"/>
  <c r="M921" i="17" s="1"/>
  <c r="N921" i="17" s="1"/>
  <c r="AJ921" i="17" s="1"/>
  <c r="H921" i="17"/>
  <c r="T920" i="17"/>
  <c r="AQ920" i="17"/>
  <c r="AK920" i="17"/>
  <c r="U921" i="17" l="1"/>
  <c r="V921" i="17" s="1"/>
  <c r="O921" i="17"/>
  <c r="P921" i="17"/>
  <c r="Q921" i="17"/>
  <c r="R921" i="17" l="1"/>
  <c r="S921" i="17" s="1"/>
  <c r="H922" i="17" l="1"/>
  <c r="AI921" i="17"/>
  <c r="T921" i="17"/>
  <c r="K922" i="17"/>
  <c r="M922" i="17" s="1"/>
  <c r="AK921" i="17"/>
  <c r="AQ921" i="17"/>
  <c r="U922" i="17" l="1"/>
  <c r="V922" i="17" s="1"/>
  <c r="N922" i="17"/>
  <c r="AJ922" i="17" l="1"/>
  <c r="P922" i="17" s="1"/>
  <c r="O922" i="17" l="1"/>
  <c r="Q922" i="17"/>
  <c r="R922" i="17" l="1"/>
  <c r="S922" i="17" s="1"/>
  <c r="AQ922" i="17" l="1"/>
  <c r="AK922" i="17"/>
  <c r="T922" i="17"/>
  <c r="AI922" i="17"/>
  <c r="K923" i="17"/>
  <c r="H923" i="17"/>
  <c r="M923" i="17" l="1"/>
  <c r="N923" i="17" s="1"/>
  <c r="AJ923" i="17" s="1"/>
  <c r="U923" i="17"/>
  <c r="V923" i="17" s="1"/>
  <c r="O923" i="17" l="1"/>
  <c r="P923" i="17"/>
  <c r="Q923" i="17"/>
  <c r="R923" i="17" l="1"/>
  <c r="S923" i="17" s="1"/>
  <c r="AI923" i="17" l="1"/>
  <c r="T923" i="17"/>
  <c r="K924" i="17"/>
  <c r="U924" i="17" s="1"/>
  <c r="V924" i="17" s="1"/>
  <c r="AQ923" i="17"/>
  <c r="H924" i="17"/>
  <c r="AK923" i="17"/>
  <c r="M924" i="17" l="1"/>
  <c r="N924" i="17" s="1"/>
  <c r="AJ924" i="17" s="1"/>
  <c r="O924" i="17" s="1"/>
  <c r="P924" i="17" l="1"/>
  <c r="Q924" i="17"/>
  <c r="R924" i="17" l="1"/>
  <c r="S924" i="17" s="1"/>
  <c r="T924" i="17" l="1"/>
  <c r="K925" i="17"/>
  <c r="U925" i="17" s="1"/>
  <c r="V925" i="17" s="1"/>
  <c r="AQ924" i="17"/>
  <c r="AK924" i="17"/>
  <c r="AI924" i="17"/>
  <c r="H925" i="17"/>
  <c r="M925" i="17" l="1"/>
  <c r="N925" i="17" s="1"/>
  <c r="AJ925" i="17" s="1"/>
  <c r="P925" i="17" s="1"/>
  <c r="O925" i="17" l="1"/>
  <c r="Q925" i="17"/>
  <c r="R925" i="17" l="1"/>
  <c r="S925" i="17" s="1"/>
  <c r="AQ925" i="17" l="1"/>
  <c r="AK925" i="17"/>
  <c r="T925" i="17"/>
  <c r="AI925" i="17"/>
  <c r="K926" i="17"/>
  <c r="H926" i="17"/>
  <c r="U926" i="17" l="1"/>
  <c r="V926" i="17" s="1"/>
  <c r="M926" i="17"/>
  <c r="N926" i="17" s="1"/>
  <c r="AJ926" i="17" s="1"/>
  <c r="O926" i="17" s="1"/>
  <c r="P926" i="17" l="1"/>
  <c r="Q926" i="17"/>
  <c r="R926" i="17" l="1"/>
  <c r="S926" i="17" s="1"/>
  <c r="T926" i="17" l="1"/>
  <c r="K927" i="17"/>
  <c r="M927" i="17" s="1"/>
  <c r="N927" i="17" s="1"/>
  <c r="AJ927" i="17" s="1"/>
  <c r="O927" i="17" s="1"/>
  <c r="AI926" i="17"/>
  <c r="H927" i="17"/>
  <c r="AQ926" i="17"/>
  <c r="AK926" i="17"/>
  <c r="U927" i="17" l="1"/>
  <c r="V927" i="17" s="1"/>
  <c r="P927" i="17"/>
  <c r="Q927" i="17"/>
  <c r="R927" i="17" l="1"/>
  <c r="S927" i="17" s="1"/>
  <c r="H928" i="17" l="1"/>
  <c r="AI927" i="17"/>
  <c r="K928" i="17"/>
  <c r="U928" i="17" s="1"/>
  <c r="V928" i="17" s="1"/>
  <c r="AQ927" i="17"/>
  <c r="T927" i="17"/>
  <c r="AK927" i="17"/>
  <c r="M928" i="17" l="1"/>
  <c r="N928" i="17" s="1"/>
  <c r="AJ928" i="17" l="1"/>
  <c r="P928" i="17" s="1"/>
  <c r="O928" i="17" l="1"/>
  <c r="Q928" i="17"/>
  <c r="R928" i="17" l="1"/>
  <c r="S928" i="17" s="1"/>
  <c r="AQ928" i="17" l="1"/>
  <c r="AK928" i="17"/>
  <c r="AI928" i="17"/>
  <c r="T928" i="17"/>
  <c r="H929" i="17"/>
  <c r="K929" i="17"/>
  <c r="M929" i="17" l="1"/>
  <c r="N929" i="17" s="1"/>
  <c r="AJ929" i="17" s="1"/>
  <c r="O929" i="17" s="1"/>
  <c r="U929" i="17"/>
  <c r="V929" i="17" s="1"/>
  <c r="P929" i="17" l="1"/>
  <c r="Q929" i="17"/>
  <c r="R929" i="17" l="1"/>
  <c r="S929" i="17" s="1"/>
  <c r="T929" i="17" l="1"/>
  <c r="AQ929" i="17"/>
  <c r="AK929" i="17"/>
  <c r="AI929" i="17"/>
  <c r="H930" i="17"/>
  <c r="K930" i="17"/>
  <c r="U930" i="17" s="1"/>
  <c r="V930" i="17" s="1"/>
  <c r="M930" i="17" l="1"/>
  <c r="N930" i="17" s="1"/>
  <c r="AJ930" i="17" l="1"/>
  <c r="P930" i="17" s="1"/>
  <c r="O930" i="17" l="1"/>
  <c r="Q930" i="17"/>
  <c r="R930" i="17" l="1"/>
  <c r="S930" i="17" s="1"/>
  <c r="AQ930" i="17" l="1"/>
  <c r="AK930" i="17"/>
  <c r="K931" i="17"/>
  <c r="AI930" i="17"/>
  <c r="T930" i="17"/>
  <c r="H931" i="17"/>
  <c r="M931" i="17" l="1"/>
  <c r="N931" i="17" s="1"/>
  <c r="U931" i="17"/>
  <c r="V931" i="17" s="1"/>
  <c r="AJ931" i="17" l="1"/>
  <c r="O931" i="17" s="1"/>
  <c r="Q931" i="17" l="1"/>
  <c r="P931" i="17"/>
  <c r="R931" i="17" l="1"/>
  <c r="S931" i="17" s="1"/>
  <c r="H932" i="17" l="1"/>
  <c r="K932" i="17"/>
  <c r="G28" i="17" s="1"/>
  <c r="M30" i="13" s="1"/>
  <c r="AI931" i="17"/>
  <c r="T931" i="17"/>
  <c r="AK931" i="17"/>
  <c r="AQ931" i="17"/>
  <c r="Q29" i="13" l="1"/>
  <c r="M932" i="17"/>
  <c r="N932" i="17" s="1"/>
  <c r="AJ932" i="17" s="1"/>
  <c r="O932" i="17" s="1"/>
  <c r="U932" i="17"/>
  <c r="V932" i="17" s="1"/>
  <c r="Q932" i="17" l="1"/>
  <c r="P932" i="17"/>
  <c r="R932" i="17" l="1"/>
  <c r="S932" i="17" s="1"/>
  <c r="AQ932" i="17" l="1"/>
  <c r="K933" i="17"/>
  <c r="U933" i="17" s="1"/>
  <c r="V933" i="17" s="1"/>
  <c r="T932" i="17"/>
  <c r="AK932" i="17"/>
  <c r="AI932" i="17"/>
  <c r="H933" i="17"/>
  <c r="M933" i="17" l="1"/>
  <c r="N933" i="17" s="1"/>
  <c r="AJ933" i="17" l="1"/>
  <c r="P933" i="17" s="1"/>
  <c r="Q933" i="17" l="1"/>
  <c r="O933" i="17"/>
  <c r="R933" i="17" l="1"/>
  <c r="S933" i="17" s="1"/>
  <c r="AK933" i="17" l="1"/>
  <c r="AQ933" i="17"/>
  <c r="H934" i="17"/>
  <c r="K934" i="17"/>
  <c r="U934" i="17" s="1"/>
  <c r="V934" i="17" s="1"/>
  <c r="AI933" i="17"/>
  <c r="T933" i="17"/>
  <c r="M934" i="17"/>
  <c r="N934" i="17" s="1"/>
  <c r="AJ934" i="17" s="1"/>
  <c r="O934" i="17" s="1"/>
  <c r="P934" i="17" l="1"/>
  <c r="Q934" i="17"/>
  <c r="R934" i="17" l="1"/>
  <c r="S934" i="17" s="1"/>
  <c r="AK934" i="17" l="1"/>
  <c r="K935" i="17"/>
  <c r="U935" i="17" s="1"/>
  <c r="V935" i="17" s="1"/>
  <c r="T934" i="17"/>
  <c r="AQ934" i="17"/>
  <c r="AI934" i="17"/>
  <c r="H935" i="17"/>
  <c r="M935" i="17" l="1"/>
  <c r="N935" i="17" s="1"/>
  <c r="AJ935" i="17" s="1"/>
  <c r="O935" i="17" s="1"/>
  <c r="P935" i="17" l="1"/>
  <c r="Q935" i="17"/>
  <c r="R935" i="17" l="1"/>
  <c r="S935" i="17" s="1"/>
  <c r="AQ935" i="17" l="1"/>
  <c r="AI935" i="17"/>
  <c r="T935" i="17"/>
  <c r="K936" i="17"/>
  <c r="M936" i="17" s="1"/>
  <c r="H936" i="17"/>
  <c r="AK935" i="17"/>
  <c r="N936" i="17" l="1"/>
  <c r="AJ936" i="17" s="1"/>
  <c r="P936" i="17" s="1"/>
  <c r="U936" i="17"/>
  <c r="V936" i="17" s="1"/>
  <c r="O936" i="17" l="1"/>
  <c r="Q936" i="17"/>
  <c r="R936" i="17" l="1"/>
  <c r="S936" i="17" s="1"/>
  <c r="AQ936" i="17" l="1"/>
  <c r="AK936" i="17"/>
  <c r="T936" i="17"/>
  <c r="AI936" i="17"/>
  <c r="H937" i="17"/>
  <c r="K937" i="17"/>
  <c r="M937" i="17" l="1"/>
  <c r="N937" i="17" s="1"/>
  <c r="AJ937" i="17" s="1"/>
  <c r="O937" i="17" s="1"/>
  <c r="U937" i="17"/>
  <c r="V937" i="17" s="1"/>
  <c r="P937" i="17" l="1"/>
  <c r="Q937" i="17"/>
  <c r="R937" i="17" l="1"/>
  <c r="S937" i="17" s="1"/>
  <c r="H938" i="17" l="1"/>
  <c r="T937" i="17"/>
  <c r="K938" i="17"/>
  <c r="M938" i="17" s="1"/>
  <c r="N938" i="17" s="1"/>
  <c r="AI937" i="17"/>
  <c r="AQ937" i="17"/>
  <c r="AK937" i="17"/>
  <c r="U938" i="17" l="1"/>
  <c r="V938" i="17" s="1"/>
  <c r="AJ938" i="17"/>
  <c r="O938" i="17" s="1"/>
  <c r="Q938" i="17" l="1"/>
  <c r="P938" i="17"/>
  <c r="R938" i="17" l="1"/>
  <c r="T938" i="17" s="1"/>
  <c r="K939" i="17" l="1"/>
  <c r="M939" i="17" s="1"/>
  <c r="AK938" i="17"/>
  <c r="S938" i="17"/>
  <c r="AI938" i="17"/>
  <c r="H939" i="17"/>
  <c r="AQ938" i="17"/>
  <c r="U939" i="17" l="1"/>
  <c r="V939" i="17" s="1"/>
  <c r="N939" i="17"/>
  <c r="AJ939" i="17" s="1"/>
  <c r="P939" i="17" s="1"/>
  <c r="O939" i="17" l="1"/>
  <c r="Q939" i="17"/>
  <c r="R939" i="17" l="1"/>
  <c r="S939" i="17" s="1"/>
  <c r="AQ939" i="17" l="1"/>
  <c r="AK939" i="17"/>
  <c r="T939" i="17"/>
  <c r="H940" i="17"/>
  <c r="K940" i="17"/>
  <c r="AI939" i="17"/>
  <c r="U940" i="17" l="1"/>
  <c r="V940" i="17" s="1"/>
  <c r="M940" i="17"/>
  <c r="N940" i="17" s="1"/>
  <c r="AJ940" i="17" s="1"/>
  <c r="O940" i="17" s="1"/>
  <c r="Q940" i="17" l="1"/>
  <c r="P940" i="17"/>
  <c r="R940" i="17" l="1"/>
  <c r="S940" i="17" s="1"/>
  <c r="AK940" i="17" l="1"/>
  <c r="AQ940" i="17"/>
  <c r="AI940" i="17"/>
  <c r="H941" i="17"/>
  <c r="T940" i="17"/>
  <c r="K941" i="17"/>
  <c r="U941" i="17" s="1"/>
  <c r="V941" i="17" s="1"/>
  <c r="M941" i="17" l="1"/>
  <c r="N941" i="17" s="1"/>
  <c r="AJ941" i="17" l="1"/>
  <c r="O941" i="17" s="1"/>
  <c r="P941" i="17" l="1"/>
  <c r="Q941" i="17"/>
  <c r="R941" i="17" l="1"/>
  <c r="S941" i="17" s="1"/>
  <c r="K942" i="17" l="1"/>
  <c r="M942" i="17" s="1"/>
  <c r="N942" i="17" s="1"/>
  <c r="AJ942" i="17" s="1"/>
  <c r="O942" i="17" s="1"/>
  <c r="T941" i="17"/>
  <c r="H942" i="17"/>
  <c r="AI941" i="17"/>
  <c r="AK941" i="17"/>
  <c r="AQ941" i="17"/>
  <c r="U942" i="17" l="1"/>
  <c r="V942" i="17" s="1"/>
  <c r="P942" i="17"/>
  <c r="Q942" i="17"/>
  <c r="R942" i="17" l="1"/>
  <c r="S942" i="17" s="1"/>
  <c r="AK942" i="17" l="1"/>
  <c r="T942" i="17"/>
  <c r="AI942" i="17"/>
  <c r="H943" i="17"/>
  <c r="K943" i="17"/>
  <c r="M943" i="17" s="1"/>
  <c r="AQ942" i="17"/>
  <c r="U943" i="17" l="1"/>
  <c r="V943" i="17" s="1"/>
  <c r="N943" i="17"/>
  <c r="AJ943" i="17" l="1"/>
  <c r="P943" i="17" s="1"/>
  <c r="O943" i="17" l="1"/>
  <c r="Q943" i="17"/>
  <c r="R943" i="17" l="1"/>
  <c r="S943" i="17" s="1"/>
  <c r="AK943" i="17" l="1"/>
  <c r="AQ943" i="17"/>
  <c r="K944" i="17"/>
  <c r="T943" i="17"/>
  <c r="AI943" i="17"/>
  <c r="H944" i="17"/>
  <c r="U944" i="17" l="1"/>
  <c r="V944" i="17" s="1"/>
  <c r="M944" i="17"/>
  <c r="N944" i="17" s="1"/>
  <c r="AJ944" i="17" s="1"/>
  <c r="O944" i="17" l="1"/>
  <c r="P944" i="17"/>
  <c r="Q944" i="17"/>
  <c r="R944" i="17" l="1"/>
  <c r="S944" i="17" s="1"/>
  <c r="H945" i="17" l="1"/>
  <c r="K945" i="17"/>
  <c r="M945" i="17" s="1"/>
  <c r="AI944" i="17"/>
  <c r="T944" i="17"/>
  <c r="AQ944" i="17"/>
  <c r="AK944" i="17"/>
  <c r="U945" i="17" l="1"/>
  <c r="V945" i="17" s="1"/>
  <c r="N945" i="17"/>
  <c r="AJ945" i="17" l="1"/>
  <c r="O945" i="17" s="1"/>
  <c r="P945" i="17" l="1"/>
  <c r="Q945" i="17"/>
  <c r="R945" i="17" l="1"/>
  <c r="S945" i="17" s="1"/>
  <c r="AI945" i="17" l="1"/>
  <c r="AQ945" i="17"/>
  <c r="K946" i="17"/>
  <c r="M946" i="17" s="1"/>
  <c r="T945" i="17"/>
  <c r="AK945" i="17"/>
  <c r="H946" i="17"/>
  <c r="U946" i="17" l="1"/>
  <c r="V946" i="17" s="1"/>
  <c r="N946" i="17"/>
  <c r="AJ946" i="17" l="1"/>
  <c r="O946" i="17" s="1"/>
  <c r="Q946" i="17" l="1"/>
  <c r="P946" i="17"/>
  <c r="R946" i="17" l="1"/>
  <c r="S946" i="17" s="1"/>
  <c r="AI946" i="17" l="1"/>
  <c r="AQ946" i="17"/>
  <c r="H947" i="17"/>
  <c r="K947" i="17"/>
  <c r="M947" i="17" s="1"/>
  <c r="N947" i="17" s="1"/>
  <c r="T946" i="17"/>
  <c r="AK946" i="17"/>
  <c r="U947" i="17" l="1"/>
  <c r="V947" i="17" s="1"/>
  <c r="AJ947" i="17"/>
  <c r="O947" i="17" s="1"/>
  <c r="P947" i="17" l="1"/>
  <c r="Q947" i="17"/>
  <c r="R947" i="17" l="1"/>
  <c r="S947" i="17" s="1"/>
  <c r="AI947" i="17" l="1"/>
  <c r="T947" i="17"/>
  <c r="AK947" i="17"/>
  <c r="AQ947" i="17"/>
  <c r="K948" i="17"/>
  <c r="M948" i="17" s="1"/>
  <c r="N948" i="17" s="1"/>
  <c r="H948" i="17"/>
  <c r="AJ948" i="17" l="1"/>
  <c r="O948" i="17" s="1"/>
  <c r="U948" i="17"/>
  <c r="V948" i="17" s="1"/>
  <c r="P948" i="17" l="1"/>
  <c r="Q948" i="17"/>
  <c r="R948" i="17" l="1"/>
  <c r="K949" i="17" s="1"/>
  <c r="M949" i="17" s="1"/>
  <c r="H949" i="17" l="1"/>
  <c r="AQ948" i="17"/>
  <c r="S948" i="17"/>
  <c r="T948" i="17"/>
  <c r="AI948" i="17"/>
  <c r="AK948" i="17"/>
  <c r="U949" i="17"/>
  <c r="V949" i="17" s="1"/>
  <c r="N949" i="17"/>
  <c r="AJ949" i="17" l="1"/>
  <c r="P949" i="17" l="1"/>
  <c r="O949" i="17"/>
  <c r="Q949" i="17"/>
  <c r="R949" i="17" l="1"/>
  <c r="S949" i="17" s="1"/>
  <c r="AI949" i="17" l="1"/>
  <c r="T949" i="17"/>
  <c r="H950" i="17"/>
  <c r="K950" i="17"/>
  <c r="M950" i="17" s="1"/>
  <c r="AK949" i="17"/>
  <c r="AQ949" i="17"/>
  <c r="U950" i="17" l="1"/>
  <c r="V950" i="17" s="1"/>
  <c r="N950" i="17"/>
  <c r="AJ950" i="17" l="1"/>
  <c r="Q950" i="17" l="1"/>
  <c r="O950" i="17"/>
  <c r="P950" i="17"/>
  <c r="R950" i="17" l="1"/>
  <c r="S950" i="17" s="1"/>
  <c r="AI950" i="17" l="1"/>
  <c r="H951" i="17"/>
  <c r="T950" i="17"/>
  <c r="K951" i="17"/>
  <c r="AK950" i="17"/>
  <c r="AQ950" i="17"/>
  <c r="U951" i="17" l="1"/>
  <c r="V951" i="17" s="1"/>
  <c r="M951" i="17"/>
  <c r="N951" i="17" s="1"/>
  <c r="AJ951" i="17" s="1"/>
  <c r="O951" i="17" l="1"/>
  <c r="P951" i="17"/>
  <c r="Q951" i="17"/>
  <c r="R951" i="17" l="1"/>
  <c r="S951" i="17" s="1"/>
  <c r="AQ951" i="17" l="1"/>
  <c r="AI951" i="17"/>
  <c r="K952" i="17"/>
  <c r="M952" i="17" s="1"/>
  <c r="T951" i="17"/>
  <c r="AK951" i="17"/>
  <c r="H952" i="17"/>
  <c r="U952" i="17" l="1"/>
  <c r="V952" i="17" s="1"/>
  <c r="N952" i="17"/>
  <c r="AJ952" i="17" l="1"/>
  <c r="O952" i="17" s="1"/>
  <c r="P952" i="17" l="1"/>
  <c r="Q952" i="17"/>
  <c r="R952" i="17" l="1"/>
  <c r="S952" i="17" s="1"/>
  <c r="H953" i="17" l="1"/>
  <c r="AK952" i="17"/>
  <c r="K953" i="17"/>
  <c r="U953" i="17" s="1"/>
  <c r="V953" i="17" s="1"/>
  <c r="T952" i="17"/>
  <c r="AI952" i="17"/>
  <c r="AQ952" i="17"/>
  <c r="M953" i="17" l="1"/>
  <c r="N953" i="17" s="1"/>
  <c r="AJ953" i="17" s="1"/>
  <c r="O953" i="17" s="1"/>
  <c r="Q953" i="17" l="1"/>
  <c r="P953" i="17"/>
  <c r="R953" i="17" l="1"/>
  <c r="S953" i="17" s="1"/>
  <c r="K954" i="17" l="1"/>
  <c r="U954" i="17" s="1"/>
  <c r="V954" i="17" s="1"/>
  <c r="AI953" i="17"/>
  <c r="H954" i="17"/>
  <c r="AQ953" i="17"/>
  <c r="T953" i="17"/>
  <c r="AK953" i="17"/>
  <c r="M954" i="17" l="1"/>
  <c r="N954" i="17" s="1"/>
  <c r="AJ954" i="17" s="1"/>
  <c r="O954" i="17" s="1"/>
  <c r="Q954" i="17" l="1"/>
  <c r="P954" i="17"/>
  <c r="R954" i="17" l="1"/>
  <c r="S954" i="17" s="1"/>
  <c r="K955" i="17"/>
  <c r="U955" i="17" s="1"/>
  <c r="V955" i="17" s="1"/>
  <c r="T954" i="17"/>
  <c r="AI954" i="17"/>
  <c r="H955" i="17"/>
  <c r="AK954" i="17"/>
  <c r="AQ954" i="17"/>
  <c r="M955" i="17" l="1"/>
  <c r="N955" i="17" s="1"/>
  <c r="AJ955" i="17" s="1"/>
  <c r="O955" i="17" s="1"/>
  <c r="Q955" i="17" l="1"/>
  <c r="P955" i="17"/>
  <c r="R955" i="17" l="1"/>
  <c r="AK955" i="17" s="1"/>
  <c r="AI955" i="17"/>
  <c r="T955" i="17"/>
  <c r="K956" i="17"/>
  <c r="AQ955" i="17"/>
  <c r="S955" i="17" l="1"/>
  <c r="H956" i="17"/>
  <c r="U956" i="17"/>
  <c r="V956" i="17" s="1"/>
  <c r="M956" i="17"/>
  <c r="N956" i="17" l="1"/>
  <c r="AJ956" i="17" s="1"/>
  <c r="O956" i="17" s="1"/>
  <c r="P956" i="17" l="1"/>
  <c r="Q956" i="17"/>
  <c r="R956" i="17" l="1"/>
  <c r="S956" i="17" l="1"/>
  <c r="AK956" i="17"/>
  <c r="AQ956" i="17"/>
  <c r="K957" i="17"/>
  <c r="T956" i="17"/>
  <c r="AI956" i="17"/>
  <c r="H957" i="17"/>
  <c r="U957" i="17" l="1"/>
  <c r="V957" i="17" s="1"/>
  <c r="M957" i="17"/>
  <c r="N957" i="17" s="1"/>
  <c r="AJ957" i="17" s="1"/>
  <c r="O957" i="17" s="1"/>
  <c r="Q957" i="17" l="1"/>
  <c r="P957" i="17"/>
  <c r="R957" i="17" l="1"/>
  <c r="S957" i="17" s="1"/>
  <c r="AQ957" i="17" l="1"/>
  <c r="AK957" i="17"/>
  <c r="T957" i="17"/>
  <c r="K958" i="17"/>
  <c r="AI957" i="17"/>
  <c r="H958" i="17"/>
  <c r="U958" i="17" l="1"/>
  <c r="V958" i="17" s="1"/>
  <c r="M958" i="17"/>
  <c r="N958" i="17" s="1"/>
  <c r="AJ958" i="17" l="1"/>
  <c r="O958" i="17" s="1"/>
  <c r="Q958" i="17" l="1"/>
  <c r="P958" i="17"/>
  <c r="R958" i="17" l="1"/>
  <c r="S958" i="17" s="1"/>
  <c r="H959" i="17" l="1"/>
  <c r="AK958" i="17"/>
  <c r="AQ958" i="17"/>
  <c r="T958" i="17"/>
  <c r="K959" i="17"/>
  <c r="AI958" i="17"/>
  <c r="U959" i="17" l="1"/>
  <c r="V959" i="17" s="1"/>
  <c r="M959" i="17"/>
  <c r="N959" i="17" s="1"/>
  <c r="AJ959" i="17" s="1"/>
  <c r="O959" i="17" s="1"/>
  <c r="Q959" i="17" l="1"/>
  <c r="P959" i="17"/>
  <c r="R959" i="17" l="1"/>
  <c r="S959" i="17" s="1"/>
  <c r="H960" i="17" l="1"/>
  <c r="K960" i="17"/>
  <c r="AK959" i="17"/>
  <c r="T959" i="17"/>
  <c r="AQ959" i="17"/>
  <c r="AI959" i="17"/>
  <c r="M960" i="17" l="1"/>
  <c r="N960" i="17" s="1"/>
  <c r="AJ960" i="17" s="1"/>
  <c r="Q960" i="17" s="1"/>
  <c r="U960" i="17"/>
  <c r="V960" i="17" s="1"/>
  <c r="O960" i="17" l="1"/>
  <c r="P960" i="17"/>
  <c r="R960" i="17" l="1"/>
  <c r="S960" i="17" s="1"/>
  <c r="H961" i="17" l="1"/>
  <c r="AI960" i="17"/>
  <c r="T960" i="17"/>
  <c r="K961" i="17"/>
  <c r="AQ960" i="17"/>
  <c r="AK960" i="17"/>
  <c r="U961" i="17" l="1"/>
  <c r="V961" i="17" s="1"/>
  <c r="M961" i="17"/>
  <c r="N961" i="17" s="1"/>
  <c r="AJ961" i="17" l="1"/>
  <c r="Q961" i="17" s="1"/>
  <c r="O961" i="17" l="1"/>
  <c r="P961" i="17"/>
  <c r="R961" i="17" l="1"/>
  <c r="S961" i="17" s="1"/>
  <c r="AQ961" i="17" l="1"/>
  <c r="AK961" i="17"/>
  <c r="H962" i="17"/>
  <c r="T961" i="17"/>
  <c r="AI961" i="17"/>
  <c r="K962" i="17"/>
  <c r="M962" i="17" l="1"/>
  <c r="U962" i="17"/>
  <c r="V962" i="17" s="1"/>
  <c r="N962" i="17" l="1"/>
  <c r="AJ962" i="17" l="1"/>
  <c r="O962" i="17" s="1"/>
  <c r="Q962" i="17" l="1"/>
  <c r="P962" i="17"/>
  <c r="R962" i="17" l="1"/>
  <c r="S962" i="17" s="1"/>
  <c r="K963" i="17" l="1"/>
  <c r="T962" i="17"/>
  <c r="AK962" i="17"/>
  <c r="AI962" i="17"/>
  <c r="AQ962" i="17"/>
  <c r="H963" i="17"/>
  <c r="M963" i="17" l="1"/>
  <c r="N963" i="17" s="1"/>
  <c r="U963" i="17"/>
  <c r="V963" i="17" s="1"/>
  <c r="AJ963" i="17" l="1"/>
  <c r="Q963" i="17" s="1"/>
  <c r="O963" i="17" l="1"/>
  <c r="P963" i="17"/>
  <c r="R963" i="17" l="1"/>
  <c r="S963" i="17" s="1"/>
  <c r="AK963" i="17" l="1"/>
  <c r="AQ963" i="17"/>
  <c r="K964" i="17"/>
  <c r="H964" i="17"/>
  <c r="AI963" i="17"/>
  <c r="T963" i="17"/>
  <c r="U964" i="17" l="1"/>
  <c r="V964" i="17" s="1"/>
  <c r="M964" i="17"/>
  <c r="N964" i="17" s="1"/>
  <c r="AJ964" i="17" l="1"/>
  <c r="O964" i="17" s="1"/>
  <c r="P964" i="17" l="1"/>
  <c r="Q964" i="17"/>
  <c r="R964" i="17" l="1"/>
  <c r="S964" i="17" s="1"/>
  <c r="AI964" i="17" l="1"/>
  <c r="H965" i="17"/>
  <c r="K965" i="17"/>
  <c r="AK964" i="17"/>
  <c r="AQ964" i="17"/>
  <c r="T964" i="17"/>
  <c r="M965" i="17" l="1"/>
  <c r="N965" i="17" s="1"/>
  <c r="AJ965" i="17" s="1"/>
  <c r="O965" i="17" s="1"/>
  <c r="U965" i="17"/>
  <c r="V965" i="17" s="1"/>
  <c r="Q965" i="17" l="1"/>
  <c r="P965" i="17"/>
  <c r="R965" i="17" l="1"/>
  <c r="S965" i="17" s="1"/>
  <c r="AK965" i="17" l="1"/>
  <c r="AQ965" i="17"/>
  <c r="H966" i="17"/>
  <c r="K966" i="17"/>
  <c r="AI965" i="17"/>
  <c r="T965" i="17"/>
  <c r="M966" i="17" l="1"/>
  <c r="N966" i="17" s="1"/>
  <c r="U966" i="17"/>
  <c r="V966" i="17" s="1"/>
  <c r="AJ966" i="17" l="1"/>
  <c r="O966" i="17" s="1"/>
  <c r="P966" i="17" l="1"/>
  <c r="Q966" i="17"/>
  <c r="R966" i="17" l="1"/>
  <c r="S966" i="17" s="1"/>
  <c r="T966" i="17" l="1"/>
  <c r="K967" i="17"/>
  <c r="M967" i="17" s="1"/>
  <c r="N967" i="17" s="1"/>
  <c r="AJ967" i="17" s="1"/>
  <c r="AK966" i="17"/>
  <c r="AI966" i="17"/>
  <c r="H967" i="17"/>
  <c r="AQ966" i="17"/>
  <c r="U967" i="17" l="1"/>
  <c r="V967" i="17" s="1"/>
  <c r="Q967" i="17"/>
  <c r="O967" i="17"/>
  <c r="P967" i="17"/>
  <c r="R967" i="17" l="1"/>
  <c r="S967" i="17" s="1"/>
  <c r="AK967" i="17" l="1"/>
  <c r="AQ967" i="17"/>
  <c r="H968" i="17"/>
  <c r="AI967" i="17"/>
  <c r="K968" i="17"/>
  <c r="T967" i="17"/>
  <c r="U968" i="17" l="1"/>
  <c r="V968" i="17" s="1"/>
  <c r="M968" i="17"/>
  <c r="N968" i="17" l="1"/>
  <c r="AJ968" i="17" l="1"/>
  <c r="O968" i="17" s="1"/>
  <c r="P968" i="17" l="1"/>
  <c r="Q968" i="17"/>
  <c r="R968" i="17" l="1"/>
  <c r="S968" i="17" s="1"/>
  <c r="AI968" i="17" l="1"/>
  <c r="T968" i="17"/>
  <c r="H969" i="17"/>
  <c r="K969" i="17"/>
  <c r="AQ968" i="17"/>
  <c r="AK968" i="17"/>
  <c r="M969" i="17" l="1"/>
  <c r="N969" i="17" s="1"/>
  <c r="AJ969" i="17" s="1"/>
  <c r="O969" i="17" s="1"/>
  <c r="U969" i="17"/>
  <c r="V969" i="17" s="1"/>
  <c r="Q969" i="17" l="1"/>
  <c r="P969" i="17"/>
  <c r="R969" i="17" l="1"/>
  <c r="S969" i="17" s="1"/>
  <c r="AQ969" i="17" l="1"/>
  <c r="K970" i="17"/>
  <c r="T969" i="17"/>
  <c r="H970" i="17"/>
  <c r="AI969" i="17"/>
  <c r="AK969" i="17"/>
  <c r="M970" i="17" l="1"/>
  <c r="N970" i="17" s="1"/>
  <c r="U970" i="17"/>
  <c r="V970" i="17" s="1"/>
  <c r="AJ970" i="17" l="1"/>
  <c r="O970" i="17" s="1"/>
  <c r="P970" i="17" l="1"/>
  <c r="Q970" i="17"/>
  <c r="R970" i="17" l="1"/>
  <c r="S970" i="17" s="1"/>
  <c r="K971" i="17" l="1"/>
  <c r="U971" i="17" s="1"/>
  <c r="V971" i="17" s="1"/>
  <c r="T970" i="17"/>
  <c r="AQ970" i="17"/>
  <c r="AK970" i="17"/>
  <c r="AI970" i="17"/>
  <c r="H971" i="17"/>
  <c r="M971" i="17" l="1"/>
  <c r="N971" i="17" s="1"/>
  <c r="AJ971" i="17" l="1"/>
  <c r="O971" i="17" s="1"/>
  <c r="Q971" i="17" l="1"/>
  <c r="P971" i="17"/>
  <c r="R971" i="17" l="1"/>
  <c r="S971" i="17" s="1"/>
  <c r="K972" i="17" l="1"/>
  <c r="U972" i="17" s="1"/>
  <c r="V972" i="17" s="1"/>
  <c r="AQ971" i="17"/>
  <c r="H972" i="17"/>
  <c r="T971" i="17"/>
  <c r="AK971" i="17"/>
  <c r="AI971" i="17"/>
  <c r="M972" i="17" l="1"/>
  <c r="N972" i="17" s="1"/>
  <c r="AJ972" i="17" s="1"/>
  <c r="O972" i="17" s="1"/>
  <c r="P972" i="17"/>
  <c r="Q972" i="17"/>
  <c r="R972" i="17" l="1"/>
  <c r="S972" i="17" s="1"/>
  <c r="AQ972" i="17" l="1"/>
  <c r="T972" i="17"/>
  <c r="K973" i="17"/>
  <c r="AI972" i="17"/>
  <c r="H973" i="17"/>
  <c r="AK972" i="17"/>
  <c r="U973" i="17" l="1"/>
  <c r="V973" i="17" s="1"/>
  <c r="M973" i="17"/>
  <c r="N973" i="17" s="1"/>
  <c r="AJ973" i="17" l="1"/>
  <c r="O973" i="17" s="1"/>
  <c r="Q973" i="17" l="1"/>
  <c r="P973" i="17"/>
  <c r="R973" i="17" l="1"/>
  <c r="S973" i="17" s="1"/>
  <c r="K974" i="17" l="1"/>
  <c r="AK973" i="17"/>
  <c r="H974" i="17"/>
  <c r="T973" i="17"/>
  <c r="AQ973" i="17"/>
  <c r="AI973" i="17"/>
  <c r="M974" i="17" l="1"/>
  <c r="N974" i="17" s="1"/>
  <c r="AJ974" i="17" s="1"/>
  <c r="O974" i="17" s="1"/>
  <c r="U974" i="17"/>
  <c r="V974" i="17" s="1"/>
  <c r="Q974" i="17" l="1"/>
  <c r="P974" i="17"/>
  <c r="R974" i="17" l="1"/>
  <c r="S974" i="17" s="1"/>
  <c r="AQ974" i="17" l="1"/>
  <c r="H975" i="17"/>
  <c r="T974" i="17"/>
  <c r="AK974" i="17"/>
  <c r="AI974" i="17"/>
  <c r="K975" i="17"/>
  <c r="U975" i="17" l="1"/>
  <c r="V975" i="17" s="1"/>
  <c r="M975" i="17"/>
  <c r="N975" i="17" s="1"/>
  <c r="AJ975" i="17" s="1"/>
  <c r="O975" i="17" s="1"/>
  <c r="Q975" i="17" l="1"/>
  <c r="P975" i="17"/>
  <c r="R975" i="17" l="1"/>
  <c r="S975" i="17" s="1"/>
  <c r="AI975" i="17" l="1"/>
  <c r="H976" i="17"/>
  <c r="K976" i="17"/>
  <c r="AK975" i="17"/>
  <c r="AQ975" i="17"/>
  <c r="T975" i="17"/>
  <c r="M976" i="17" l="1"/>
  <c r="N976" i="17" s="1"/>
  <c r="U976" i="17"/>
  <c r="V976" i="17" s="1"/>
  <c r="AJ976" i="17" l="1"/>
  <c r="O976" i="17" s="1"/>
  <c r="P976" i="17" l="1"/>
  <c r="Q976" i="17"/>
  <c r="R976" i="17" l="1"/>
  <c r="S976" i="17" s="1"/>
  <c r="AQ976" i="17" l="1"/>
  <c r="H977" i="17"/>
  <c r="AK976" i="17"/>
  <c r="K977" i="17"/>
  <c r="T976" i="17"/>
  <c r="AI976" i="17"/>
  <c r="U977" i="17" l="1"/>
  <c r="V977" i="17" s="1"/>
  <c r="M977" i="17"/>
  <c r="N977" i="17" s="1"/>
  <c r="AJ977" i="17" l="1"/>
  <c r="O977" i="17" s="1"/>
  <c r="P977" i="17" l="1"/>
  <c r="Q977" i="17"/>
  <c r="R977" i="17" l="1"/>
  <c r="S977" i="17" s="1"/>
  <c r="AK977" i="17" l="1"/>
  <c r="AQ977" i="17"/>
  <c r="K978" i="17"/>
  <c r="T977" i="17"/>
  <c r="AI977" i="17"/>
  <c r="H978" i="17"/>
  <c r="M978" i="17" l="1"/>
  <c r="N978" i="17" s="1"/>
  <c r="AJ978" i="17" s="1"/>
  <c r="O978" i="17" s="1"/>
  <c r="U978" i="17"/>
  <c r="V978" i="17" s="1"/>
  <c r="P978" i="17" l="1"/>
  <c r="Q978" i="17"/>
  <c r="R978" i="17" l="1"/>
  <c r="S978" i="17" s="1"/>
  <c r="AQ978" i="17" l="1"/>
  <c r="H979" i="17"/>
  <c r="AK978" i="17"/>
  <c r="AI978" i="17"/>
  <c r="T978" i="17"/>
  <c r="K979" i="17"/>
  <c r="U979" i="17" l="1"/>
  <c r="V979" i="17" s="1"/>
  <c r="M979" i="17"/>
  <c r="N979" i="17" s="1"/>
  <c r="AJ979" i="17" l="1"/>
  <c r="P979" i="17" l="1"/>
  <c r="O979" i="17"/>
  <c r="Q979" i="17"/>
  <c r="R979" i="17" l="1"/>
  <c r="S979" i="17" s="1"/>
  <c r="AK979" i="17" l="1"/>
  <c r="AI979" i="17"/>
  <c r="K980" i="17"/>
  <c r="T979" i="17"/>
  <c r="AQ979" i="17"/>
  <c r="H980" i="17"/>
  <c r="U980" i="17" l="1"/>
  <c r="V980" i="17" s="1"/>
  <c r="M980" i="17"/>
  <c r="N980" i="17" s="1"/>
  <c r="AJ980" i="17" s="1"/>
  <c r="O980" i="17" s="1"/>
  <c r="Q980" i="17" l="1"/>
  <c r="P980" i="17"/>
  <c r="R980" i="17" l="1"/>
  <c r="S980" i="17" s="1"/>
  <c r="AQ980" i="17" l="1"/>
  <c r="T980" i="17"/>
  <c r="H981" i="17"/>
  <c r="AI980" i="17"/>
  <c r="AK980" i="17"/>
  <c r="K981" i="17"/>
  <c r="M981" i="17" l="1"/>
  <c r="N981" i="17" s="1"/>
  <c r="AJ981" i="17" s="1"/>
  <c r="O981" i="17" s="1"/>
  <c r="U981" i="17"/>
  <c r="V981" i="17" s="1"/>
  <c r="P981" i="17" l="1"/>
  <c r="Q981" i="17"/>
  <c r="R981" i="17" l="1"/>
  <c r="S981" i="17" s="1"/>
  <c r="AQ981" i="17" l="1"/>
  <c r="H982" i="17"/>
  <c r="AI981" i="17"/>
  <c r="K982" i="17"/>
  <c r="T981" i="17"/>
  <c r="AK981" i="17"/>
  <c r="U982" i="17" l="1"/>
  <c r="V982" i="17" s="1"/>
  <c r="M982" i="17"/>
  <c r="N982" i="17" s="1"/>
  <c r="AJ982" i="17" s="1"/>
  <c r="O982" i="17" s="1"/>
  <c r="Q982" i="17" l="1"/>
  <c r="P982" i="17"/>
  <c r="R982" i="17" l="1"/>
  <c r="S982" i="17" s="1"/>
  <c r="AQ982" i="17" l="1"/>
  <c r="K983" i="17"/>
  <c r="H983" i="17"/>
  <c r="AI982" i="17"/>
  <c r="T982" i="17"/>
  <c r="AK982" i="17"/>
  <c r="M983" i="17" l="1"/>
  <c r="N983" i="17" s="1"/>
  <c r="U983" i="17"/>
  <c r="V983" i="17" s="1"/>
  <c r="AJ983" i="17" l="1"/>
  <c r="O983" i="17" s="1"/>
  <c r="P983" i="17" l="1"/>
  <c r="Q983" i="17"/>
  <c r="R983" i="17" l="1"/>
  <c r="S983" i="17" s="1"/>
  <c r="K984" i="17" l="1"/>
  <c r="M984" i="17" s="1"/>
  <c r="N984" i="17" s="1"/>
  <c r="AQ983" i="17"/>
  <c r="AK983" i="17"/>
  <c r="AI983" i="17"/>
  <c r="H984" i="17"/>
  <c r="T983" i="17"/>
  <c r="U984" i="17" l="1"/>
  <c r="V984" i="17" s="1"/>
  <c r="AJ984" i="17"/>
  <c r="O984" i="17" s="1"/>
  <c r="P984" i="17" l="1"/>
  <c r="Q984" i="17"/>
  <c r="R984" i="17" l="1"/>
  <c r="S984" i="17" s="1"/>
  <c r="AQ984" i="17" l="1"/>
  <c r="AK984" i="17"/>
  <c r="T984" i="17"/>
  <c r="AI984" i="17"/>
  <c r="H985" i="17"/>
  <c r="K985" i="17"/>
  <c r="U985" i="17" l="1"/>
  <c r="V985" i="17" s="1"/>
  <c r="M985" i="17"/>
  <c r="N985" i="17" s="1"/>
  <c r="AJ985" i="17" l="1"/>
  <c r="O985" i="17" s="1"/>
  <c r="Q985" i="17" l="1"/>
  <c r="P985" i="17"/>
  <c r="R985" i="17" l="1"/>
  <c r="S985" i="17" s="1"/>
  <c r="AQ985" i="17" l="1"/>
  <c r="K986" i="17"/>
  <c r="T985" i="17"/>
  <c r="AI985" i="17"/>
  <c r="AK985" i="17"/>
  <c r="H986" i="17"/>
  <c r="M986" i="17" l="1"/>
  <c r="N986" i="17" s="1"/>
  <c r="U986" i="17"/>
  <c r="V986" i="17" s="1"/>
  <c r="AJ986" i="17" l="1"/>
  <c r="O986" i="17" s="1"/>
  <c r="Q986" i="17" l="1"/>
  <c r="P986" i="17"/>
  <c r="R986" i="17" l="1"/>
  <c r="S986" i="17" s="1"/>
  <c r="AK986" i="17" l="1"/>
  <c r="AI986" i="17"/>
  <c r="AQ986" i="17"/>
  <c r="K987" i="17"/>
  <c r="T986" i="17"/>
  <c r="H987" i="17"/>
  <c r="U987" i="17" l="1"/>
  <c r="V987" i="17" s="1"/>
  <c r="M987" i="17"/>
  <c r="N987" i="17" s="1"/>
  <c r="AJ987" i="17" s="1"/>
  <c r="O987" i="17" s="1"/>
  <c r="P987" i="17" l="1"/>
  <c r="Q987" i="17"/>
  <c r="R987" i="17" l="1"/>
  <c r="S987" i="17" s="1"/>
  <c r="AI987" i="17" l="1"/>
  <c r="T987" i="17"/>
  <c r="AQ987" i="17"/>
  <c r="AK987" i="17"/>
  <c r="H988" i="17"/>
  <c r="K988" i="17"/>
  <c r="U988" i="17" s="1"/>
  <c r="V988" i="17" s="1"/>
  <c r="M988" i="17" l="1"/>
  <c r="N988" i="17" s="1"/>
  <c r="AJ988" i="17" s="1"/>
  <c r="Q988" i="17" s="1"/>
  <c r="O988" i="17" l="1"/>
  <c r="P988" i="17"/>
  <c r="R988" i="17" l="1"/>
  <c r="S988" i="17" s="1"/>
  <c r="AQ988" i="17" l="1"/>
  <c r="AK988" i="17"/>
  <c r="AI988" i="17"/>
  <c r="T988" i="17"/>
  <c r="K989" i="17"/>
  <c r="H989" i="17"/>
  <c r="M989" i="17" l="1"/>
  <c r="N989" i="17" s="1"/>
  <c r="U989" i="17"/>
  <c r="V989" i="17" s="1"/>
  <c r="AJ989" i="17" l="1"/>
  <c r="O989" i="17" s="1"/>
  <c r="P989" i="17" l="1"/>
  <c r="Q989" i="17"/>
  <c r="R989" i="17" l="1"/>
  <c r="S989" i="17" s="1"/>
  <c r="AQ989" i="17" l="1"/>
  <c r="AK989" i="17"/>
  <c r="K990" i="17"/>
  <c r="H990" i="17"/>
  <c r="AI989" i="17"/>
  <c r="T989" i="17"/>
  <c r="U990" i="17" l="1"/>
  <c r="V990" i="17" s="1"/>
  <c r="M990" i="17"/>
  <c r="N990" i="17" s="1"/>
  <c r="AJ990" i="17" l="1"/>
  <c r="O990" i="17" s="1"/>
  <c r="P990" i="17" l="1"/>
  <c r="Q990" i="17"/>
  <c r="R990" i="17" l="1"/>
  <c r="S990" i="17" s="1"/>
  <c r="AK990" i="17" l="1"/>
  <c r="T990" i="17"/>
  <c r="AI990" i="17"/>
  <c r="K991" i="17"/>
  <c r="AQ990" i="17"/>
  <c r="H991" i="17"/>
  <c r="M991" i="17" l="1"/>
  <c r="N991" i="17" s="1"/>
  <c r="AJ991" i="17" s="1"/>
  <c r="Q991" i="17" s="1"/>
  <c r="U991" i="17"/>
  <c r="V991" i="17" s="1"/>
  <c r="O991" i="17" l="1"/>
  <c r="P991" i="17"/>
  <c r="R991" i="17" l="1"/>
  <c r="S991" i="17" s="1"/>
  <c r="H992" i="17" l="1"/>
  <c r="K992" i="17"/>
  <c r="G29" i="17" s="1"/>
  <c r="T991" i="17"/>
  <c r="AI991" i="17"/>
  <c r="AK991" i="17"/>
  <c r="AQ991" i="17"/>
  <c r="Q30" i="13" l="1"/>
  <c r="M31" i="13"/>
  <c r="U992" i="17"/>
  <c r="V992" i="17" s="1"/>
  <c r="M992" i="17"/>
  <c r="N992" i="17" s="1"/>
  <c r="AJ992" i="17" l="1"/>
  <c r="O992" i="17" s="1"/>
  <c r="P992" i="17" l="1"/>
  <c r="Q992" i="17"/>
  <c r="R992" i="17" l="1"/>
  <c r="S992" i="17" s="1"/>
  <c r="K993" i="17" l="1"/>
  <c r="AQ992" i="17"/>
  <c r="T992" i="17"/>
  <c r="AI992" i="17"/>
  <c r="AK992" i="17"/>
  <c r="H993" i="17"/>
  <c r="U993" i="17" l="1"/>
  <c r="V993" i="17" s="1"/>
  <c r="M993" i="17"/>
  <c r="N993" i="17" s="1"/>
  <c r="AJ993" i="17" s="1"/>
  <c r="O993" i="17" s="1"/>
  <c r="P993" i="17" l="1"/>
  <c r="Q993" i="17"/>
  <c r="R993" i="17" l="1"/>
  <c r="S993" i="17" s="1"/>
  <c r="T993" i="17" l="1"/>
  <c r="AI993" i="17"/>
  <c r="K994" i="17"/>
  <c r="H994" i="17"/>
  <c r="AK993" i="17"/>
  <c r="AQ993" i="17"/>
  <c r="M994" i="17" l="1"/>
  <c r="N994" i="17" s="1"/>
  <c r="AJ994" i="17" s="1"/>
  <c r="O994" i="17" s="1"/>
  <c r="U994" i="17"/>
  <c r="V994" i="17" s="1"/>
  <c r="P994" i="17" l="1"/>
  <c r="Q994" i="17"/>
  <c r="R994" i="17" l="1"/>
  <c r="S994" i="17" s="1"/>
  <c r="AQ994" i="17" l="1"/>
  <c r="T994" i="17"/>
  <c r="H995" i="17"/>
  <c r="K995" i="17"/>
  <c r="AI994" i="17"/>
  <c r="AK994" i="17"/>
  <c r="M995" i="17" l="1"/>
  <c r="N995" i="17" s="1"/>
  <c r="AJ995" i="17" s="1"/>
  <c r="O995" i="17" s="1"/>
  <c r="U995" i="17"/>
  <c r="V995" i="17" s="1"/>
  <c r="Q995" i="17" l="1"/>
  <c r="P995" i="17"/>
  <c r="R995" i="17" l="1"/>
  <c r="AQ995" i="17" s="1"/>
  <c r="K996" i="17" l="1"/>
  <c r="M996" i="17" s="1"/>
  <c r="N996" i="17" s="1"/>
  <c r="AJ996" i="17" s="1"/>
  <c r="O996" i="17" s="1"/>
  <c r="AI995" i="17"/>
  <c r="S995" i="17"/>
  <c r="AK995" i="17"/>
  <c r="T995" i="17"/>
  <c r="H996" i="17"/>
  <c r="U996" i="17" l="1"/>
  <c r="V996" i="17" s="1"/>
  <c r="P996" i="17"/>
  <c r="Q996" i="17"/>
  <c r="R996" i="17" l="1"/>
  <c r="S996" i="17" s="1"/>
  <c r="AK996" i="17" l="1"/>
  <c r="K997" i="17"/>
  <c r="H997" i="17"/>
  <c r="AI996" i="17"/>
  <c r="AQ996" i="17"/>
  <c r="T996" i="17"/>
  <c r="M997" i="17" l="1"/>
  <c r="N997" i="17" s="1"/>
  <c r="AJ997" i="17" s="1"/>
  <c r="U997" i="17"/>
  <c r="V997" i="17" s="1"/>
  <c r="O997" i="17" l="1"/>
  <c r="Q997" i="17"/>
  <c r="P997" i="17"/>
  <c r="R997" i="17" l="1"/>
  <c r="S997" i="17" s="1"/>
  <c r="K998" i="17" l="1"/>
  <c r="AQ997" i="17"/>
  <c r="AK997" i="17"/>
  <c r="AI997" i="17"/>
  <c r="H998" i="17"/>
  <c r="T997" i="17"/>
  <c r="M998" i="17" l="1"/>
  <c r="N998" i="17" s="1"/>
  <c r="U998" i="17"/>
  <c r="V998" i="17" s="1"/>
  <c r="AJ998" i="17" l="1"/>
  <c r="O998" i="17" s="1"/>
  <c r="P998" i="17" l="1"/>
  <c r="Q998" i="17"/>
  <c r="R998" i="17" l="1"/>
  <c r="S998" i="17" s="1"/>
  <c r="AI998" i="17" l="1"/>
  <c r="H999" i="17"/>
  <c r="AQ998" i="17"/>
  <c r="AK998" i="17"/>
  <c r="T998" i="17"/>
  <c r="K999" i="17"/>
  <c r="M999" i="17" l="1"/>
  <c r="N999" i="17" s="1"/>
  <c r="AJ999" i="17" s="1"/>
  <c r="O999" i="17" s="1"/>
  <c r="U999" i="17"/>
  <c r="V999" i="17" s="1"/>
  <c r="P999" i="17" l="1"/>
  <c r="Q999" i="17"/>
  <c r="R999" i="17" l="1"/>
  <c r="S999" i="17" s="1"/>
  <c r="K1000" i="17" l="1"/>
  <c r="AI999" i="17"/>
  <c r="H1000" i="17"/>
  <c r="AK999" i="17"/>
  <c r="T999" i="17"/>
  <c r="AQ999" i="17"/>
  <c r="U1000" i="17" l="1"/>
  <c r="V1000" i="17" s="1"/>
  <c r="M1000" i="17"/>
  <c r="N1000" i="17" s="1"/>
  <c r="AJ1000" i="17" s="1"/>
  <c r="O1000" i="17" s="1"/>
  <c r="P1000" i="17" l="1"/>
  <c r="Q1000" i="17"/>
  <c r="R1000" i="17" l="1"/>
  <c r="S1000" i="17" s="1"/>
  <c r="AK1000" i="17" l="1"/>
  <c r="H1001" i="17"/>
  <c r="T1000" i="17"/>
  <c r="AI1000" i="17"/>
  <c r="K1001" i="17"/>
  <c r="AQ1000" i="17"/>
  <c r="U1001" i="17" l="1"/>
  <c r="V1001" i="17" s="1"/>
  <c r="M1001" i="17"/>
  <c r="N1001" i="17" s="1"/>
  <c r="AJ1001" i="17" l="1"/>
  <c r="O1001" i="17" s="1"/>
  <c r="Q1001" i="17" l="1"/>
  <c r="P1001" i="17"/>
  <c r="R1001" i="17" l="1"/>
  <c r="S1001" i="17" s="1"/>
  <c r="AQ1001" i="17" l="1"/>
  <c r="K1002" i="17"/>
  <c r="AK1001" i="17"/>
  <c r="AI1001" i="17"/>
  <c r="H1002" i="17"/>
  <c r="T1001" i="17"/>
  <c r="M1002" i="17" l="1"/>
  <c r="N1002" i="17" s="1"/>
  <c r="U1002" i="17"/>
  <c r="V1002" i="17" s="1"/>
  <c r="AJ1002" i="17" l="1"/>
  <c r="O1002" i="17" l="1"/>
  <c r="Q1002" i="17"/>
  <c r="P1002" i="17"/>
  <c r="R1002" i="17" l="1"/>
  <c r="S1002" i="17" s="1"/>
  <c r="AK1002" i="17" l="1"/>
  <c r="AQ1002" i="17"/>
  <c r="AI1002" i="17"/>
  <c r="H1003" i="17"/>
  <c r="T1002" i="17"/>
  <c r="K1003" i="17"/>
  <c r="U1003" i="17" l="1"/>
  <c r="V1003" i="17" s="1"/>
  <c r="M1003" i="17"/>
  <c r="N1003" i="17" l="1"/>
  <c r="AJ1003" i="17" l="1"/>
  <c r="O1003" i="17" s="1"/>
  <c r="Q1003" i="17" l="1"/>
  <c r="P1003" i="17"/>
  <c r="R1003" i="17" l="1"/>
  <c r="S1003" i="17" s="1"/>
  <c r="AQ1003" i="17" l="1"/>
  <c r="AI1003" i="17"/>
  <c r="T1003" i="17"/>
  <c r="K1004" i="17"/>
  <c r="AK1003" i="17"/>
  <c r="H1004" i="17"/>
  <c r="M1004" i="17" l="1"/>
  <c r="N1004" i="17" s="1"/>
  <c r="AJ1004" i="17" s="1"/>
  <c r="O1004" i="17" s="1"/>
  <c r="U1004" i="17"/>
  <c r="V1004" i="17" s="1"/>
  <c r="P1004" i="17" l="1"/>
  <c r="Q1004" i="17"/>
  <c r="R1004" i="17" l="1"/>
  <c r="S1004" i="17" s="1"/>
  <c r="H1005" i="17" l="1"/>
  <c r="K1005" i="17"/>
  <c r="AI1004" i="17"/>
  <c r="AK1004" i="17"/>
  <c r="AQ1004" i="17"/>
  <c r="T1004" i="17"/>
  <c r="U1005" i="17" l="1"/>
  <c r="V1005" i="17" s="1"/>
  <c r="M1005" i="17"/>
  <c r="N1005" i="17" s="1"/>
  <c r="AJ1005" i="17" s="1"/>
  <c r="O1005" i="17" s="1"/>
  <c r="Q1005" i="17" l="1"/>
  <c r="P1005" i="17"/>
  <c r="R1005" i="17" l="1"/>
  <c r="S1005" i="17" s="1"/>
  <c r="AQ1005" i="17" l="1"/>
  <c r="AK1005" i="17"/>
  <c r="T1005" i="17"/>
  <c r="H1006" i="17"/>
  <c r="AI1005" i="17"/>
  <c r="K1006" i="17"/>
  <c r="U1006" i="17" l="1"/>
  <c r="V1006" i="17" s="1"/>
  <c r="M1006" i="17"/>
  <c r="N1006" i="17" s="1"/>
  <c r="AJ1006" i="17" s="1"/>
  <c r="O1006" i="17" s="1"/>
  <c r="P1006" i="17" l="1"/>
  <c r="Q1006" i="17"/>
  <c r="R1006" i="17" l="1"/>
  <c r="S1006" i="17" s="1"/>
  <c r="K1007" i="17" l="1"/>
  <c r="M1007" i="17" s="1"/>
  <c r="N1007" i="17" s="1"/>
  <c r="AJ1007" i="17" s="1"/>
  <c r="O1007" i="17" s="1"/>
  <c r="T1006" i="17"/>
  <c r="AQ1006" i="17"/>
  <c r="H1007" i="17"/>
  <c r="AK1006" i="17"/>
  <c r="AI1006" i="17"/>
  <c r="U1007" i="17" l="1"/>
  <c r="V1007" i="17" s="1"/>
  <c r="Q1007" i="17"/>
  <c r="P1007" i="17"/>
  <c r="R1007" i="17" l="1"/>
  <c r="S1007" i="17" s="1"/>
  <c r="AI1007" i="17" l="1"/>
  <c r="H1008" i="17"/>
  <c r="T1007" i="17"/>
  <c r="AK1007" i="17"/>
  <c r="AQ1007" i="17"/>
  <c r="K1008" i="17"/>
  <c r="M1008" i="17" l="1"/>
  <c r="N1008" i="17" s="1"/>
  <c r="AJ1008" i="17" s="1"/>
  <c r="O1008" i="17" s="1"/>
  <c r="U1008" i="17"/>
  <c r="V1008" i="17" s="1"/>
  <c r="Q1008" i="17" l="1"/>
  <c r="P1008" i="17"/>
  <c r="R1008" i="17" l="1"/>
  <c r="S1008" i="17" s="1"/>
  <c r="AK1008" i="17" l="1"/>
  <c r="AQ1008" i="17"/>
  <c r="H1009" i="17"/>
  <c r="T1008" i="17"/>
  <c r="AI1008" i="17"/>
  <c r="K1009" i="17"/>
  <c r="M1009" i="17" l="1"/>
  <c r="N1009" i="17" s="1"/>
  <c r="AJ1009" i="17" s="1"/>
  <c r="O1009" i="17" s="1"/>
  <c r="U1009" i="17"/>
  <c r="V1009" i="17" s="1"/>
  <c r="P1009" i="17" l="1"/>
  <c r="Q1009" i="17"/>
  <c r="R1009" i="17" l="1"/>
  <c r="S1009" i="17" s="1"/>
  <c r="AK1009" i="17" l="1"/>
  <c r="AI1009" i="17"/>
  <c r="AQ1009" i="17"/>
  <c r="H1010" i="17"/>
  <c r="K1010" i="17"/>
  <c r="T1009" i="17"/>
  <c r="U1010" i="17" l="1"/>
  <c r="V1010" i="17" s="1"/>
  <c r="M1010" i="17"/>
  <c r="N1010" i="17" s="1"/>
  <c r="AJ1010" i="17" l="1"/>
  <c r="O1010" i="17" s="1"/>
  <c r="Q1010" i="17" l="1"/>
  <c r="P1010" i="17"/>
  <c r="R1010" i="17" l="1"/>
  <c r="S1010" i="17" s="1"/>
  <c r="AI1010" i="17" l="1"/>
  <c r="AQ1010" i="17"/>
  <c r="H1011" i="17"/>
  <c r="K1011" i="17"/>
  <c r="U1011" i="17" s="1"/>
  <c r="V1011" i="17" s="1"/>
  <c r="T1010" i="17"/>
  <c r="AK1010" i="17"/>
  <c r="M1011" i="17" l="1"/>
  <c r="N1011" i="17" s="1"/>
  <c r="AJ1011" i="17" s="1"/>
  <c r="O1011" i="17" s="1"/>
  <c r="Q1011" i="17" l="1"/>
  <c r="P1011" i="17"/>
  <c r="R1011" i="17" l="1"/>
  <c r="S1011" i="17" s="1"/>
  <c r="H1012" i="17" l="1"/>
  <c r="AK1011" i="17"/>
  <c r="T1011" i="17"/>
  <c r="K1012" i="17"/>
  <c r="M1012" i="17" s="1"/>
  <c r="N1012" i="17" s="1"/>
  <c r="AJ1012" i="17" s="1"/>
  <c r="O1012" i="17" s="1"/>
  <c r="AI1011" i="17"/>
  <c r="AQ1011" i="17"/>
  <c r="U1012" i="17" l="1"/>
  <c r="V1012" i="17" s="1"/>
  <c r="P1012" i="17"/>
  <c r="Q1012" i="17"/>
  <c r="R1012" i="17" l="1"/>
  <c r="S1012" i="17" s="1"/>
  <c r="AK1012" i="17" l="1"/>
  <c r="AI1012" i="17"/>
  <c r="T1012" i="17"/>
  <c r="K1013" i="17"/>
  <c r="AQ1012" i="17"/>
  <c r="H1013" i="17"/>
  <c r="M1013" i="17" l="1"/>
  <c r="N1013" i="17" s="1"/>
  <c r="AJ1013" i="17" s="1"/>
  <c r="O1013" i="17" s="1"/>
  <c r="U1013" i="17"/>
  <c r="V1013" i="17" s="1"/>
  <c r="Q1013" i="17" l="1"/>
  <c r="P1013" i="17"/>
  <c r="R1013" i="17" l="1"/>
  <c r="S1013" i="17" s="1"/>
  <c r="AQ1013" i="17" l="1"/>
  <c r="H1014" i="17"/>
  <c r="T1013" i="17"/>
  <c r="AK1013" i="17"/>
  <c r="AI1013" i="17"/>
  <c r="K1014" i="17"/>
  <c r="M1014" i="17" l="1"/>
  <c r="N1014" i="17" s="1"/>
  <c r="AJ1014" i="17" s="1"/>
  <c r="O1014" i="17" s="1"/>
  <c r="U1014" i="17"/>
  <c r="V1014" i="17" s="1"/>
  <c r="Q1014" i="17" l="1"/>
  <c r="P1014" i="17"/>
  <c r="R1014" i="17" l="1"/>
  <c r="S1014" i="17" s="1"/>
  <c r="AQ1014" i="17" l="1"/>
  <c r="H1015" i="17"/>
  <c r="K1015" i="17"/>
  <c r="AI1014" i="17"/>
  <c r="T1014" i="17"/>
  <c r="AK1014" i="17"/>
  <c r="M1015" i="17" l="1"/>
  <c r="N1015" i="17" s="1"/>
  <c r="U1015" i="17"/>
  <c r="V1015" i="17" s="1"/>
  <c r="AJ1015" i="17" l="1"/>
  <c r="O1015" i="17" s="1"/>
  <c r="Q1015" i="17" l="1"/>
  <c r="P1015" i="17"/>
  <c r="R1015" i="17" l="1"/>
  <c r="S1015" i="17" s="1"/>
  <c r="K1016" i="17" l="1"/>
  <c r="H1016" i="17"/>
  <c r="AK1015" i="17"/>
  <c r="T1015" i="17"/>
  <c r="AI1015" i="17"/>
  <c r="AQ1015" i="17"/>
  <c r="U1016" i="17" l="1"/>
  <c r="V1016" i="17" s="1"/>
  <c r="M1016" i="17"/>
  <c r="N1016" i="17" s="1"/>
  <c r="AJ1016" i="17" s="1"/>
  <c r="O1016" i="17" s="1"/>
  <c r="P1016" i="17" l="1"/>
  <c r="Q1016" i="17"/>
  <c r="R1016" i="17" l="1"/>
  <c r="S1016" i="17" s="1"/>
  <c r="AI1016" i="17" l="1"/>
  <c r="K1017" i="17"/>
  <c r="M1017" i="17" s="1"/>
  <c r="N1017" i="17" s="1"/>
  <c r="T1016" i="17"/>
  <c r="AK1016" i="17"/>
  <c r="AQ1016" i="17"/>
  <c r="H1017" i="17"/>
  <c r="U1017" i="17" l="1"/>
  <c r="V1017" i="17" s="1"/>
  <c r="AJ1017" i="17"/>
  <c r="O1017" i="17" s="1"/>
  <c r="Q1017" i="17" l="1"/>
  <c r="P1017" i="17"/>
  <c r="R1017" i="17" l="1"/>
  <c r="S1017" i="17" s="1"/>
  <c r="AK1017" i="17" l="1"/>
  <c r="H1018" i="17"/>
  <c r="T1017" i="17"/>
  <c r="K1018" i="17"/>
  <c r="AQ1017" i="17"/>
  <c r="AI1017" i="17"/>
  <c r="M1018" i="17" l="1"/>
  <c r="N1018" i="17" s="1"/>
  <c r="U1018" i="17"/>
  <c r="V1018" i="17" s="1"/>
  <c r="AJ1018" i="17" l="1"/>
  <c r="O1018" i="17" s="1"/>
  <c r="P1018" i="17" l="1"/>
  <c r="Q1018" i="17"/>
  <c r="R1018" i="17" l="1"/>
  <c r="S1018" i="17" s="1"/>
  <c r="AK1018" i="17" l="1"/>
  <c r="AI1018" i="17"/>
  <c r="K1019" i="17"/>
  <c r="M1019" i="17" s="1"/>
  <c r="N1019" i="17" s="1"/>
  <c r="H1019" i="17"/>
  <c r="T1018" i="17"/>
  <c r="AQ1018" i="17"/>
  <c r="U1019" i="17" l="1"/>
  <c r="V1019" i="17" s="1"/>
  <c r="AJ1019" i="17"/>
  <c r="O1019" i="17" s="1"/>
  <c r="P1019" i="17" l="1"/>
  <c r="Q1019" i="17"/>
  <c r="R1019" i="17" l="1"/>
  <c r="S1019" i="17" s="1"/>
  <c r="AK1019" i="17" l="1"/>
  <c r="K1020" i="17"/>
  <c r="T1019" i="17"/>
  <c r="AQ1019" i="17"/>
  <c r="AI1019" i="17"/>
  <c r="H1020" i="17"/>
  <c r="M1020" i="17" l="1"/>
  <c r="N1020" i="17" s="1"/>
  <c r="U1020" i="17"/>
  <c r="V1020" i="17" s="1"/>
  <c r="AJ1020" i="17" l="1"/>
  <c r="O1020" i="17" s="1"/>
  <c r="Q1020" i="17" l="1"/>
  <c r="P1020" i="17"/>
  <c r="R1020" i="17" l="1"/>
  <c r="S1020" i="17" s="1"/>
  <c r="AK1020" i="17" l="1"/>
  <c r="AI1020" i="17"/>
  <c r="T1020" i="17"/>
  <c r="H1021" i="17"/>
  <c r="K1021" i="17"/>
  <c r="AQ1020" i="17"/>
  <c r="U1021" i="17" l="1"/>
  <c r="V1021" i="17" s="1"/>
  <c r="M1021" i="17"/>
  <c r="N1021" i="17" s="1"/>
  <c r="AJ1021" i="17" l="1"/>
  <c r="Q1021" i="17" s="1"/>
  <c r="O1021" i="17" l="1"/>
  <c r="P1021" i="17"/>
  <c r="R1021" i="17" l="1"/>
  <c r="S1021" i="17" s="1"/>
  <c r="AQ1021" i="17" l="1"/>
  <c r="AK1021" i="17"/>
  <c r="K1022" i="17"/>
  <c r="AI1021" i="17"/>
  <c r="H1022" i="17"/>
  <c r="T1021" i="17"/>
  <c r="M1022" i="17" l="1"/>
  <c r="N1022" i="17" s="1"/>
  <c r="AJ1022" i="17" s="1"/>
  <c r="O1022" i="17" s="1"/>
  <c r="U1022" i="17"/>
  <c r="V1022" i="17" s="1"/>
  <c r="P1022" i="17" l="1"/>
  <c r="Q1022" i="17"/>
  <c r="R1022" i="17" l="1"/>
  <c r="S1022" i="17" s="1"/>
  <c r="AI1022" i="17" l="1"/>
  <c r="T1022" i="17"/>
  <c r="AK1022" i="17"/>
  <c r="H1023" i="17"/>
  <c r="K1023" i="17"/>
  <c r="AQ1022" i="17"/>
  <c r="U1023" i="17" l="1"/>
  <c r="V1023" i="17" s="1"/>
  <c r="M1023" i="17"/>
  <c r="N1023" i="17" s="1"/>
  <c r="AJ1023" i="17" s="1"/>
  <c r="O1023" i="17" s="1"/>
  <c r="Q1023" i="17" l="1"/>
  <c r="P1023" i="17"/>
  <c r="R1023" i="17" l="1"/>
  <c r="S1023" i="17" s="1"/>
  <c r="AK1023" i="17" l="1"/>
  <c r="H1024" i="17"/>
  <c r="AI1023" i="17"/>
  <c r="T1023" i="17"/>
  <c r="AQ1023" i="17"/>
  <c r="K1024" i="17"/>
  <c r="U1024" i="17" l="1"/>
  <c r="V1024" i="17" s="1"/>
  <c r="M1024" i="17"/>
  <c r="N1024" i="17" s="1"/>
  <c r="AJ1024" i="17" l="1"/>
  <c r="O1024" i="17" s="1"/>
  <c r="P1024" i="17" l="1"/>
  <c r="Q1024" i="17"/>
  <c r="R1024" i="17" l="1"/>
  <c r="S1024" i="17" s="1"/>
  <c r="AQ1024" i="17" l="1"/>
  <c r="AI1024" i="17"/>
  <c r="K1025" i="17"/>
  <c r="H1025" i="17"/>
  <c r="T1024" i="17"/>
  <c r="AK1024" i="17"/>
  <c r="U1025" i="17" l="1"/>
  <c r="V1025" i="17" s="1"/>
  <c r="M1025" i="17"/>
  <c r="N1025" i="17" s="1"/>
  <c r="AJ1025" i="17" s="1"/>
  <c r="O1025" i="17" l="1"/>
  <c r="Q1025" i="17"/>
  <c r="P1025" i="17"/>
  <c r="R1025" i="17" l="1"/>
  <c r="S1025" i="17" s="1"/>
  <c r="AK1025" i="17" l="1"/>
  <c r="AQ1025" i="17"/>
  <c r="AI1025" i="17"/>
  <c r="H1026" i="17"/>
  <c r="K1026" i="17"/>
  <c r="T1025" i="17"/>
  <c r="M1026" i="17" l="1"/>
  <c r="N1026" i="17" s="1"/>
  <c r="U1026" i="17"/>
  <c r="V1026" i="17" s="1"/>
  <c r="AJ1026" i="17" l="1"/>
  <c r="O1026" i="17" s="1"/>
  <c r="Q1026" i="17" l="1"/>
  <c r="P1026" i="17"/>
  <c r="R1026" i="17" l="1"/>
  <c r="S1026" i="17" s="1"/>
  <c r="AK1026" i="17" l="1"/>
  <c r="AQ1026" i="17"/>
  <c r="H1027" i="17"/>
  <c r="T1026" i="17"/>
  <c r="K1027" i="17"/>
  <c r="AI1026" i="17"/>
  <c r="M1027" i="17" l="1"/>
  <c r="N1027" i="17" s="1"/>
  <c r="AJ1027" i="17" s="1"/>
  <c r="O1027" i="17" s="1"/>
  <c r="U1027" i="17"/>
  <c r="V1027" i="17" s="1"/>
  <c r="P1027" i="17" l="1"/>
  <c r="Q1027" i="17"/>
  <c r="R1027" i="17" l="1"/>
  <c r="S1027" i="17" s="1"/>
  <c r="H1028" i="17" l="1"/>
  <c r="K1028" i="17"/>
  <c r="T1027" i="17"/>
  <c r="AI1027" i="17"/>
  <c r="AQ1027" i="17"/>
  <c r="AK1027" i="17"/>
  <c r="U1028" i="17" l="1"/>
  <c r="V1028" i="17" s="1"/>
  <c r="M1028" i="17"/>
  <c r="N1028" i="17" s="1"/>
  <c r="AJ1028" i="17" l="1"/>
  <c r="O1028" i="17" s="1"/>
  <c r="P1028" i="17" l="1"/>
  <c r="Q1028" i="17"/>
  <c r="R1028" i="17" l="1"/>
  <c r="S1028" i="17" s="1"/>
  <c r="H1029" i="17" l="1"/>
  <c r="T1028" i="17"/>
  <c r="K1029" i="17"/>
  <c r="U1029" i="17" s="1"/>
  <c r="V1029" i="17" s="1"/>
  <c r="AQ1028" i="17"/>
  <c r="AI1028" i="17"/>
  <c r="AK1028" i="17"/>
  <c r="M1029" i="17" l="1"/>
  <c r="N1029" i="17" s="1"/>
  <c r="AJ1029" i="17" s="1"/>
  <c r="O1029" i="17" s="1"/>
  <c r="P1029" i="17" l="1"/>
  <c r="Q1029" i="17"/>
  <c r="R1029" i="17" l="1"/>
  <c r="S1029" i="17" s="1"/>
  <c r="AI1029" i="17" l="1"/>
  <c r="AK1029" i="17"/>
  <c r="H1030" i="17"/>
  <c r="T1029" i="17"/>
  <c r="K1030" i="17"/>
  <c r="M1030" i="17" s="1"/>
  <c r="N1030" i="17" s="1"/>
  <c r="AJ1030" i="17" s="1"/>
  <c r="AQ1029" i="17"/>
  <c r="U1030" i="17" l="1"/>
  <c r="V1030" i="17" s="1"/>
  <c r="Q1030" i="17"/>
  <c r="O1030" i="17"/>
  <c r="P1030" i="17"/>
  <c r="R1030" i="17" l="1"/>
  <c r="S1030" i="17" s="1"/>
  <c r="AK1030" i="17" l="1"/>
  <c r="K1031" i="17"/>
  <c r="AI1030" i="17"/>
  <c r="T1030" i="17"/>
  <c r="AQ1030" i="17"/>
  <c r="H1031" i="17"/>
  <c r="U1031" i="17" l="1"/>
  <c r="V1031" i="17" s="1"/>
  <c r="M1031" i="17"/>
  <c r="N1031" i="17" s="1"/>
  <c r="AJ1031" i="17" s="1"/>
  <c r="O1031" i="17" s="1"/>
  <c r="P1031" i="17" l="1"/>
  <c r="Q1031" i="17"/>
  <c r="R1031" i="17" l="1"/>
  <c r="S1031" i="17" s="1"/>
  <c r="AQ1031" i="17" l="1"/>
  <c r="K1032" i="17"/>
  <c r="H1032" i="17"/>
  <c r="AI1031" i="17"/>
  <c r="T1031" i="17"/>
  <c r="AK1031" i="17"/>
  <c r="M1032" i="17" l="1"/>
  <c r="N1032" i="17" s="1"/>
  <c r="U1032" i="17"/>
  <c r="V1032" i="17" s="1"/>
  <c r="AJ1032" i="17" l="1"/>
  <c r="O1032" i="17" s="1"/>
  <c r="P1032" i="17" l="1"/>
  <c r="Q1032" i="17"/>
  <c r="R1032" i="17" l="1"/>
  <c r="S1032" i="17" s="1"/>
  <c r="T1032" i="17" l="1"/>
  <c r="H1033" i="17"/>
  <c r="K1033" i="17"/>
  <c r="AI1032" i="17"/>
  <c r="AK1032" i="17"/>
  <c r="AQ1032" i="17"/>
  <c r="U1033" i="17" l="1"/>
  <c r="V1033" i="17" s="1"/>
  <c r="M1033" i="17"/>
  <c r="N1033" i="17" s="1"/>
  <c r="AJ1033" i="17" s="1"/>
  <c r="O1033" i="17" s="1"/>
  <c r="Q1033" i="17" l="1"/>
  <c r="P1033" i="17"/>
  <c r="R1033" i="17" l="1"/>
  <c r="S1033" i="17" s="1"/>
  <c r="K1034" i="17" l="1"/>
  <c r="T1033" i="17"/>
  <c r="H1034" i="17"/>
  <c r="AI1033" i="17"/>
  <c r="AQ1033" i="17"/>
  <c r="AK1033" i="17"/>
  <c r="U1034" i="17" l="1"/>
  <c r="V1034" i="17" s="1"/>
  <c r="M1034" i="17"/>
  <c r="N1034" i="17" s="1"/>
  <c r="AJ1034" i="17" l="1"/>
  <c r="O1034" i="17" s="1"/>
  <c r="Q1034" i="17" l="1"/>
  <c r="P1034" i="17"/>
  <c r="R1034" i="17" l="1"/>
  <c r="S1034" i="17" s="1"/>
  <c r="AK1034" i="17" l="1"/>
  <c r="K1035" i="17"/>
  <c r="T1034" i="17"/>
  <c r="AQ1034" i="17"/>
  <c r="H1035" i="17"/>
  <c r="AI1034" i="17"/>
  <c r="M1035" i="17" l="1"/>
  <c r="N1035" i="17" s="1"/>
  <c r="U1035" i="17"/>
  <c r="V1035" i="17" s="1"/>
  <c r="AJ1035" i="17" l="1"/>
  <c r="O1035" i="17" s="1"/>
  <c r="Q1035" i="17" l="1"/>
  <c r="P1035" i="17"/>
  <c r="R1035" i="17" l="1"/>
  <c r="S1035" i="17" s="1"/>
  <c r="H1036" i="17" l="1"/>
  <c r="K1036" i="17"/>
  <c r="M1036" i="17" s="1"/>
  <c r="N1036" i="17" s="1"/>
  <c r="T1035" i="17"/>
  <c r="AI1035" i="17"/>
  <c r="AQ1035" i="17"/>
  <c r="AK1035" i="17"/>
  <c r="U1036" i="17" l="1"/>
  <c r="V1036" i="17" s="1"/>
  <c r="AJ1036" i="17"/>
  <c r="O1036" i="17" l="1"/>
  <c r="Q1036" i="17"/>
  <c r="P1036" i="17"/>
  <c r="R1036" i="17" l="1"/>
  <c r="S1036" i="17" s="1"/>
  <c r="AK1036" i="17" l="1"/>
  <c r="AQ1036" i="17"/>
  <c r="AI1036" i="17"/>
  <c r="H1037" i="17"/>
  <c r="T1036" i="17"/>
  <c r="K1037" i="17"/>
  <c r="U1037" i="17" l="1"/>
  <c r="V1037" i="17" s="1"/>
  <c r="M1037" i="17"/>
  <c r="N1037" i="17" l="1"/>
  <c r="AJ1037" i="17" l="1"/>
  <c r="O1037" i="17" s="1"/>
  <c r="P1037" i="17" l="1"/>
  <c r="Q1037" i="17"/>
  <c r="R1037" i="17" l="1"/>
  <c r="S1037" i="17" s="1"/>
  <c r="T1037" i="17" l="1"/>
  <c r="K1038" i="17"/>
  <c r="AI1037" i="17"/>
  <c r="AQ1037" i="17"/>
  <c r="H1038" i="17"/>
  <c r="AK1037" i="17"/>
  <c r="M1038" i="17" l="1"/>
  <c r="N1038" i="17" s="1"/>
  <c r="U1038" i="17"/>
  <c r="V1038" i="17" s="1"/>
  <c r="AJ1038" i="17" l="1"/>
  <c r="O1038" i="17" s="1"/>
  <c r="Q1038" i="17" l="1"/>
  <c r="P1038" i="17"/>
  <c r="R1038" i="17" l="1"/>
  <c r="S1038" i="17" s="1"/>
  <c r="AK1038" i="17" l="1"/>
  <c r="T1038" i="17"/>
  <c r="K1039" i="17"/>
  <c r="H1039" i="17"/>
  <c r="AQ1038" i="17"/>
  <c r="AI1038" i="17"/>
  <c r="M1039" i="17" l="1"/>
  <c r="N1039" i="17" s="1"/>
  <c r="U1039" i="17"/>
  <c r="V1039" i="17" s="1"/>
  <c r="AJ1039" i="17" l="1"/>
  <c r="O1039" i="17" s="1"/>
  <c r="P1039" i="17" l="1"/>
  <c r="Q1039" i="17"/>
  <c r="R1039" i="17" l="1"/>
  <c r="S1039" i="17" s="1"/>
  <c r="AQ1039" i="17" l="1"/>
  <c r="T1039" i="17"/>
  <c r="H1040" i="17"/>
  <c r="K1040" i="17"/>
  <c r="AK1039" i="17"/>
  <c r="AI1039" i="17"/>
  <c r="M1040" i="17" l="1"/>
  <c r="N1040" i="17" s="1"/>
  <c r="AJ1040" i="17" s="1"/>
  <c r="O1040" i="17" s="1"/>
  <c r="U1040" i="17"/>
  <c r="V1040" i="17" s="1"/>
  <c r="Q1040" i="17" l="1"/>
  <c r="P1040" i="17"/>
  <c r="R1040" i="17" l="1"/>
  <c r="S1040" i="17" s="1"/>
  <c r="AK1040" i="17" l="1"/>
  <c r="AI1040" i="17"/>
  <c r="T1040" i="17"/>
  <c r="H1041" i="17"/>
  <c r="K1041" i="17"/>
  <c r="AQ1040" i="17"/>
  <c r="M1041" i="17" l="1"/>
  <c r="N1041" i="17" s="1"/>
  <c r="U1041" i="17"/>
  <c r="V1041" i="17" s="1"/>
  <c r="AJ1041" i="17" l="1"/>
  <c r="O1041" i="17" s="1"/>
  <c r="P1041" i="17" l="1"/>
  <c r="Q1041" i="17"/>
  <c r="R1041" i="17" l="1"/>
  <c r="S1041" i="17" s="1"/>
  <c r="T1041" i="17" l="1"/>
  <c r="K1042" i="17"/>
  <c r="U1042" i="17" s="1"/>
  <c r="V1042" i="17" s="1"/>
  <c r="AQ1041" i="17"/>
  <c r="H1042" i="17"/>
  <c r="AK1041" i="17"/>
  <c r="AI1041" i="17"/>
  <c r="M1042" i="17" l="1"/>
  <c r="N1042" i="17" s="1"/>
  <c r="AJ1042" i="17" l="1"/>
  <c r="Q1042" i="17" s="1"/>
  <c r="P1042" i="17" l="1"/>
  <c r="O1042" i="17"/>
  <c r="R1042" i="17" l="1"/>
  <c r="S1042" i="17" s="1"/>
  <c r="H1043" i="17" l="1"/>
  <c r="T1042" i="17"/>
  <c r="AK1042" i="17"/>
  <c r="AI1042" i="17"/>
  <c r="K1043" i="17"/>
  <c r="U1043" i="17" s="1"/>
  <c r="V1043" i="17" s="1"/>
  <c r="AQ1042" i="17"/>
  <c r="M1043" i="17" l="1"/>
  <c r="N1043" i="17" s="1"/>
  <c r="AJ1043" i="17" s="1"/>
  <c r="O1043" i="17" s="1"/>
  <c r="P1043" i="17" l="1"/>
  <c r="Q1043" i="17"/>
  <c r="R1043" i="17" l="1"/>
  <c r="S1043" i="17" s="1"/>
  <c r="AI1043" i="17"/>
  <c r="K1044" i="17" l="1"/>
  <c r="AK1043" i="17"/>
  <c r="H1044" i="17"/>
  <c r="AQ1043" i="17"/>
  <c r="T1043" i="17"/>
  <c r="U1044" i="17"/>
  <c r="V1044" i="17" s="1"/>
  <c r="M1044" i="17"/>
  <c r="N1044" i="17" s="1"/>
  <c r="AJ1044" i="17" l="1"/>
  <c r="O1044" i="17" s="1"/>
  <c r="P1044" i="17" l="1"/>
  <c r="Q1044" i="17"/>
  <c r="R1044" i="17" l="1"/>
  <c r="S1044" i="17" s="1"/>
  <c r="K1045" i="17" l="1"/>
  <c r="AQ1044" i="17"/>
  <c r="AK1044" i="17"/>
  <c r="H1045" i="17"/>
  <c r="AI1044" i="17"/>
  <c r="T1044" i="17"/>
  <c r="U1045" i="17" l="1"/>
  <c r="V1045" i="17" s="1"/>
  <c r="M1045" i="17"/>
  <c r="N1045" i="17" l="1"/>
  <c r="AJ1045" i="17" l="1"/>
  <c r="O1045" i="17" s="1"/>
  <c r="P1045" i="17" l="1"/>
  <c r="Q1045" i="17"/>
  <c r="R1045" i="17" l="1"/>
  <c r="S1045" i="17" s="1"/>
  <c r="T1045" i="17" l="1"/>
  <c r="K1046" i="17"/>
  <c r="M1046" i="17" s="1"/>
  <c r="N1046" i="17" s="1"/>
  <c r="H1046" i="17"/>
  <c r="AQ1045" i="17"/>
  <c r="AI1045" i="17"/>
  <c r="AK1045" i="17"/>
  <c r="U1046" i="17" l="1"/>
  <c r="V1046" i="17" s="1"/>
  <c r="AJ1046" i="17"/>
  <c r="O1046" i="17" l="1"/>
  <c r="P1046" i="17"/>
  <c r="Q1046" i="17"/>
  <c r="R1046" i="17" l="1"/>
  <c r="S1046" i="17" s="1"/>
  <c r="AQ1046" i="17" l="1"/>
  <c r="AK1046" i="17"/>
  <c r="T1046" i="17"/>
  <c r="K1047" i="17"/>
  <c r="H1047" i="17"/>
  <c r="AI1046" i="17"/>
  <c r="M1047" i="17" l="1"/>
  <c r="U1047" i="17"/>
  <c r="V1047" i="17" s="1"/>
  <c r="N1047" i="17" l="1"/>
  <c r="AJ1047" i="17" l="1"/>
  <c r="O1047" i="17" s="1"/>
  <c r="Q1047" i="17" l="1"/>
  <c r="P1047" i="17"/>
  <c r="R1047" i="17" l="1"/>
  <c r="S1047" i="17" s="1"/>
  <c r="H1048" i="17"/>
  <c r="K1048" i="17" l="1"/>
  <c r="M1048" i="17" s="1"/>
  <c r="N1048" i="17" s="1"/>
  <c r="T1047" i="17"/>
  <c r="AQ1047" i="17"/>
  <c r="AI1047" i="17"/>
  <c r="AK1047" i="17"/>
  <c r="U1048" i="17" l="1"/>
  <c r="V1048" i="17" s="1"/>
  <c r="AJ1048" i="17"/>
  <c r="O1048" i="17" s="1"/>
  <c r="Q1048" i="17" l="1"/>
  <c r="P1048" i="17"/>
  <c r="R1048" i="17" l="1"/>
  <c r="S1048" i="17" s="1"/>
  <c r="AI1048" i="17" l="1"/>
  <c r="AQ1048" i="17"/>
  <c r="H1049" i="17"/>
  <c r="AK1048" i="17"/>
  <c r="T1048" i="17"/>
  <c r="K1049" i="17"/>
  <c r="U1049" i="17" l="1"/>
  <c r="V1049" i="17" s="1"/>
  <c r="M1049" i="17"/>
  <c r="N1049" i="17" s="1"/>
  <c r="AJ1049" i="17" s="1"/>
  <c r="O1049" i="17" s="1"/>
  <c r="P1049" i="17" l="1"/>
  <c r="Q1049" i="17"/>
  <c r="R1049" i="17" l="1"/>
  <c r="S1049" i="17" s="1"/>
  <c r="K1050" i="17" l="1"/>
  <c r="U1050" i="17" s="1"/>
  <c r="V1050" i="17" s="1"/>
  <c r="AK1049" i="17"/>
  <c r="T1049" i="17"/>
  <c r="AI1049" i="17"/>
  <c r="H1050" i="17"/>
  <c r="AQ1049" i="17"/>
  <c r="M1050" i="17" l="1"/>
  <c r="N1050" i="17" s="1"/>
  <c r="AJ1050" i="17" l="1"/>
  <c r="Q1050" i="17" s="1"/>
  <c r="O1050" i="17" l="1"/>
  <c r="P1050" i="17"/>
  <c r="R1050" i="17" l="1"/>
  <c r="AI1050" i="17" s="1"/>
  <c r="S1050" i="17" l="1"/>
  <c r="T1050" i="17"/>
  <c r="AQ1050" i="17"/>
  <c r="AK1050" i="17"/>
  <c r="H1051" i="17"/>
  <c r="K1051" i="17"/>
  <c r="M1051" i="17" s="1"/>
  <c r="U1051" i="17" l="1"/>
  <c r="V1051" i="17" s="1"/>
  <c r="N1051" i="17"/>
  <c r="AJ1051" i="17" s="1"/>
  <c r="O1051" i="17" s="1"/>
  <c r="Q1051" i="17" l="1"/>
  <c r="P1051" i="17"/>
  <c r="R1051" i="17" l="1"/>
  <c r="AK1051" i="17" s="1"/>
  <c r="AQ1051" i="17" l="1"/>
  <c r="S1051" i="17"/>
  <c r="K1052" i="17"/>
  <c r="G30" i="17" s="1"/>
  <c r="Q31" i="13" s="1"/>
  <c r="AI1051" i="17"/>
  <c r="T1051" i="17"/>
  <c r="H1052" i="17"/>
  <c r="U1052" i="17" l="1"/>
  <c r="V1052" i="17" s="1"/>
  <c r="M1052" i="17"/>
  <c r="N1052" i="17" s="1"/>
  <c r="AJ1052" i="17" s="1"/>
  <c r="M32" i="13"/>
  <c r="Q1052" i="17" l="1"/>
  <c r="O1052" i="17"/>
  <c r="P1052" i="17"/>
  <c r="R1052" i="17" l="1"/>
  <c r="S1052" i="17" l="1"/>
  <c r="AQ1052" i="17"/>
  <c r="T1052" i="17"/>
  <c r="AK1052" i="17"/>
  <c r="H1053" i="17"/>
  <c r="K1053" i="17"/>
  <c r="AI1052" i="17"/>
  <c r="M1053" i="17" l="1"/>
  <c r="U1053" i="17"/>
  <c r="V1053" i="17" s="1"/>
  <c r="N1053" i="17" l="1"/>
  <c r="AJ1053" i="17" l="1"/>
  <c r="P1053" i="17" s="1"/>
  <c r="O1053" i="17" l="1"/>
  <c r="Q1053" i="17"/>
  <c r="R1053" i="17" l="1"/>
  <c r="S1053" i="17" l="1"/>
  <c r="AK1053" i="17"/>
  <c r="AQ1053" i="17"/>
  <c r="K1054" i="17"/>
  <c r="T1053" i="17"/>
  <c r="AI1053" i="17"/>
  <c r="H1054" i="17"/>
  <c r="M1054" i="17" l="1"/>
  <c r="N1054" i="17" s="1"/>
  <c r="U1054" i="17"/>
  <c r="V1054" i="17" s="1"/>
  <c r="AJ1054" i="17" l="1"/>
  <c r="O1054" i="17" s="1"/>
  <c r="Q1054" i="17" l="1"/>
  <c r="P1054" i="17"/>
  <c r="R1054" i="17" l="1"/>
  <c r="T1054" i="17" s="1"/>
  <c r="K1055" i="17" l="1"/>
  <c r="M1055" i="17" s="1"/>
  <c r="N1055" i="17" s="1"/>
  <c r="AJ1055" i="17" s="1"/>
  <c r="O1055" i="17" s="1"/>
  <c r="AQ1054" i="17"/>
  <c r="AK1054" i="17"/>
  <c r="S1054" i="17"/>
  <c r="H1055" i="17"/>
  <c r="AI1054" i="17"/>
  <c r="U1055" i="17" l="1"/>
  <c r="V1055" i="17" s="1"/>
  <c r="Q1055" i="17"/>
  <c r="P1055" i="17"/>
  <c r="R1055" i="17" l="1"/>
  <c r="AQ1055" i="17" s="1"/>
  <c r="AK1055" i="17" l="1"/>
  <c r="H1056" i="17"/>
  <c r="K1056" i="17"/>
  <c r="M1056" i="17" s="1"/>
  <c r="N1056" i="17" s="1"/>
  <c r="AJ1056" i="17" s="1"/>
  <c r="T1055" i="17"/>
  <c r="AI1055" i="17"/>
  <c r="S1055" i="17"/>
  <c r="U1056" i="17" l="1"/>
  <c r="V1056" i="17" s="1"/>
  <c r="O1056" i="17"/>
  <c r="P1056" i="17"/>
  <c r="Q1056" i="17"/>
  <c r="R1056" i="17" l="1"/>
  <c r="AK1056" i="17" s="1"/>
  <c r="AQ1056" i="17" l="1"/>
  <c r="T1056" i="17"/>
  <c r="K1057" i="17"/>
  <c r="M1057" i="17" s="1"/>
  <c r="S1056" i="17"/>
  <c r="AI1056" i="17"/>
  <c r="H1057" i="17"/>
  <c r="U1057" i="17" l="1"/>
  <c r="V1057" i="17" s="1"/>
  <c r="N1057" i="17"/>
  <c r="AJ1057" i="17" s="1"/>
  <c r="O1057" i="17" s="1"/>
  <c r="Q1057" i="17" l="1"/>
  <c r="P1057" i="17"/>
  <c r="R1057" i="17" l="1"/>
  <c r="AQ1057" i="17" s="1"/>
  <c r="AI1057" i="17" l="1"/>
  <c r="S1057" i="17"/>
  <c r="H1058" i="17"/>
  <c r="K1058" i="17"/>
  <c r="U1058" i="17" s="1"/>
  <c r="V1058" i="17" s="1"/>
  <c r="AK1057" i="17"/>
  <c r="T1057" i="17"/>
  <c r="M1058" i="17" l="1"/>
  <c r="N1058" i="17" s="1"/>
  <c r="AJ1058" i="17" s="1"/>
  <c r="O1058" i="17" s="1"/>
  <c r="Q1058" i="17" l="1"/>
  <c r="P1058" i="17"/>
  <c r="R1058" i="17" l="1"/>
  <c r="AI1058" i="17" l="1"/>
  <c r="AK1058" i="17"/>
  <c r="T1058" i="17"/>
  <c r="H1059" i="17"/>
  <c r="K1059" i="17"/>
  <c r="S1058" i="17"/>
  <c r="AQ1058" i="17"/>
  <c r="M1059" i="17" l="1"/>
  <c r="N1059" i="17" s="1"/>
  <c r="AJ1059" i="17" s="1"/>
  <c r="Q1059" i="17" s="1"/>
  <c r="U1059" i="17"/>
  <c r="V1059" i="17" s="1"/>
  <c r="O1059" i="17" l="1"/>
  <c r="P1059" i="17"/>
  <c r="R1059" i="17" l="1"/>
  <c r="S1059" i="17" s="1"/>
  <c r="AQ1059" i="17" l="1"/>
  <c r="AI1059" i="17"/>
  <c r="K1060" i="17"/>
  <c r="U1060" i="17" s="1"/>
  <c r="V1060" i="17" s="1"/>
  <c r="AK1059" i="17"/>
  <c r="H1060" i="17"/>
  <c r="T1059" i="17"/>
  <c r="M1060" i="17" l="1"/>
  <c r="N1060" i="17" s="1"/>
  <c r="AJ1060" i="17" l="1"/>
  <c r="O1060" i="17" s="1"/>
  <c r="P1060" i="17" l="1"/>
  <c r="Q1060" i="17"/>
  <c r="R1060" i="17" l="1"/>
  <c r="AK1060" i="17" s="1"/>
  <c r="S1060" i="17" l="1"/>
  <c r="AQ1060" i="17"/>
  <c r="T1060" i="17"/>
  <c r="H1061" i="17"/>
  <c r="K1061" i="17"/>
  <c r="U1061" i="17" s="1"/>
  <c r="V1061" i="17" s="1"/>
  <c r="AI1060" i="17"/>
  <c r="M1061" i="17" l="1"/>
  <c r="N1061" i="17" s="1"/>
  <c r="AJ1061" i="17" l="1"/>
  <c r="O1061" i="17" s="1"/>
  <c r="Q1061" i="17" l="1"/>
  <c r="P1061" i="17"/>
  <c r="R1061" i="17" l="1"/>
  <c r="AI1061" i="17" s="1"/>
  <c r="T1061" i="17" l="1"/>
  <c r="AQ1061" i="17"/>
  <c r="AK1061" i="17"/>
  <c r="S1061" i="17"/>
  <c r="K1062" i="17"/>
  <c r="M1062" i="17" s="1"/>
  <c r="N1062" i="17" s="1"/>
  <c r="AJ1062" i="17" s="1"/>
  <c r="O1062" i="17" s="1"/>
  <c r="H1062" i="17"/>
  <c r="U1062" i="17" l="1"/>
  <c r="V1062" i="17" s="1"/>
  <c r="Q1062" i="17"/>
  <c r="P1062" i="17"/>
  <c r="R1062" i="17" l="1"/>
  <c r="S1062" i="17" s="1"/>
  <c r="AK1062" i="17" l="1"/>
  <c r="AQ1062" i="17"/>
  <c r="H1063" i="17"/>
  <c r="T1062" i="17"/>
  <c r="K1063" i="17"/>
  <c r="U1063" i="17" s="1"/>
  <c r="V1063" i="17" s="1"/>
  <c r="AI1062" i="17"/>
  <c r="M1063" i="17" l="1"/>
  <c r="N1063" i="17" s="1"/>
  <c r="AJ1063" i="17" s="1"/>
  <c r="O1063" i="17" s="1"/>
  <c r="Q1063" i="17" l="1"/>
  <c r="P1063" i="17"/>
  <c r="R1063" i="17" l="1"/>
  <c r="AK1063" i="17" s="1"/>
  <c r="K1064" i="17" l="1"/>
  <c r="M1064" i="17" s="1"/>
  <c r="H1064" i="17"/>
  <c r="T1063" i="17"/>
  <c r="S1063" i="17"/>
  <c r="AQ1063" i="17"/>
  <c r="AI1063" i="17"/>
  <c r="N1064" i="17" l="1"/>
  <c r="AJ1064" i="17" s="1"/>
  <c r="O1064" i="17" s="1"/>
  <c r="U1064" i="17"/>
  <c r="V1064" i="17" s="1"/>
  <c r="P1064" i="17" l="1"/>
  <c r="Q1064" i="17"/>
  <c r="R1064" i="17" l="1"/>
  <c r="S1064" i="17" s="1"/>
  <c r="T1064" i="17" l="1"/>
  <c r="K1065" i="17"/>
  <c r="U1065" i="17" s="1"/>
  <c r="V1065" i="17" s="1"/>
  <c r="AQ1064" i="17"/>
  <c r="AI1064" i="17"/>
  <c r="AK1064" i="17"/>
  <c r="H1065" i="17"/>
  <c r="M1065" i="17" l="1"/>
  <c r="N1065" i="17" s="1"/>
  <c r="AJ1065" i="17" s="1"/>
  <c r="O1065" i="17" s="1"/>
  <c r="Q1065" i="17" l="1"/>
  <c r="P1065" i="17"/>
  <c r="R1065" i="17" s="1"/>
  <c r="AQ1065" i="17" s="1"/>
  <c r="S1065" i="17" l="1"/>
  <c r="K1066" i="17"/>
  <c r="U1066" i="17" s="1"/>
  <c r="V1066" i="17" s="1"/>
  <c r="T1065" i="17"/>
  <c r="H1066" i="17"/>
  <c r="AI1065" i="17"/>
  <c r="AK1065" i="17"/>
  <c r="M1066" i="17" l="1"/>
  <c r="N1066" i="17" s="1"/>
  <c r="AJ1066" i="17" s="1"/>
  <c r="O1066" i="17" s="1"/>
  <c r="Q1066" i="17" l="1"/>
  <c r="P1066" i="17"/>
  <c r="R1066" i="17" l="1"/>
  <c r="S1066" i="17" s="1"/>
  <c r="K1067" i="17" l="1"/>
  <c r="M1067" i="17" s="1"/>
  <c r="AK1066" i="17"/>
  <c r="AQ1066" i="17"/>
  <c r="H1067" i="17"/>
  <c r="AI1066" i="17"/>
  <c r="T1066" i="17"/>
  <c r="U1067" i="17" l="1"/>
  <c r="V1067" i="17" s="1"/>
  <c r="N1067" i="17"/>
  <c r="AJ1067" i="17" s="1"/>
  <c r="P1067" i="17" l="1"/>
  <c r="O1067" i="17"/>
  <c r="Q1067" i="17"/>
  <c r="R1067" i="17" l="1"/>
  <c r="T1067" i="17" s="1"/>
  <c r="AQ1067" i="17" l="1"/>
  <c r="AK1067" i="17"/>
  <c r="K1068" i="17"/>
  <c r="U1068" i="17" s="1"/>
  <c r="V1068" i="17" s="1"/>
  <c r="AI1067" i="17"/>
  <c r="S1067" i="17"/>
  <c r="H1068" i="17"/>
  <c r="M1068" i="17" l="1"/>
  <c r="N1068" i="17" s="1"/>
  <c r="AJ1068" i="17" s="1"/>
  <c r="O1068" i="17" s="1"/>
  <c r="Q1068" i="17" l="1"/>
  <c r="P1068" i="17"/>
  <c r="R1068" i="17" l="1"/>
  <c r="S1068" i="17" s="1"/>
  <c r="K1069" i="17" l="1"/>
  <c r="U1069" i="17" s="1"/>
  <c r="V1069" i="17" s="1"/>
  <c r="H1069" i="17"/>
  <c r="AI1068" i="17"/>
  <c r="AQ1068" i="17"/>
  <c r="T1068" i="17"/>
  <c r="AK1068" i="17"/>
  <c r="M1069" i="17" l="1"/>
  <c r="N1069" i="17" s="1"/>
  <c r="AJ1069" i="17" s="1"/>
  <c r="O1069" i="17" s="1"/>
  <c r="Q1069" i="17" l="1"/>
  <c r="P1069" i="17"/>
  <c r="R1069" i="17" l="1"/>
  <c r="AI1069" i="17" s="1"/>
  <c r="H1070" i="17" l="1"/>
  <c r="K1070" i="17"/>
  <c r="M1070" i="17" s="1"/>
  <c r="N1070" i="17" s="1"/>
  <c r="AJ1070" i="17" s="1"/>
  <c r="O1070" i="17" s="1"/>
  <c r="S1069" i="17"/>
  <c r="AQ1069" i="17"/>
  <c r="T1069" i="17"/>
  <c r="AK1069" i="17"/>
  <c r="Q1070" i="17" l="1"/>
  <c r="P1070" i="17"/>
  <c r="U1070" i="17"/>
  <c r="V1070" i="17" s="1"/>
  <c r="R1070" i="17" l="1"/>
  <c r="S1070" i="17" s="1"/>
  <c r="K1071" i="17" l="1"/>
  <c r="U1071" i="17" s="1"/>
  <c r="V1071" i="17" s="1"/>
  <c r="AI1070" i="17"/>
  <c r="T1070" i="17"/>
  <c r="AQ1070" i="17"/>
  <c r="AK1070" i="17"/>
  <c r="H1071" i="17"/>
  <c r="M1071" i="17" l="1"/>
  <c r="N1071" i="17" s="1"/>
  <c r="AJ1071" i="17" s="1"/>
  <c r="O1071" i="17" s="1"/>
  <c r="P1071" i="17" l="1"/>
  <c r="Q1071" i="17"/>
  <c r="R1071" i="17" l="1"/>
  <c r="S1071" i="17" s="1"/>
  <c r="K1072" i="17"/>
  <c r="T1071" i="17" l="1"/>
  <c r="H1072" i="17"/>
  <c r="AI1071" i="17"/>
  <c r="AQ1071" i="17"/>
  <c r="AK1071" i="17"/>
  <c r="U1072" i="17"/>
  <c r="V1072" i="17" s="1"/>
  <c r="M1072" i="17"/>
  <c r="N1072" i="17" s="1"/>
  <c r="AJ1072" i="17" l="1"/>
  <c r="O1072" i="17" s="1"/>
  <c r="P1072" i="17" l="1"/>
  <c r="Q1072" i="17"/>
  <c r="R1072" i="17" l="1"/>
  <c r="S1072" i="17" s="1"/>
  <c r="AQ1072" i="17" l="1"/>
  <c r="AK1072" i="17"/>
  <c r="AI1072" i="17"/>
  <c r="K1073" i="17"/>
  <c r="T1072" i="17"/>
  <c r="H1073" i="17"/>
  <c r="U1073" i="17" l="1"/>
  <c r="V1073" i="17" s="1"/>
  <c r="M1073" i="17"/>
  <c r="N1073" i="17" s="1"/>
  <c r="AJ1073" i="17" s="1"/>
  <c r="O1073" i="17" s="1"/>
  <c r="Q1073" i="17" l="1"/>
  <c r="P1073" i="17"/>
  <c r="R1073" i="17" l="1"/>
  <c r="S1073" i="17" s="1"/>
  <c r="AI1073" i="17" l="1"/>
  <c r="T1073" i="17"/>
  <c r="AQ1073" i="17"/>
  <c r="AK1073" i="17"/>
  <c r="K1074" i="17"/>
  <c r="H1074" i="17"/>
  <c r="M1074" i="17" l="1"/>
  <c r="N1074" i="17" s="1"/>
  <c r="AJ1074" i="17" s="1"/>
  <c r="O1074" i="17" s="1"/>
  <c r="U1074" i="17"/>
  <c r="V1074" i="17" s="1"/>
  <c r="P1074" i="17" l="1"/>
  <c r="Q1074" i="17"/>
  <c r="R1074" i="17" l="1"/>
  <c r="S1074" i="17" s="1"/>
  <c r="AK1074" i="17" l="1"/>
  <c r="T1074" i="17"/>
  <c r="H1075" i="17"/>
  <c r="AQ1074" i="17"/>
  <c r="K1075" i="17"/>
  <c r="AI1074" i="17"/>
  <c r="U1075" i="17" l="1"/>
  <c r="V1075" i="17" s="1"/>
  <c r="M1075" i="17"/>
  <c r="N1075" i="17" s="1"/>
  <c r="AJ1075" i="17" s="1"/>
  <c r="O1075" i="17" s="1"/>
  <c r="Q1075" i="17" l="1"/>
  <c r="P1075" i="17"/>
  <c r="R1075" i="17" l="1"/>
  <c r="S1075" i="17" s="1"/>
  <c r="AQ1075" i="17" l="1"/>
  <c r="AI1075" i="17"/>
  <c r="AK1075" i="17"/>
  <c r="H1076" i="17"/>
  <c r="K1076" i="17"/>
  <c r="T1075" i="17"/>
  <c r="U1076" i="17" l="1"/>
  <c r="V1076" i="17" s="1"/>
  <c r="M1076" i="17"/>
  <c r="N1076" i="17" s="1"/>
  <c r="AJ1076" i="17" s="1"/>
  <c r="O1076" i="17" s="1"/>
  <c r="P1076" i="17" l="1"/>
  <c r="Q1076" i="17"/>
  <c r="R1076" i="17" l="1"/>
  <c r="S1076" i="17" s="1"/>
  <c r="T1076" i="17" l="1"/>
  <c r="AQ1076" i="17"/>
  <c r="H1077" i="17"/>
  <c r="AI1076" i="17"/>
  <c r="AK1076" i="17"/>
  <c r="K1077" i="17"/>
  <c r="M1077" i="17" l="1"/>
  <c r="N1077" i="17" s="1"/>
  <c r="AJ1077" i="17" s="1"/>
  <c r="Q1077" i="17" s="1"/>
  <c r="U1077" i="17"/>
  <c r="V1077" i="17" s="1"/>
  <c r="O1077" i="17" l="1"/>
  <c r="P1077" i="17"/>
  <c r="R1077" i="17" l="1"/>
  <c r="S1077" i="17" s="1"/>
  <c r="AQ1077" i="17" l="1"/>
  <c r="AK1077" i="17"/>
  <c r="T1077" i="17"/>
  <c r="K1078" i="17"/>
  <c r="AI1077" i="17"/>
  <c r="H1078" i="17"/>
  <c r="U1078" i="17" l="1"/>
  <c r="V1078" i="17" s="1"/>
  <c r="M1078" i="17"/>
  <c r="N1078" i="17" l="1"/>
  <c r="AJ1078" i="17" l="1"/>
  <c r="O1078" i="17" s="1"/>
  <c r="P1078" i="17" l="1"/>
  <c r="Q1078" i="17"/>
  <c r="R1078" i="17" l="1"/>
  <c r="S1078" i="17" s="1"/>
  <c r="AK1078" i="17" l="1"/>
  <c r="K1079" i="17"/>
  <c r="T1078" i="17"/>
  <c r="AI1078" i="17"/>
  <c r="H1079" i="17"/>
  <c r="AQ1078" i="17"/>
  <c r="U1079" i="17" l="1"/>
  <c r="V1079" i="17" s="1"/>
  <c r="M1079" i="17"/>
  <c r="N1079" i="17" s="1"/>
  <c r="AJ1079" i="17" l="1"/>
  <c r="Q1079" i="17" s="1"/>
  <c r="O1079" i="17" l="1"/>
  <c r="P1079" i="17"/>
  <c r="R1079" i="17" l="1"/>
  <c r="S1079" i="17" s="1"/>
  <c r="AQ1079" i="17" l="1"/>
  <c r="AK1079" i="17"/>
  <c r="AI1079" i="17"/>
  <c r="T1079" i="17"/>
  <c r="H1080" i="17"/>
  <c r="K1080" i="17"/>
  <c r="U1080" i="17" l="1"/>
  <c r="V1080" i="17" s="1"/>
  <c r="M1080" i="17"/>
  <c r="N1080" i="17" l="1"/>
  <c r="AJ1080" i="17" l="1"/>
  <c r="O1080" i="17" s="1"/>
  <c r="Q1080" i="17" l="1"/>
  <c r="P1080" i="17"/>
  <c r="R1080" i="17" l="1"/>
  <c r="S1080" i="17" s="1"/>
  <c r="AK1080" i="17" l="1"/>
  <c r="H1081" i="17"/>
  <c r="AQ1080" i="17"/>
  <c r="K1081" i="17"/>
  <c r="M1081" i="17" s="1"/>
  <c r="N1081" i="17" s="1"/>
  <c r="AI1080" i="17"/>
  <c r="T1080" i="17"/>
  <c r="U1081" i="17" l="1"/>
  <c r="V1081" i="17" s="1"/>
  <c r="AJ1081" i="17"/>
  <c r="O1081" i="17" s="1"/>
  <c r="Q1081" i="17" l="1"/>
  <c r="P1081" i="17"/>
  <c r="R1081" i="17" l="1"/>
  <c r="S1081" i="17" s="1"/>
  <c r="AQ1081" i="17" l="1"/>
  <c r="T1081" i="17"/>
  <c r="K1082" i="17"/>
  <c r="AK1081" i="17"/>
  <c r="AI1081" i="17"/>
  <c r="H1082" i="17"/>
  <c r="M1082" i="17" l="1"/>
  <c r="N1082" i="17" s="1"/>
  <c r="AJ1082" i="17" s="1"/>
  <c r="O1082" i="17" s="1"/>
  <c r="U1082" i="17"/>
  <c r="V1082" i="17" s="1"/>
  <c r="Q1082" i="17" l="1"/>
  <c r="P1082" i="17"/>
  <c r="R1082" i="17" l="1"/>
  <c r="S1082" i="17" s="1"/>
  <c r="AK1082" i="17" l="1"/>
  <c r="T1082" i="17"/>
  <c r="AQ1082" i="17"/>
  <c r="H1083" i="17"/>
  <c r="AI1082" i="17"/>
  <c r="K1083" i="17"/>
  <c r="M1083" i="17" l="1"/>
  <c r="N1083" i="17" s="1"/>
  <c r="U1083" i="17"/>
  <c r="V1083" i="17" s="1"/>
  <c r="AJ1083" i="17" l="1"/>
  <c r="O1083" i="17" s="1"/>
  <c r="Q1083" i="17" l="1"/>
  <c r="P1083" i="17"/>
  <c r="R1083" i="17" l="1"/>
  <c r="S1083" i="17" s="1"/>
  <c r="AQ1083" i="17" l="1"/>
  <c r="T1083" i="17"/>
  <c r="AI1083" i="17"/>
  <c r="H1084" i="17"/>
  <c r="K1084" i="17"/>
  <c r="AK1083" i="17"/>
  <c r="M1084" i="17" l="1"/>
  <c r="N1084" i="17" s="1"/>
  <c r="AJ1084" i="17" s="1"/>
  <c r="O1084" i="17" s="1"/>
  <c r="U1084" i="17"/>
  <c r="V1084" i="17" s="1"/>
  <c r="P1084" i="17" l="1"/>
  <c r="Q1084" i="17"/>
  <c r="R1084" i="17" l="1"/>
  <c r="S1084" i="17" s="1"/>
  <c r="AQ1084" i="17" l="1"/>
  <c r="AK1084" i="17"/>
  <c r="AI1084" i="17"/>
  <c r="K1085" i="17"/>
  <c r="H1085" i="17"/>
  <c r="T1084" i="17"/>
  <c r="U1085" i="17" l="1"/>
  <c r="V1085" i="17" s="1"/>
  <c r="M1085" i="17"/>
  <c r="N1085" i="17" s="1"/>
  <c r="AJ1085" i="17" l="1"/>
  <c r="O1085" i="17" s="1"/>
  <c r="P1085" i="17" l="1"/>
  <c r="Q1085" i="17"/>
  <c r="R1085" i="17" l="1"/>
  <c r="S1085" i="17" s="1"/>
  <c r="AK1085" i="17" l="1"/>
  <c r="T1085" i="17"/>
  <c r="AQ1085" i="17"/>
  <c r="K1086" i="17"/>
  <c r="AI1085" i="17"/>
  <c r="H1086" i="17"/>
  <c r="M1086" i="17" l="1"/>
  <c r="N1086" i="17" s="1"/>
  <c r="AJ1086" i="17" s="1"/>
  <c r="O1086" i="17" s="1"/>
  <c r="U1086" i="17"/>
  <c r="V1086" i="17" s="1"/>
  <c r="P1086" i="17" l="1"/>
  <c r="Q1086" i="17"/>
  <c r="R1086" i="17" l="1"/>
  <c r="S1086" i="17" s="1"/>
  <c r="AK1086" i="17" l="1"/>
  <c r="K1087" i="17"/>
  <c r="H1087" i="17"/>
  <c r="AI1086" i="17"/>
  <c r="T1086" i="17"/>
  <c r="AQ1086" i="17"/>
  <c r="U1087" i="17" l="1"/>
  <c r="V1087" i="17" s="1"/>
  <c r="M1087" i="17"/>
  <c r="N1087" i="17" s="1"/>
  <c r="AJ1087" i="17" s="1"/>
  <c r="O1087" i="17" s="1"/>
  <c r="Q1087" i="17" l="1"/>
  <c r="P1087" i="17"/>
  <c r="R1087" i="17" l="1"/>
  <c r="S1087" i="17" s="1"/>
  <c r="AQ1087" i="17" l="1"/>
  <c r="K1088" i="17"/>
  <c r="AK1087" i="17"/>
  <c r="H1088" i="17"/>
  <c r="T1087" i="17"/>
  <c r="AI1087" i="17"/>
  <c r="U1088" i="17" l="1"/>
  <c r="V1088" i="17" s="1"/>
  <c r="M1088" i="17"/>
  <c r="N1088" i="17" s="1"/>
  <c r="AJ1088" i="17" s="1"/>
  <c r="O1088" i="17" s="1"/>
  <c r="Q1088" i="17" l="1"/>
  <c r="P1088" i="17"/>
  <c r="R1088" i="17" l="1"/>
  <c r="S1088" i="17" s="1"/>
  <c r="T1088" i="17" l="1"/>
  <c r="AQ1088" i="17"/>
  <c r="AI1088" i="17"/>
  <c r="K1089" i="17"/>
  <c r="AK1088" i="17"/>
  <c r="H1089" i="17"/>
  <c r="M1089" i="17" l="1"/>
  <c r="N1089" i="17" s="1"/>
  <c r="AJ1089" i="17" s="1"/>
  <c r="O1089" i="17" s="1"/>
  <c r="U1089" i="17"/>
  <c r="V1089" i="17" s="1"/>
  <c r="Q1089" i="17" l="1"/>
  <c r="P1089" i="17"/>
  <c r="R1089" i="17" l="1"/>
  <c r="S1089" i="17" s="1"/>
  <c r="AI1089" i="17" l="1"/>
  <c r="AQ1089" i="17"/>
  <c r="K1090" i="17"/>
  <c r="AK1089" i="17"/>
  <c r="T1089" i="17"/>
  <c r="H1090" i="17"/>
  <c r="M1090" i="17" l="1"/>
  <c r="N1090" i="17" s="1"/>
  <c r="AJ1090" i="17" s="1"/>
  <c r="O1090" i="17" s="1"/>
  <c r="U1090" i="17"/>
  <c r="V1090" i="17" s="1"/>
  <c r="P1090" i="17" l="1"/>
  <c r="Q1090" i="17"/>
  <c r="R1090" i="17" l="1"/>
  <c r="S1090" i="17" s="1"/>
  <c r="AI1090" i="17" l="1"/>
  <c r="K1091" i="17"/>
  <c r="U1091" i="17" s="1"/>
  <c r="V1091" i="17" s="1"/>
  <c r="T1090" i="17"/>
  <c r="AK1090" i="17"/>
  <c r="AQ1090" i="17"/>
  <c r="H1091" i="17"/>
  <c r="M1091" i="17" l="1"/>
  <c r="N1091" i="17" s="1"/>
  <c r="AJ1091" i="17" s="1"/>
  <c r="O1091" i="17" s="1"/>
  <c r="P1091" i="17" l="1"/>
  <c r="Q1091" i="17"/>
  <c r="R1091" i="17" l="1"/>
  <c r="S1091" i="17" s="1"/>
  <c r="H1092" i="17" l="1"/>
  <c r="AQ1091" i="17"/>
  <c r="AI1091" i="17"/>
  <c r="T1091" i="17"/>
  <c r="K1092" i="17"/>
  <c r="M1092" i="17" s="1"/>
  <c r="N1092" i="17" s="1"/>
  <c r="AK1091" i="17"/>
  <c r="U1092" i="17" l="1"/>
  <c r="V1092" i="17" s="1"/>
  <c r="AJ1092" i="17"/>
  <c r="O1092" i="17" s="1"/>
  <c r="Q1092" i="17" l="1"/>
  <c r="P1092" i="17"/>
  <c r="R1092" i="17" l="1"/>
  <c r="S1092" i="17" s="1"/>
  <c r="AQ1092" i="17" l="1"/>
  <c r="AI1092" i="17"/>
  <c r="AK1092" i="17"/>
  <c r="T1092" i="17"/>
  <c r="K1093" i="17"/>
  <c r="H1093" i="17"/>
  <c r="U1093" i="17" l="1"/>
  <c r="V1093" i="17" s="1"/>
  <c r="M1093" i="17"/>
  <c r="N1093" i="17" s="1"/>
  <c r="AJ1093" i="17" l="1"/>
  <c r="P1093" i="17" s="1"/>
  <c r="Q1093" i="17" l="1"/>
  <c r="O1093" i="17"/>
  <c r="R1093" i="17" l="1"/>
  <c r="S1093" i="17" s="1"/>
  <c r="K1094" i="17" l="1"/>
  <c r="M1094" i="17" s="1"/>
  <c r="N1094" i="17" s="1"/>
  <c r="AJ1094" i="17" s="1"/>
  <c r="O1094" i="17" s="1"/>
  <c r="AI1093" i="17"/>
  <c r="H1094" i="17"/>
  <c r="AK1093" i="17"/>
  <c r="T1093" i="17"/>
  <c r="AQ1093" i="17"/>
  <c r="U1094" i="17" l="1"/>
  <c r="V1094" i="17" s="1"/>
  <c r="P1094" i="17"/>
  <c r="Q1094" i="17"/>
  <c r="R1094" i="17" l="1"/>
  <c r="S1094" i="17" s="1"/>
  <c r="H1095" i="17" l="1"/>
  <c r="AI1094" i="17"/>
  <c r="K1095" i="17"/>
  <c r="M1095" i="17" s="1"/>
  <c r="N1095" i="17" s="1"/>
  <c r="AJ1095" i="17" s="1"/>
  <c r="O1095" i="17" s="1"/>
  <c r="T1094" i="17"/>
  <c r="AK1094" i="17"/>
  <c r="AQ1094" i="17"/>
  <c r="U1095" i="17" l="1"/>
  <c r="V1095" i="17" s="1"/>
  <c r="Q1095" i="17"/>
  <c r="P1095" i="17"/>
  <c r="R1095" i="17" l="1"/>
  <c r="S1095" i="17" s="1"/>
  <c r="AK1095" i="17" l="1"/>
  <c r="K1096" i="17"/>
  <c r="T1095" i="17"/>
  <c r="AQ1095" i="17"/>
  <c r="H1096" i="17"/>
  <c r="AI1095" i="17"/>
  <c r="U1096" i="17" l="1"/>
  <c r="V1096" i="17" s="1"/>
  <c r="M1096" i="17"/>
  <c r="N1096" i="17" s="1"/>
  <c r="AJ1096" i="17" l="1"/>
  <c r="O1096" i="17" s="1"/>
  <c r="P1096" i="17" l="1"/>
  <c r="Q1096" i="17"/>
  <c r="R1096" i="17" l="1"/>
  <c r="S1096" i="17" s="1"/>
  <c r="AK1096" i="17" l="1"/>
  <c r="T1096" i="17"/>
  <c r="K1097" i="17"/>
  <c r="AI1096" i="17"/>
  <c r="H1097" i="17"/>
  <c r="AQ1096" i="17"/>
  <c r="U1097" i="17" l="1"/>
  <c r="V1097" i="17" s="1"/>
  <c r="M1097" i="17"/>
  <c r="N1097" i="17" s="1"/>
  <c r="AJ1097" i="17" s="1"/>
  <c r="O1097" i="17" s="1"/>
  <c r="Q1097" i="17" l="1"/>
  <c r="P1097" i="17"/>
  <c r="R1097" i="17" l="1"/>
  <c r="S1097" i="17" s="1"/>
  <c r="AQ1097" i="17" l="1"/>
  <c r="H1098" i="17"/>
  <c r="K1098" i="17"/>
  <c r="AI1097" i="17"/>
  <c r="T1097" i="17"/>
  <c r="AK1097" i="17"/>
  <c r="U1098" i="17" l="1"/>
  <c r="V1098" i="17" s="1"/>
  <c r="M1098" i="17"/>
  <c r="N1098" i="17" s="1"/>
  <c r="AJ1098" i="17" l="1"/>
  <c r="O1098" i="17" s="1"/>
  <c r="P1098" i="17" l="1"/>
  <c r="Q1098" i="17"/>
  <c r="R1098" i="17" l="1"/>
  <c r="S1098" i="17" s="1"/>
  <c r="AQ1098" i="17" l="1"/>
  <c r="K1099" i="17"/>
  <c r="AI1098" i="17"/>
  <c r="H1099" i="17"/>
  <c r="T1098" i="17"/>
  <c r="AK1098" i="17"/>
  <c r="U1099" i="17" l="1"/>
  <c r="V1099" i="17" s="1"/>
  <c r="M1099" i="17"/>
  <c r="N1099" i="17" s="1"/>
  <c r="AJ1099" i="17" s="1"/>
  <c r="O1099" i="17" s="1"/>
  <c r="Q1099" i="17" l="1"/>
  <c r="P1099" i="17"/>
  <c r="R1099" i="17" l="1"/>
  <c r="S1099" i="17" s="1"/>
  <c r="T1099" i="17" l="1"/>
  <c r="H1100" i="17"/>
  <c r="AK1099" i="17"/>
  <c r="AI1099" i="17"/>
  <c r="AQ1099" i="17"/>
  <c r="K1100" i="17"/>
  <c r="U1100" i="17" l="1"/>
  <c r="V1100" i="17" s="1"/>
  <c r="M1100" i="17"/>
  <c r="N1100" i="17" s="1"/>
  <c r="AJ1100" i="17" s="1"/>
  <c r="O1100" i="17" s="1"/>
  <c r="P1100" i="17" l="1"/>
  <c r="Q1100" i="17"/>
  <c r="R1100" i="17" l="1"/>
  <c r="S1100" i="17" s="1"/>
  <c r="K1101" i="17" l="1"/>
  <c r="U1101" i="17" s="1"/>
  <c r="V1101" i="17" s="1"/>
  <c r="H1101" i="17"/>
  <c r="AK1100" i="17"/>
  <c r="AQ1100" i="17"/>
  <c r="AI1100" i="17"/>
  <c r="T1100" i="17"/>
  <c r="M1101" i="17" l="1"/>
  <c r="N1101" i="17" s="1"/>
  <c r="AJ1101" i="17" s="1"/>
  <c r="O1101" i="17" s="1"/>
  <c r="Q1101" i="17" l="1"/>
  <c r="P1101" i="17"/>
  <c r="R1101" i="17" l="1"/>
  <c r="S1101" i="17" s="1"/>
  <c r="K1102" i="17" l="1"/>
  <c r="AK1101" i="17"/>
  <c r="T1101" i="17"/>
  <c r="H1102" i="17"/>
  <c r="AI1101" i="17"/>
  <c r="AQ1101" i="17"/>
  <c r="M1102" i="17" l="1"/>
  <c r="N1102" i="17" s="1"/>
  <c r="AJ1102" i="17" s="1"/>
  <c r="U1102" i="17"/>
  <c r="V1102" i="17" s="1"/>
  <c r="O1102" i="17" l="1"/>
  <c r="Q1102" i="17"/>
  <c r="P1102" i="17"/>
  <c r="R1102" i="17" l="1"/>
  <c r="S1102" i="17" s="1"/>
  <c r="AI1102" i="17" l="1"/>
  <c r="K1103" i="17"/>
  <c r="AK1102" i="17"/>
  <c r="T1102" i="17"/>
  <c r="H1103" i="17"/>
  <c r="AQ1102" i="17"/>
  <c r="M1103" i="17" l="1"/>
  <c r="N1103" i="17" s="1"/>
  <c r="AJ1103" i="17" s="1"/>
  <c r="U1103" i="17"/>
  <c r="V1103" i="17" s="1"/>
  <c r="P1103" i="17" l="1"/>
  <c r="O1103" i="17"/>
  <c r="Q1103" i="17"/>
  <c r="R1103" i="17" l="1"/>
  <c r="S1103" i="17" s="1"/>
  <c r="AK1103" i="17" l="1"/>
  <c r="AI1103" i="17"/>
  <c r="K1104" i="17"/>
  <c r="AQ1103" i="17"/>
  <c r="H1104" i="17"/>
  <c r="T1103" i="17"/>
  <c r="U1104" i="17" l="1"/>
  <c r="V1104" i="17" s="1"/>
  <c r="M1104" i="17"/>
  <c r="N1104" i="17" s="1"/>
  <c r="AJ1104" i="17" l="1"/>
  <c r="O1104" i="17" s="1"/>
  <c r="P1104" i="17" l="1"/>
  <c r="Q1104" i="17"/>
  <c r="R1104" i="17" l="1"/>
  <c r="S1104" i="17" s="1"/>
  <c r="AK1104" i="17" l="1"/>
  <c r="K1105" i="17"/>
  <c r="H1105" i="17"/>
  <c r="AQ1104" i="17"/>
  <c r="T1104" i="17"/>
  <c r="AI1104" i="17"/>
  <c r="M1105" i="17" l="1"/>
  <c r="N1105" i="17" s="1"/>
  <c r="AJ1105" i="17" s="1"/>
  <c r="O1105" i="17" s="1"/>
  <c r="U1105" i="17"/>
  <c r="V1105" i="17" s="1"/>
  <c r="Q1105" i="17" l="1"/>
  <c r="P1105" i="17"/>
  <c r="R1105" i="17" l="1"/>
  <c r="S1105" i="17" s="1"/>
  <c r="AK1105" i="17" l="1"/>
  <c r="T1105" i="17"/>
  <c r="AI1105" i="17"/>
  <c r="H1106" i="17"/>
  <c r="K1106" i="17"/>
  <c r="AQ1105" i="17"/>
  <c r="M1106" i="17" l="1"/>
  <c r="N1106" i="17" s="1"/>
  <c r="AJ1106" i="17" s="1"/>
  <c r="O1106" i="17" s="1"/>
  <c r="U1106" i="17"/>
  <c r="V1106" i="17" s="1"/>
  <c r="Q1106" i="17" l="1"/>
  <c r="P1106" i="17"/>
  <c r="R1106" i="17" l="1"/>
  <c r="S1106" i="17" s="1"/>
  <c r="AI1106" i="17" l="1"/>
  <c r="H1107" i="17"/>
  <c r="K1107" i="17"/>
  <c r="AQ1106" i="17"/>
  <c r="AK1106" i="17"/>
  <c r="T1106" i="17"/>
  <c r="U1107" i="17" l="1"/>
  <c r="V1107" i="17" s="1"/>
  <c r="M1107" i="17"/>
  <c r="N1107" i="17" s="1"/>
  <c r="AJ1107" i="17" l="1"/>
  <c r="O1107" i="17" s="1"/>
  <c r="P1107" i="17" l="1"/>
  <c r="Q1107" i="17"/>
  <c r="R1107" i="17" l="1"/>
  <c r="S1107" i="17" s="1"/>
  <c r="AI1107" i="17" l="1"/>
  <c r="K1108" i="17"/>
  <c r="M1108" i="17" s="1"/>
  <c r="N1108" i="17" s="1"/>
  <c r="AQ1107" i="17"/>
  <c r="AK1107" i="17"/>
  <c r="H1108" i="17"/>
  <c r="T1107" i="17"/>
  <c r="U1108" i="17" l="1"/>
  <c r="V1108" i="17" s="1"/>
  <c r="AJ1108" i="17"/>
  <c r="O1108" i="17" s="1"/>
  <c r="P1108" i="17" l="1"/>
  <c r="Q1108" i="17"/>
  <c r="R1108" i="17" l="1"/>
  <c r="S1108" i="17" s="1"/>
  <c r="AQ1108" i="17" l="1"/>
  <c r="H1109" i="17"/>
  <c r="K1109" i="17"/>
  <c r="AK1108" i="17"/>
  <c r="T1108" i="17"/>
  <c r="AI1108" i="17"/>
  <c r="U1109" i="17" l="1"/>
  <c r="V1109" i="17" s="1"/>
  <c r="M1109" i="17"/>
  <c r="N1109" i="17" s="1"/>
  <c r="AJ1109" i="17" s="1"/>
  <c r="O1109" i="17" s="1"/>
  <c r="Q1109" i="17" l="1"/>
  <c r="P1109" i="17"/>
  <c r="R1109" i="17" l="1"/>
  <c r="S1109" i="17" s="1"/>
  <c r="AQ1109" i="17" l="1"/>
  <c r="T1109" i="17"/>
  <c r="AK1109" i="17"/>
  <c r="H1110" i="17"/>
  <c r="K1110" i="17"/>
  <c r="AI1109" i="17"/>
  <c r="U1110" i="17" l="1"/>
  <c r="V1110" i="17" s="1"/>
  <c r="M1110" i="17"/>
  <c r="N1110" i="17" s="1"/>
  <c r="AJ1110" i="17" s="1"/>
  <c r="O1110" i="17" l="1"/>
  <c r="Q1110" i="17"/>
  <c r="P1110" i="17"/>
  <c r="R1110" i="17" l="1"/>
  <c r="S1110" i="17" s="1"/>
  <c r="AQ1110" i="17" l="1"/>
  <c r="AK1110" i="17"/>
  <c r="K1111" i="17"/>
  <c r="T1110" i="17"/>
  <c r="H1111" i="17"/>
  <c r="AI1110" i="17"/>
  <c r="M1111" i="17" l="1"/>
  <c r="U1111" i="17"/>
  <c r="V1111" i="17" s="1"/>
  <c r="N1111" i="17" l="1"/>
  <c r="AJ1111" i="17" l="1"/>
  <c r="O1111" i="17" s="1"/>
  <c r="P1111" i="17" l="1"/>
  <c r="Q1111" i="17"/>
  <c r="R1111" i="17" l="1"/>
  <c r="S1111" i="17" s="1"/>
  <c r="T1111" i="17" l="1"/>
  <c r="K1112" i="17"/>
  <c r="G31" i="17" s="1"/>
  <c r="AQ1111" i="17"/>
  <c r="AI1111" i="17"/>
  <c r="AK1111" i="17"/>
  <c r="H1112" i="17"/>
  <c r="M33" i="13" l="1"/>
  <c r="Q32" i="13"/>
  <c r="U1112" i="17"/>
  <c r="V1112" i="17" s="1"/>
  <c r="M1112" i="17"/>
  <c r="N1112" i="17" s="1"/>
  <c r="AJ1112" i="17" l="1"/>
  <c r="O1112" i="17" s="1"/>
  <c r="Q1112" i="17" l="1"/>
  <c r="P1112" i="17"/>
  <c r="R1112" i="17" l="1"/>
  <c r="S1112" i="17" s="1"/>
  <c r="AI1112" i="17" l="1"/>
  <c r="K1113" i="17"/>
  <c r="AK1112" i="17"/>
  <c r="T1112" i="17"/>
  <c r="AQ1112" i="17"/>
  <c r="H1113" i="17"/>
  <c r="M1113" i="17" l="1"/>
  <c r="N1113" i="17" s="1"/>
  <c r="AJ1113" i="17" s="1"/>
  <c r="P1113" i="17" s="1"/>
  <c r="U1113" i="17"/>
  <c r="V1113" i="17" s="1"/>
  <c r="O1113" i="17" l="1"/>
  <c r="Q1113" i="17"/>
  <c r="R1113" i="17" l="1"/>
  <c r="S1113" i="17" s="1"/>
  <c r="T1113" i="17" l="1"/>
  <c r="AQ1113" i="17"/>
  <c r="AI1113" i="17"/>
  <c r="K1114" i="17"/>
  <c r="AK1113" i="17"/>
  <c r="H1114" i="17"/>
  <c r="U1114" i="17" l="1"/>
  <c r="V1114" i="17" s="1"/>
  <c r="M1114" i="17"/>
  <c r="N1114" i="17" s="1"/>
  <c r="AJ1114" i="17" s="1"/>
  <c r="Q1114" i="17" s="1"/>
  <c r="P1114" i="17" l="1"/>
  <c r="O1114" i="17"/>
  <c r="R1114" i="17" l="1"/>
  <c r="S1114" i="17" s="1"/>
  <c r="H1115" i="17" l="1"/>
  <c r="K1115" i="17"/>
  <c r="M1115" i="17" s="1"/>
  <c r="N1115" i="17" s="1"/>
  <c r="AJ1115" i="17" s="1"/>
  <c r="O1115" i="17" s="1"/>
  <c r="T1114" i="17"/>
  <c r="AK1114" i="17"/>
  <c r="AQ1114" i="17"/>
  <c r="AI1114" i="17"/>
  <c r="U1115" i="17" l="1"/>
  <c r="V1115" i="17" s="1"/>
  <c r="P1115" i="17"/>
  <c r="Q1115" i="17"/>
  <c r="R1115" i="17" l="1"/>
  <c r="S1115" i="17" s="1"/>
  <c r="T1115" i="17" l="1"/>
  <c r="K1116" i="17"/>
  <c r="AQ1115" i="17"/>
  <c r="AI1115" i="17"/>
  <c r="AK1115" i="17"/>
  <c r="H1116" i="17"/>
  <c r="M1116" i="17" l="1"/>
  <c r="N1116" i="17" s="1"/>
  <c r="AJ1116" i="17" s="1"/>
  <c r="O1116" i="17" s="1"/>
  <c r="U1116" i="17"/>
  <c r="V1116" i="17" s="1"/>
  <c r="P1116" i="17" l="1"/>
  <c r="Q1116" i="17"/>
  <c r="R1116" i="17" l="1"/>
  <c r="S1116" i="17" s="1"/>
  <c r="H1117" i="17" l="1"/>
  <c r="T1116" i="17"/>
  <c r="AI1116" i="17"/>
  <c r="AQ1116" i="17"/>
  <c r="K1117" i="17"/>
  <c r="M1117" i="17" s="1"/>
  <c r="N1117" i="17" s="1"/>
  <c r="AJ1117" i="17" s="1"/>
  <c r="O1117" i="17" s="1"/>
  <c r="AK1116" i="17"/>
  <c r="U1117" i="17" l="1"/>
  <c r="V1117" i="17" s="1"/>
  <c r="Q1117" i="17"/>
  <c r="P1117" i="17"/>
  <c r="R1117" i="17" l="1"/>
  <c r="S1117" i="17" s="1"/>
  <c r="H1118" i="17" l="1"/>
  <c r="AQ1117" i="17"/>
  <c r="AK1117" i="17"/>
  <c r="AI1117" i="17"/>
  <c r="K1118" i="17"/>
  <c r="T1117" i="17"/>
  <c r="M1118" i="17" l="1"/>
  <c r="N1118" i="17" s="1"/>
  <c r="AJ1118" i="17" s="1"/>
  <c r="O1118" i="17" s="1"/>
  <c r="U1118" i="17"/>
  <c r="V1118" i="17" s="1"/>
  <c r="P1118" i="17" l="1"/>
  <c r="Q1118" i="17"/>
  <c r="R1118" i="17" l="1"/>
  <c r="S1118" i="17" s="1"/>
  <c r="AQ1118" i="17" l="1"/>
  <c r="K1119" i="17"/>
  <c r="AK1118" i="17"/>
  <c r="T1118" i="17"/>
  <c r="AI1118" i="17"/>
  <c r="H1119" i="17"/>
  <c r="U1119" i="17" l="1"/>
  <c r="V1119" i="17" s="1"/>
  <c r="M1119" i="17"/>
  <c r="N1119" i="17" s="1"/>
  <c r="AJ1119" i="17" s="1"/>
  <c r="O1119" i="17" s="1"/>
  <c r="P1119" i="17" l="1"/>
  <c r="Q1119" i="17"/>
  <c r="R1119" i="17" l="1"/>
  <c r="S1119" i="17" s="1"/>
  <c r="K1120" i="17" l="1"/>
  <c r="M1120" i="17" s="1"/>
  <c r="N1120" i="17" s="1"/>
  <c r="AJ1120" i="17" s="1"/>
  <c r="O1120" i="17" s="1"/>
  <c r="T1119" i="17"/>
  <c r="H1120" i="17"/>
  <c r="AI1119" i="17"/>
  <c r="AQ1119" i="17"/>
  <c r="AK1119" i="17"/>
  <c r="U1120" i="17" l="1"/>
  <c r="V1120" i="17" s="1"/>
  <c r="Q1120" i="17"/>
  <c r="P1120" i="17"/>
  <c r="R1120" i="17" l="1"/>
  <c r="S1120" i="17" s="1"/>
  <c r="AK1120" i="17" l="1"/>
  <c r="AI1120" i="17"/>
  <c r="K1121" i="17"/>
  <c r="U1121" i="17" s="1"/>
  <c r="V1121" i="17" s="1"/>
  <c r="AQ1120" i="17"/>
  <c r="T1120" i="17"/>
  <c r="H1121" i="17"/>
  <c r="M1121" i="17" l="1"/>
  <c r="N1121" i="17" s="1"/>
  <c r="AJ1121" i="17" l="1"/>
  <c r="O1121" i="17" s="1"/>
  <c r="Q1121" i="17" l="1"/>
  <c r="P1121" i="17"/>
  <c r="R1121" i="17" l="1"/>
  <c r="S1121" i="17" s="1"/>
  <c r="H1122" i="17" l="1"/>
  <c r="AI1121" i="17"/>
  <c r="T1121" i="17"/>
  <c r="AK1121" i="17"/>
  <c r="K1122" i="17"/>
  <c r="M1122" i="17" s="1"/>
  <c r="N1122" i="17" s="1"/>
  <c r="AQ1121" i="17"/>
  <c r="U1122" i="17" l="1"/>
  <c r="V1122" i="17" s="1"/>
  <c r="AJ1122" i="17"/>
  <c r="O1122" i="17" l="1"/>
  <c r="P1122" i="17"/>
  <c r="Q1122" i="17"/>
  <c r="R1122" i="17" l="1"/>
  <c r="S1122" i="17" s="1"/>
  <c r="AK1122" i="17" l="1"/>
  <c r="AQ1122" i="17"/>
  <c r="T1122" i="17"/>
  <c r="AI1122" i="17"/>
  <c r="K1123" i="17"/>
  <c r="H1123" i="17"/>
  <c r="M1123" i="17" l="1"/>
  <c r="N1123" i="17" s="1"/>
  <c r="U1123" i="17"/>
  <c r="V1123" i="17" s="1"/>
  <c r="AJ1123" i="17" l="1"/>
  <c r="O1123" i="17" s="1"/>
  <c r="Q1123" i="17" l="1"/>
  <c r="P1123" i="17"/>
  <c r="R1123" i="17" l="1"/>
  <c r="S1123" i="17" s="1"/>
  <c r="AQ1123" i="17" l="1"/>
  <c r="K1124" i="17"/>
  <c r="T1123" i="17"/>
  <c r="AI1123" i="17"/>
  <c r="H1124" i="17"/>
  <c r="AK1123" i="17"/>
  <c r="M1124" i="17" l="1"/>
  <c r="N1124" i="17" s="1"/>
  <c r="AJ1124" i="17" s="1"/>
  <c r="O1124" i="17" s="1"/>
  <c r="U1124" i="17"/>
  <c r="V1124" i="17" s="1"/>
  <c r="Q1124" i="17" l="1"/>
  <c r="P1124" i="17"/>
  <c r="R1124" i="17" l="1"/>
  <c r="S1124" i="17" s="1"/>
  <c r="T1124" i="17" l="1"/>
  <c r="AQ1124" i="17"/>
  <c r="K1125" i="17"/>
  <c r="U1125" i="17" s="1"/>
  <c r="V1125" i="17" s="1"/>
  <c r="AK1124" i="17"/>
  <c r="AI1124" i="17"/>
  <c r="H1125" i="17"/>
  <c r="M1125" i="17" l="1"/>
  <c r="N1125" i="17" s="1"/>
  <c r="AJ1125" i="17" s="1"/>
  <c r="O1125" i="17" s="1"/>
  <c r="Q1125" i="17" l="1"/>
  <c r="P1125" i="17"/>
  <c r="R1125" i="17" l="1"/>
  <c r="S1125" i="17" s="1"/>
  <c r="AK1125" i="17" l="1"/>
  <c r="T1125" i="17"/>
  <c r="H1126" i="17"/>
  <c r="AQ1125" i="17"/>
  <c r="AI1125" i="17"/>
  <c r="K1126" i="17"/>
  <c r="U1126" i="17" l="1"/>
  <c r="V1126" i="17" s="1"/>
  <c r="M1126" i="17"/>
  <c r="N1126" i="17" s="1"/>
  <c r="AJ1126" i="17" l="1"/>
  <c r="O1126" i="17" s="1"/>
  <c r="P1126" i="17" l="1"/>
  <c r="Q1126" i="17"/>
  <c r="R1126" i="17" l="1"/>
  <c r="S1126" i="17" s="1"/>
  <c r="AK1126" i="17" l="1"/>
  <c r="K1127" i="17"/>
  <c r="AQ1126" i="17"/>
  <c r="T1126" i="17"/>
  <c r="AI1126" i="17"/>
  <c r="H1127" i="17"/>
  <c r="U1127" i="17" l="1"/>
  <c r="V1127" i="17" s="1"/>
  <c r="M1127" i="17"/>
  <c r="N1127" i="17" s="1"/>
  <c r="AJ1127" i="17" l="1"/>
  <c r="O1127" i="17" s="1"/>
  <c r="P1127" i="17" l="1"/>
  <c r="Q1127" i="17"/>
  <c r="R1127" i="17" l="1"/>
  <c r="S1127" i="17" s="1"/>
  <c r="AQ1127" i="17" l="1"/>
  <c r="K1128" i="17"/>
  <c r="T1127" i="17"/>
  <c r="H1128" i="17"/>
  <c r="AK1127" i="17"/>
  <c r="AI1127" i="17"/>
  <c r="U1128" i="17" l="1"/>
  <c r="V1128" i="17" s="1"/>
  <c r="M1128" i="17"/>
  <c r="N1128" i="17" s="1"/>
  <c r="AJ1128" i="17" s="1"/>
  <c r="O1128" i="17" s="1"/>
  <c r="Q1128" i="17" l="1"/>
  <c r="P1128" i="17"/>
  <c r="R1128" i="17" l="1"/>
  <c r="S1128" i="17" s="1"/>
  <c r="H1129" i="17" l="1"/>
  <c r="K1129" i="17"/>
  <c r="AK1128" i="17"/>
  <c r="T1128" i="17"/>
  <c r="AQ1128" i="17"/>
  <c r="AI1128" i="17"/>
  <c r="U1129" i="17" l="1"/>
  <c r="V1129" i="17" s="1"/>
  <c r="M1129" i="17"/>
  <c r="N1129" i="17" s="1"/>
  <c r="AJ1129" i="17" l="1"/>
  <c r="O1129" i="17" s="1"/>
  <c r="P1129" i="17" l="1"/>
  <c r="Q1129" i="17"/>
  <c r="R1129" i="17" l="1"/>
  <c r="S1129" i="17" s="1"/>
  <c r="AQ1129" i="17" l="1"/>
  <c r="AI1129" i="17"/>
  <c r="T1129" i="17"/>
  <c r="K1130" i="17"/>
  <c r="AK1129" i="17"/>
  <c r="H1130" i="17"/>
  <c r="M1130" i="17" l="1"/>
  <c r="N1130" i="17" s="1"/>
  <c r="U1130" i="17"/>
  <c r="V1130" i="17" s="1"/>
  <c r="AJ1130" i="17" l="1"/>
  <c r="O1130" i="17" s="1"/>
  <c r="Q1130" i="17" l="1"/>
  <c r="P1130" i="17"/>
  <c r="R1130" i="17" l="1"/>
  <c r="S1130" i="17" s="1"/>
  <c r="T1130" i="17" l="1"/>
  <c r="H1131" i="17"/>
  <c r="K1131" i="17"/>
  <c r="M1131" i="17" s="1"/>
  <c r="N1131" i="17" s="1"/>
  <c r="AJ1131" i="17" s="1"/>
  <c r="AI1130" i="17"/>
  <c r="AQ1130" i="17"/>
  <c r="AK1130" i="17"/>
  <c r="U1131" i="17" l="1"/>
  <c r="V1131" i="17" s="1"/>
  <c r="O1131" i="17"/>
  <c r="P1131" i="17"/>
  <c r="Q1131" i="17"/>
  <c r="R1131" i="17" l="1"/>
  <c r="S1131" i="17" s="1"/>
  <c r="T1131" i="17" l="1"/>
  <c r="AI1131" i="17"/>
  <c r="AQ1131" i="17"/>
  <c r="K1132" i="17"/>
  <c r="H1132" i="17"/>
  <c r="AK1131" i="17"/>
  <c r="M1132" i="17" l="1"/>
  <c r="N1132" i="17" s="1"/>
  <c r="AJ1132" i="17" s="1"/>
  <c r="O1132" i="17" s="1"/>
  <c r="U1132" i="17"/>
  <c r="V1132" i="17" s="1"/>
  <c r="P1132" i="17" l="1"/>
  <c r="Q1132" i="17"/>
  <c r="R1132" i="17" l="1"/>
  <c r="S1132" i="17" s="1"/>
  <c r="AI1132" i="17" l="1"/>
  <c r="H1133" i="17"/>
  <c r="T1132" i="17"/>
  <c r="AK1132" i="17"/>
  <c r="K1133" i="17"/>
  <c r="M1133" i="17" s="1"/>
  <c r="N1133" i="17" s="1"/>
  <c r="AQ1132" i="17"/>
  <c r="U1133" i="17" l="1"/>
  <c r="V1133" i="17" s="1"/>
  <c r="AJ1133" i="17"/>
  <c r="O1133" i="17" s="1"/>
  <c r="Q1133" i="17" l="1"/>
  <c r="P1133" i="17"/>
  <c r="R1133" i="17" l="1"/>
  <c r="S1133" i="17" s="1"/>
  <c r="AQ1133" i="17" l="1"/>
  <c r="T1133" i="17"/>
  <c r="AI1133" i="17"/>
  <c r="K1134" i="17"/>
  <c r="AK1133" i="17"/>
  <c r="H1134" i="17"/>
  <c r="U1134" i="17" l="1"/>
  <c r="V1134" i="17" s="1"/>
  <c r="M1134" i="17"/>
  <c r="N1134" i="17" s="1"/>
  <c r="AJ1134" i="17" s="1"/>
  <c r="O1134" i="17" s="1"/>
  <c r="P1134" i="17" l="1"/>
  <c r="Q1134" i="17"/>
  <c r="R1134" i="17" l="1"/>
  <c r="S1134" i="17" s="1"/>
  <c r="AK1134" i="17" l="1"/>
  <c r="AI1134" i="17"/>
  <c r="AQ1134" i="17"/>
  <c r="K1135" i="17"/>
  <c r="T1134" i="17"/>
  <c r="H1135" i="17"/>
  <c r="U1135" i="17" l="1"/>
  <c r="V1135" i="17" s="1"/>
  <c r="M1135" i="17"/>
  <c r="N1135" i="17" s="1"/>
  <c r="AJ1135" i="17" s="1"/>
  <c r="O1135" i="17" s="1"/>
  <c r="Q1135" i="17" l="1"/>
  <c r="P1135" i="17"/>
  <c r="R1135" i="17" l="1"/>
  <c r="S1135" i="17" s="1"/>
  <c r="T1135" i="17" l="1"/>
  <c r="AK1135" i="17"/>
  <c r="K1136" i="17"/>
  <c r="H1136" i="17"/>
  <c r="AQ1135" i="17"/>
  <c r="AI1135" i="17"/>
  <c r="U1136" i="17" l="1"/>
  <c r="V1136" i="17" s="1"/>
  <c r="M1136" i="17"/>
  <c r="N1136" i="17" s="1"/>
  <c r="AJ1136" i="17" s="1"/>
  <c r="O1136" i="17" s="1"/>
  <c r="P1136" i="17" l="1"/>
  <c r="Q1136" i="17"/>
  <c r="R1136" i="17" l="1"/>
  <c r="S1136" i="17" s="1"/>
  <c r="K1137" i="17" l="1"/>
  <c r="AI1136" i="17"/>
  <c r="AK1136" i="17"/>
  <c r="T1136" i="17"/>
  <c r="H1137" i="17"/>
  <c r="AQ1136" i="17"/>
  <c r="U1137" i="17" l="1"/>
  <c r="V1137" i="17" s="1"/>
  <c r="M1137" i="17"/>
  <c r="N1137" i="17" l="1"/>
  <c r="AJ1137" i="17" l="1"/>
  <c r="Q1137" i="17" s="1"/>
  <c r="O1137" i="17" l="1"/>
  <c r="P1137" i="17"/>
  <c r="R1137" i="17" l="1"/>
  <c r="S1137" i="17" s="1"/>
  <c r="AQ1137" i="17" l="1"/>
  <c r="K1138" i="17"/>
  <c r="AK1137" i="17"/>
  <c r="T1137" i="17"/>
  <c r="AI1137" i="17"/>
  <c r="H1138" i="17"/>
  <c r="M1138" i="17" l="1"/>
  <c r="N1138" i="17" s="1"/>
  <c r="AJ1138" i="17" s="1"/>
  <c r="O1138" i="17" s="1"/>
  <c r="U1138" i="17"/>
  <c r="V1138" i="17" s="1"/>
  <c r="P1138" i="17" l="1"/>
  <c r="Q1138" i="17"/>
  <c r="R1138" i="17" l="1"/>
  <c r="S1138" i="17" s="1"/>
  <c r="AK1138" i="17" l="1"/>
  <c r="H1139" i="17"/>
  <c r="T1138" i="17"/>
  <c r="K1139" i="17"/>
  <c r="AI1138" i="17"/>
  <c r="AQ1138" i="17"/>
  <c r="M1139" i="17" l="1"/>
  <c r="N1139" i="17" s="1"/>
  <c r="U1139" i="17"/>
  <c r="V1139" i="17" s="1"/>
  <c r="AJ1139" i="17" l="1"/>
  <c r="O1139" i="17" s="1"/>
  <c r="Q1139" i="17" l="1"/>
  <c r="P1139" i="17"/>
  <c r="R1139" i="17" l="1"/>
  <c r="S1139" i="17" s="1"/>
  <c r="K1140" i="17" l="1"/>
  <c r="M1140" i="17" s="1"/>
  <c r="N1140" i="17" s="1"/>
  <c r="AJ1140" i="17" s="1"/>
  <c r="O1140" i="17" s="1"/>
  <c r="H1140" i="17"/>
  <c r="AK1139" i="17"/>
  <c r="T1139" i="17"/>
  <c r="AI1139" i="17"/>
  <c r="AQ1139" i="17"/>
  <c r="U1140" i="17" l="1"/>
  <c r="V1140" i="17" s="1"/>
  <c r="P1140" i="17"/>
  <c r="Q1140" i="17"/>
  <c r="R1140" i="17" l="1"/>
  <c r="S1140" i="17" s="1"/>
  <c r="AQ1140" i="17" l="1"/>
  <c r="AI1140" i="17"/>
  <c r="AK1140" i="17"/>
  <c r="T1140" i="17"/>
  <c r="H1141" i="17"/>
  <c r="K1141" i="17"/>
  <c r="M1141" i="17" s="1"/>
  <c r="N1141" i="17" s="1"/>
  <c r="AJ1141" i="17" s="1"/>
  <c r="O1141" i="17" s="1"/>
  <c r="U1141" i="17" l="1"/>
  <c r="V1141" i="17" s="1"/>
  <c r="P1141" i="17"/>
  <c r="Q1141" i="17"/>
  <c r="R1141" i="17" l="1"/>
  <c r="S1141" i="17" s="1"/>
  <c r="AQ1141" i="17" l="1"/>
  <c r="AI1141" i="17"/>
  <c r="K1142" i="17"/>
  <c r="AK1141" i="17"/>
  <c r="T1141" i="17"/>
  <c r="H1142" i="17"/>
  <c r="U1142" i="17" l="1"/>
  <c r="V1142" i="17" s="1"/>
  <c r="M1142" i="17"/>
  <c r="N1142" i="17" l="1"/>
  <c r="AJ1142" i="17" l="1"/>
  <c r="O1142" i="17" s="1"/>
  <c r="P1142" i="17" l="1"/>
  <c r="Q1142" i="17"/>
  <c r="R1142" i="17" l="1"/>
  <c r="S1142" i="17" s="1"/>
  <c r="AI1142" i="17" l="1"/>
  <c r="H1143" i="17"/>
  <c r="AQ1142" i="17"/>
  <c r="T1142" i="17"/>
  <c r="AK1142" i="17"/>
  <c r="K1143" i="17"/>
  <c r="U1143" i="17" s="1"/>
  <c r="V1143" i="17" s="1"/>
  <c r="M1143" i="17" l="1"/>
  <c r="N1143" i="17" s="1"/>
  <c r="AJ1143" i="17" s="1"/>
  <c r="O1143" i="17" s="1"/>
  <c r="Q1143" i="17" l="1"/>
  <c r="P1143" i="17"/>
  <c r="R1143" i="17" l="1"/>
  <c r="S1143" i="17" s="1"/>
  <c r="H1144" i="17" l="1"/>
  <c r="T1143" i="17"/>
  <c r="AI1143" i="17"/>
  <c r="AK1143" i="17"/>
  <c r="K1144" i="17"/>
  <c r="U1144" i="17" s="1"/>
  <c r="V1144" i="17" s="1"/>
  <c r="AQ1143" i="17"/>
  <c r="M1144" i="17" l="1"/>
  <c r="N1144" i="17" s="1"/>
  <c r="AJ1144" i="17" l="1"/>
  <c r="O1144" i="17" s="1"/>
  <c r="P1144" i="17" l="1"/>
  <c r="Q1144" i="17"/>
  <c r="R1144" i="17" l="1"/>
  <c r="S1144" i="17" s="1"/>
  <c r="K1145" i="17" l="1"/>
  <c r="M1145" i="17" s="1"/>
  <c r="AQ1144" i="17"/>
  <c r="H1145" i="17"/>
  <c r="T1144" i="17"/>
  <c r="AI1144" i="17"/>
  <c r="AK1144" i="17"/>
  <c r="N1145" i="17" l="1"/>
  <c r="AJ1145" i="17" s="1"/>
  <c r="Q1145" i="17" s="1"/>
  <c r="U1145" i="17"/>
  <c r="V1145" i="17" s="1"/>
  <c r="O1145" i="17" l="1"/>
  <c r="P1145" i="17"/>
  <c r="R1145" i="17" l="1"/>
  <c r="S1145" i="17" s="1"/>
  <c r="H1146" i="17" l="1"/>
  <c r="AK1145" i="17"/>
  <c r="AQ1145" i="17"/>
  <c r="AI1145" i="17"/>
  <c r="K1146" i="17"/>
  <c r="M1146" i="17" s="1"/>
  <c r="N1146" i="17" s="1"/>
  <c r="AJ1146" i="17" s="1"/>
  <c r="O1146" i="17" s="1"/>
  <c r="T1145" i="17"/>
  <c r="U1146" i="17" l="1"/>
  <c r="V1146" i="17" s="1"/>
  <c r="Q1146" i="17"/>
  <c r="P1146" i="17"/>
  <c r="R1146" i="17" l="1"/>
  <c r="S1146" i="17" s="1"/>
  <c r="AI1146" i="17" l="1"/>
  <c r="AQ1146" i="17"/>
  <c r="AK1146" i="17"/>
  <c r="H1147" i="17"/>
  <c r="T1146" i="17"/>
  <c r="K1147" i="17"/>
  <c r="M1147" i="17" s="1"/>
  <c r="U1147" i="17" l="1"/>
  <c r="V1147" i="17" s="1"/>
  <c r="N1147" i="17"/>
  <c r="AJ1147" i="17" l="1"/>
  <c r="O1147" i="17" s="1"/>
  <c r="P1147" i="17" l="1"/>
  <c r="Q1147" i="17"/>
  <c r="R1147" i="17" l="1"/>
  <c r="S1147" i="17" s="1"/>
  <c r="AI1147" i="17" l="1"/>
  <c r="K1148" i="17"/>
  <c r="U1148" i="17" s="1"/>
  <c r="V1148" i="17" s="1"/>
  <c r="T1147" i="17"/>
  <c r="H1148" i="17"/>
  <c r="AK1147" i="17"/>
  <c r="AQ1147" i="17"/>
  <c r="M1148" i="17" l="1"/>
  <c r="N1148" i="17" s="1"/>
  <c r="AJ1148" i="17" s="1"/>
  <c r="O1148" i="17" s="1"/>
  <c r="P1148" i="17" l="1"/>
  <c r="Q1148" i="17"/>
  <c r="R1148" i="17" l="1"/>
  <c r="S1148" i="17" s="1"/>
  <c r="K1149" i="17" l="1"/>
  <c r="M1149" i="17" s="1"/>
  <c r="N1149" i="17" s="1"/>
  <c r="AJ1149" i="17" s="1"/>
  <c r="O1149" i="17" s="1"/>
  <c r="AK1148" i="17"/>
  <c r="AI1148" i="17"/>
  <c r="T1148" i="17"/>
  <c r="AQ1148" i="17"/>
  <c r="H1149" i="17"/>
  <c r="U1149" i="17" l="1"/>
  <c r="V1149" i="17" s="1"/>
  <c r="Q1149" i="17"/>
  <c r="P1149" i="17"/>
  <c r="R1149" i="17" l="1"/>
  <c r="S1149" i="17" s="1"/>
  <c r="AK1149" i="17" l="1"/>
  <c r="AQ1149" i="17"/>
  <c r="T1149" i="17"/>
  <c r="K1150" i="17"/>
  <c r="U1150" i="17" s="1"/>
  <c r="V1150" i="17" s="1"/>
  <c r="AI1149" i="17"/>
  <c r="H1150" i="17"/>
  <c r="M1150" i="17" l="1"/>
  <c r="N1150" i="17" s="1"/>
  <c r="AJ1150" i="17" s="1"/>
  <c r="O1150" i="17" s="1"/>
  <c r="Q1150" i="17" l="1"/>
  <c r="P1150" i="17"/>
  <c r="R1150" i="17" l="1"/>
  <c r="S1150" i="17" s="1"/>
  <c r="AK1150" i="17" l="1"/>
  <c r="H1151" i="17"/>
  <c r="K1151" i="17"/>
  <c r="M1151" i="17" s="1"/>
  <c r="N1151" i="17" s="1"/>
  <c r="AJ1151" i="17" s="1"/>
  <c r="O1151" i="17" s="1"/>
  <c r="AI1150" i="17"/>
  <c r="T1150" i="17"/>
  <c r="AQ1150" i="17"/>
  <c r="U1151" i="17" l="1"/>
  <c r="V1151" i="17" s="1"/>
  <c r="P1151" i="17"/>
  <c r="Q1151" i="17"/>
  <c r="R1151" i="17" l="1"/>
  <c r="S1151" i="17" s="1"/>
  <c r="T1151" i="17" l="1"/>
  <c r="AI1151" i="17"/>
  <c r="AK1151" i="17"/>
  <c r="H1152" i="17"/>
  <c r="K1152" i="17"/>
  <c r="U1152" i="17" s="1"/>
  <c r="V1152" i="17" s="1"/>
  <c r="AQ1151" i="17"/>
  <c r="M1152" i="17" l="1"/>
  <c r="N1152" i="17" s="1"/>
  <c r="AJ1152" i="17" s="1"/>
  <c r="O1152" i="17" s="1"/>
  <c r="P1152" i="17" l="1"/>
  <c r="Q1152" i="17"/>
  <c r="R1152" i="17" l="1"/>
  <c r="S1152" i="17" s="1"/>
  <c r="AQ1152" i="17" l="1"/>
  <c r="AK1152" i="17"/>
  <c r="T1152" i="17"/>
  <c r="H1153" i="17"/>
  <c r="K1153" i="17"/>
  <c r="U1153" i="17" s="1"/>
  <c r="V1153" i="17" s="1"/>
  <c r="AI1152" i="17"/>
  <c r="M1153" i="17" l="1"/>
  <c r="N1153" i="17" s="1"/>
  <c r="AJ1153" i="17" s="1"/>
  <c r="O1153" i="17" l="1"/>
  <c r="P1153" i="17"/>
  <c r="Q1153" i="17"/>
  <c r="R1153" i="17" l="1"/>
  <c r="S1153" i="17" s="1"/>
  <c r="AQ1153" i="17" l="1"/>
  <c r="K1154" i="17"/>
  <c r="H1154" i="17"/>
  <c r="T1153" i="17"/>
  <c r="AK1153" i="17"/>
  <c r="AI1153" i="17"/>
  <c r="M1154" i="17" l="1"/>
  <c r="N1154" i="17" s="1"/>
  <c r="AJ1154" i="17" s="1"/>
  <c r="O1154" i="17" s="1"/>
  <c r="U1154" i="17"/>
  <c r="V1154" i="17" s="1"/>
  <c r="P1154" i="17" l="1"/>
  <c r="Q1154" i="17"/>
  <c r="R1154" i="17" l="1"/>
  <c r="S1154" i="17" s="1"/>
  <c r="AI1154" i="17" l="1"/>
  <c r="H1155" i="17"/>
  <c r="K1155" i="17"/>
  <c r="U1155" i="17" s="1"/>
  <c r="V1155" i="17" s="1"/>
  <c r="AQ1154" i="17"/>
  <c r="T1154" i="17"/>
  <c r="AK1154" i="17"/>
  <c r="M1155" i="17" l="1"/>
  <c r="N1155" i="17" s="1"/>
  <c r="AJ1155" i="17" s="1"/>
  <c r="P1155" i="17" s="1"/>
  <c r="Q1155" i="17" l="1"/>
  <c r="O1155" i="17"/>
  <c r="R1155" i="17" l="1"/>
  <c r="S1155" i="17" s="1"/>
  <c r="H1156" i="17" l="1"/>
  <c r="AI1155" i="17"/>
  <c r="K1156" i="17"/>
  <c r="M1156" i="17" s="1"/>
  <c r="N1156" i="17" s="1"/>
  <c r="AJ1156" i="17" s="1"/>
  <c r="AK1155" i="17"/>
  <c r="T1155" i="17"/>
  <c r="AQ1155" i="17"/>
  <c r="U1156" i="17" l="1"/>
  <c r="V1156" i="17" s="1"/>
  <c r="O1156" i="17"/>
  <c r="P1156" i="17"/>
  <c r="Q1156" i="17"/>
  <c r="R1156" i="17" l="1"/>
  <c r="S1156" i="17" s="1"/>
  <c r="AK1156" i="17" l="1"/>
  <c r="AQ1156" i="17"/>
  <c r="AI1156" i="17"/>
  <c r="K1157" i="17"/>
  <c r="H1157" i="17"/>
  <c r="T1156" i="17"/>
  <c r="U1157" i="17" l="1"/>
  <c r="V1157" i="17" s="1"/>
  <c r="M1157" i="17"/>
  <c r="N1157" i="17" s="1"/>
  <c r="AJ1157" i="17" l="1"/>
  <c r="O1157" i="17" s="1"/>
  <c r="Q1157" i="17" l="1"/>
  <c r="P1157" i="17"/>
  <c r="R1157" i="17" l="1"/>
  <c r="S1157" i="17" s="1"/>
  <c r="AQ1157" i="17" l="1"/>
  <c r="K1158" i="17"/>
  <c r="H1158" i="17"/>
  <c r="AI1157" i="17"/>
  <c r="AK1157" i="17"/>
  <c r="T1157" i="17"/>
  <c r="M1158" i="17" l="1"/>
  <c r="N1158" i="17" s="1"/>
  <c r="AJ1158" i="17" s="1"/>
  <c r="O1158" i="17" s="1"/>
  <c r="U1158" i="17"/>
  <c r="V1158" i="17" s="1"/>
  <c r="P1158" i="17" l="1"/>
  <c r="Q1158" i="17"/>
  <c r="R1158" i="17" l="1"/>
  <c r="S1158" i="17" s="1"/>
  <c r="K1159" i="17" l="1"/>
  <c r="U1159" i="17" s="1"/>
  <c r="V1159" i="17" s="1"/>
  <c r="T1158" i="17"/>
  <c r="AQ1158" i="17"/>
  <c r="H1159" i="17"/>
  <c r="AK1158" i="17"/>
  <c r="AI1158" i="17"/>
  <c r="M1159" i="17" l="1"/>
  <c r="N1159" i="17" s="1"/>
  <c r="AJ1159" i="17" l="1"/>
  <c r="O1159" i="17" s="1"/>
  <c r="P1159" i="17" l="1"/>
  <c r="Q1159" i="17"/>
  <c r="R1159" i="17" l="1"/>
  <c r="S1159" i="17" s="1"/>
  <c r="T1159" i="17" l="1"/>
  <c r="K1160" i="17"/>
  <c r="M1160" i="17" s="1"/>
  <c r="N1160" i="17" s="1"/>
  <c r="H1160" i="17"/>
  <c r="AI1159" i="17"/>
  <c r="AQ1159" i="17"/>
  <c r="AK1159" i="17"/>
  <c r="U1160" i="17" l="1"/>
  <c r="V1160" i="17" s="1"/>
  <c r="AJ1160" i="17"/>
  <c r="O1160" i="17" s="1"/>
  <c r="P1160" i="17" l="1"/>
  <c r="Q1160" i="17"/>
  <c r="R1160" i="17" l="1"/>
  <c r="S1160" i="17" s="1"/>
  <c r="AQ1160" i="17" l="1"/>
  <c r="AK1160" i="17"/>
  <c r="H1161" i="17"/>
  <c r="AI1160" i="17"/>
  <c r="K1161" i="17"/>
  <c r="T1160" i="17"/>
  <c r="M1161" i="17" l="1"/>
  <c r="U1161" i="17"/>
  <c r="V1161" i="17" s="1"/>
  <c r="N1161" i="17" l="1"/>
  <c r="AJ1161" i="17" l="1"/>
  <c r="O1161" i="17" s="1"/>
  <c r="P1161" i="17" l="1"/>
  <c r="Q1161" i="17"/>
  <c r="R1161" i="17" l="1"/>
  <c r="S1161" i="17" s="1"/>
  <c r="AI1161" i="17" l="1"/>
  <c r="H1162" i="17"/>
  <c r="K1162" i="17"/>
  <c r="M1162" i="17" s="1"/>
  <c r="N1162" i="17" s="1"/>
  <c r="AJ1162" i="17" s="1"/>
  <c r="O1162" i="17" s="1"/>
  <c r="AK1161" i="17"/>
  <c r="T1161" i="17"/>
  <c r="AQ1161" i="17"/>
  <c r="U1162" i="17" l="1"/>
  <c r="V1162" i="17" s="1"/>
  <c r="Q1162" i="17"/>
  <c r="P1162" i="17"/>
  <c r="R1162" i="17" l="1"/>
  <c r="S1162" i="17" s="1"/>
  <c r="AK1162" i="17" l="1"/>
  <c r="T1162" i="17"/>
  <c r="AI1162" i="17"/>
  <c r="H1163" i="17"/>
  <c r="AQ1162" i="17"/>
  <c r="K1163" i="17"/>
  <c r="U1163" i="17" l="1"/>
  <c r="V1163" i="17" s="1"/>
  <c r="M1163" i="17"/>
  <c r="N1163" i="17" s="1"/>
  <c r="AJ1163" i="17" l="1"/>
  <c r="P1163" i="17" s="1"/>
  <c r="O1163" i="17" l="1"/>
  <c r="Q1163" i="17"/>
  <c r="R1163" i="17" l="1"/>
  <c r="S1163" i="17" s="1"/>
  <c r="AQ1163" i="17" l="1"/>
  <c r="AK1163" i="17"/>
  <c r="H1164" i="17"/>
  <c r="AI1163" i="17"/>
  <c r="T1163" i="17"/>
  <c r="K1164" i="17"/>
  <c r="M1164" i="17" l="1"/>
  <c r="N1164" i="17" s="1"/>
  <c r="U1164" i="17"/>
  <c r="V1164" i="17" s="1"/>
  <c r="AJ1164" i="17" l="1"/>
  <c r="O1164" i="17" s="1"/>
  <c r="Q1164" i="17" l="1"/>
  <c r="P1164" i="17"/>
  <c r="R1164" i="17" l="1"/>
  <c r="S1164" i="17" s="1"/>
  <c r="AQ1164" i="17" l="1"/>
  <c r="T1164" i="17"/>
  <c r="K1165" i="17"/>
  <c r="AI1164" i="17"/>
  <c r="H1165" i="17"/>
  <c r="AK1164" i="17"/>
  <c r="U1165" i="17" l="1"/>
  <c r="V1165" i="17" s="1"/>
  <c r="M1165" i="17"/>
  <c r="N1165" i="17" s="1"/>
  <c r="AJ1165" i="17" l="1"/>
  <c r="O1165" i="17" s="1"/>
  <c r="Q1165" i="17" l="1"/>
  <c r="P1165" i="17"/>
  <c r="R1165" i="17" l="1"/>
  <c r="S1165" i="17" s="1"/>
  <c r="AQ1165" i="17" l="1"/>
  <c r="T1165" i="17"/>
  <c r="H1166" i="17"/>
  <c r="AI1165" i="17"/>
  <c r="K1166" i="17"/>
  <c r="AK1165" i="17"/>
  <c r="M1166" i="17" l="1"/>
  <c r="N1166" i="17" s="1"/>
  <c r="U1166" i="17"/>
  <c r="V1166" i="17" s="1"/>
  <c r="AJ1166" i="17" l="1"/>
  <c r="Q1166" i="17" s="1"/>
  <c r="P1166" i="17" l="1"/>
  <c r="O1166" i="17"/>
  <c r="R1166" i="17" l="1"/>
  <c r="S1166" i="17" s="1"/>
  <c r="T1166" i="17" l="1"/>
  <c r="H1167" i="17"/>
  <c r="AI1166" i="17"/>
  <c r="AK1166" i="17"/>
  <c r="AQ1166" i="17"/>
  <c r="K1167" i="17"/>
  <c r="U1167" i="17" s="1"/>
  <c r="V1167" i="17" s="1"/>
  <c r="M1167" i="17" l="1"/>
  <c r="N1167" i="17" s="1"/>
  <c r="AJ1167" i="17" l="1"/>
  <c r="Q1167" i="17" s="1"/>
  <c r="O1167" i="17" l="1"/>
  <c r="P1167" i="17"/>
  <c r="R1167" i="17" l="1"/>
  <c r="S1167" i="17" s="1"/>
  <c r="AI1167" i="17" l="1"/>
  <c r="T1167" i="17"/>
  <c r="K1168" i="17"/>
  <c r="M1168" i="17" s="1"/>
  <c r="N1168" i="17" s="1"/>
  <c r="H1168" i="17"/>
  <c r="AQ1167" i="17"/>
  <c r="AK1167" i="17"/>
  <c r="AJ1168" i="17" l="1"/>
  <c r="P1168" i="17" s="1"/>
  <c r="U1168" i="17"/>
  <c r="V1168" i="17" s="1"/>
  <c r="O1168" i="17" l="1"/>
  <c r="Q1168" i="17"/>
  <c r="R1168" i="17" l="1"/>
  <c r="S1168" i="17" s="1"/>
  <c r="AI1168" i="17" l="1"/>
  <c r="H1169" i="17"/>
  <c r="K1169" i="17"/>
  <c r="U1169" i="17" s="1"/>
  <c r="V1169" i="17" s="1"/>
  <c r="AK1168" i="17"/>
  <c r="T1168" i="17"/>
  <c r="AQ1168" i="17"/>
  <c r="M1169" i="17" l="1"/>
  <c r="N1169" i="17" s="1"/>
  <c r="AJ1169" i="17" s="1"/>
  <c r="Q1169" i="17" s="1"/>
  <c r="O1169" i="17" l="1"/>
  <c r="P1169" i="17"/>
  <c r="R1169" i="17" s="1"/>
  <c r="S1169" i="17" s="1"/>
  <c r="AK1169" i="17" l="1"/>
  <c r="K1170" i="17"/>
  <c r="AI1169" i="17"/>
  <c r="H1170" i="17"/>
  <c r="T1169" i="17"/>
  <c r="AQ1169" i="17"/>
  <c r="U1170" i="17" l="1"/>
  <c r="V1170" i="17" s="1"/>
  <c r="M1170" i="17"/>
  <c r="N1170" i="17" s="1"/>
  <c r="AJ1170" i="17" s="1"/>
  <c r="O1170" i="17" s="1"/>
  <c r="P1170" i="17" l="1"/>
  <c r="Q1170" i="17"/>
  <c r="R1170" i="17" l="1"/>
  <c r="S1170" i="17" s="1"/>
  <c r="AI1170" i="17" l="1"/>
  <c r="T1170" i="17"/>
  <c r="AQ1170" i="17"/>
  <c r="K1171" i="17"/>
  <c r="AK1170" i="17"/>
  <c r="H1171" i="17"/>
  <c r="M1171" i="17" l="1"/>
  <c r="U1171" i="17"/>
  <c r="V1171" i="17" s="1"/>
  <c r="N1171" i="17" l="1"/>
  <c r="AJ1171" i="17" l="1"/>
  <c r="O1171" i="17" s="1"/>
  <c r="Q1171" i="17" l="1"/>
  <c r="P1171" i="17"/>
  <c r="R1171" i="17" l="1"/>
  <c r="S1171" i="17" s="1"/>
  <c r="T1171" i="17" l="1"/>
  <c r="K1172" i="17"/>
  <c r="AK1171" i="17"/>
  <c r="AI1171" i="17"/>
  <c r="H1172" i="17"/>
  <c r="AQ1171" i="17"/>
  <c r="U1172" i="17" l="1"/>
  <c r="V1172" i="17" s="1"/>
  <c r="G32" i="17"/>
  <c r="Q33" i="13" s="1"/>
  <c r="M1172" i="17"/>
  <c r="N1172" i="17" s="1"/>
  <c r="AJ1172" i="17" s="1"/>
  <c r="O1172" i="17" l="1"/>
  <c r="P1172" i="17"/>
  <c r="Q1172" i="17"/>
  <c r="R1172" i="17" l="1"/>
  <c r="S1172" i="17" s="1"/>
  <c r="AK1172" i="17" l="1"/>
  <c r="AI1172" i="17"/>
  <c r="H1173" i="17"/>
  <c r="AQ1172" i="17"/>
  <c r="K1173" i="17"/>
  <c r="T1172" i="17"/>
  <c r="U1173" i="17" l="1"/>
  <c r="V1173" i="17" s="1"/>
  <c r="M1173" i="17"/>
  <c r="N1173" i="17" s="1"/>
  <c r="AJ1173" i="17" l="1"/>
  <c r="P1173" i="17" s="1"/>
  <c r="Q1173" i="17" l="1"/>
  <c r="O1173" i="17"/>
  <c r="R1173" i="17" l="1"/>
  <c r="S1173" i="17" s="1"/>
  <c r="AQ1173" i="17" l="1"/>
  <c r="T1173" i="17"/>
  <c r="AI1173" i="17"/>
  <c r="H1174" i="17"/>
  <c r="K1174" i="17"/>
  <c r="AK1173" i="17"/>
  <c r="U1174" i="17" l="1"/>
  <c r="V1174" i="17" s="1"/>
  <c r="M1174" i="17"/>
  <c r="N1174" i="17" s="1"/>
  <c r="AJ1174" i="17" l="1"/>
  <c r="P1174" i="17" s="1"/>
  <c r="O1174" i="17" l="1"/>
  <c r="Q1174" i="17"/>
  <c r="R1174" i="17" l="1"/>
  <c r="S1174" i="17" s="1"/>
  <c r="H1175" i="17" l="1"/>
  <c r="AQ1174" i="17"/>
  <c r="AK1174" i="17"/>
  <c r="K1175" i="17"/>
  <c r="T1174" i="17"/>
  <c r="AI1174" i="17"/>
  <c r="U1175" i="17" l="1"/>
  <c r="V1175" i="17" s="1"/>
  <c r="M1175" i="17"/>
  <c r="N1175" i="17" s="1"/>
  <c r="AJ1175" i="17" s="1"/>
  <c r="O1175" i="17" s="1"/>
  <c r="P1175" i="17" l="1"/>
  <c r="Q1175" i="17"/>
  <c r="R1175" i="17" l="1"/>
  <c r="S1175" i="17" s="1"/>
  <c r="AK1175" i="17" l="1"/>
  <c r="AI1175" i="17"/>
  <c r="K1176" i="17"/>
  <c r="AQ1175" i="17"/>
  <c r="T1175" i="17"/>
  <c r="H1176" i="17"/>
  <c r="U1176" i="17" l="1"/>
  <c r="V1176" i="17" s="1"/>
  <c r="M1176" i="17"/>
  <c r="N1176" i="17" s="1"/>
  <c r="AJ1176" i="17" s="1"/>
  <c r="O1176" i="17" s="1"/>
  <c r="Q1176" i="17" l="1"/>
  <c r="P1176" i="17"/>
  <c r="R1176" i="17" l="1"/>
  <c r="S1176" i="17" s="1"/>
  <c r="T1176" i="17" l="1"/>
  <c r="AI1176" i="17"/>
  <c r="K1177" i="17"/>
  <c r="AK1176" i="17"/>
  <c r="AQ1176" i="17"/>
  <c r="H1177" i="17"/>
  <c r="U1177" i="17" l="1"/>
  <c r="V1177" i="17" s="1"/>
  <c r="M1177" i="17"/>
  <c r="N1177" i="17" s="1"/>
  <c r="AJ1177" i="17" l="1"/>
  <c r="O1177" i="17" s="1"/>
  <c r="P1177" i="17" l="1"/>
  <c r="Q1177" i="17"/>
  <c r="R1177" i="17" l="1"/>
  <c r="S1177" i="17" s="1"/>
  <c r="AK1177" i="17" l="1"/>
  <c r="AQ1177" i="17"/>
  <c r="K1178" i="17"/>
  <c r="T1177" i="17"/>
  <c r="H1178" i="17"/>
  <c r="AI1177" i="17"/>
  <c r="M1178" i="17" l="1"/>
  <c r="N1178" i="17" s="1"/>
  <c r="U1178" i="17"/>
  <c r="V1178" i="17" s="1"/>
  <c r="AJ1178" i="17" l="1"/>
  <c r="Q1178" i="17" s="1"/>
  <c r="O1178" i="17" l="1"/>
  <c r="P1178" i="17"/>
  <c r="R1178" i="17" l="1"/>
  <c r="S1178" i="17" s="1"/>
  <c r="AQ1178" i="17" l="1"/>
  <c r="T1178" i="17"/>
  <c r="AK1178" i="17"/>
  <c r="AI1178" i="17"/>
  <c r="H1179" i="17"/>
  <c r="K1179" i="17"/>
  <c r="M1179" i="17" l="1"/>
  <c r="N1179" i="17" s="1"/>
  <c r="U1179" i="17"/>
  <c r="V1179" i="17" s="1"/>
  <c r="AJ1179" i="17" l="1"/>
  <c r="Q1179" i="17" s="1"/>
  <c r="O1179" i="17" l="1"/>
  <c r="P1179" i="17"/>
  <c r="R1179" i="17" l="1"/>
  <c r="S1179" i="17" s="1"/>
  <c r="T1179" i="17" l="1"/>
  <c r="AK1179" i="17"/>
  <c r="AQ1179" i="17"/>
  <c r="H1180" i="17"/>
  <c r="K1180" i="17"/>
  <c r="AI1179" i="17"/>
  <c r="U1180" i="17" l="1"/>
  <c r="V1180" i="17" s="1"/>
  <c r="M1180" i="17"/>
  <c r="N1180" i="17" l="1"/>
  <c r="AJ1180" i="17" l="1"/>
  <c r="O1180" i="17" s="1"/>
  <c r="P1180" i="17" l="1"/>
  <c r="Q1180" i="17"/>
  <c r="R1180" i="17" l="1"/>
  <c r="S1180" i="17" s="1"/>
  <c r="K1181" i="17" l="1"/>
  <c r="M1181" i="17" s="1"/>
  <c r="N1181" i="17" s="1"/>
  <c r="T1180" i="17"/>
  <c r="AI1180" i="17"/>
  <c r="H1181" i="17"/>
  <c r="AK1180" i="17"/>
  <c r="AQ1180" i="17"/>
  <c r="U1181" i="17" l="1"/>
  <c r="V1181" i="17" s="1"/>
  <c r="AJ1181" i="17"/>
  <c r="O1181" i="17" s="1"/>
  <c r="Q1181" i="17" l="1"/>
  <c r="P1181" i="17"/>
  <c r="R1181" i="17" l="1"/>
  <c r="S1181" i="17" s="1"/>
  <c r="AI1181" i="17" l="1"/>
  <c r="K1182" i="17"/>
  <c r="M1182" i="17" s="1"/>
  <c r="N1182" i="17" s="1"/>
  <c r="AJ1182" i="17" s="1"/>
  <c r="O1182" i="17" s="1"/>
  <c r="T1181" i="17"/>
  <c r="AQ1181" i="17"/>
  <c r="AK1181" i="17"/>
  <c r="H1182" i="17"/>
  <c r="U1182" i="17" l="1"/>
  <c r="V1182" i="17" s="1"/>
  <c r="P1182" i="17"/>
  <c r="Q1182" i="17"/>
  <c r="R1182" i="17" l="1"/>
  <c r="S1182" i="17" s="1"/>
  <c r="AK1182" i="17" l="1"/>
  <c r="H1183" i="17"/>
  <c r="K1183" i="17"/>
  <c r="AI1182" i="17"/>
  <c r="AQ1182" i="17"/>
  <c r="T1182" i="17"/>
  <c r="U1183" i="17" l="1"/>
  <c r="V1183" i="17" s="1"/>
  <c r="M1183" i="17"/>
  <c r="N1183" i="17" s="1"/>
  <c r="AJ1183" i="17" l="1"/>
  <c r="Q1183" i="17" s="1"/>
  <c r="P1183" i="17" l="1"/>
  <c r="O1183" i="17"/>
  <c r="R1183" i="17" l="1"/>
  <c r="S1183" i="17" s="1"/>
  <c r="AK1183" i="17" l="1"/>
  <c r="T1183" i="17"/>
  <c r="AQ1183" i="17"/>
  <c r="AI1183" i="17"/>
  <c r="K1184" i="17"/>
  <c r="H1184" i="17"/>
  <c r="U1184" i="17" l="1"/>
  <c r="V1184" i="17" s="1"/>
  <c r="M1184" i="17"/>
  <c r="N1184" i="17" s="1"/>
  <c r="AJ1184" i="17" s="1"/>
  <c r="O1184" i="17" s="1"/>
  <c r="Q1184" i="17" l="1"/>
  <c r="P1184" i="17"/>
  <c r="R1184" i="17" l="1"/>
  <c r="S1184" i="17" s="1"/>
  <c r="K1185" i="17" l="1"/>
  <c r="AK1184" i="17"/>
  <c r="AI1184" i="17"/>
  <c r="H1185" i="17"/>
  <c r="T1184" i="17"/>
  <c r="AQ1184" i="17"/>
  <c r="M1185" i="17" l="1"/>
  <c r="N1185" i="17" s="1"/>
  <c r="AJ1185" i="17" s="1"/>
  <c r="O1185" i="17" s="1"/>
  <c r="U1185" i="17"/>
  <c r="V1185" i="17" s="1"/>
  <c r="P1185" i="17" l="1"/>
  <c r="Q1185" i="17"/>
  <c r="R1185" i="17" l="1"/>
  <c r="AQ1185" i="17" s="1"/>
  <c r="AK1185" i="17" l="1"/>
  <c r="S1185" i="17"/>
  <c r="H1186" i="17"/>
  <c r="T1185" i="17"/>
  <c r="K1186" i="17"/>
  <c r="M1186" i="17" s="1"/>
  <c r="N1186" i="17" s="1"/>
  <c r="AJ1186" i="17" s="1"/>
  <c r="O1186" i="17" s="1"/>
  <c r="AI1185" i="17"/>
  <c r="P1186" i="17" l="1"/>
  <c r="U1186" i="17"/>
  <c r="V1186" i="17" s="1"/>
  <c r="Q1186" i="17"/>
  <c r="R1186" i="17" l="1"/>
  <c r="S1186" i="17" s="1"/>
  <c r="T1186" i="17" l="1"/>
  <c r="AI1186" i="17"/>
  <c r="AQ1186" i="17"/>
  <c r="K1187" i="17"/>
  <c r="M1187" i="17" s="1"/>
  <c r="N1187" i="17" s="1"/>
  <c r="AJ1187" i="17" s="1"/>
  <c r="O1187" i="17" s="1"/>
  <c r="AK1186" i="17"/>
  <c r="H1187" i="17"/>
  <c r="U1187" i="17" l="1"/>
  <c r="V1187" i="17" s="1"/>
  <c r="P1187" i="17"/>
  <c r="Q1187" i="17"/>
  <c r="R1187" i="17" l="1"/>
  <c r="S1187" i="17" s="1"/>
  <c r="K1188" i="17" l="1"/>
  <c r="H1188" i="17"/>
  <c r="T1187" i="17"/>
  <c r="AI1187" i="17"/>
  <c r="AQ1187" i="17"/>
  <c r="AK1187" i="17"/>
  <c r="M1188" i="17" l="1"/>
  <c r="N1188" i="17" s="1"/>
  <c r="U1188" i="17"/>
  <c r="V1188" i="17" s="1"/>
  <c r="AJ1188" i="17" l="1"/>
  <c r="O1188" i="17" l="1"/>
  <c r="P1188" i="17"/>
  <c r="Q1188" i="17"/>
  <c r="R1188" i="17" l="1"/>
  <c r="S1188" i="17" s="1"/>
  <c r="H1189" i="17" l="1"/>
  <c r="AK1188" i="17"/>
  <c r="AQ1188" i="17"/>
  <c r="AI1188" i="17"/>
  <c r="K1189" i="17"/>
  <c r="T1188" i="17"/>
  <c r="U1189" i="17" l="1"/>
  <c r="V1189" i="17" s="1"/>
  <c r="M1189" i="17"/>
  <c r="N1189" i="17" s="1"/>
  <c r="AJ1189" i="17" s="1"/>
  <c r="O1189" i="17" s="1"/>
  <c r="P1189" i="17" l="1"/>
  <c r="Q1189" i="17"/>
  <c r="R1189" i="17" l="1"/>
  <c r="S1189" i="17" s="1"/>
  <c r="AK1189" i="17" l="1"/>
  <c r="AI1189" i="17"/>
  <c r="T1189" i="17"/>
  <c r="H1190" i="17"/>
  <c r="K1190" i="17"/>
  <c r="AQ1189" i="17"/>
  <c r="M1190" i="17" l="1"/>
  <c r="N1190" i="17" s="1"/>
  <c r="AJ1190" i="17" s="1"/>
  <c r="O1190" i="17" s="1"/>
  <c r="U1190" i="17"/>
  <c r="V1190" i="17" s="1"/>
  <c r="Q1190" i="17" l="1"/>
  <c r="P1190" i="17"/>
  <c r="R1190" i="17" l="1"/>
  <c r="S1190" i="17" s="1"/>
  <c r="AQ1190" i="17" l="1"/>
  <c r="H1191" i="17"/>
  <c r="K1191" i="17"/>
  <c r="M1191" i="17" s="1"/>
  <c r="N1191" i="17" s="1"/>
  <c r="AJ1191" i="17" s="1"/>
  <c r="O1191" i="17" s="1"/>
  <c r="AI1190" i="17"/>
  <c r="T1190" i="17"/>
  <c r="AK1190" i="17"/>
  <c r="U1191" i="17" l="1"/>
  <c r="V1191" i="17" s="1"/>
  <c r="P1191" i="17"/>
  <c r="Q1191" i="17"/>
  <c r="R1191" i="17" l="1"/>
  <c r="S1191" i="17" s="1"/>
  <c r="T1191" i="17" l="1"/>
  <c r="AI1191" i="17"/>
  <c r="K1192" i="17"/>
  <c r="U1192" i="17" s="1"/>
  <c r="V1192" i="17" s="1"/>
  <c r="AK1191" i="17"/>
  <c r="H1192" i="17"/>
  <c r="AQ1191" i="17"/>
  <c r="M1192" i="17" l="1"/>
  <c r="N1192" i="17" s="1"/>
  <c r="AJ1192" i="17" l="1"/>
  <c r="O1192" i="17" s="1"/>
  <c r="P1192" i="17" l="1"/>
  <c r="Q1192" i="17"/>
  <c r="R1192" i="17" l="1"/>
  <c r="S1192" i="17" s="1"/>
  <c r="K1193" i="17" l="1"/>
  <c r="U1193" i="17" s="1"/>
  <c r="V1193" i="17" s="1"/>
  <c r="AK1192" i="17"/>
  <c r="AI1192" i="17"/>
  <c r="T1192" i="17"/>
  <c r="AQ1192" i="17"/>
  <c r="H1193" i="17"/>
  <c r="M1193" i="17" l="1"/>
  <c r="N1193" i="17" s="1"/>
  <c r="AJ1193" i="17" s="1"/>
  <c r="O1193" i="17" s="1"/>
  <c r="Q1193" i="17" l="1"/>
  <c r="P1193" i="17"/>
  <c r="R1193" i="17" l="1"/>
  <c r="S1193" i="17" s="1"/>
  <c r="AI1193" i="17" l="1"/>
  <c r="AQ1193" i="17"/>
  <c r="T1193" i="17"/>
  <c r="H1194" i="17"/>
  <c r="K1194" i="17"/>
  <c r="U1194" i="17" s="1"/>
  <c r="V1194" i="17" s="1"/>
  <c r="AK1193" i="17"/>
  <c r="M1194" i="17" l="1"/>
  <c r="N1194" i="17" s="1"/>
  <c r="AJ1194" i="17" s="1"/>
  <c r="O1194" i="17" s="1"/>
  <c r="P1194" i="17" l="1"/>
  <c r="Q1194" i="17"/>
  <c r="R1194" i="17" l="1"/>
  <c r="S1194" i="17" s="1"/>
  <c r="H1195" i="17" l="1"/>
  <c r="T1194" i="17"/>
  <c r="AQ1194" i="17"/>
  <c r="AK1194" i="17"/>
  <c r="AI1194" i="17"/>
  <c r="K1195" i="17"/>
  <c r="M1195" i="17" s="1"/>
  <c r="N1195" i="17" s="1"/>
  <c r="AJ1195" i="17" s="1"/>
  <c r="U1195" i="17" l="1"/>
  <c r="V1195" i="17" s="1"/>
  <c r="P1195" i="17"/>
  <c r="Q1195" i="17"/>
  <c r="O1195" i="17"/>
  <c r="R1195" i="17" l="1"/>
  <c r="S1195" i="17" s="1"/>
  <c r="AQ1195" i="17" l="1"/>
  <c r="AI1195" i="17"/>
  <c r="T1195" i="17"/>
  <c r="K1196" i="17"/>
  <c r="H1196" i="17"/>
  <c r="AK1195" i="17"/>
  <c r="U1196" i="17" l="1"/>
  <c r="V1196" i="17" s="1"/>
  <c r="M1196" i="17"/>
  <c r="N1196" i="17" s="1"/>
  <c r="AJ1196" i="17" l="1"/>
  <c r="P1196" i="17" l="1"/>
  <c r="O1196" i="17"/>
  <c r="Q1196" i="17"/>
  <c r="R1196" i="17" l="1"/>
  <c r="S1196" i="17" s="1"/>
  <c r="AQ1196" i="17" l="1"/>
  <c r="K1197" i="17"/>
  <c r="T1196" i="17"/>
  <c r="AI1196" i="17"/>
  <c r="H1197" i="17"/>
  <c r="AK1196" i="17"/>
  <c r="U1197" i="17" l="1"/>
  <c r="V1197" i="17" s="1"/>
  <c r="M1197" i="17"/>
  <c r="N1197" i="17" s="1"/>
  <c r="AJ1197" i="17" s="1"/>
  <c r="O1197" i="17" s="1"/>
  <c r="Q1197" i="17" l="1"/>
  <c r="P1197" i="17"/>
  <c r="R1197" i="17" l="1"/>
  <c r="S1197" i="17" s="1"/>
  <c r="AQ1197" i="17" l="1"/>
  <c r="K1198" i="17"/>
  <c r="AK1197" i="17"/>
  <c r="AI1197" i="17"/>
  <c r="H1198" i="17"/>
  <c r="T1197" i="17"/>
  <c r="U1198" i="17" l="1"/>
  <c r="V1198" i="17" s="1"/>
  <c r="M1198" i="17"/>
  <c r="N1198" i="17" s="1"/>
  <c r="AJ1198" i="17" s="1"/>
  <c r="O1198" i="17" s="1"/>
  <c r="P1198" i="17" l="1"/>
  <c r="Q1198" i="17"/>
  <c r="R1198" i="17" l="1"/>
  <c r="S1198" i="17" s="1"/>
  <c r="AK1198" i="17" l="1"/>
  <c r="AI1198" i="17"/>
  <c r="H1199" i="17"/>
  <c r="AQ1198" i="17"/>
  <c r="T1198" i="17"/>
  <c r="K1199" i="17"/>
  <c r="M1199" i="17" l="1"/>
  <c r="N1199" i="17" s="1"/>
  <c r="AJ1199" i="17" s="1"/>
  <c r="O1199" i="17" s="1"/>
  <c r="U1199" i="17"/>
  <c r="V1199" i="17" s="1"/>
  <c r="P1199" i="17" l="1"/>
  <c r="Q1199" i="17"/>
  <c r="R1199" i="17" l="1"/>
  <c r="AI1199" i="17" l="1"/>
  <c r="S1199" i="17"/>
  <c r="H1200" i="17"/>
  <c r="AK1199" i="17"/>
  <c r="AQ1199" i="17"/>
  <c r="K1200" i="17"/>
  <c r="U1200" i="17" s="1"/>
  <c r="V1200" i="17" s="1"/>
  <c r="T1199" i="17"/>
  <c r="M1200" i="17" l="1"/>
  <c r="N1200" i="17" s="1"/>
  <c r="AJ1200" i="17" s="1"/>
  <c r="O1200" i="17" s="1"/>
  <c r="Q1200" i="17" l="1"/>
  <c r="P1200" i="17"/>
  <c r="R1200" i="17" l="1"/>
  <c r="S1200" i="17" s="1"/>
  <c r="T1200" i="17" l="1"/>
  <c r="AI1200" i="17"/>
  <c r="K1201" i="17"/>
  <c r="M1201" i="17" s="1"/>
  <c r="N1201" i="17" s="1"/>
  <c r="AJ1201" i="17" s="1"/>
  <c r="O1201" i="17" s="1"/>
  <c r="AQ1200" i="17"/>
  <c r="H1201" i="17"/>
  <c r="AK1200" i="17"/>
  <c r="U1201" i="17" l="1"/>
  <c r="V1201" i="17" s="1"/>
  <c r="P1201" i="17"/>
  <c r="Q1201" i="17"/>
  <c r="R1201" i="17" l="1"/>
  <c r="S1201" i="17" s="1"/>
  <c r="AI1201" i="17" l="1"/>
  <c r="T1201" i="17"/>
  <c r="AQ1201" i="17"/>
  <c r="AK1201" i="17"/>
  <c r="K1202" i="17"/>
  <c r="H1202" i="17"/>
  <c r="M1202" i="17" l="1"/>
  <c r="U1202" i="17"/>
  <c r="V1202" i="17" s="1"/>
  <c r="N1202" i="17" l="1"/>
  <c r="AJ1202" i="17" l="1"/>
  <c r="O1202" i="17" l="1"/>
  <c r="P1202" i="17"/>
  <c r="Q1202" i="17"/>
  <c r="R1202" i="17" l="1"/>
  <c r="S1202" i="17" s="1"/>
  <c r="AK1202" i="17" l="1"/>
  <c r="AQ1202" i="17"/>
  <c r="K1203" i="17"/>
  <c r="T1202" i="17"/>
  <c r="H1203" i="17"/>
  <c r="AI1202" i="17"/>
  <c r="M1203" i="17" l="1"/>
  <c r="N1203" i="17" s="1"/>
  <c r="AJ1203" i="17" s="1"/>
  <c r="O1203" i="17" s="1"/>
  <c r="U1203" i="17"/>
  <c r="V1203" i="17" s="1"/>
  <c r="P1203" i="17" l="1"/>
  <c r="Q1203" i="17"/>
  <c r="R1203" i="17" l="1"/>
  <c r="S1203" i="17" s="1"/>
  <c r="K1204" i="17" l="1"/>
  <c r="U1204" i="17" s="1"/>
  <c r="V1204" i="17" s="1"/>
  <c r="H1204" i="17"/>
  <c r="AK1203" i="17"/>
  <c r="T1203" i="17"/>
  <c r="AI1203" i="17"/>
  <c r="AQ1203" i="17"/>
  <c r="M1204" i="17" l="1"/>
  <c r="N1204" i="17" s="1"/>
  <c r="AJ1204" i="17" s="1"/>
  <c r="O1204" i="17" s="1"/>
  <c r="P1204" i="17" l="1"/>
  <c r="Q1204" i="17"/>
  <c r="R1204" i="17" l="1"/>
  <c r="S1204" i="17" s="1"/>
  <c r="AQ1204" i="17" l="1"/>
  <c r="AI1204" i="17"/>
  <c r="H1205" i="17"/>
  <c r="T1204" i="17"/>
  <c r="AK1204" i="17"/>
  <c r="K1205" i="17"/>
  <c r="U1205" i="17" s="1"/>
  <c r="V1205" i="17" s="1"/>
  <c r="M1205" i="17" l="1"/>
  <c r="N1205" i="17" s="1"/>
  <c r="AJ1205" i="17" l="1"/>
  <c r="P1205" i="17" s="1"/>
  <c r="O1205" i="17" l="1"/>
  <c r="Q1205" i="17"/>
  <c r="R1205" i="17" l="1"/>
  <c r="S1205" i="17" s="1"/>
  <c r="AQ1205" i="17" l="1"/>
  <c r="AI1205" i="17"/>
  <c r="AK1205" i="17"/>
  <c r="H1206" i="17"/>
  <c r="T1205" i="17"/>
  <c r="K1206" i="17"/>
  <c r="M1206" i="17" s="1"/>
  <c r="N1206" i="17" l="1"/>
  <c r="AJ1206" i="17" s="1"/>
  <c r="O1206" i="17" s="1"/>
  <c r="U1206" i="17"/>
  <c r="V1206" i="17" s="1"/>
  <c r="Q1206" i="17" l="1"/>
  <c r="P1206" i="17"/>
  <c r="R1206" i="17" s="1"/>
  <c r="S1206" i="17" s="1"/>
  <c r="AI1206" i="17" l="1"/>
  <c r="K1207" i="17"/>
  <c r="M1207" i="17" s="1"/>
  <c r="T1206" i="17"/>
  <c r="AK1206" i="17"/>
  <c r="AQ1206" i="17"/>
  <c r="H1207" i="17"/>
  <c r="U1207" i="17" l="1"/>
  <c r="V1207" i="17" s="1"/>
  <c r="N1207" i="17"/>
  <c r="AJ1207" i="17" s="1"/>
  <c r="O1207" i="17" s="1"/>
  <c r="P1207" i="17" l="1"/>
  <c r="Q1207" i="17"/>
  <c r="R1207" i="17" l="1"/>
  <c r="S1207" i="17" s="1"/>
  <c r="T1207" i="17" l="1"/>
  <c r="K1208" i="17"/>
  <c r="U1208" i="17" s="1"/>
  <c r="V1208" i="17" s="1"/>
  <c r="H1208" i="17"/>
  <c r="AQ1207" i="17"/>
  <c r="AI1207" i="17"/>
  <c r="AK1207" i="17"/>
  <c r="M1208" i="17" l="1"/>
  <c r="N1208" i="17" s="1"/>
  <c r="AJ1208" i="17" l="1"/>
  <c r="P1208" i="17" l="1"/>
  <c r="O1208" i="17"/>
  <c r="Q1208" i="17"/>
  <c r="R1208" i="17" l="1"/>
  <c r="S1208" i="17" s="1"/>
  <c r="AQ1208" i="17" l="1"/>
  <c r="AK1208" i="17"/>
  <c r="H1209" i="17"/>
  <c r="K1209" i="17"/>
  <c r="T1208" i="17"/>
  <c r="AI1208" i="17"/>
  <c r="M1209" i="17" l="1"/>
  <c r="N1209" i="17" s="1"/>
  <c r="AJ1209" i="17" s="1"/>
  <c r="O1209" i="17" s="1"/>
  <c r="U1209" i="17"/>
  <c r="V1209" i="17" s="1"/>
  <c r="P1209" i="17" l="1"/>
  <c r="Q1209" i="17"/>
  <c r="R1209" i="17" l="1"/>
  <c r="S1209" i="17" s="1"/>
  <c r="AK1209" i="17" l="1"/>
  <c r="H1210" i="17"/>
  <c r="K1210" i="17"/>
  <c r="U1210" i="17" s="1"/>
  <c r="V1210" i="17" s="1"/>
  <c r="AI1209" i="17"/>
  <c r="AQ1209" i="17"/>
  <c r="T1209" i="17"/>
  <c r="M1210" i="17" l="1"/>
  <c r="N1210" i="17" s="1"/>
  <c r="AJ1210" i="17" s="1"/>
  <c r="O1210" i="17" s="1"/>
  <c r="Q1210" i="17" l="1"/>
  <c r="P1210" i="17"/>
  <c r="R1210" i="17" l="1"/>
  <c r="S1210" i="17" s="1"/>
  <c r="H1211" i="17" l="1"/>
  <c r="AI1210" i="17"/>
  <c r="T1210" i="17"/>
  <c r="AK1210" i="17"/>
  <c r="K1211" i="17"/>
  <c r="M1211" i="17" s="1"/>
  <c r="AQ1210" i="17"/>
  <c r="N1211" i="17" l="1"/>
  <c r="AJ1211" i="17" s="1"/>
  <c r="P1211" i="17" s="1"/>
  <c r="U1211" i="17"/>
  <c r="V1211" i="17" s="1"/>
  <c r="O1211" i="17" l="1"/>
  <c r="Q1211" i="17"/>
  <c r="R1211" i="17" l="1"/>
  <c r="S1211" i="17" s="1"/>
  <c r="AK1211" i="17" l="1"/>
  <c r="AQ1211" i="17"/>
  <c r="H1212" i="17"/>
  <c r="T1211" i="17"/>
  <c r="K1212" i="17"/>
  <c r="AI1211" i="17"/>
  <c r="U1212" i="17" l="1"/>
  <c r="V1212" i="17" s="1"/>
  <c r="M1212" i="17"/>
  <c r="N1212" i="17" s="1"/>
  <c r="AJ1212" i="17" s="1"/>
  <c r="O1212" i="17" s="1"/>
  <c r="Q1212" i="17" l="1"/>
  <c r="P1212" i="17"/>
  <c r="R1212" i="17" l="1"/>
  <c r="S1212" i="17" s="1"/>
  <c r="T1212" i="17" l="1"/>
  <c r="K1213" i="17"/>
  <c r="M1213" i="17" s="1"/>
  <c r="AI1212" i="17"/>
  <c r="AQ1212" i="17"/>
  <c r="AK1212" i="17"/>
  <c r="H1213" i="17"/>
  <c r="N1213" i="17" l="1"/>
  <c r="AJ1213" i="17" s="1"/>
  <c r="O1213" i="17" s="1"/>
  <c r="U1213" i="17"/>
  <c r="V1213" i="17" s="1"/>
  <c r="P1213" i="17" l="1"/>
  <c r="Q1213" i="17"/>
  <c r="R1213" i="17" l="1"/>
  <c r="S1213" i="17" s="1"/>
  <c r="AK1213" i="17" l="1"/>
  <c r="T1213" i="17"/>
  <c r="H1214" i="17"/>
  <c r="AI1213" i="17"/>
  <c r="K1214" i="17"/>
  <c r="U1214" i="17" s="1"/>
  <c r="V1214" i="17" s="1"/>
  <c r="AQ1213" i="17"/>
  <c r="M1214" i="17" l="1"/>
  <c r="N1214" i="17" s="1"/>
  <c r="AJ1214" i="17" s="1"/>
  <c r="O1214" i="17" l="1"/>
  <c r="Q1214" i="17"/>
  <c r="P1214" i="17"/>
  <c r="R1214" i="17" l="1"/>
  <c r="S1214" i="17" l="1"/>
  <c r="H1215" i="17"/>
  <c r="T1214" i="17"/>
  <c r="AQ1214" i="17"/>
  <c r="K1215" i="17"/>
  <c r="AK1214" i="17"/>
  <c r="AI1214" i="17"/>
  <c r="M1215" i="17" l="1"/>
  <c r="N1215" i="17" s="1"/>
  <c r="AJ1215" i="17" s="1"/>
  <c r="U1215" i="17"/>
  <c r="V1215" i="17" s="1"/>
  <c r="O1215" i="17" l="1"/>
  <c r="Q1215" i="17"/>
  <c r="P1215" i="17"/>
  <c r="R1215" i="17" l="1"/>
  <c r="S1215" i="17" s="1"/>
  <c r="T1215" i="17" l="1"/>
  <c r="H1216" i="17"/>
  <c r="K1216" i="17"/>
  <c r="U1216" i="17" s="1"/>
  <c r="V1216" i="17" s="1"/>
  <c r="AQ1215" i="17"/>
  <c r="AK1215" i="17"/>
  <c r="AI1215" i="17"/>
  <c r="M1216" i="17" l="1"/>
  <c r="N1216" i="17" s="1"/>
  <c r="AJ1216" i="17" s="1"/>
  <c r="O1216" i="17" s="1"/>
  <c r="P1216" i="17" l="1"/>
  <c r="Q1216" i="17"/>
  <c r="R1216" i="17" l="1"/>
  <c r="S1216" i="17" s="1"/>
  <c r="AQ1216" i="17" l="1"/>
  <c r="H1217" i="17"/>
  <c r="AI1216" i="17"/>
  <c r="K1217" i="17"/>
  <c r="T1216" i="17"/>
  <c r="AK1216" i="17"/>
  <c r="M1217" i="17" l="1"/>
  <c r="N1217" i="17" s="1"/>
  <c r="AJ1217" i="17" s="1"/>
  <c r="O1217" i="17" s="1"/>
  <c r="U1217" i="17"/>
  <c r="V1217" i="17" s="1"/>
  <c r="P1217" i="17" l="1"/>
  <c r="Q1217" i="17"/>
  <c r="R1217" i="17" l="1"/>
  <c r="S1217" i="17" s="1"/>
  <c r="H1218" i="17" l="1"/>
  <c r="AQ1217" i="17"/>
  <c r="AK1217" i="17"/>
  <c r="AI1217" i="17"/>
  <c r="T1217" i="17"/>
  <c r="K1218" i="17"/>
  <c r="U1218" i="17" l="1"/>
  <c r="V1218" i="17" s="1"/>
  <c r="M1218" i="17"/>
  <c r="N1218" i="17" s="1"/>
  <c r="AJ1218" i="17" s="1"/>
  <c r="O1218" i="17" s="1"/>
  <c r="Q1218" i="17" l="1"/>
  <c r="P1218" i="17"/>
  <c r="R1218" i="17" l="1"/>
  <c r="S1218" i="17" s="1"/>
  <c r="AK1218" i="17" l="1"/>
  <c r="T1218" i="17"/>
  <c r="AI1218" i="17"/>
  <c r="H1219" i="17"/>
  <c r="AQ1218" i="17"/>
  <c r="K1219" i="17"/>
  <c r="U1219" i="17" l="1"/>
  <c r="V1219" i="17" s="1"/>
  <c r="M1219" i="17"/>
  <c r="N1219" i="17" s="1"/>
  <c r="AJ1219" i="17" l="1"/>
  <c r="O1219" i="17" s="1"/>
  <c r="P1219" i="17" l="1"/>
  <c r="Q1219" i="17"/>
  <c r="R1219" i="17" l="1"/>
  <c r="S1219" i="17" s="1"/>
  <c r="AQ1219" i="17" l="1"/>
  <c r="H1220" i="17"/>
  <c r="K1220" i="17"/>
  <c r="T1219" i="17"/>
  <c r="AI1219" i="17"/>
  <c r="AK1219" i="17"/>
  <c r="M1220" i="17" l="1"/>
  <c r="N1220" i="17" s="1"/>
  <c r="AJ1220" i="17" s="1"/>
  <c r="O1220" i="17" s="1"/>
  <c r="U1220" i="17"/>
  <c r="V1220" i="17" s="1"/>
  <c r="Q1220" i="17" l="1"/>
  <c r="P1220" i="17"/>
  <c r="R1220" i="17" l="1"/>
  <c r="S1220" i="17" s="1"/>
  <c r="AK1220" i="17" l="1"/>
  <c r="T1220" i="17"/>
  <c r="K1221" i="17"/>
  <c r="H1221" i="17"/>
  <c r="AQ1220" i="17"/>
  <c r="AI1220" i="17"/>
  <c r="U1221" i="17" l="1"/>
  <c r="V1221" i="17" s="1"/>
  <c r="M1221" i="17"/>
  <c r="N1221" i="17" s="1"/>
  <c r="AJ1221" i="17" l="1"/>
  <c r="O1221" i="17" s="1"/>
  <c r="P1221" i="17" l="1"/>
  <c r="Q1221" i="17"/>
  <c r="R1221" i="17" l="1"/>
  <c r="S1221" i="17" s="1"/>
  <c r="AK1221" i="17" l="1"/>
  <c r="K1222" i="17"/>
  <c r="AI1221" i="17"/>
  <c r="T1221" i="17"/>
  <c r="H1222" i="17"/>
  <c r="AQ1221" i="17"/>
  <c r="M1222" i="17" l="1"/>
  <c r="N1222" i="17" s="1"/>
  <c r="AJ1222" i="17" s="1"/>
  <c r="O1222" i="17" s="1"/>
  <c r="U1222" i="17"/>
  <c r="V1222" i="17" s="1"/>
  <c r="Q1222" i="17" l="1"/>
  <c r="P1222" i="17"/>
  <c r="R1222" i="17" l="1"/>
  <c r="S1222" i="17" s="1"/>
  <c r="AK1222" i="17" l="1"/>
  <c r="K1223" i="17"/>
  <c r="H1223" i="17"/>
  <c r="AI1222" i="17"/>
  <c r="T1222" i="17"/>
  <c r="AQ1222" i="17"/>
  <c r="M1223" i="17" l="1"/>
  <c r="N1223" i="17" s="1"/>
  <c r="AJ1223" i="17" s="1"/>
  <c r="O1223" i="17" s="1"/>
  <c r="U1223" i="17"/>
  <c r="V1223" i="17" s="1"/>
  <c r="Q1223" i="17" l="1"/>
  <c r="P1223" i="17"/>
  <c r="R1223" i="17" l="1"/>
  <c r="S1223" i="17" s="1"/>
  <c r="AQ1223" i="17" l="1"/>
  <c r="H1224" i="17"/>
  <c r="AI1223" i="17"/>
  <c r="K1224" i="17"/>
  <c r="T1223" i="17"/>
  <c r="AK1223" i="17"/>
  <c r="M1224" i="17" l="1"/>
  <c r="N1224" i="17" s="1"/>
  <c r="AJ1224" i="17" s="1"/>
  <c r="O1224" i="17" s="1"/>
  <c r="U1224" i="17"/>
  <c r="V1224" i="17" s="1"/>
  <c r="Q1224" i="17" l="1"/>
  <c r="P1224" i="17"/>
  <c r="R1224" i="17" l="1"/>
  <c r="S1224" i="17" s="1"/>
  <c r="AK1224" i="17" l="1"/>
  <c r="T1224" i="17"/>
  <c r="AI1224" i="17"/>
  <c r="H1225" i="17"/>
  <c r="K1225" i="17"/>
  <c r="AQ1224" i="17"/>
  <c r="U1225" i="17" l="1"/>
  <c r="V1225" i="17" s="1"/>
  <c r="M1225" i="17"/>
  <c r="N1225" i="17" s="1"/>
  <c r="AJ1225" i="17" l="1"/>
  <c r="O1225" i="17" s="1"/>
  <c r="P1225" i="17" l="1"/>
  <c r="Q1225" i="17"/>
  <c r="R1225" i="17" l="1"/>
  <c r="S1225" i="17" s="1"/>
  <c r="AK1225" i="17" l="1"/>
  <c r="K1226" i="17"/>
  <c r="H1226" i="17"/>
  <c r="AI1225" i="17"/>
  <c r="T1225" i="17"/>
  <c r="AQ1225" i="17"/>
  <c r="M1226" i="17" l="1"/>
  <c r="N1226" i="17" s="1"/>
  <c r="AJ1226" i="17" s="1"/>
  <c r="O1226" i="17" s="1"/>
  <c r="U1226" i="17"/>
  <c r="V1226" i="17" s="1"/>
  <c r="P1226" i="17" l="1"/>
  <c r="Q1226" i="17"/>
  <c r="R1226" i="17" l="1"/>
  <c r="S1226" i="17" s="1"/>
  <c r="AI1226" i="17" l="1"/>
  <c r="AK1226" i="17"/>
  <c r="AQ1226" i="17"/>
  <c r="K1227" i="17"/>
  <c r="H1227" i="17"/>
  <c r="T1226" i="17"/>
  <c r="U1227" i="17" l="1"/>
  <c r="V1227" i="17" s="1"/>
  <c r="M1227" i="17"/>
  <c r="N1227" i="17" s="1"/>
  <c r="AJ1227" i="17" s="1"/>
  <c r="O1227" i="17" s="1"/>
  <c r="P1227" i="17" l="1"/>
  <c r="Q1227" i="17"/>
  <c r="R1227" i="17" l="1"/>
  <c r="S1227" i="17" s="1"/>
  <c r="AK1227" i="17" l="1"/>
  <c r="K1228" i="17"/>
  <c r="AI1227" i="17"/>
  <c r="T1227" i="17"/>
  <c r="H1228" i="17"/>
  <c r="AQ1227" i="17"/>
  <c r="M1228" i="17" l="1"/>
  <c r="N1228" i="17" s="1"/>
  <c r="AJ1228" i="17" s="1"/>
  <c r="O1228" i="17" s="1"/>
  <c r="U1228" i="17"/>
  <c r="V1228" i="17" s="1"/>
  <c r="Q1228" i="17" l="1"/>
  <c r="P1228" i="17"/>
  <c r="R1228" i="17" l="1"/>
  <c r="S1228" i="17" s="1"/>
  <c r="AQ1228" i="17" l="1"/>
  <c r="H1229" i="17"/>
  <c r="AI1228" i="17"/>
  <c r="AK1228" i="17"/>
  <c r="K1229" i="17"/>
  <c r="T1228" i="17"/>
  <c r="U1229" i="17" l="1"/>
  <c r="V1229" i="17" s="1"/>
  <c r="M1229" i="17"/>
  <c r="N1229" i="17" s="1"/>
  <c r="AJ1229" i="17" s="1"/>
  <c r="O1229" i="17" s="1"/>
  <c r="P1229" i="17" l="1"/>
  <c r="Q1229" i="17"/>
  <c r="R1229" i="17" l="1"/>
  <c r="S1229" i="17" s="1"/>
  <c r="AI1229" i="17" l="1"/>
  <c r="K1230" i="17"/>
  <c r="H1230" i="17"/>
  <c r="AQ1229" i="17"/>
  <c r="T1229" i="17"/>
  <c r="AK1229" i="17"/>
  <c r="M1230" i="17" l="1"/>
  <c r="N1230" i="17" s="1"/>
  <c r="AJ1230" i="17" s="1"/>
  <c r="O1230" i="17" s="1"/>
  <c r="U1230" i="17"/>
  <c r="V1230" i="17" s="1"/>
  <c r="Q1230" i="17" l="1"/>
  <c r="P1230" i="17"/>
  <c r="R1230" i="17" l="1"/>
  <c r="S1230" i="17" s="1"/>
  <c r="H1231" i="17" l="1"/>
  <c r="AK1230" i="17"/>
  <c r="AI1230" i="17"/>
  <c r="K1231" i="17"/>
  <c r="AQ1230" i="17"/>
  <c r="T1230" i="17"/>
  <c r="M1231" i="17" l="1"/>
  <c r="N1231" i="17" s="1"/>
  <c r="AJ1231" i="17" s="1"/>
  <c r="Q1231" i="17" s="1"/>
  <c r="U1231" i="17"/>
  <c r="V1231" i="17" s="1"/>
  <c r="P1231" i="17" l="1"/>
  <c r="O1231" i="17"/>
  <c r="M21" i="17"/>
  <c r="M22" i="17"/>
  <c r="M23" i="17"/>
  <c r="M24" i="17"/>
  <c r="M25" i="17"/>
  <c r="M26" i="17"/>
  <c r="M27" i="17"/>
  <c r="M28" i="17"/>
  <c r="M29" i="17"/>
  <c r="M30" i="17"/>
  <c r="M31" i="17"/>
  <c r="M32" i="17"/>
  <c r="R1231" i="17" l="1"/>
  <c r="S1231" i="17" s="1"/>
  <c r="N32" i="17"/>
  <c r="N28" i="17"/>
  <c r="N24" i="17"/>
  <c r="N31" i="17"/>
  <c r="N27" i="17"/>
  <c r="N23" i="17"/>
  <c r="N30" i="17"/>
  <c r="N26" i="17"/>
  <c r="N22" i="17"/>
  <c r="N29" i="17"/>
  <c r="N25" i="17"/>
  <c r="N21" i="17"/>
  <c r="AK1231" i="17" l="1"/>
  <c r="AI1231" i="17"/>
  <c r="K1232" i="17"/>
  <c r="AQ1231" i="17"/>
  <c r="H1232" i="17"/>
  <c r="T1231" i="17"/>
  <c r="M1232" i="17" l="1"/>
  <c r="N1232" i="17" s="1"/>
  <c r="AJ1232" i="17" s="1"/>
  <c r="O1232" i="17" s="1"/>
  <c r="U1232" i="17"/>
  <c r="V1232" i="17" s="1"/>
  <c r="P1232" i="17" l="1"/>
  <c r="Q1232" i="17"/>
  <c r="R1232" i="17" l="1"/>
  <c r="S1232" i="17" s="1"/>
  <c r="AQ1232" i="17" l="1"/>
  <c r="K1233" i="17"/>
  <c r="AI1232" i="17"/>
  <c r="T1232" i="17"/>
  <c r="H1233" i="17"/>
  <c r="AK1232" i="17"/>
  <c r="U1233" i="17" l="1"/>
  <c r="V1233" i="17" s="1"/>
  <c r="M1233" i="17"/>
  <c r="N1233" i="17" s="1"/>
  <c r="AJ1233" i="17" s="1"/>
  <c r="O1233" i="17" s="1"/>
  <c r="P1233" i="17" l="1"/>
  <c r="Q1233" i="17"/>
  <c r="R1233" i="17" l="1"/>
  <c r="S1233" i="17" s="1"/>
  <c r="AI1233" i="17" l="1"/>
  <c r="T1233" i="17"/>
  <c r="H1234" i="17"/>
  <c r="K1234" i="17"/>
  <c r="AQ1233" i="17"/>
  <c r="AK1233" i="17"/>
  <c r="U1234" i="17" l="1"/>
  <c r="V1234" i="17" s="1"/>
  <c r="M1234" i="17"/>
  <c r="N1234" i="17" s="1"/>
  <c r="AJ1234" i="17" l="1"/>
  <c r="O1234" i="17" s="1"/>
  <c r="Q1234" i="17" l="1"/>
  <c r="P1234" i="17"/>
  <c r="R1234" i="17" l="1"/>
  <c r="S1234" i="17" s="1"/>
  <c r="T1234" i="17" l="1"/>
  <c r="K1235" i="17"/>
  <c r="AI1234" i="17"/>
  <c r="H1235" i="17"/>
  <c r="AK1234" i="17"/>
  <c r="AQ1234" i="17"/>
  <c r="U1235" i="17" l="1"/>
  <c r="V1235" i="17" s="1"/>
  <c r="M1235" i="17"/>
  <c r="N1235" i="17" s="1"/>
  <c r="AJ1235" i="17" s="1"/>
  <c r="O1235" i="17" s="1"/>
  <c r="P1235" i="17" l="1"/>
  <c r="Q1235" i="17"/>
  <c r="R1235" i="17" l="1"/>
  <c r="S1235" i="17" s="1"/>
  <c r="AK1235" i="17" l="1"/>
  <c r="AI1235" i="17"/>
  <c r="H1236" i="17"/>
  <c r="K1236" i="17"/>
  <c r="T1235" i="17"/>
  <c r="AQ1235" i="17"/>
  <c r="U1236" i="17" l="1"/>
  <c r="V1236" i="17" s="1"/>
  <c r="M1236" i="17"/>
  <c r="N1236" i="17" s="1"/>
  <c r="AJ1236" i="17" s="1"/>
  <c r="O1236" i="17" s="1"/>
  <c r="P1236" i="17" l="1"/>
  <c r="Q1236" i="17"/>
  <c r="R1236" i="17" l="1"/>
  <c r="S1236" i="17" s="1"/>
  <c r="AK1236" i="17" l="1"/>
  <c r="T1236" i="17"/>
  <c r="K1237" i="17"/>
  <c r="H1237" i="17"/>
  <c r="AQ1236" i="17"/>
  <c r="AI1236" i="17"/>
  <c r="U1237" i="17" l="1"/>
  <c r="V1237" i="17" s="1"/>
  <c r="M1237" i="17"/>
  <c r="N1237" i="17" s="1"/>
  <c r="AJ1237" i="17" s="1"/>
  <c r="O1237" i="17" s="1"/>
  <c r="P1237" i="17" l="1"/>
  <c r="Q1237" i="17"/>
  <c r="R1237" i="17" l="1"/>
  <c r="S1237" i="17" s="1"/>
  <c r="AQ1237" i="17" l="1"/>
  <c r="AK1237" i="17"/>
  <c r="K1238" i="17"/>
  <c r="T1237" i="17"/>
  <c r="AI1237" i="17"/>
  <c r="H1238" i="17"/>
  <c r="M1238" i="17" l="1"/>
  <c r="N1238" i="17" s="1"/>
  <c r="AJ1238" i="17" s="1"/>
  <c r="O1238" i="17" s="1"/>
  <c r="U1238" i="17"/>
  <c r="V1238" i="17" s="1"/>
  <c r="Q1238" i="17" l="1"/>
  <c r="P1238" i="17"/>
  <c r="R1238" i="17" l="1"/>
  <c r="S1238" i="17" s="1"/>
  <c r="AK1238" i="17" l="1"/>
  <c r="H1239" i="17"/>
  <c r="AI1238" i="17"/>
  <c r="K1239" i="17"/>
  <c r="AQ1238" i="17"/>
  <c r="T1238" i="17"/>
  <c r="M1239" i="17" l="1"/>
  <c r="N1239" i="17" s="1"/>
  <c r="AJ1239" i="17" s="1"/>
  <c r="O1239" i="17" s="1"/>
  <c r="U1239" i="17"/>
  <c r="V1239" i="17" s="1"/>
  <c r="P1239" i="17" l="1"/>
  <c r="Q1239" i="17"/>
  <c r="R1239" i="17" l="1"/>
  <c r="S1239" i="17" s="1"/>
  <c r="AI1239" i="17" l="1"/>
  <c r="K1240" i="17"/>
  <c r="T1239" i="17"/>
  <c r="H1240" i="17"/>
  <c r="AQ1239" i="17"/>
  <c r="AK1239" i="17"/>
  <c r="U1240" i="17" l="1"/>
  <c r="V1240" i="17" s="1"/>
  <c r="M1240" i="17"/>
  <c r="N1240" i="17" s="1"/>
  <c r="AJ1240" i="17" l="1"/>
  <c r="O1240" i="17" s="1"/>
  <c r="P1240" i="17" l="1"/>
  <c r="Q1240" i="17"/>
  <c r="R1240" i="17" l="1"/>
  <c r="S1240" i="17" s="1"/>
  <c r="AK1240" i="17" l="1"/>
  <c r="K1241" i="17"/>
  <c r="AI1240" i="17"/>
  <c r="T1240" i="17"/>
  <c r="H1241" i="17"/>
  <c r="AQ1240" i="17"/>
  <c r="M1241" i="17" l="1"/>
  <c r="N1241" i="17" s="1"/>
  <c r="AJ1241" i="17" s="1"/>
  <c r="O1241" i="17" s="1"/>
  <c r="U1241" i="17"/>
  <c r="V1241" i="17" s="1"/>
  <c r="P1241" i="17" l="1"/>
  <c r="Q1241" i="17"/>
  <c r="R1241" i="17" l="1"/>
  <c r="S1241" i="17" s="1"/>
  <c r="AQ1241" i="17" l="1"/>
  <c r="AK1241" i="17"/>
  <c r="H1242" i="17"/>
  <c r="K1242" i="17"/>
  <c r="AI1241" i="17"/>
  <c r="T1241" i="17"/>
  <c r="M1242" i="17" l="1"/>
  <c r="N1242" i="17" s="1"/>
  <c r="U1242" i="17"/>
  <c r="V1242" i="17" s="1"/>
  <c r="AJ1242" i="17" l="1"/>
  <c r="P1242" i="17" s="1"/>
  <c r="O1242" i="17" l="1"/>
  <c r="Q1242" i="17"/>
  <c r="R1242" i="17" l="1"/>
  <c r="S1242" i="17" s="1"/>
  <c r="H1243" i="17" l="1"/>
  <c r="T1242" i="17"/>
  <c r="AI1242" i="17"/>
  <c r="K1243" i="17"/>
  <c r="AK1242" i="17"/>
  <c r="AQ1242" i="17"/>
  <c r="M1243" i="17" l="1"/>
  <c r="N1243" i="17" s="1"/>
  <c r="AJ1243" i="17" s="1"/>
  <c r="O1243" i="17" s="1"/>
  <c r="U1243" i="17"/>
  <c r="V1243" i="17" s="1"/>
  <c r="P1243" i="17" l="1"/>
  <c r="Q1243" i="17"/>
  <c r="R1243" i="17" l="1"/>
  <c r="S1243" i="17" s="1"/>
  <c r="T1243" i="17" l="1"/>
  <c r="AI1243" i="17"/>
  <c r="H1244" i="17"/>
  <c r="K1244" i="17"/>
  <c r="AQ1243" i="17"/>
  <c r="AK1243" i="17"/>
  <c r="M1244" i="17" l="1"/>
  <c r="N1244" i="17" s="1"/>
  <c r="U1244" i="17"/>
  <c r="V1244" i="17" s="1"/>
  <c r="AJ1244" i="17" l="1"/>
  <c r="P1244" i="17" l="1"/>
  <c r="O1244" i="17"/>
  <c r="Q1244" i="17"/>
  <c r="R1244" i="17" l="1"/>
  <c r="S1244" i="17" s="1"/>
  <c r="AQ1244" i="17" l="1"/>
  <c r="T1244" i="17"/>
  <c r="AI1244" i="17"/>
  <c r="H1245" i="17"/>
  <c r="AK1244" i="17"/>
  <c r="K1245" i="17"/>
  <c r="U1245" i="17" l="1"/>
  <c r="V1245" i="17" s="1"/>
  <c r="M1245" i="17"/>
  <c r="N1245" i="17" s="1"/>
  <c r="AJ1245" i="17" s="1"/>
  <c r="O1245" i="17" s="1"/>
  <c r="P1245" i="17" l="1"/>
  <c r="Q1245" i="17"/>
  <c r="R1245" i="17" l="1"/>
  <c r="S1245" i="17" s="1"/>
  <c r="AQ1245" i="17" l="1"/>
  <c r="H1246" i="17"/>
  <c r="T1245" i="17"/>
  <c r="AI1245" i="17"/>
  <c r="AK1245" i="17"/>
  <c r="K1246" i="17"/>
  <c r="M1246" i="17" l="1"/>
  <c r="N1246" i="17" s="1"/>
  <c r="AJ1246" i="17" s="1"/>
  <c r="O1246" i="17" s="1"/>
  <c r="U1246" i="17"/>
  <c r="V1246" i="17" s="1"/>
  <c r="P1246" i="17" l="1"/>
  <c r="Q1246" i="17"/>
  <c r="R1246" i="17" l="1"/>
  <c r="S1246" i="17" s="1"/>
  <c r="AK1246" i="17" l="1"/>
  <c r="AI1246" i="17"/>
  <c r="K1247" i="17"/>
  <c r="H1247" i="17"/>
  <c r="AQ1246" i="17"/>
  <c r="T1246" i="17"/>
  <c r="U1247" i="17" l="1"/>
  <c r="V1247" i="17" s="1"/>
  <c r="M1247" i="17"/>
  <c r="N1247" i="17" s="1"/>
  <c r="AJ1247" i="17" l="1"/>
  <c r="O1247" i="17" s="1"/>
  <c r="P1247" i="17" l="1"/>
  <c r="Q1247" i="17"/>
  <c r="R1247" i="17" l="1"/>
  <c r="S1247" i="17" s="1"/>
  <c r="H1248" i="17" l="1"/>
  <c r="AI1247" i="17"/>
  <c r="AQ1247" i="17"/>
  <c r="T1247" i="17"/>
  <c r="K1248" i="17"/>
  <c r="AK1247" i="17"/>
  <c r="U1248" i="17" l="1"/>
  <c r="V1248" i="17" s="1"/>
  <c r="M1248" i="17"/>
  <c r="N1248" i="17" s="1"/>
  <c r="AJ1248" i="17" s="1"/>
  <c r="P1248" i="17" s="1"/>
  <c r="O1248" i="17" l="1"/>
  <c r="Q1248" i="17"/>
  <c r="R1248" i="17" l="1"/>
  <c r="S1248" i="17" s="1"/>
  <c r="AK1248" i="17" l="1"/>
  <c r="T1248" i="17"/>
  <c r="K1249" i="17"/>
  <c r="AQ1248" i="17"/>
  <c r="AI1248" i="17"/>
  <c r="H1249" i="17"/>
  <c r="U1249" i="17" l="1"/>
  <c r="V1249" i="17" s="1"/>
  <c r="M1249" i="17"/>
  <c r="N1249" i="17" s="1"/>
  <c r="AJ1249" i="17" s="1"/>
  <c r="O1249" i="17" s="1"/>
  <c r="P1249" i="17" l="1"/>
  <c r="Q1249" i="17"/>
  <c r="R1249" i="17" l="1"/>
  <c r="S1249" i="17" s="1"/>
  <c r="T1249" i="17" l="1"/>
  <c r="AK1249" i="17"/>
  <c r="AI1249" i="17"/>
  <c r="AQ1249" i="17"/>
  <c r="H1250" i="17"/>
  <c r="K1250" i="17"/>
  <c r="M1250" i="17" l="1"/>
  <c r="N1250" i="17" s="1"/>
  <c r="AJ1250" i="17" s="1"/>
  <c r="Q1250" i="17" s="1"/>
  <c r="U1250" i="17"/>
  <c r="V1250" i="17" s="1"/>
  <c r="P1250" i="17" l="1"/>
  <c r="O1250" i="17"/>
  <c r="R1250" i="17" l="1"/>
  <c r="S1250" i="17" s="1"/>
  <c r="K1251" i="17" l="1"/>
  <c r="AK1250" i="17"/>
  <c r="AI1250" i="17"/>
  <c r="T1250" i="17"/>
  <c r="H1251" i="17"/>
  <c r="AQ1250" i="17"/>
  <c r="M1251" i="17" l="1"/>
  <c r="N1251" i="17" s="1"/>
  <c r="AJ1251" i="17" s="1"/>
  <c r="O1251" i="17" s="1"/>
  <c r="U1251" i="17"/>
  <c r="V1251" i="17" s="1"/>
  <c r="P1251" i="17" l="1"/>
  <c r="Q1251" i="17"/>
  <c r="R1251" i="17" l="1"/>
  <c r="S1251" i="17" s="1"/>
  <c r="AI1251" i="17" l="1"/>
  <c r="K1252" i="17"/>
  <c r="H1252" i="17"/>
  <c r="T1251" i="17"/>
  <c r="AK1251" i="17"/>
  <c r="AQ1251" i="17"/>
  <c r="U1252" i="17" l="1"/>
  <c r="V1252" i="17" s="1"/>
  <c r="M1252" i="17"/>
  <c r="N1252" i="17" s="1"/>
  <c r="AJ1252" i="17" s="1"/>
  <c r="O1252" i="17" s="1"/>
  <c r="P1252" i="17" l="1"/>
  <c r="Q1252" i="17"/>
  <c r="R1252" i="17" l="1"/>
  <c r="S1252" i="17" s="1"/>
  <c r="T1252" i="17" l="1"/>
  <c r="K1253" i="17"/>
  <c r="U1253" i="17" s="1"/>
  <c r="V1253" i="17" s="1"/>
  <c r="AI1252" i="17"/>
  <c r="AQ1252" i="17"/>
  <c r="H1253" i="17"/>
  <c r="AK1252" i="17"/>
  <c r="M1253" i="17" l="1"/>
  <c r="N1253" i="17" s="1"/>
  <c r="AJ1253" i="17" s="1"/>
  <c r="P1253" i="17" s="1"/>
  <c r="O1253" i="17" l="1"/>
  <c r="Q1253" i="17"/>
  <c r="R1253" i="17" l="1"/>
  <c r="S1253" i="17" s="1"/>
  <c r="AQ1253" i="17" l="1"/>
  <c r="AK1253" i="17"/>
  <c r="H1254" i="17"/>
  <c r="K1254" i="17"/>
  <c r="T1253" i="17"/>
  <c r="AI1253" i="17"/>
  <c r="U1254" i="17" l="1"/>
  <c r="V1254" i="17" s="1"/>
  <c r="M1254" i="17"/>
  <c r="N1254" i="17" s="1"/>
  <c r="AJ1254" i="17" l="1"/>
  <c r="O1254" i="17" s="1"/>
  <c r="Q1254" i="17" l="1"/>
  <c r="P1254" i="17"/>
  <c r="R1254" i="17" l="1"/>
  <c r="S1254" i="17" s="1"/>
  <c r="AQ1254" i="17" l="1"/>
  <c r="K1255" i="17"/>
  <c r="T1254" i="17"/>
  <c r="H1255" i="17"/>
  <c r="AI1254" i="17"/>
  <c r="AK1254" i="17"/>
  <c r="M1255" i="17" l="1"/>
  <c r="N1255" i="17" s="1"/>
  <c r="AJ1255" i="17" s="1"/>
  <c r="O1255" i="17" s="1"/>
  <c r="U1255" i="17"/>
  <c r="V1255" i="17" s="1"/>
  <c r="P1255" i="17" l="1"/>
  <c r="Q1255" i="17"/>
  <c r="R1255" i="17" l="1"/>
  <c r="S1255" i="17" s="1"/>
  <c r="T1255" i="17" l="1"/>
  <c r="H1256" i="17"/>
  <c r="AK1255" i="17"/>
  <c r="AQ1255" i="17"/>
  <c r="K1256" i="17"/>
  <c r="AI1255" i="17"/>
  <c r="M1256" i="17" l="1"/>
  <c r="N1256" i="17" s="1"/>
  <c r="AJ1256" i="17" s="1"/>
  <c r="U1256" i="17"/>
  <c r="V1256" i="17" s="1"/>
  <c r="O1256" i="17" l="1"/>
  <c r="P1256" i="17"/>
  <c r="Q1256" i="17"/>
  <c r="R1256" i="17" l="1"/>
  <c r="S1256" i="17" s="1"/>
  <c r="AQ1256" i="17" l="1"/>
  <c r="AK1256" i="17"/>
  <c r="T1256" i="17"/>
  <c r="AI1256" i="17"/>
  <c r="H1257" i="17"/>
  <c r="K1257" i="17"/>
  <c r="M1257" i="17" l="1"/>
  <c r="N1257" i="17" s="1"/>
  <c r="U1257" i="17"/>
  <c r="V1257" i="17" s="1"/>
  <c r="AJ1257" i="17" l="1"/>
  <c r="O1257" i="17" s="1"/>
  <c r="P1257" i="17" l="1"/>
  <c r="Q1257" i="17"/>
  <c r="R1257" i="17" l="1"/>
  <c r="S1257" i="17" s="1"/>
  <c r="T1257" i="17" l="1"/>
  <c r="K1258" i="17"/>
  <c r="AK1257" i="17"/>
  <c r="H1258" i="17"/>
  <c r="AQ1257" i="17"/>
  <c r="AI1257" i="17"/>
  <c r="U1258" i="17" l="1"/>
  <c r="V1258" i="17" s="1"/>
  <c r="M1258" i="17"/>
  <c r="N1258" i="17" s="1"/>
  <c r="AJ1258" i="17" s="1"/>
  <c r="Q1258" i="17" s="1"/>
  <c r="P1258" i="17" l="1"/>
  <c r="O1258" i="17"/>
  <c r="R1258" i="17" l="1"/>
  <c r="S1258" i="17" s="1"/>
  <c r="AK1258" i="17" l="1"/>
  <c r="H1259" i="17"/>
  <c r="AI1258" i="17"/>
  <c r="AQ1258" i="17"/>
  <c r="T1258" i="17"/>
  <c r="K1259" i="17"/>
  <c r="M1259" i="17" l="1"/>
  <c r="N1259" i="17" s="1"/>
  <c r="U1259" i="17"/>
  <c r="V1259" i="17" s="1"/>
  <c r="AJ1259" i="17" l="1"/>
  <c r="O1259" i="17" l="1"/>
  <c r="Q1259" i="17"/>
  <c r="P1259" i="17"/>
  <c r="R1259" i="17" l="1"/>
  <c r="S1259" i="17" s="1"/>
  <c r="AK1259" i="17" l="1"/>
  <c r="H1260" i="17"/>
  <c r="T1259" i="17"/>
  <c r="K1260" i="17"/>
  <c r="AI1259" i="17"/>
  <c r="AQ1259" i="17"/>
  <c r="U1260" i="17" l="1"/>
  <c r="V1260" i="17" s="1"/>
  <c r="M1260" i="17"/>
  <c r="N1260" i="17" s="1"/>
  <c r="AJ1260" i="17" s="1"/>
  <c r="O1260" i="17" s="1"/>
  <c r="P1260" i="17" l="1"/>
  <c r="Q1260" i="17"/>
  <c r="R1260" i="17" l="1"/>
  <c r="S1260" i="17" s="1"/>
  <c r="AK1260" i="17" l="1"/>
  <c r="AI1260" i="17"/>
  <c r="AQ1260" i="17"/>
  <c r="T1260" i="17"/>
  <c r="K1261" i="17"/>
  <c r="H1261" i="17"/>
  <c r="M1261" i="17" l="1"/>
  <c r="N1261" i="17" s="1"/>
  <c r="AJ1261" i="17" s="1"/>
  <c r="O1261" i="17" s="1"/>
  <c r="U1261" i="17"/>
  <c r="V1261" i="17" s="1"/>
  <c r="Q1261" i="17" l="1"/>
  <c r="P1261" i="17"/>
  <c r="R1261" i="17" l="1"/>
  <c r="S1261" i="17" s="1"/>
  <c r="T1261" i="17" l="1"/>
  <c r="K1262" i="17"/>
  <c r="AI1261" i="17"/>
  <c r="H1262" i="17"/>
  <c r="AK1261" i="17"/>
  <c r="AQ1261" i="17"/>
  <c r="U1262" i="17" l="1"/>
  <c r="V1262" i="17" s="1"/>
  <c r="M1262" i="17"/>
  <c r="N1262" i="17" s="1"/>
  <c r="AJ1262" i="17" s="1"/>
  <c r="O1262" i="17" s="1"/>
  <c r="P1262" i="17" l="1"/>
  <c r="Q1262" i="17"/>
  <c r="R1262" i="17" l="1"/>
  <c r="S1262" i="17" s="1"/>
  <c r="AQ1262" i="17" l="1"/>
  <c r="AK1262" i="17"/>
  <c r="H1263" i="17"/>
  <c r="T1262" i="17"/>
  <c r="AI1262" i="17"/>
  <c r="K1263" i="17"/>
  <c r="U1263" i="17" l="1"/>
  <c r="V1263" i="17" s="1"/>
  <c r="M1263" i="17"/>
  <c r="N1263" i="17" s="1"/>
  <c r="AJ1263" i="17" l="1"/>
  <c r="O1263" i="17" s="1"/>
  <c r="Q1263" i="17" l="1"/>
  <c r="P1263" i="17"/>
  <c r="R1263" i="17" l="1"/>
  <c r="S1263" i="17" s="1"/>
  <c r="K1264" i="17" l="1"/>
  <c r="M1264" i="17" s="1"/>
  <c r="H1264" i="17"/>
  <c r="T1263" i="17"/>
  <c r="AQ1263" i="17"/>
  <c r="AI1263" i="17"/>
  <c r="AK1263" i="17"/>
  <c r="U1264" i="17" l="1"/>
  <c r="V1264" i="17" s="1"/>
  <c r="N1264" i="17"/>
  <c r="AJ1264" i="17" l="1"/>
  <c r="P1264" i="17" s="1"/>
  <c r="O1264" i="17" l="1"/>
  <c r="Q1264" i="17"/>
  <c r="R1264" i="17" l="1"/>
  <c r="S1264" i="17" s="1"/>
  <c r="H1265" i="17" l="1"/>
  <c r="AK1264" i="17"/>
  <c r="AQ1264" i="17"/>
  <c r="K1265" i="17"/>
  <c r="AI1264" i="17"/>
  <c r="T1264" i="17"/>
  <c r="U1265" i="17" l="1"/>
  <c r="V1265" i="17" s="1"/>
  <c r="M1265" i="17"/>
  <c r="N1265" i="17" s="1"/>
  <c r="AJ1265" i="17" l="1"/>
  <c r="O1265" i="17" l="1"/>
  <c r="Q1265" i="17"/>
  <c r="P1265" i="17"/>
  <c r="R1265" i="17" l="1"/>
  <c r="S1265" i="17" s="1"/>
  <c r="T1265" i="17" l="1"/>
  <c r="AI1265" i="17"/>
  <c r="K1266" i="17"/>
  <c r="H1266" i="17"/>
  <c r="AK1265" i="17"/>
  <c r="AQ1265" i="17"/>
  <c r="M1266" i="17" l="1"/>
  <c r="N1266" i="17" s="1"/>
  <c r="U1266" i="17"/>
  <c r="V1266" i="17" s="1"/>
  <c r="AJ1266" i="17" l="1"/>
  <c r="P1266" i="17" s="1"/>
  <c r="O1266" i="17" l="1"/>
  <c r="Q1266" i="17"/>
  <c r="R1266" i="17" l="1"/>
  <c r="S1266" i="17" s="1"/>
  <c r="AK1266" i="17" l="1"/>
  <c r="AQ1266" i="17"/>
  <c r="AI1266" i="17"/>
  <c r="T1266" i="17"/>
  <c r="H1267" i="17"/>
  <c r="K1267" i="17"/>
  <c r="M1267" i="17" l="1"/>
  <c r="N1267" i="17" s="1"/>
  <c r="U1267" i="17"/>
  <c r="V1267" i="17" s="1"/>
  <c r="AJ1267" i="17" l="1"/>
  <c r="Q1267" i="17" s="1"/>
  <c r="O1267" i="17" l="1"/>
  <c r="P1267" i="17"/>
  <c r="R1267" i="17" l="1"/>
  <c r="S1267" i="17" s="1"/>
  <c r="AK1267" i="17" l="1"/>
  <c r="AI1267" i="17"/>
  <c r="H1268" i="17"/>
  <c r="T1267" i="17"/>
  <c r="K1268" i="17"/>
  <c r="AQ1267" i="17"/>
  <c r="M1268" i="17" l="1"/>
  <c r="N1268" i="17" s="1"/>
  <c r="AJ1268" i="17" s="1"/>
  <c r="P1268" i="17" s="1"/>
  <c r="U1268" i="17"/>
  <c r="V1268" i="17" s="1"/>
  <c r="Q1268" i="17" l="1"/>
  <c r="O1268" i="17"/>
  <c r="R1268" i="17" l="1"/>
  <c r="S1268" i="17" s="1"/>
  <c r="T1268" i="17" l="1"/>
  <c r="K1269" i="17"/>
  <c r="U1269" i="17" s="1"/>
  <c r="V1269" i="17" s="1"/>
  <c r="AK1268" i="17"/>
  <c r="AQ1268" i="17"/>
  <c r="AI1268" i="17"/>
  <c r="H1269" i="17"/>
  <c r="M1269" i="17" l="1"/>
  <c r="N1269" i="17" s="1"/>
  <c r="AJ1269" i="17" s="1"/>
  <c r="O1269" i="17" s="1"/>
  <c r="P1269" i="17" l="1"/>
  <c r="Q1269" i="17"/>
  <c r="R1269" i="17" l="1"/>
  <c r="S1269" i="17" s="1"/>
  <c r="T1269" i="17" l="1"/>
  <c r="AI1269" i="17"/>
  <c r="AK1269" i="17"/>
  <c r="H1270" i="17"/>
  <c r="K1270" i="17"/>
  <c r="U1270" i="17" s="1"/>
  <c r="V1270" i="17" s="1"/>
  <c r="AQ1269" i="17"/>
  <c r="M1270" i="17" l="1"/>
  <c r="N1270" i="17" s="1"/>
  <c r="AJ1270" i="17" s="1"/>
  <c r="P1270" i="17" s="1"/>
  <c r="Q1270" i="17" l="1"/>
  <c r="O1270" i="17"/>
  <c r="R1270" i="17" l="1"/>
  <c r="S1270" i="17" s="1"/>
  <c r="AQ1270" i="17" l="1"/>
  <c r="T1270" i="17"/>
  <c r="K1271" i="17"/>
  <c r="U1271" i="17" s="1"/>
  <c r="V1271" i="17" s="1"/>
  <c r="AK1270" i="17"/>
  <c r="AI1270" i="17"/>
  <c r="H1271" i="17"/>
  <c r="M1271" i="17" l="1"/>
  <c r="N1271" i="17" s="1"/>
  <c r="AJ1271" i="17" s="1"/>
  <c r="P1271" i="17" s="1"/>
  <c r="O1271" i="17" l="1"/>
  <c r="Q1271" i="17"/>
  <c r="R1271" i="17" l="1"/>
  <c r="S1271" i="17" s="1"/>
  <c r="AK1271" i="17" l="1"/>
  <c r="AQ1271" i="17"/>
  <c r="H1272" i="17"/>
  <c r="K1272" i="17"/>
  <c r="T1271" i="17"/>
  <c r="AI1271" i="17"/>
  <c r="M1272" i="17" l="1"/>
  <c r="N1272" i="17" s="1"/>
  <c r="AJ1272" i="17" s="1"/>
  <c r="U1272" i="17"/>
  <c r="V1272" i="17" s="1"/>
  <c r="O1272" i="17" l="1"/>
  <c r="Q1272" i="17"/>
  <c r="P1272" i="17"/>
  <c r="R1272" i="17" l="1"/>
  <c r="S1272" i="17" s="1"/>
  <c r="AI1272" i="17" l="1"/>
  <c r="H1273" i="17"/>
  <c r="K1273" i="17"/>
  <c r="AQ1272" i="17"/>
  <c r="T1272" i="17"/>
  <c r="AK1272" i="17"/>
  <c r="U1273" i="17" l="1"/>
  <c r="V1273" i="17" s="1"/>
  <c r="M1273" i="17"/>
  <c r="N1273" i="17" s="1"/>
  <c r="AJ1273" i="17" s="1"/>
  <c r="O1273" i="17" s="1"/>
  <c r="P1273" i="17" l="1"/>
  <c r="Q1273" i="17"/>
  <c r="R1273" i="17" l="1"/>
  <c r="S1273" i="17" s="1"/>
  <c r="AQ1273" i="17" l="1"/>
  <c r="AI1273" i="17"/>
  <c r="K1274" i="17"/>
  <c r="AK1273" i="17"/>
  <c r="T1273" i="17"/>
  <c r="H1274" i="17"/>
  <c r="U1274" i="17" l="1"/>
  <c r="V1274" i="17" s="1"/>
  <c r="M1274" i="17"/>
  <c r="N1274" i="17" s="1"/>
  <c r="AJ1274" i="17" l="1"/>
  <c r="O1274" i="17" s="1"/>
  <c r="P1274" i="17" l="1"/>
  <c r="Q1274" i="17"/>
  <c r="R1274" i="17" l="1"/>
  <c r="S1274" i="17" s="1"/>
  <c r="H1275" i="17" l="1"/>
  <c r="T1274" i="17"/>
  <c r="AQ1274" i="17"/>
  <c r="K1275" i="17"/>
  <c r="AI1274" i="17"/>
  <c r="AK1274" i="17"/>
  <c r="U1275" i="17" l="1"/>
  <c r="V1275" i="17" s="1"/>
  <c r="M1275" i="17"/>
  <c r="N1275" i="17" s="1"/>
  <c r="AJ1275" i="17" l="1"/>
  <c r="O1275" i="17" s="1"/>
  <c r="P1275" i="17" l="1"/>
  <c r="Q1275" i="17"/>
  <c r="R1275" i="17" l="1"/>
  <c r="S1275" i="17" s="1"/>
  <c r="AQ1275" i="17" l="1"/>
  <c r="AI1275" i="17"/>
  <c r="T1275" i="17"/>
  <c r="K1276" i="17"/>
  <c r="H1276" i="17"/>
  <c r="AK1275" i="17"/>
  <c r="M1276" i="17" l="1"/>
  <c r="N1276" i="17" s="1"/>
  <c r="AJ1276" i="17" s="1"/>
  <c r="O1276" i="17" s="1"/>
  <c r="U1276" i="17"/>
  <c r="V1276" i="17" s="1"/>
  <c r="P1276" i="17" l="1"/>
  <c r="Q1276" i="17"/>
  <c r="R1276" i="17" l="1"/>
  <c r="S1276" i="17" s="1"/>
  <c r="AI1276" i="17" l="1"/>
  <c r="H1277" i="17"/>
  <c r="AQ1276" i="17"/>
  <c r="T1276" i="17"/>
  <c r="K1277" i="17"/>
  <c r="AK1276" i="17"/>
  <c r="M1277" i="17" l="1"/>
  <c r="U1277" i="17"/>
  <c r="V1277" i="17" s="1"/>
  <c r="N1277" i="17" l="1"/>
  <c r="AJ1277" i="17" l="1"/>
  <c r="Q1277" i="17" s="1"/>
  <c r="O1277" i="17" l="1"/>
  <c r="P1277" i="17"/>
  <c r="R1277" i="17" l="1"/>
  <c r="S1277" i="17" s="1"/>
  <c r="H1278" i="17" l="1"/>
  <c r="T1277" i="17"/>
  <c r="AI1277" i="17"/>
  <c r="AK1277" i="17"/>
  <c r="K1278" i="17"/>
  <c r="M1278" i="17" s="1"/>
  <c r="AQ1277" i="17"/>
  <c r="U1278" i="17" l="1"/>
  <c r="V1278" i="17" s="1"/>
  <c r="N1278" i="17"/>
  <c r="AJ1278" i="17" l="1"/>
  <c r="P1278" i="17" s="1"/>
  <c r="O1278" i="17" l="1"/>
  <c r="Q1278" i="17"/>
  <c r="R1278" i="17" l="1"/>
  <c r="S1278" i="17" s="1"/>
  <c r="T1278" i="17" l="1"/>
  <c r="H1279" i="17"/>
  <c r="AQ1278" i="17"/>
  <c r="K1279" i="17"/>
  <c r="M1279" i="17" s="1"/>
  <c r="N1279" i="17" s="1"/>
  <c r="AJ1279" i="17" s="1"/>
  <c r="O1279" i="17" s="1"/>
  <c r="AK1278" i="17"/>
  <c r="AI1278" i="17"/>
  <c r="U1279" i="17" l="1"/>
  <c r="V1279" i="17" s="1"/>
  <c r="P1279" i="17"/>
  <c r="Q1279" i="17"/>
  <c r="R1279" i="17" l="1"/>
  <c r="S1279" i="17" s="1"/>
  <c r="H1280" i="17" l="1"/>
  <c r="K1280" i="17"/>
  <c r="U1280" i="17" s="1"/>
  <c r="V1280" i="17" s="1"/>
  <c r="AK1279" i="17"/>
  <c r="AI1279" i="17"/>
  <c r="AQ1279" i="17"/>
  <c r="T1279" i="17"/>
  <c r="M1280" i="17" l="1"/>
  <c r="N1280" i="17" s="1"/>
  <c r="AJ1280" i="17" s="1"/>
  <c r="P1280" i="17" s="1"/>
  <c r="O1280" i="17" l="1"/>
  <c r="Q1280" i="17"/>
  <c r="R1280" i="17" l="1"/>
  <c r="S1280" i="17" s="1"/>
  <c r="K1281" i="17" l="1"/>
  <c r="M1281" i="17" s="1"/>
  <c r="N1281" i="17" s="1"/>
  <c r="AK1280" i="17"/>
  <c r="AI1280" i="17"/>
  <c r="T1280" i="17"/>
  <c r="AQ1280" i="17"/>
  <c r="H1281" i="17"/>
  <c r="AJ1281" i="17" l="1"/>
  <c r="O1281" i="17" s="1"/>
  <c r="U1281" i="17"/>
  <c r="V1281" i="17" s="1"/>
  <c r="Q1281" i="17" l="1"/>
  <c r="P1281" i="17"/>
  <c r="R1281" i="17" s="1"/>
  <c r="S1281" i="17" s="1"/>
  <c r="K1282" i="17" l="1"/>
  <c r="U1282" i="17" s="1"/>
  <c r="V1282" i="17" s="1"/>
  <c r="AI1281" i="17"/>
  <c r="T1281" i="17"/>
  <c r="H1282" i="17"/>
  <c r="AQ1281" i="17"/>
  <c r="AK1281" i="17"/>
  <c r="M1282" i="17" l="1"/>
  <c r="N1282" i="17" s="1"/>
  <c r="AJ1282" i="17" l="1"/>
  <c r="O1282" i="17" l="1"/>
  <c r="P1282" i="17"/>
  <c r="Q1282" i="17"/>
  <c r="R1282" i="17" l="1"/>
  <c r="S1282" i="17" s="1"/>
  <c r="AQ1282" i="17" l="1"/>
  <c r="K1283" i="17"/>
  <c r="T1282" i="17"/>
  <c r="H1283" i="17"/>
  <c r="AI1282" i="17"/>
  <c r="AK1282" i="17"/>
  <c r="U1283" i="17" l="1"/>
  <c r="V1283" i="17" s="1"/>
  <c r="M1283" i="17"/>
  <c r="N1283" i="17" s="1"/>
  <c r="AJ1283" i="17" s="1"/>
  <c r="O1283" i="17" s="1"/>
  <c r="P1283" i="17" l="1"/>
  <c r="Q1283" i="17"/>
  <c r="R1283" i="17" l="1"/>
  <c r="S1283" i="17" s="1"/>
  <c r="AK1283" i="17" l="1"/>
  <c r="T1283" i="17"/>
  <c r="K1284" i="17"/>
  <c r="H1284" i="17"/>
  <c r="AQ1283" i="17"/>
  <c r="AI1283" i="17"/>
  <c r="M1284" i="17" l="1"/>
  <c r="N1284" i="17" s="1"/>
  <c r="U1284" i="17"/>
  <c r="V1284" i="17" s="1"/>
  <c r="AJ1284" i="17" l="1"/>
  <c r="O1284" i="17" s="1"/>
  <c r="P1284" i="17" l="1"/>
  <c r="Q1284" i="17"/>
  <c r="R1284" i="17" l="1"/>
  <c r="S1284" i="17" s="1"/>
  <c r="T1284" i="17" l="1"/>
  <c r="H1285" i="17"/>
  <c r="K1285" i="17"/>
  <c r="AI1284" i="17"/>
  <c r="AQ1284" i="17"/>
  <c r="AK1284" i="17"/>
  <c r="M1285" i="17" l="1"/>
  <c r="N1285" i="17" s="1"/>
  <c r="U1285" i="17"/>
  <c r="V1285" i="17" s="1"/>
  <c r="AJ1285" i="17" l="1"/>
  <c r="Q1285" i="17" s="1"/>
  <c r="P1285" i="17" l="1"/>
  <c r="O1285" i="17"/>
  <c r="R1285" i="17" l="1"/>
  <c r="S1285" i="17" s="1"/>
  <c r="AI1285" i="17" l="1"/>
  <c r="K1286" i="17"/>
  <c r="U1286" i="17" s="1"/>
  <c r="V1286" i="17" s="1"/>
  <c r="T1285" i="17"/>
  <c r="AQ1285" i="17"/>
  <c r="AK1285" i="17"/>
  <c r="H1286" i="17"/>
  <c r="M1286" i="17" l="1"/>
  <c r="N1286" i="17" s="1"/>
  <c r="AJ1286" i="17" l="1"/>
  <c r="O1286" i="17" s="1"/>
  <c r="P1286" i="17" l="1"/>
  <c r="Q1286" i="17"/>
  <c r="R1286" i="17" l="1"/>
  <c r="S1286" i="17" s="1"/>
  <c r="H1287" i="17" l="1"/>
  <c r="K1287" i="17"/>
  <c r="M1287" i="17" s="1"/>
  <c r="N1287" i="17" s="1"/>
  <c r="AJ1287" i="17" s="1"/>
  <c r="O1287" i="17" s="1"/>
  <c r="T1286" i="17"/>
  <c r="AI1286" i="17"/>
  <c r="AK1286" i="17"/>
  <c r="AQ1286" i="17"/>
  <c r="U1287" i="17" l="1"/>
  <c r="V1287" i="17" s="1"/>
  <c r="Q1287" i="17"/>
  <c r="P1287" i="17"/>
  <c r="R1287" i="17" l="1"/>
  <c r="S1287" i="17" s="1"/>
  <c r="AQ1287" i="17" l="1"/>
  <c r="T1287" i="17"/>
  <c r="H1288" i="17"/>
  <c r="AK1287" i="17"/>
  <c r="AI1287" i="17"/>
  <c r="K1288" i="17"/>
  <c r="M1288" i="17" s="1"/>
  <c r="U1288" i="17" l="1"/>
  <c r="V1288" i="17" s="1"/>
  <c r="N1288" i="17"/>
  <c r="AJ1288" i="17" s="1"/>
  <c r="O1288" i="17" s="1"/>
  <c r="Q1288" i="17" l="1"/>
  <c r="P1288" i="17"/>
  <c r="R1288" i="17" l="1"/>
  <c r="S1288" i="17" s="1"/>
  <c r="H1289" i="17" l="1"/>
  <c r="K1289" i="17"/>
  <c r="U1289" i="17" s="1"/>
  <c r="V1289" i="17" s="1"/>
  <c r="AQ1288" i="17"/>
  <c r="AI1288" i="17"/>
  <c r="T1288" i="17"/>
  <c r="AK1288" i="17"/>
  <c r="M1289" i="17" l="1"/>
  <c r="N1289" i="17" s="1"/>
  <c r="AJ1289" i="17" s="1"/>
  <c r="O1289" i="17" s="1"/>
  <c r="Q1289" i="17" l="1"/>
  <c r="P1289" i="17"/>
  <c r="R1289" i="17" l="1"/>
  <c r="S1289" i="17" s="1"/>
  <c r="T1289" i="17" l="1"/>
  <c r="AK1289" i="17"/>
  <c r="K1290" i="17"/>
  <c r="AI1289" i="17"/>
  <c r="AQ1289" i="17"/>
  <c r="H1290" i="17"/>
  <c r="C686" i="17" l="1"/>
  <c r="L28" i="13"/>
  <c r="U1290" i="17"/>
  <c r="V1290" i="17" s="1"/>
  <c r="M1290" i="17"/>
  <c r="N1290" i="17" s="1"/>
  <c r="E31" i="17" l="1"/>
  <c r="E22" i="17"/>
  <c r="O23" i="13" s="1"/>
  <c r="E28" i="17"/>
  <c r="O29" i="13" s="1"/>
  <c r="E24" i="17"/>
  <c r="O25" i="13" s="1"/>
  <c r="E29" i="17"/>
  <c r="O30" i="13" s="1"/>
  <c r="E30" i="17"/>
  <c r="O31" i="13" s="1"/>
  <c r="E32" i="17"/>
  <c r="E27" i="17"/>
  <c r="O28" i="13" s="1"/>
  <c r="E21" i="17"/>
  <c r="O22" i="13" s="1"/>
  <c r="E26" i="17"/>
  <c r="O27" i="13" s="1"/>
  <c r="E23" i="17"/>
  <c r="O24" i="13" s="1"/>
  <c r="E25" i="17"/>
  <c r="O26" i="13" s="1"/>
  <c r="L33" i="13"/>
  <c r="L25" i="13"/>
  <c r="L31" i="13"/>
  <c r="L32" i="13"/>
  <c r="AN1007" i="17"/>
  <c r="AP1007" i="17" s="1"/>
  <c r="AN691" i="17"/>
  <c r="AP691" i="17" s="1"/>
  <c r="D27" i="13"/>
  <c r="AN910" i="17"/>
  <c r="AP910" i="17" s="1"/>
  <c r="AN1158" i="17"/>
  <c r="AP1158" i="17" s="1"/>
  <c r="AN1159" i="17"/>
  <c r="AP1159" i="17" s="1"/>
  <c r="AN844" i="17"/>
  <c r="AP844" i="17" s="1"/>
  <c r="AN1023" i="17"/>
  <c r="AP1023" i="17" s="1"/>
  <c r="AN1173" i="17"/>
  <c r="AP1173" i="17" s="1"/>
  <c r="AN741" i="17"/>
  <c r="AP741" i="17" s="1"/>
  <c r="AN779" i="17"/>
  <c r="AP779" i="17" s="1"/>
  <c r="AN735" i="17"/>
  <c r="AP735" i="17" s="1"/>
  <c r="AN1132" i="17"/>
  <c r="AP1132" i="17" s="1"/>
  <c r="AN987" i="17"/>
  <c r="AP987" i="17" s="1"/>
  <c r="AN1285" i="17"/>
  <c r="AP1285" i="17" s="1"/>
  <c r="AN899" i="17"/>
  <c r="AP899" i="17" s="1"/>
  <c r="AN797" i="17"/>
  <c r="AP797" i="17" s="1"/>
  <c r="AN757" i="17"/>
  <c r="AP757" i="17" s="1"/>
  <c r="AN1004" i="17"/>
  <c r="AP1004" i="17" s="1"/>
  <c r="AN1121" i="17"/>
  <c r="AP1121" i="17" s="1"/>
  <c r="AN1090" i="17"/>
  <c r="AP1090" i="17" s="1"/>
  <c r="AN877" i="17"/>
  <c r="AP877" i="17" s="1"/>
  <c r="AN1047" i="17"/>
  <c r="AP1047" i="17" s="1"/>
  <c r="AN700" i="17"/>
  <c r="AP700" i="17" s="1"/>
  <c r="AN1188" i="17"/>
  <c r="AP1188" i="17" s="1"/>
  <c r="AN1108" i="17"/>
  <c r="AP1108" i="17" s="1"/>
  <c r="AN946" i="17"/>
  <c r="AP946" i="17" s="1"/>
  <c r="AN1146" i="17"/>
  <c r="AP1146" i="17" s="1"/>
  <c r="AN1103" i="17"/>
  <c r="AP1103" i="17" s="1"/>
  <c r="AN1078" i="17"/>
  <c r="AP1078" i="17" s="1"/>
  <c r="AN962" i="17"/>
  <c r="AP962" i="17" s="1"/>
  <c r="AN695" i="17"/>
  <c r="AP695" i="17" s="1"/>
  <c r="AN989" i="17"/>
  <c r="AP989" i="17" s="1"/>
  <c r="AN888" i="17"/>
  <c r="AP888" i="17" s="1"/>
  <c r="AN1126" i="17"/>
  <c r="AP1126" i="17" s="1"/>
  <c r="AN750" i="17"/>
  <c r="AP750" i="17" s="1"/>
  <c r="AN1011" i="17"/>
  <c r="AP1011" i="17" s="1"/>
  <c r="AN1041" i="17"/>
  <c r="AP1041" i="17" s="1"/>
  <c r="AN1077" i="17"/>
  <c r="AP1077" i="17" s="1"/>
  <c r="AN1001" i="17"/>
  <c r="AP1001" i="17" s="1"/>
  <c r="AN753" i="17"/>
  <c r="AP753" i="17" s="1"/>
  <c r="AN1102" i="17"/>
  <c r="AP1102" i="17" s="1"/>
  <c r="AN880" i="17"/>
  <c r="AP880" i="17" s="1"/>
  <c r="AN833" i="17"/>
  <c r="AP833" i="17" s="1"/>
  <c r="AN976" i="17"/>
  <c r="AP976" i="17" s="1"/>
  <c r="AN935" i="17"/>
  <c r="AP935" i="17" s="1"/>
  <c r="AN1136" i="17"/>
  <c r="AP1136" i="17" s="1"/>
  <c r="AN1115" i="17"/>
  <c r="AP1115" i="17" s="1"/>
  <c r="AN724" i="17"/>
  <c r="AP724" i="17" s="1"/>
  <c r="AN995" i="17"/>
  <c r="AP995" i="17" s="1"/>
  <c r="AN885" i="17"/>
  <c r="AP885" i="17" s="1"/>
  <c r="AN1068" i="17"/>
  <c r="AP1068" i="17" s="1"/>
  <c r="AN1206" i="17"/>
  <c r="AP1206" i="17" s="1"/>
  <c r="AN960" i="17"/>
  <c r="AP960" i="17" s="1"/>
  <c r="AN742" i="17"/>
  <c r="AP742" i="17" s="1"/>
  <c r="AN1222" i="17"/>
  <c r="AP1222" i="17" s="1"/>
  <c r="AN892" i="17"/>
  <c r="AP892" i="17" s="1"/>
  <c r="AN1225" i="17"/>
  <c r="AP1225" i="17" s="1"/>
  <c r="AN1224" i="17"/>
  <c r="AP1224" i="17" s="1"/>
  <c r="AN774" i="17"/>
  <c r="AP774" i="17" s="1"/>
  <c r="AN1125" i="17"/>
  <c r="AP1125" i="17" s="1"/>
  <c r="AN1189" i="17"/>
  <c r="AP1189" i="17" s="1"/>
  <c r="AN766" i="17"/>
  <c r="AP766" i="17" s="1"/>
  <c r="AN848" i="17"/>
  <c r="AP848" i="17" s="1"/>
  <c r="AN1160" i="17"/>
  <c r="AP1160" i="17" s="1"/>
  <c r="AN1000" i="17"/>
  <c r="AP1000" i="17" s="1"/>
  <c r="AN953" i="17"/>
  <c r="AP953" i="17" s="1"/>
  <c r="AN994" i="17"/>
  <c r="AP994" i="17" s="1"/>
  <c r="AN1088" i="17"/>
  <c r="AP1088" i="17" s="1"/>
  <c r="AN849" i="17"/>
  <c r="AP849" i="17" s="1"/>
  <c r="L30" i="13"/>
  <c r="AN1005" i="17"/>
  <c r="AP1005" i="17" s="1"/>
  <c r="AN1058" i="17"/>
  <c r="AP1058" i="17" s="1"/>
  <c r="AN929" i="17"/>
  <c r="AP929" i="17" s="1"/>
  <c r="AN697" i="17"/>
  <c r="AP697" i="17" s="1"/>
  <c r="AN1128" i="17"/>
  <c r="AP1128" i="17" s="1"/>
  <c r="AN998" i="17"/>
  <c r="AP998" i="17" s="1"/>
  <c r="AN1157" i="17"/>
  <c r="AP1157" i="17" s="1"/>
  <c r="AN1211" i="17"/>
  <c r="AP1211" i="17" s="1"/>
  <c r="AN1072" i="17"/>
  <c r="AP1072" i="17" s="1"/>
  <c r="AN1046" i="17"/>
  <c r="AP1046" i="17" s="1"/>
  <c r="AN1117" i="17"/>
  <c r="AP1117" i="17" s="1"/>
  <c r="AN952" i="17"/>
  <c r="AP952" i="17" s="1"/>
  <c r="AN905" i="17"/>
  <c r="AP905" i="17" s="1"/>
  <c r="AN934" i="17"/>
  <c r="AP934" i="17" s="1"/>
  <c r="AN1106" i="17"/>
  <c r="AP1106" i="17" s="1"/>
  <c r="AN1191" i="17"/>
  <c r="AP1191" i="17" s="1"/>
  <c r="AN770" i="17"/>
  <c r="AP770" i="17" s="1"/>
  <c r="AN883" i="17"/>
  <c r="AP883" i="17" s="1"/>
  <c r="AN992" i="17"/>
  <c r="AP992" i="17" s="1"/>
  <c r="AN696" i="17"/>
  <c r="AP696" i="17" s="1"/>
  <c r="AN708" i="17"/>
  <c r="AP708" i="17" s="1"/>
  <c r="AN1202" i="17"/>
  <c r="AP1202" i="17" s="1"/>
  <c r="AN901" i="17"/>
  <c r="AP901" i="17" s="1"/>
  <c r="AN722" i="17"/>
  <c r="AP722" i="17" s="1"/>
  <c r="AN944" i="17"/>
  <c r="AP944" i="17" s="1"/>
  <c r="AN822" i="17"/>
  <c r="AP822" i="17" s="1"/>
  <c r="AN967" i="17"/>
  <c r="AP967" i="17" s="1"/>
  <c r="AN836" i="17"/>
  <c r="AP836" i="17" s="1"/>
  <c r="AN909" i="17"/>
  <c r="AP909" i="17" s="1"/>
  <c r="AN1053" i="17"/>
  <c r="AP1053" i="17" s="1"/>
  <c r="AN716" i="17"/>
  <c r="AP716" i="17" s="1"/>
  <c r="AN820" i="17"/>
  <c r="AP820" i="17" s="1"/>
  <c r="AN1045" i="17"/>
  <c r="AP1045" i="17" s="1"/>
  <c r="AN828" i="17"/>
  <c r="AP828" i="17" s="1"/>
  <c r="AN881" i="17"/>
  <c r="AP881" i="17" s="1"/>
  <c r="AN1190" i="17"/>
  <c r="AP1190" i="17" s="1"/>
  <c r="AN860" i="17"/>
  <c r="AP860" i="17" s="1"/>
  <c r="AN964" i="17"/>
  <c r="AP964" i="17" s="1"/>
  <c r="AN1153" i="17"/>
  <c r="AP1153" i="17" s="1"/>
  <c r="AN755" i="17"/>
  <c r="AP755" i="17" s="1"/>
  <c r="AN733" i="17"/>
  <c r="AP733" i="17" s="1"/>
  <c r="AN1155" i="17"/>
  <c r="AP1155" i="17" s="1"/>
  <c r="AN919" i="17"/>
  <c r="AP919" i="17" s="1"/>
  <c r="AN922" i="17"/>
  <c r="AP922" i="17" s="1"/>
  <c r="AN853" i="17"/>
  <c r="AP853" i="17" s="1"/>
  <c r="AN1152" i="17"/>
  <c r="AP1152" i="17" s="1"/>
  <c r="AN843" i="17"/>
  <c r="AP843" i="17" s="1"/>
  <c r="AN694" i="17"/>
  <c r="AP694" i="17" s="1"/>
  <c r="AN1174" i="17"/>
  <c r="AP1174" i="17" s="1"/>
  <c r="AN834" i="17"/>
  <c r="AP834" i="17" s="1"/>
  <c r="AN908" i="17"/>
  <c r="AP908" i="17" s="1"/>
  <c r="AN1009" i="17"/>
  <c r="AP1009" i="17" s="1"/>
  <c r="AN1208" i="17"/>
  <c r="AP1208" i="17" s="1"/>
  <c r="AN1105" i="17"/>
  <c r="AP1105" i="17" s="1"/>
  <c r="AN1032" i="17"/>
  <c r="AP1032" i="17" s="1"/>
  <c r="AN748" i="17"/>
  <c r="AP748" i="17" s="1"/>
  <c r="AN701" i="17"/>
  <c r="AP701" i="17" s="1"/>
  <c r="AN693" i="17"/>
  <c r="AP693" i="17" s="1"/>
  <c r="AN939" i="17"/>
  <c r="AP939" i="17" s="1"/>
  <c r="AN803" i="17"/>
  <c r="AP803" i="17" s="1"/>
  <c r="AN808" i="17"/>
  <c r="AP808" i="17" s="1"/>
  <c r="AN1118" i="17"/>
  <c r="AP1118" i="17" s="1"/>
  <c r="AN787" i="17"/>
  <c r="AP787" i="17" s="1"/>
  <c r="AN1204" i="17"/>
  <c r="AP1204" i="17" s="1"/>
  <c r="AN1082" i="17"/>
  <c r="AP1082" i="17" s="1"/>
  <c r="AN851" i="17"/>
  <c r="AP851" i="17" s="1"/>
  <c r="AN933" i="17"/>
  <c r="AP933" i="17" s="1"/>
  <c r="AN1221" i="17"/>
  <c r="AP1221" i="17" s="1"/>
  <c r="AN1218" i="17"/>
  <c r="AP1218" i="17" s="1"/>
  <c r="AN971" i="17"/>
  <c r="AP971" i="17" s="1"/>
  <c r="AN906" i="17"/>
  <c r="AP906" i="17" s="1"/>
  <c r="AN1156" i="17"/>
  <c r="AP1156" i="17" s="1"/>
  <c r="AN961" i="17"/>
  <c r="AP961" i="17" s="1"/>
  <c r="AN1228" i="17"/>
  <c r="AP1228" i="17" s="1"/>
  <c r="AN1169" i="17"/>
  <c r="AP1169" i="17" s="1"/>
  <c r="AN945" i="17"/>
  <c r="AP945" i="17" s="1"/>
  <c r="AN1076" i="17"/>
  <c r="AP1076" i="17" s="1"/>
  <c r="AN882" i="17"/>
  <c r="AP882" i="17" s="1"/>
  <c r="AN1067" i="17"/>
  <c r="AP1067" i="17" s="1"/>
  <c r="AN1086" i="17"/>
  <c r="AP1086" i="17" s="1"/>
  <c r="AN1213" i="17"/>
  <c r="AP1213" i="17" s="1"/>
  <c r="AN1025" i="17"/>
  <c r="AP1025" i="17" s="1"/>
  <c r="AN705" i="17"/>
  <c r="AP705" i="17" s="1"/>
  <c r="AN1205" i="17"/>
  <c r="AP1205" i="17" s="1"/>
  <c r="AN1074" i="17"/>
  <c r="AP1074" i="17" s="1"/>
  <c r="AN1071" i="17"/>
  <c r="AP1071" i="17" s="1"/>
  <c r="AN729" i="17"/>
  <c r="AP729" i="17" s="1"/>
  <c r="AN887" i="17"/>
  <c r="AP887" i="17" s="1"/>
  <c r="AN1226" i="17"/>
  <c r="AP1226" i="17" s="1"/>
  <c r="AN968" i="17"/>
  <c r="AP968" i="17" s="1"/>
  <c r="AN727" i="17"/>
  <c r="AP727" i="17" s="1"/>
  <c r="AN789" i="17"/>
  <c r="AP789" i="17" s="1"/>
  <c r="AN920" i="17"/>
  <c r="AP920" i="17" s="1"/>
  <c r="AN786" i="17"/>
  <c r="AP786" i="17" s="1"/>
  <c r="AN1162" i="17"/>
  <c r="AP1162" i="17" s="1"/>
  <c r="AN721" i="17"/>
  <c r="AP721" i="17" s="1"/>
  <c r="AN972" i="17"/>
  <c r="AP972" i="17" s="1"/>
  <c r="AN743" i="17"/>
  <c r="AP743" i="17" s="1"/>
  <c r="AN1135" i="17"/>
  <c r="AP1135" i="17" s="1"/>
  <c r="AN902" i="17"/>
  <c r="AP902" i="17" s="1"/>
  <c r="AN867" i="17"/>
  <c r="AP867" i="17" s="1"/>
  <c r="AN728" i="17"/>
  <c r="AP728" i="17" s="1"/>
  <c r="AN761" i="17"/>
  <c r="AP761" i="17" s="1"/>
  <c r="AN863" i="17"/>
  <c r="AP863" i="17" s="1"/>
  <c r="AN869" i="17"/>
  <c r="AP869" i="17" s="1"/>
  <c r="AN980" i="17"/>
  <c r="AP980" i="17" s="1"/>
  <c r="AN794" i="17"/>
  <c r="AP794" i="17" s="1"/>
  <c r="AN782" i="17"/>
  <c r="AP782" i="17" s="1"/>
  <c r="AN769" i="17"/>
  <c r="AP769" i="17" s="1"/>
  <c r="AN1015" i="17"/>
  <c r="AP1015" i="17" s="1"/>
  <c r="AN732" i="17"/>
  <c r="AP732" i="17" s="1"/>
  <c r="AN1123" i="17"/>
  <c r="AP1123" i="17" s="1"/>
  <c r="AN931" i="17"/>
  <c r="AP931" i="17" s="1"/>
  <c r="AN1029" i="17"/>
  <c r="AP1029" i="17" s="1"/>
  <c r="AN1099" i="17"/>
  <c r="AP1099" i="17" s="1"/>
  <c r="AN1113" i="17"/>
  <c r="AP1113" i="17" s="1"/>
  <c r="AN775" i="17"/>
  <c r="AP775" i="17" s="1"/>
  <c r="AN702" i="17"/>
  <c r="AP702" i="17" s="1"/>
  <c r="AN835" i="17"/>
  <c r="AP835" i="17" s="1"/>
  <c r="AN923" i="17"/>
  <c r="AP923" i="17" s="1"/>
  <c r="AN947" i="17"/>
  <c r="AP947" i="17" s="1"/>
  <c r="AN792" i="17"/>
  <c r="AP792" i="17" s="1"/>
  <c r="AN812" i="17"/>
  <c r="AP812" i="17" s="1"/>
  <c r="AN1219" i="17"/>
  <c r="AP1219" i="17" s="1"/>
  <c r="AN793" i="17"/>
  <c r="AP793" i="17" s="1"/>
  <c r="AN709" i="17"/>
  <c r="AP709" i="17" s="1"/>
  <c r="AN1164" i="17"/>
  <c r="AP1164" i="17" s="1"/>
  <c r="AN1022" i="17"/>
  <c r="AP1022" i="17" s="1"/>
  <c r="AN1175" i="17"/>
  <c r="AP1175" i="17" s="1"/>
  <c r="AN1133" i="17"/>
  <c r="AP1133" i="17" s="1"/>
  <c r="AN940" i="17"/>
  <c r="AP940" i="17" s="1"/>
  <c r="AN1147" i="17"/>
  <c r="AP1147" i="17" s="1"/>
  <c r="AN1031" i="17"/>
  <c r="AP1031" i="17" s="1"/>
  <c r="AN763" i="17"/>
  <c r="AP763" i="17" s="1"/>
  <c r="AN1166" i="17"/>
  <c r="AP1166" i="17" s="1"/>
  <c r="AN710" i="17"/>
  <c r="AP710" i="17" s="1"/>
  <c r="AN810" i="17"/>
  <c r="AP810" i="17" s="1"/>
  <c r="AN805" i="17"/>
  <c r="AP805" i="17" s="1"/>
  <c r="AN1210" i="17"/>
  <c r="AP1210" i="17" s="1"/>
  <c r="AN982" i="17"/>
  <c r="AP982" i="17" s="1"/>
  <c r="AN865" i="17"/>
  <c r="AP865" i="17" s="1"/>
  <c r="AN1197" i="17"/>
  <c r="AP1197" i="17" s="1"/>
  <c r="AN1069" i="17"/>
  <c r="AP1069" i="17" s="1"/>
  <c r="AN1017" i="17"/>
  <c r="AP1017" i="17" s="1"/>
  <c r="AN1016" i="17"/>
  <c r="AP1016" i="17" s="1"/>
  <c r="AN1008" i="17"/>
  <c r="AP1008" i="17" s="1"/>
  <c r="AN1214" i="17"/>
  <c r="AP1214" i="17" s="1"/>
  <c r="AN707" i="17"/>
  <c r="AP707" i="17" s="1"/>
  <c r="AN703" i="17"/>
  <c r="AP703" i="17" s="1"/>
  <c r="AN1203" i="17"/>
  <c r="AP1203" i="17" s="1"/>
  <c r="AN1284" i="17"/>
  <c r="AP1284" i="17" s="1"/>
  <c r="AN715" i="17"/>
  <c r="AP715" i="17" s="1"/>
  <c r="AN897" i="17"/>
  <c r="AP897" i="17" s="1"/>
  <c r="AN826" i="17"/>
  <c r="AP826" i="17" s="1"/>
  <c r="AN730" i="17"/>
  <c r="AP730" i="17" s="1"/>
  <c r="AN930" i="17"/>
  <c r="AP930" i="17" s="1"/>
  <c r="AN796" i="17"/>
  <c r="AP796" i="17" s="1"/>
  <c r="AN856" i="17"/>
  <c r="AP856" i="17" s="1"/>
  <c r="AN1212" i="17"/>
  <c r="AP1212" i="17" s="1"/>
  <c r="AN804" i="17"/>
  <c r="AP804" i="17" s="1"/>
  <c r="AN698" i="17"/>
  <c r="AP698" i="17" s="1"/>
  <c r="AN719" i="17"/>
  <c r="AP719" i="17" s="1"/>
  <c r="AN816" i="17"/>
  <c r="AP816" i="17" s="1"/>
  <c r="AN1051" i="17"/>
  <c r="AP1051" i="17" s="1"/>
  <c r="AN790" i="17"/>
  <c r="AP790" i="17" s="1"/>
  <c r="AN876" i="17"/>
  <c r="AP876" i="17" s="1"/>
  <c r="AN884" i="17"/>
  <c r="AP884" i="17" s="1"/>
  <c r="AN1229" i="17"/>
  <c r="AP1229" i="17" s="1"/>
  <c r="AN1042" i="17"/>
  <c r="AP1042" i="17" s="1"/>
  <c r="AN771" i="17"/>
  <c r="AP771" i="17" s="1"/>
  <c r="AN1034" i="17"/>
  <c r="AP1034" i="17" s="1"/>
  <c r="AN1183" i="17"/>
  <c r="AP1183" i="17" s="1"/>
  <c r="AN1080" i="17"/>
  <c r="AP1080" i="17" s="1"/>
  <c r="AN1013" i="17"/>
  <c r="AP1013" i="17" s="1"/>
  <c r="AN1040" i="17"/>
  <c r="AP1040" i="17" s="1"/>
  <c r="AN1200" i="17"/>
  <c r="AP1200" i="17" s="1"/>
  <c r="AN1186" i="17"/>
  <c r="AP1186" i="17" s="1"/>
  <c r="AN823" i="17"/>
  <c r="AP823" i="17" s="1"/>
  <c r="AN1112" i="17"/>
  <c r="AP1112" i="17" s="1"/>
  <c r="AN799" i="17"/>
  <c r="AP799" i="17" s="1"/>
  <c r="AN725" i="17"/>
  <c r="AP725" i="17" s="1"/>
  <c r="AN1195" i="17"/>
  <c r="AP1195" i="17" s="1"/>
  <c r="AN738" i="17"/>
  <c r="AP738" i="17" s="1"/>
  <c r="AN1073" i="17"/>
  <c r="AP1073" i="17" s="1"/>
  <c r="AN1104" i="17"/>
  <c r="AP1104" i="17" s="1"/>
  <c r="AN875" i="17"/>
  <c r="AP875" i="17" s="1"/>
  <c r="AN1027" i="17"/>
  <c r="AP1027" i="17" s="1"/>
  <c r="AN830" i="17"/>
  <c r="AP830" i="17" s="1"/>
  <c r="AN1144" i="17"/>
  <c r="AP1144" i="17" s="1"/>
  <c r="AN1109" i="17"/>
  <c r="AP1109" i="17" s="1"/>
  <c r="AN1066" i="17"/>
  <c r="AP1066" i="17" s="1"/>
  <c r="AN1148" i="17"/>
  <c r="AP1148" i="17" s="1"/>
  <c r="AN925" i="17"/>
  <c r="AP925" i="17" s="1"/>
  <c r="AN1129" i="17"/>
  <c r="AP1129" i="17" s="1"/>
  <c r="AN1021" i="17"/>
  <c r="AP1021" i="17" s="1"/>
  <c r="AN1094" i="17"/>
  <c r="AP1094" i="17" s="1"/>
  <c r="AN969" i="17"/>
  <c r="AP969" i="17" s="1"/>
  <c r="AN819" i="17"/>
  <c r="AP819" i="17" s="1"/>
  <c r="AN932" i="17"/>
  <c r="AP932" i="17" s="1"/>
  <c r="AN692" i="17"/>
  <c r="AP692" i="17" s="1"/>
  <c r="AN873" i="17"/>
  <c r="AP873" i="17" s="1"/>
  <c r="AN1026" i="17"/>
  <c r="AP1026" i="17" s="1"/>
  <c r="AN1137" i="17"/>
  <c r="AP1137" i="17" s="1"/>
  <c r="AN872" i="17"/>
  <c r="AP872" i="17" s="1"/>
  <c r="AN785" i="17"/>
  <c r="AP785" i="17" s="1"/>
  <c r="AN1012" i="17"/>
  <c r="AP1012" i="17" s="1"/>
  <c r="AN879" i="17"/>
  <c r="AP879" i="17" s="1"/>
  <c r="AN713" i="17"/>
  <c r="AP713" i="17" s="1"/>
  <c r="AN740" i="17"/>
  <c r="AP740" i="17" s="1"/>
  <c r="AN1063" i="17"/>
  <c r="AP1063" i="17" s="1"/>
  <c r="AN1154" i="17"/>
  <c r="AP1154" i="17" s="1"/>
  <c r="AN979" i="17"/>
  <c r="AP979" i="17" s="1"/>
  <c r="AN801" i="17"/>
  <c r="AP801" i="17" s="1"/>
  <c r="AN898" i="17"/>
  <c r="AP898" i="17" s="1"/>
  <c r="AN737" i="17"/>
  <c r="AP737" i="17" s="1"/>
  <c r="AN825" i="17"/>
  <c r="AP825" i="17" s="1"/>
  <c r="AN768" i="17"/>
  <c r="AP768" i="17" s="1"/>
  <c r="AN1044" i="17"/>
  <c r="AP1044" i="17" s="1"/>
  <c r="AN1043" i="17"/>
  <c r="AP1043" i="17" s="1"/>
  <c r="AN1230" i="17"/>
  <c r="AP1230" i="17" s="1"/>
  <c r="AN814" i="17"/>
  <c r="AP814" i="17" s="1"/>
  <c r="AN986" i="17"/>
  <c r="AP986" i="17" s="1"/>
  <c r="AN749" i="17"/>
  <c r="AP749" i="17" s="1"/>
  <c r="AN773" i="17"/>
  <c r="AP773" i="17" s="1"/>
  <c r="AN915" i="17"/>
  <c r="AP915" i="17" s="1"/>
  <c r="AN711" i="17"/>
  <c r="AP711" i="17" s="1"/>
  <c r="AN764" i="17"/>
  <c r="AP764" i="17" s="1"/>
  <c r="AN1030" i="17"/>
  <c r="AP1030" i="17" s="1"/>
  <c r="AN699" i="17"/>
  <c r="AP699" i="17" s="1"/>
  <c r="AN1201" i="17"/>
  <c r="AP1201" i="17" s="1"/>
  <c r="AN1048" i="17"/>
  <c r="AP1048" i="17" s="1"/>
  <c r="AN714" i="17"/>
  <c r="AP714" i="17" s="1"/>
  <c r="AN991" i="17"/>
  <c r="AP991" i="17" s="1"/>
  <c r="AN1150" i="17"/>
  <c r="AP1150" i="17" s="1"/>
  <c r="AN1087" i="17"/>
  <c r="AP1087" i="17" s="1"/>
  <c r="AN762" i="17"/>
  <c r="AP762" i="17" s="1"/>
  <c r="AN1038" i="17"/>
  <c r="AP1038" i="17" s="1"/>
  <c r="AN1119" i="17"/>
  <c r="AP1119" i="17" s="1"/>
  <c r="AN889" i="17"/>
  <c r="AP889" i="17" s="1"/>
  <c r="AN955" i="17"/>
  <c r="AP955" i="17" s="1"/>
  <c r="AN988" i="17"/>
  <c r="AP988" i="17" s="1"/>
  <c r="AN1059" i="17"/>
  <c r="AP1059" i="17" s="1"/>
  <c r="AN1140" i="17"/>
  <c r="AP1140" i="17" s="1"/>
  <c r="AN954" i="17"/>
  <c r="AP954" i="17" s="1"/>
  <c r="AN1035" i="17"/>
  <c r="AP1035" i="17" s="1"/>
  <c r="AN850" i="17"/>
  <c r="AP850" i="17" s="1"/>
  <c r="AN861" i="17"/>
  <c r="AP861" i="17" s="1"/>
  <c r="AN840" i="17"/>
  <c r="AP840" i="17" s="1"/>
  <c r="AN1142" i="17"/>
  <c r="AP1142" i="17" s="1"/>
  <c r="AN744" i="17"/>
  <c r="AP744" i="17" s="1"/>
  <c r="AN907" i="17"/>
  <c r="AP907" i="17" s="1"/>
  <c r="AN846" i="17"/>
  <c r="AP846" i="17" s="1"/>
  <c r="AN1139" i="17"/>
  <c r="AP1139" i="17" s="1"/>
  <c r="AN1131" i="17"/>
  <c r="AP1131" i="17" s="1"/>
  <c r="AN864" i="17"/>
  <c r="AP864" i="17" s="1"/>
  <c r="AN829" i="17"/>
  <c r="AP829" i="17" s="1"/>
  <c r="AN776" i="17"/>
  <c r="AP776" i="17" s="1"/>
  <c r="AN1037" i="17"/>
  <c r="AP1037" i="17" s="1"/>
  <c r="AN791" i="17"/>
  <c r="AP791" i="17" s="1"/>
  <c r="AN1179" i="17"/>
  <c r="AP1179" i="17" s="1"/>
  <c r="AN772" i="17"/>
  <c r="AP772" i="17" s="1"/>
  <c r="AN839" i="17"/>
  <c r="AP839" i="17" s="1"/>
  <c r="AN1049" i="17"/>
  <c r="AP1049" i="17" s="1"/>
  <c r="AN842" i="17"/>
  <c r="AP842" i="17" s="1"/>
  <c r="AN1114" i="17"/>
  <c r="AP1114" i="17" s="1"/>
  <c r="AN1062" i="17"/>
  <c r="AP1062" i="17" s="1"/>
  <c r="AN938" i="17"/>
  <c r="AP938" i="17" s="1"/>
  <c r="AN914" i="17"/>
  <c r="AP914" i="17" s="1"/>
  <c r="AN704" i="17"/>
  <c r="AP704" i="17" s="1"/>
  <c r="AN717" i="17"/>
  <c r="AP717" i="17" s="1"/>
  <c r="AN1167" i="17"/>
  <c r="AP1167" i="17" s="1"/>
  <c r="AN760" i="17"/>
  <c r="AP760" i="17" s="1"/>
  <c r="AN878" i="17"/>
  <c r="AP878" i="17" s="1"/>
  <c r="AN758" i="17"/>
  <c r="AP758" i="17" s="1"/>
  <c r="AN978" i="17"/>
  <c r="AP978" i="17" s="1"/>
  <c r="AN1020" i="17"/>
  <c r="AP1020" i="17" s="1"/>
  <c r="AN739" i="17"/>
  <c r="AP739" i="17" s="1"/>
  <c r="AN802" i="17"/>
  <c r="AP802" i="17" s="1"/>
  <c r="AN977" i="17"/>
  <c r="AP977" i="17" s="1"/>
  <c r="AN845" i="17"/>
  <c r="AP845" i="17" s="1"/>
  <c r="AN1172" i="17"/>
  <c r="AP1172" i="17" s="1"/>
  <c r="AN912" i="17"/>
  <c r="AP912" i="17" s="1"/>
  <c r="AN1093" i="17"/>
  <c r="AP1093" i="17" s="1"/>
  <c r="AN917" i="17"/>
  <c r="AP917" i="17" s="1"/>
  <c r="AN1216" i="17"/>
  <c r="AP1216" i="17" s="1"/>
  <c r="AN1036" i="17"/>
  <c r="AP1036" i="17" s="1"/>
  <c r="AN1168" i="17"/>
  <c r="AP1168" i="17" s="1"/>
  <c r="AN943" i="17"/>
  <c r="AP943" i="17" s="1"/>
  <c r="AN747" i="17"/>
  <c r="AP747" i="17" s="1"/>
  <c r="AN817" i="17"/>
  <c r="AP817" i="17" s="1"/>
  <c r="AN862" i="17"/>
  <c r="AP862" i="17" s="1"/>
  <c r="AN958" i="17"/>
  <c r="AP958" i="17" s="1"/>
  <c r="AN1149" i="17"/>
  <c r="AP1149" i="17" s="1"/>
  <c r="AN1127" i="17"/>
  <c r="AP1127" i="17" s="1"/>
  <c r="AN854" i="17"/>
  <c r="AP854" i="17" s="1"/>
  <c r="AN821" i="17"/>
  <c r="AP821" i="17" s="1"/>
  <c r="AN1116" i="17"/>
  <c r="AP1116" i="17" s="1"/>
  <c r="AN1014" i="17"/>
  <c r="AP1014" i="17" s="1"/>
  <c r="AN857" i="17"/>
  <c r="AP857" i="17" s="1"/>
  <c r="AN1006" i="17"/>
  <c r="AP1006" i="17" s="1"/>
  <c r="AN1181" i="17"/>
  <c r="AP1181" i="17" s="1"/>
  <c r="AN1054" i="17"/>
  <c r="AP1054" i="17" s="1"/>
  <c r="AN767" i="17"/>
  <c r="AP767" i="17" s="1"/>
  <c r="AN712" i="17"/>
  <c r="AP712" i="17" s="1"/>
  <c r="AN841" i="17"/>
  <c r="AP841" i="17" s="1"/>
  <c r="AN1215" i="17"/>
  <c r="AP1215" i="17" s="1"/>
  <c r="AN858" i="17"/>
  <c r="AP858" i="17" s="1"/>
  <c r="AN1060" i="17"/>
  <c r="AP1060" i="17" s="1"/>
  <c r="AN788" i="17"/>
  <c r="AP788" i="17" s="1"/>
  <c r="AN1019" i="17"/>
  <c r="AP1019" i="17" s="1"/>
  <c r="AN751" i="17"/>
  <c r="AP751" i="17" s="1"/>
  <c r="AN985" i="17"/>
  <c r="AP985" i="17" s="1"/>
  <c r="AN997" i="17"/>
  <c r="AP997" i="17" s="1"/>
  <c r="AN1033" i="17"/>
  <c r="AP1033" i="17" s="1"/>
  <c r="AN1089" i="17"/>
  <c r="AP1089" i="17" s="1"/>
  <c r="AN993" i="17"/>
  <c r="AP993" i="17" s="1"/>
  <c r="AN1187" i="17"/>
  <c r="AP1187" i="17" s="1"/>
  <c r="AN1122" i="17"/>
  <c r="AP1122" i="17" s="1"/>
  <c r="AN723" i="17"/>
  <c r="AP723" i="17" s="1"/>
  <c r="AN949" i="17"/>
  <c r="AP949" i="17" s="1"/>
  <c r="AN948" i="17"/>
  <c r="AP948" i="17" s="1"/>
  <c r="AN868" i="17"/>
  <c r="AP868" i="17" s="1"/>
  <c r="AN1145" i="17"/>
  <c r="AP1145" i="17" s="1"/>
  <c r="AN777" i="17"/>
  <c r="AP777" i="17" s="1"/>
  <c r="AN1101" i="17"/>
  <c r="AP1101" i="17" s="1"/>
  <c r="AN1193" i="17"/>
  <c r="AP1193" i="17" s="1"/>
  <c r="AN1075" i="17"/>
  <c r="AP1075" i="17" s="1"/>
  <c r="AN1061" i="17"/>
  <c r="AP1061" i="17" s="1"/>
  <c r="AN831" i="17"/>
  <c r="AP831" i="17" s="1"/>
  <c r="AN913" i="17"/>
  <c r="AP913" i="17" s="1"/>
  <c r="AN754" i="17"/>
  <c r="AP754" i="17" s="1"/>
  <c r="AN1171" i="17"/>
  <c r="AP1171" i="17" s="1"/>
  <c r="AN847" i="17"/>
  <c r="AP847" i="17" s="1"/>
  <c r="AN996" i="17"/>
  <c r="AP996" i="17" s="1"/>
  <c r="AN781" i="17"/>
  <c r="AP781" i="17" s="1"/>
  <c r="AN966" i="17"/>
  <c r="AP966" i="17" s="1"/>
  <c r="AN1134" i="17"/>
  <c r="AP1134" i="17" s="1"/>
  <c r="AN838" i="17"/>
  <c r="AP838" i="17" s="1"/>
  <c r="AN951" i="17"/>
  <c r="AP951" i="17" s="1"/>
  <c r="AN974" i="17"/>
  <c r="AP974" i="17" s="1"/>
  <c r="AN1192" i="17"/>
  <c r="AP1192" i="17" s="1"/>
  <c r="AN965" i="17"/>
  <c r="AP965" i="17" s="1"/>
  <c r="AN800" i="17"/>
  <c r="AP800" i="17" s="1"/>
  <c r="AN981" i="17"/>
  <c r="AP981" i="17" s="1"/>
  <c r="AN956" i="17"/>
  <c r="AP956" i="17" s="1"/>
  <c r="AN903" i="17"/>
  <c r="AP903" i="17" s="1"/>
  <c r="AN921" i="17"/>
  <c r="AP921" i="17" s="1"/>
  <c r="AN832" i="17"/>
  <c r="AP832" i="17" s="1"/>
  <c r="AN870" i="17"/>
  <c r="AP870" i="17" s="1"/>
  <c r="AN1194" i="17"/>
  <c r="AP1194" i="17" s="1"/>
  <c r="AN746" i="17"/>
  <c r="AP746" i="17" s="1"/>
  <c r="AN1223" i="17"/>
  <c r="AP1223" i="17" s="1"/>
  <c r="AN1010" i="17"/>
  <c r="AP1010" i="17" s="1"/>
  <c r="AN1100" i="17"/>
  <c r="AP1100" i="17" s="1"/>
  <c r="AN1081" i="17"/>
  <c r="AP1081" i="17" s="1"/>
  <c r="AN759" i="17"/>
  <c r="AP759" i="17" s="1"/>
  <c r="AN811" i="17"/>
  <c r="AP811" i="17" s="1"/>
  <c r="AN1084" i="17"/>
  <c r="AP1084" i="17" s="1"/>
  <c r="AN1052" i="17"/>
  <c r="AP1052" i="17" s="1"/>
  <c r="AN1246" i="17"/>
  <c r="AP1246" i="17" s="1"/>
  <c r="AN916" i="17"/>
  <c r="AP916" i="17" s="1"/>
  <c r="AN1064" i="17"/>
  <c r="AP1064" i="17" s="1"/>
  <c r="AN1003" i="17"/>
  <c r="AP1003" i="17" s="1"/>
  <c r="AN1083" i="17"/>
  <c r="AP1083" i="17" s="1"/>
  <c r="AN874" i="17"/>
  <c r="AP874" i="17" s="1"/>
  <c r="AN894" i="17"/>
  <c r="AP894" i="17" s="1"/>
  <c r="AN736" i="17"/>
  <c r="AP736" i="17" s="1"/>
  <c r="AN1092" i="17"/>
  <c r="AP1092" i="17" s="1"/>
  <c r="AN1096" i="17"/>
  <c r="AP1096" i="17" s="1"/>
  <c r="AN1120" i="17"/>
  <c r="AP1120" i="17" s="1"/>
  <c r="AN1124" i="17"/>
  <c r="AP1124" i="17" s="1"/>
  <c r="AN942" i="17"/>
  <c r="AP942" i="17" s="1"/>
  <c r="AN756" i="17"/>
  <c r="AP756" i="17" s="1"/>
  <c r="AN963" i="17"/>
  <c r="AP963" i="17" s="1"/>
  <c r="AN866" i="17"/>
  <c r="AP866" i="17" s="1"/>
  <c r="AN900" i="17"/>
  <c r="AP900" i="17" s="1"/>
  <c r="AN973" i="17"/>
  <c r="AP973" i="17" s="1"/>
  <c r="AN1050" i="17"/>
  <c r="AP1050" i="17" s="1"/>
  <c r="AN1070" i="17"/>
  <c r="AP1070" i="17" s="1"/>
  <c r="L29" i="13"/>
  <c r="O32" i="13"/>
  <c r="AN924" i="17"/>
  <c r="AP924" i="17" s="1"/>
  <c r="AN809" i="17"/>
  <c r="AP809" i="17" s="1"/>
  <c r="AN806" i="17"/>
  <c r="AP806" i="17" s="1"/>
  <c r="AN1170" i="17"/>
  <c r="AP1170" i="17" s="1"/>
  <c r="AN927" i="17"/>
  <c r="AP927" i="17" s="1"/>
  <c r="AN928" i="17"/>
  <c r="AP928" i="17" s="1"/>
  <c r="AN1161" i="17"/>
  <c r="AP1161" i="17" s="1"/>
  <c r="AN904" i="17"/>
  <c r="AP904" i="17" s="1"/>
  <c r="AN911" i="17"/>
  <c r="AP911" i="17" s="1"/>
  <c r="AN1233" i="17"/>
  <c r="AP1233" i="17" s="1"/>
  <c r="AN1250" i="17"/>
  <c r="AP1250" i="17" s="1"/>
  <c r="AN1065" i="17"/>
  <c r="AP1065" i="17" s="1"/>
  <c r="AN926" i="17"/>
  <c r="AP926" i="17" s="1"/>
  <c r="AN1055" i="17"/>
  <c r="AP1055" i="17" s="1"/>
  <c r="AN818" i="17"/>
  <c r="AP818" i="17" s="1"/>
  <c r="AN778" i="17"/>
  <c r="AP778" i="17" s="1"/>
  <c r="AN765" i="17"/>
  <c r="AP765" i="17" s="1"/>
  <c r="AN1111" i="17"/>
  <c r="AP1111" i="17" s="1"/>
  <c r="AN837" i="17"/>
  <c r="AP837" i="17" s="1"/>
  <c r="AN950" i="17"/>
  <c r="AP950" i="17" s="1"/>
  <c r="AN1227" i="17"/>
  <c r="AP1227" i="17" s="1"/>
  <c r="AN895" i="17"/>
  <c r="AP895" i="17" s="1"/>
  <c r="AN1165" i="17"/>
  <c r="AP1165" i="17" s="1"/>
  <c r="AN784" i="17"/>
  <c r="AP784" i="17" s="1"/>
  <c r="AN1232" i="17"/>
  <c r="AP1232" i="17" s="1"/>
  <c r="AN959" i="17"/>
  <c r="AP959" i="17" s="1"/>
  <c r="AN1138" i="17"/>
  <c r="AP1138" i="17" s="1"/>
  <c r="AN896" i="17"/>
  <c r="AP896" i="17" s="1"/>
  <c r="AN1199" i="17"/>
  <c r="AP1199" i="17" s="1"/>
  <c r="AN807" i="17"/>
  <c r="AP807" i="17" s="1"/>
  <c r="AN1290" i="17"/>
  <c r="AN918" i="17"/>
  <c r="AP918" i="17" s="1"/>
  <c r="AN1110" i="17"/>
  <c r="AP1110" i="17" s="1"/>
  <c r="AN1220" i="17"/>
  <c r="AP1220" i="17" s="1"/>
  <c r="AN999" i="17"/>
  <c r="AP999" i="17" s="1"/>
  <c r="AN1217" i="17"/>
  <c r="AP1217" i="17" s="1"/>
  <c r="AN1209" i="17"/>
  <c r="AP1209" i="17" s="1"/>
  <c r="AN893" i="17"/>
  <c r="AP893" i="17" s="1"/>
  <c r="AN1177" i="17"/>
  <c r="AP1177" i="17" s="1"/>
  <c r="AN983" i="17"/>
  <c r="AP983" i="17" s="1"/>
  <c r="AN1097" i="17"/>
  <c r="AP1097" i="17" s="1"/>
  <c r="AN1184" i="17"/>
  <c r="AP1184" i="17" s="1"/>
  <c r="AN1182" i="17"/>
  <c r="AP1182" i="17" s="1"/>
  <c r="AN1056" i="17"/>
  <c r="AP1056" i="17" s="1"/>
  <c r="AN1028" i="17"/>
  <c r="AP1028" i="17" s="1"/>
  <c r="AN957" i="17"/>
  <c r="AP957" i="17" s="1"/>
  <c r="AN795" i="17"/>
  <c r="AP795" i="17" s="1"/>
  <c r="AN1180" i="17"/>
  <c r="AP1180" i="17" s="1"/>
  <c r="AN1095" i="17"/>
  <c r="AP1095" i="17" s="1"/>
  <c r="AN1235" i="17"/>
  <c r="AP1235" i="17" s="1"/>
  <c r="AN890" i="17"/>
  <c r="AP890" i="17" s="1"/>
  <c r="AN1276" i="17"/>
  <c r="AP1276" i="17" s="1"/>
  <c r="AN1143" i="17"/>
  <c r="AP1143" i="17" s="1"/>
  <c r="AN1079" i="17"/>
  <c r="AP1079" i="17" s="1"/>
  <c r="AN936" i="17"/>
  <c r="AP936" i="17" s="1"/>
  <c r="AN783" i="17"/>
  <c r="AP783" i="17" s="1"/>
  <c r="AN871" i="17"/>
  <c r="AP871" i="17" s="1"/>
  <c r="AN726" i="17"/>
  <c r="AP726" i="17" s="1"/>
  <c r="AN859" i="17"/>
  <c r="AP859" i="17" s="1"/>
  <c r="AN886" i="17"/>
  <c r="AP886" i="17" s="1"/>
  <c r="AN1178" i="17"/>
  <c r="AP1178" i="17" s="1"/>
  <c r="AN1002" i="17"/>
  <c r="AP1002" i="17" s="1"/>
  <c r="AN1245" i="17"/>
  <c r="AP1245" i="17" s="1"/>
  <c r="L27" i="13"/>
  <c r="AN1024" i="17"/>
  <c r="AP1024" i="17" s="1"/>
  <c r="AN1085" i="17"/>
  <c r="AP1085" i="17" s="1"/>
  <c r="AN798" i="17"/>
  <c r="AP798" i="17" s="1"/>
  <c r="AN1098" i="17"/>
  <c r="AP1098" i="17" s="1"/>
  <c r="AN752" i="17"/>
  <c r="AP752" i="17" s="1"/>
  <c r="AN852" i="17"/>
  <c r="AP852" i="17" s="1"/>
  <c r="AN1091" i="17"/>
  <c r="AP1091" i="17" s="1"/>
  <c r="AN1039" i="17"/>
  <c r="AP1039" i="17" s="1"/>
  <c r="AN1278" i="17"/>
  <c r="AP1278" i="17" s="1"/>
  <c r="AN1259" i="17"/>
  <c r="AP1259" i="17" s="1"/>
  <c r="AN1240" i="17"/>
  <c r="AP1240" i="17" s="1"/>
  <c r="AN1237" i="17"/>
  <c r="AP1237" i="17" s="1"/>
  <c r="AN941" i="17"/>
  <c r="AP941" i="17" s="1"/>
  <c r="AN1207" i="17"/>
  <c r="AP1207" i="17" s="1"/>
  <c r="AN1151" i="17"/>
  <c r="AP1151" i="17" s="1"/>
  <c r="AN970" i="17"/>
  <c r="AP970" i="17" s="1"/>
  <c r="AN937" i="17"/>
  <c r="AP937" i="17" s="1"/>
  <c r="AN1107" i="17"/>
  <c r="AP1107" i="17" s="1"/>
  <c r="AN813" i="17"/>
  <c r="AP813" i="17" s="1"/>
  <c r="AN1231" i="17"/>
  <c r="AP1231" i="17" s="1"/>
  <c r="AN855" i="17"/>
  <c r="AP855" i="17" s="1"/>
  <c r="AN1282" i="17"/>
  <c r="AP1282" i="17" s="1"/>
  <c r="AN1263" i="17"/>
  <c r="AP1263" i="17" s="1"/>
  <c r="AN1244" i="17"/>
  <c r="AP1244" i="17" s="1"/>
  <c r="AN1241" i="17"/>
  <c r="AP1241" i="17" s="1"/>
  <c r="AN718" i="17"/>
  <c r="AP718" i="17" s="1"/>
  <c r="AN720" i="17"/>
  <c r="AP720" i="17" s="1"/>
  <c r="AN1198" i="17"/>
  <c r="AP1198" i="17" s="1"/>
  <c r="AN1262" i="17"/>
  <c r="AP1262" i="17" s="1"/>
  <c r="AN1176" i="17"/>
  <c r="AP1176" i="17" s="1"/>
  <c r="AN1243" i="17"/>
  <c r="AP1243" i="17" s="1"/>
  <c r="AN1275" i="17"/>
  <c r="AP1275" i="17" s="1"/>
  <c r="AN1185" i="17"/>
  <c r="AP1185" i="17" s="1"/>
  <c r="AN1256" i="17"/>
  <c r="AP1256" i="17" s="1"/>
  <c r="AN1196" i="17"/>
  <c r="AP1196" i="17" s="1"/>
  <c r="AN1257" i="17"/>
  <c r="AP1257" i="17" s="1"/>
  <c r="AN780" i="17"/>
  <c r="AP780" i="17" s="1"/>
  <c r="AN990" i="17"/>
  <c r="AP990" i="17" s="1"/>
  <c r="AN1266" i="17"/>
  <c r="AP1266" i="17" s="1"/>
  <c r="AN745" i="17"/>
  <c r="AP745" i="17" s="1"/>
  <c r="AN1247" i="17"/>
  <c r="AP1247" i="17" s="1"/>
  <c r="AN1279" i="17"/>
  <c r="AP1279" i="17" s="1"/>
  <c r="AN1018" i="17"/>
  <c r="AP1018" i="17" s="1"/>
  <c r="AN1264" i="17"/>
  <c r="AP1264" i="17" s="1"/>
  <c r="AN975" i="17"/>
  <c r="AP975" i="17" s="1"/>
  <c r="AN1265" i="17"/>
  <c r="AP1265" i="17" s="1"/>
  <c r="AN1238" i="17"/>
  <c r="AP1238" i="17" s="1"/>
  <c r="AN1254" i="17"/>
  <c r="AP1254" i="17" s="1"/>
  <c r="AN1270" i="17"/>
  <c r="AP1270" i="17" s="1"/>
  <c r="AN1286" i="17"/>
  <c r="AP1286" i="17" s="1"/>
  <c r="AN731" i="17"/>
  <c r="AP731" i="17" s="1"/>
  <c r="AN1234" i="17"/>
  <c r="AP1234" i="17" s="1"/>
  <c r="AN1251" i="17"/>
  <c r="AP1251" i="17" s="1"/>
  <c r="AN1267" i="17"/>
  <c r="AP1267" i="17" s="1"/>
  <c r="AN1283" i="17"/>
  <c r="AP1283" i="17" s="1"/>
  <c r="AN1163" i="17"/>
  <c r="AP1163" i="17" s="1"/>
  <c r="AN706" i="17"/>
  <c r="AP706" i="17" s="1"/>
  <c r="AN1248" i="17"/>
  <c r="AP1248" i="17" s="1"/>
  <c r="AN1268" i="17"/>
  <c r="AP1268" i="17" s="1"/>
  <c r="AN1288" i="17"/>
  <c r="AP1288" i="17" s="1"/>
  <c r="AN984" i="17"/>
  <c r="AP984" i="17" s="1"/>
  <c r="AN1249" i="17"/>
  <c r="AP1249" i="17" s="1"/>
  <c r="AN1269" i="17"/>
  <c r="AP1269" i="17" s="1"/>
  <c r="AN1242" i="17"/>
  <c r="AP1242" i="17" s="1"/>
  <c r="AN1258" i="17"/>
  <c r="AP1258" i="17" s="1"/>
  <c r="AN1274" i="17"/>
  <c r="AP1274" i="17" s="1"/>
  <c r="AN1289" i="17"/>
  <c r="AP1289" i="17" s="1"/>
  <c r="AN891" i="17"/>
  <c r="AP891" i="17" s="1"/>
  <c r="AN1239" i="17"/>
  <c r="AP1239" i="17" s="1"/>
  <c r="AN1255" i="17"/>
  <c r="AP1255" i="17" s="1"/>
  <c r="AN1271" i="17"/>
  <c r="AP1271" i="17" s="1"/>
  <c r="AN1287" i="17"/>
  <c r="AP1287" i="17" s="1"/>
  <c r="AN824" i="17"/>
  <c r="AP824" i="17" s="1"/>
  <c r="AN1236" i="17"/>
  <c r="AP1236" i="17" s="1"/>
  <c r="AN1252" i="17"/>
  <c r="AP1252" i="17" s="1"/>
  <c r="AN1272" i="17"/>
  <c r="AP1272" i="17" s="1"/>
  <c r="AN1057" i="17"/>
  <c r="AP1057" i="17" s="1"/>
  <c r="AN1141" i="17"/>
  <c r="AP1141" i="17" s="1"/>
  <c r="AN1253" i="17"/>
  <c r="AP1253" i="17" s="1"/>
  <c r="AN1277" i="17"/>
  <c r="AP1277" i="17" s="1"/>
  <c r="AN1261" i="17"/>
  <c r="AP1261" i="17" s="1"/>
  <c r="AN827" i="17"/>
  <c r="AP827" i="17" s="1"/>
  <c r="AN1273" i="17"/>
  <c r="AP1273" i="17" s="1"/>
  <c r="AN1260" i="17"/>
  <c r="AP1260" i="17" s="1"/>
  <c r="AN815" i="17"/>
  <c r="AP815" i="17" s="1"/>
  <c r="AN1281" i="17"/>
  <c r="AP1281" i="17" s="1"/>
  <c r="AN734" i="17"/>
  <c r="AP734" i="17" s="1"/>
  <c r="AN1130" i="17"/>
  <c r="AP1130" i="17" s="1"/>
  <c r="AN1280" i="17"/>
  <c r="AP1280" i="17" s="1"/>
  <c r="D28" i="17"/>
  <c r="N29" i="13" s="1"/>
  <c r="O33" i="13"/>
  <c r="D30" i="17"/>
  <c r="N31" i="13" s="1"/>
  <c r="D27" i="17"/>
  <c r="N28" i="13" s="1"/>
  <c r="D22" i="17"/>
  <c r="N23" i="13" s="1"/>
  <c r="D23" i="17"/>
  <c r="N24" i="13" s="1"/>
  <c r="D21" i="17"/>
  <c r="N22" i="13" s="1"/>
  <c r="D31" i="17"/>
  <c r="N32" i="13" s="1"/>
  <c r="D24" i="17"/>
  <c r="N25" i="13" s="1"/>
  <c r="AJ1290" i="17"/>
  <c r="O1290" i="17" s="1"/>
  <c r="D32" i="17"/>
  <c r="D25" i="17"/>
  <c r="N26" i="13" s="1"/>
  <c r="D26" i="17"/>
  <c r="N27" i="13" s="1"/>
  <c r="D29" i="17"/>
  <c r="N30" i="13" s="1"/>
  <c r="N33" i="13"/>
  <c r="P1290" i="17" l="1"/>
  <c r="Q1290" i="17"/>
  <c r="R1290" i="17" l="1"/>
  <c r="S1290" i="17" s="1"/>
  <c r="F24" i="17" l="1"/>
  <c r="AK1290" i="17"/>
  <c r="AP1290" i="17"/>
  <c r="AO686" i="17" s="1"/>
  <c r="AO687" i="17" s="1"/>
  <c r="F31" i="17"/>
  <c r="F26" i="17"/>
  <c r="F30" i="17"/>
  <c r="F32" i="17"/>
  <c r="F27" i="17"/>
  <c r="P28" i="13" s="1"/>
  <c r="P33" i="13"/>
  <c r="F21" i="17"/>
  <c r="P32" i="13"/>
  <c r="F22" i="17"/>
  <c r="F28" i="17"/>
  <c r="F29" i="17"/>
  <c r="F23" i="17"/>
  <c r="F25" i="17"/>
  <c r="P26" i="13" s="1"/>
  <c r="AQ1290" i="17"/>
  <c r="AP686" i="17" s="1"/>
  <c r="AP687" i="17" s="1"/>
  <c r="E26" i="13" s="1"/>
  <c r="T1290" i="17"/>
  <c r="AI1290" i="17"/>
  <c r="P31" i="13" l="1"/>
  <c r="P25" i="13"/>
  <c r="P27" i="13"/>
  <c r="P22" i="13"/>
  <c r="P23" i="13"/>
  <c r="P30" i="13"/>
  <c r="P29" i="13"/>
  <c r="P24" i="13"/>
  <c r="AQ687" i="17"/>
  <c r="Q79" i="17"/>
  <c r="P79" i="17"/>
  <c r="O79" i="17"/>
  <c r="R79" i="17" l="1"/>
  <c r="U80" i="17" s="1"/>
  <c r="V80" i="17" l="1"/>
  <c r="AI79" i="17"/>
  <c r="AQ79" i="17"/>
  <c r="K80" i="17"/>
  <c r="M80" i="17" s="1"/>
  <c r="T79" i="17"/>
  <c r="S79" i="17"/>
  <c r="H80" i="17"/>
  <c r="N80" i="17" l="1"/>
  <c r="AJ80" i="17" l="1"/>
  <c r="O80" i="17" s="1"/>
  <c r="Q80" i="17" l="1"/>
  <c r="P80" i="17"/>
  <c r="R80" i="17" l="1"/>
  <c r="K81" i="17" l="1"/>
  <c r="U81" i="17" s="1"/>
  <c r="V81" i="17" s="1"/>
  <c r="T80" i="17"/>
  <c r="AI80" i="17"/>
  <c r="S80" i="17"/>
  <c r="H81" i="17"/>
  <c r="AQ80" i="17"/>
  <c r="M81" i="17" l="1"/>
  <c r="N81" i="17" s="1"/>
  <c r="AJ81" i="17" l="1"/>
  <c r="O81" i="17" s="1"/>
  <c r="P81" i="17" l="1"/>
  <c r="Q81" i="17"/>
  <c r="R81" i="17" l="1"/>
  <c r="AQ81" i="17" l="1"/>
  <c r="AI81" i="17"/>
  <c r="K82" i="17"/>
  <c r="U82" i="17" s="1"/>
  <c r="V82" i="17" s="1"/>
  <c r="S81" i="17"/>
  <c r="T81" i="17"/>
  <c r="H82" i="17"/>
  <c r="M82" i="17" l="1"/>
  <c r="N82" i="17" s="1"/>
  <c r="AJ82" i="17" l="1"/>
  <c r="O82" i="17" s="1"/>
  <c r="P82" i="17"/>
  <c r="Q82" i="17" l="1"/>
  <c r="R82" i="17" s="1"/>
  <c r="K83" i="17" s="1"/>
  <c r="AI82" i="17" l="1"/>
  <c r="H83" i="17"/>
  <c r="S82" i="17"/>
  <c r="T82" i="17"/>
  <c r="AQ82" i="17"/>
  <c r="U83" i="17"/>
  <c r="V83" i="17" s="1"/>
  <c r="M83" i="17"/>
  <c r="N83" i="17" s="1"/>
  <c r="AJ83" i="17" l="1"/>
  <c r="O83" i="17" l="1"/>
  <c r="Q83" i="17"/>
  <c r="P83" i="17"/>
  <c r="R83" i="17" l="1"/>
  <c r="K84" i="17" l="1"/>
  <c r="AQ83" i="17"/>
  <c r="H84" i="17"/>
  <c r="S83" i="17"/>
  <c r="AI83" i="17"/>
  <c r="T83" i="17"/>
  <c r="U84" i="17" l="1"/>
  <c r="V84" i="17" s="1"/>
  <c r="M84" i="17"/>
  <c r="N84" i="17" l="1"/>
  <c r="AJ84" i="17" l="1"/>
  <c r="O84" i="17" l="1"/>
  <c r="Q84" i="17"/>
  <c r="P84" i="17"/>
  <c r="R84" i="17" l="1"/>
  <c r="K85" i="17" l="1"/>
  <c r="AQ84" i="17"/>
  <c r="H85" i="17"/>
  <c r="T84" i="17"/>
  <c r="S84" i="17"/>
  <c r="AI84" i="17"/>
  <c r="U85" i="17" l="1"/>
  <c r="V85" i="17" s="1"/>
  <c r="M85" i="17"/>
  <c r="N85" i="17" l="1"/>
  <c r="AJ85" i="17" l="1"/>
  <c r="Q85" i="17" s="1"/>
  <c r="O85" i="17" l="1"/>
  <c r="P85" i="17"/>
  <c r="R85" i="17" l="1"/>
  <c r="K86" i="17" l="1"/>
  <c r="M86" i="17" s="1"/>
  <c r="N86" i="17" s="1"/>
  <c r="T85" i="17"/>
  <c r="S85" i="17"/>
  <c r="H86" i="17"/>
  <c r="AI85" i="17"/>
  <c r="AQ85" i="17"/>
  <c r="U86" i="17" l="1"/>
  <c r="V86" i="17" s="1"/>
  <c r="AJ86" i="17"/>
  <c r="O86" i="17" l="1"/>
  <c r="Q86" i="17"/>
  <c r="P86" i="17"/>
  <c r="R86" i="17" l="1"/>
  <c r="K87" i="17" l="1"/>
  <c r="AQ86" i="17"/>
  <c r="H87" i="17"/>
  <c r="S86" i="17"/>
  <c r="AI86" i="17"/>
  <c r="T86" i="17"/>
  <c r="U87" i="17" l="1"/>
  <c r="V87" i="17" s="1"/>
  <c r="M87" i="17"/>
  <c r="N87" i="17" s="1"/>
  <c r="AJ87" i="17" l="1"/>
  <c r="O87" i="17" s="1"/>
  <c r="P87" i="17" l="1"/>
  <c r="Q87" i="17"/>
  <c r="R87" i="17" l="1"/>
  <c r="K88" i="17" l="1"/>
  <c r="U88" i="17" s="1"/>
  <c r="V88" i="17" s="1"/>
  <c r="AI87" i="17"/>
  <c r="T87" i="17"/>
  <c r="AQ87" i="17"/>
  <c r="H88" i="17"/>
  <c r="S87" i="17"/>
  <c r="M88" i="17" l="1"/>
  <c r="N88" i="17" s="1"/>
  <c r="AJ88" i="17" s="1"/>
  <c r="O88" i="17" s="1"/>
  <c r="P88" i="17" l="1"/>
  <c r="Q88" i="17"/>
  <c r="R88" i="17" l="1"/>
  <c r="K89" i="17" l="1"/>
  <c r="U89" i="17" s="1"/>
  <c r="V89" i="17" s="1"/>
  <c r="H89" i="17"/>
  <c r="AI88" i="17"/>
  <c r="T88" i="17"/>
  <c r="S88" i="17"/>
  <c r="AQ88" i="17"/>
  <c r="M89" i="17" l="1"/>
  <c r="N89" i="17" s="1"/>
  <c r="AJ89" i="17" l="1"/>
  <c r="Q89" i="17" s="1"/>
  <c r="O89" i="17" l="1"/>
  <c r="P89" i="17"/>
  <c r="R89" i="17" l="1"/>
  <c r="K90" i="17" l="1"/>
  <c r="AQ89" i="17"/>
  <c r="S89" i="17"/>
  <c r="H90" i="17"/>
  <c r="T89" i="17"/>
  <c r="AI89" i="17"/>
  <c r="U90" i="17" l="1"/>
  <c r="V90" i="17" s="1"/>
  <c r="M90" i="17"/>
  <c r="N90" i="17" l="1"/>
  <c r="AJ90" i="17" l="1"/>
  <c r="O90" i="17" s="1"/>
  <c r="P90" i="17" l="1"/>
  <c r="Q90" i="17"/>
  <c r="R90" i="17" l="1"/>
  <c r="K91" i="17" l="1"/>
  <c r="M91" i="17" s="1"/>
  <c r="T90" i="17"/>
  <c r="AI90" i="17"/>
  <c r="S90" i="17"/>
  <c r="H91" i="17"/>
  <c r="AQ90" i="17"/>
  <c r="U91" i="17" l="1"/>
  <c r="V91" i="17" s="1"/>
  <c r="N91" i="17"/>
  <c r="AJ91" i="17" s="1"/>
  <c r="O91" i="17" s="1"/>
  <c r="P91" i="17" l="1"/>
  <c r="Q91" i="17"/>
  <c r="R91" i="17" l="1"/>
  <c r="K92" i="17" l="1"/>
  <c r="U92" i="17" s="1"/>
  <c r="V92" i="17" s="1"/>
  <c r="AK91" i="17"/>
  <c r="T91" i="17"/>
  <c r="G5" i="17" s="1"/>
  <c r="H92" i="17"/>
  <c r="S91" i="17"/>
  <c r="AI91" i="17"/>
  <c r="AQ91" i="17"/>
  <c r="M92" i="17" l="1"/>
  <c r="N92" i="17" s="1"/>
  <c r="AJ92" i="17" s="1"/>
  <c r="O92" i="17" s="1"/>
  <c r="Q5" i="13"/>
  <c r="L5" i="13"/>
  <c r="M6" i="13"/>
  <c r="P92" i="17" l="1"/>
  <c r="Q92" i="17"/>
  <c r="R92" i="17" l="1"/>
  <c r="K93" i="17" l="1"/>
  <c r="M93" i="17" s="1"/>
  <c r="N93" i="17" s="1"/>
  <c r="AJ93" i="17" s="1"/>
  <c r="O93" i="17" s="1"/>
  <c r="S92" i="17"/>
  <c r="AK92" i="17"/>
  <c r="H93" i="17"/>
  <c r="AI92" i="17"/>
  <c r="T92" i="17"/>
  <c r="AQ92" i="17"/>
  <c r="U93" i="17" l="1"/>
  <c r="V93" i="17" s="1"/>
  <c r="Q93" i="17"/>
  <c r="P93" i="17"/>
  <c r="R93" i="17" l="1"/>
  <c r="AQ93" i="17" s="1"/>
  <c r="S93" i="17" l="1"/>
  <c r="T93" i="17"/>
  <c r="H94" i="17"/>
  <c r="AK93" i="17"/>
  <c r="AI93" i="17"/>
  <c r="K94" i="17"/>
  <c r="U94" i="17" s="1"/>
  <c r="V94" i="17" s="1"/>
  <c r="M94" i="17" l="1"/>
  <c r="N94" i="17" s="1"/>
  <c r="AJ94" i="17" s="1"/>
  <c r="O94" i="17" s="1"/>
  <c r="Q94" i="17" l="1"/>
  <c r="P94" i="17"/>
  <c r="R94" i="17" l="1"/>
  <c r="K95" i="17" l="1"/>
  <c r="U95" i="17" s="1"/>
  <c r="V95" i="17" s="1"/>
  <c r="AI94" i="17"/>
  <c r="T94" i="17"/>
  <c r="H95" i="17"/>
  <c r="S94" i="17"/>
  <c r="AQ94" i="17"/>
  <c r="AK94" i="17"/>
  <c r="M95" i="17" l="1"/>
  <c r="N95" i="17" s="1"/>
  <c r="AJ95" i="17" l="1"/>
  <c r="Q95" i="17" s="1"/>
  <c r="O95" i="17" l="1"/>
  <c r="P95" i="17"/>
  <c r="R95" i="17" l="1"/>
  <c r="K96" i="17" l="1"/>
  <c r="AK95" i="17"/>
  <c r="AQ95" i="17"/>
  <c r="S95" i="17"/>
  <c r="T95" i="17"/>
  <c r="H96" i="17"/>
  <c r="AI95" i="17"/>
  <c r="U96" i="17" l="1"/>
  <c r="V96" i="17" s="1"/>
  <c r="M96" i="17"/>
  <c r="N96" i="17" s="1"/>
  <c r="AJ96" i="17" l="1"/>
  <c r="P96" i="17" s="1"/>
  <c r="O96" i="17" l="1"/>
  <c r="Q96" i="17"/>
  <c r="R96" i="17" l="1"/>
  <c r="K97" i="17" l="1"/>
  <c r="AQ96" i="17"/>
  <c r="AK96" i="17"/>
  <c r="T96" i="17"/>
  <c r="AI96" i="17"/>
  <c r="H97" i="17"/>
  <c r="S96" i="17"/>
  <c r="U97" i="17" l="1"/>
  <c r="V97" i="17" s="1"/>
  <c r="M97" i="17"/>
  <c r="N97" i="17" l="1"/>
  <c r="AJ97" i="17" s="1"/>
  <c r="O97" i="17" s="1"/>
  <c r="P97" i="17" l="1"/>
  <c r="Q97" i="17"/>
  <c r="R97" i="17" l="1"/>
  <c r="K98" i="17" l="1"/>
  <c r="M98" i="17" s="1"/>
  <c r="N98" i="17" s="1"/>
  <c r="AJ98" i="17" s="1"/>
  <c r="AK97" i="17"/>
  <c r="AI97" i="17"/>
  <c r="AQ97" i="17"/>
  <c r="H98" i="17"/>
  <c r="T97" i="17"/>
  <c r="S97" i="17"/>
  <c r="U98" i="17" l="1"/>
  <c r="V98" i="17" s="1"/>
  <c r="O98" i="17"/>
  <c r="P98" i="17"/>
  <c r="Q98" i="17"/>
  <c r="R98" i="17" l="1"/>
  <c r="K99" i="17" l="1"/>
  <c r="AK98" i="17"/>
  <c r="AQ98" i="17"/>
  <c r="AI98" i="17"/>
  <c r="S98" i="17"/>
  <c r="T98" i="17"/>
  <c r="H99" i="17"/>
  <c r="M99" i="17" l="1"/>
  <c r="N99" i="17" s="1"/>
  <c r="U99" i="17"/>
  <c r="V99" i="17" s="1"/>
  <c r="AJ99" i="17" l="1"/>
  <c r="O99" i="17" l="1"/>
  <c r="P99" i="17"/>
  <c r="Q99" i="17"/>
  <c r="R99" i="17" l="1"/>
  <c r="K100" i="17" l="1"/>
  <c r="AK99" i="17"/>
  <c r="AQ99" i="17"/>
  <c r="T99" i="17"/>
  <c r="S99" i="17"/>
  <c r="AI99" i="17"/>
  <c r="H100" i="17"/>
  <c r="U100" i="17" l="1"/>
  <c r="V100" i="17" s="1"/>
  <c r="M100" i="17"/>
  <c r="N100" i="17" s="1"/>
  <c r="AJ100" i="17" l="1"/>
  <c r="O100" i="17" l="1"/>
  <c r="P100" i="17"/>
  <c r="Q100" i="17"/>
  <c r="R100" i="17" l="1"/>
  <c r="K101" i="17" l="1"/>
  <c r="AQ100" i="17"/>
  <c r="AK100" i="17"/>
  <c r="T100" i="17"/>
  <c r="S100" i="17"/>
  <c r="AI100" i="17"/>
  <c r="H101" i="17"/>
  <c r="U101" i="17" l="1"/>
  <c r="V101" i="17" s="1"/>
  <c r="M101" i="17"/>
  <c r="N101" i="17" l="1"/>
  <c r="AJ101" i="17" s="1"/>
  <c r="O101" i="17" s="1"/>
  <c r="P101" i="17" l="1"/>
  <c r="Q101" i="17"/>
  <c r="R101" i="17" l="1"/>
  <c r="K102" i="17" l="1"/>
  <c r="U102" i="17" s="1"/>
  <c r="V102" i="17" s="1"/>
  <c r="S101" i="17"/>
  <c r="AI101" i="17"/>
  <c r="T101" i="17"/>
  <c r="H102" i="17"/>
  <c r="AQ101" i="17"/>
  <c r="AK101" i="17"/>
  <c r="M102" i="17" l="1"/>
  <c r="N102" i="17" s="1"/>
  <c r="AJ102" i="17" s="1"/>
  <c r="O102" i="17" s="1"/>
  <c r="Q102" i="17" l="1"/>
  <c r="P102" i="17"/>
  <c r="R102" i="17" l="1"/>
  <c r="K103" i="17" l="1"/>
  <c r="U103" i="17" s="1"/>
  <c r="V103" i="17" s="1"/>
  <c r="AI102" i="17"/>
  <c r="AQ102" i="17"/>
  <c r="AK102" i="17"/>
  <c r="H103" i="17"/>
  <c r="T102" i="17"/>
  <c r="S102" i="17"/>
  <c r="M103" i="17" l="1"/>
  <c r="N103" i="17" s="1"/>
  <c r="AJ103" i="17" s="1"/>
  <c r="O103" i="17" s="1"/>
  <c r="P103" i="17" l="1"/>
  <c r="Q103" i="17"/>
  <c r="R103" i="17" l="1"/>
  <c r="K104" i="17" l="1"/>
  <c r="U104" i="17" s="1"/>
  <c r="V104" i="17" s="1"/>
  <c r="H104" i="17"/>
  <c r="T103" i="17"/>
  <c r="G6" i="17" s="1"/>
  <c r="AI103" i="17"/>
  <c r="S103" i="17"/>
  <c r="AK103" i="17"/>
  <c r="AQ103" i="17"/>
  <c r="M104" i="17" l="1"/>
  <c r="N104" i="17" s="1"/>
  <c r="AJ104" i="17" s="1"/>
  <c r="O104" i="17" s="1"/>
  <c r="M7" i="13"/>
  <c r="Q6" i="13"/>
  <c r="L6" i="13"/>
  <c r="P104" i="17" l="1"/>
  <c r="Q104" i="17"/>
  <c r="R104" i="17" l="1"/>
  <c r="K105" i="17" l="1"/>
  <c r="U105" i="17" s="1"/>
  <c r="V105" i="17" s="1"/>
  <c r="S104" i="17"/>
  <c r="T104" i="17"/>
  <c r="AI104" i="17"/>
  <c r="H105" i="17"/>
  <c r="AK104" i="17"/>
  <c r="AQ104" i="17"/>
  <c r="M105" i="17" l="1"/>
  <c r="N105" i="17" s="1"/>
  <c r="AJ105" i="17" s="1"/>
  <c r="O105" i="17" s="1"/>
  <c r="Q105" i="17" l="1"/>
  <c r="P105" i="17"/>
  <c r="R105" i="17" l="1"/>
  <c r="K106" i="17" l="1"/>
  <c r="M106" i="17" s="1"/>
  <c r="N106" i="17" s="1"/>
  <c r="T105" i="17"/>
  <c r="AQ105" i="17"/>
  <c r="S105" i="17"/>
  <c r="H106" i="17"/>
  <c r="AI105" i="17"/>
  <c r="AK105" i="17"/>
  <c r="U106" i="17" l="1"/>
  <c r="V106" i="17" s="1"/>
  <c r="AJ106" i="17"/>
  <c r="Q106" i="17" s="1"/>
  <c r="P106" i="17" l="1"/>
  <c r="O106" i="17"/>
  <c r="R106" i="17" l="1"/>
  <c r="S106" i="17" s="1"/>
  <c r="AI106" i="17" l="1"/>
  <c r="AQ106" i="17"/>
  <c r="AK106" i="17"/>
  <c r="H107" i="17"/>
  <c r="K107" i="17"/>
  <c r="M107" i="17" s="1"/>
  <c r="T106" i="17"/>
  <c r="U107" i="17" l="1"/>
  <c r="V107" i="17" s="1"/>
  <c r="N107" i="17"/>
  <c r="AJ107" i="17" s="1"/>
  <c r="O107" i="17" s="1"/>
  <c r="P107" i="17" l="1"/>
  <c r="Q107" i="17"/>
  <c r="R107" i="17" l="1"/>
  <c r="K108" i="17" l="1"/>
  <c r="U108" i="17" s="1"/>
  <c r="V108" i="17" s="1"/>
  <c r="T107" i="17"/>
  <c r="S107" i="17"/>
  <c r="AI107" i="17"/>
  <c r="H108" i="17"/>
  <c r="AK107" i="17"/>
  <c r="AQ107" i="17"/>
  <c r="M108" i="17" l="1"/>
  <c r="N108" i="17" s="1"/>
  <c r="AJ108" i="17" s="1"/>
  <c r="O108" i="17" s="1"/>
  <c r="Q108" i="17" l="1"/>
  <c r="P108" i="17"/>
  <c r="R108" i="17" l="1"/>
  <c r="K109" i="17" l="1"/>
  <c r="U109" i="17" s="1"/>
  <c r="V109" i="17" s="1"/>
  <c r="AI108" i="17"/>
  <c r="H109" i="17"/>
  <c r="AK108" i="17"/>
  <c r="AQ108" i="17"/>
  <c r="T108" i="17"/>
  <c r="S108" i="17"/>
  <c r="M109" i="17" l="1"/>
  <c r="N109" i="17" s="1"/>
  <c r="AJ109" i="17" l="1"/>
  <c r="O109" i="17" s="1"/>
  <c r="Q109" i="17"/>
  <c r="P109" i="17"/>
  <c r="R109" i="17" l="1"/>
  <c r="K110" i="17" l="1"/>
  <c r="U110" i="17" s="1"/>
  <c r="V110" i="17" s="1"/>
  <c r="AI109" i="17"/>
  <c r="T109" i="17"/>
  <c r="S109" i="17"/>
  <c r="AQ109" i="17"/>
  <c r="H110" i="17"/>
  <c r="AK109" i="17"/>
  <c r="M110" i="17" l="1"/>
  <c r="N110" i="17" s="1"/>
  <c r="AJ110" i="17" s="1"/>
  <c r="O110" i="17" s="1"/>
  <c r="P110" i="17" l="1"/>
  <c r="Q110" i="17"/>
  <c r="R110" i="17" l="1"/>
  <c r="AI110" i="17" s="1"/>
  <c r="T110" i="17" l="1"/>
  <c r="K111" i="17"/>
  <c r="U111" i="17" s="1"/>
  <c r="V111" i="17" s="1"/>
  <c r="AK110" i="17"/>
  <c r="AQ110" i="17"/>
  <c r="S110" i="17"/>
  <c r="H111" i="17"/>
  <c r="M111" i="17" l="1"/>
  <c r="N111" i="17" s="1"/>
  <c r="AJ111" i="17" s="1"/>
  <c r="O111" i="17" s="1"/>
  <c r="Q111" i="17" l="1"/>
  <c r="P111" i="17"/>
  <c r="R111" i="17" l="1"/>
  <c r="K112" i="17" l="1"/>
  <c r="U112" i="17" s="1"/>
  <c r="V112" i="17" s="1"/>
  <c r="H112" i="17"/>
  <c r="S111" i="17"/>
  <c r="T111" i="17"/>
  <c r="AI111" i="17"/>
  <c r="AK111" i="17"/>
  <c r="AQ111" i="17"/>
  <c r="M112" i="17" l="1"/>
  <c r="N112" i="17" s="1"/>
  <c r="AJ112" i="17" l="1"/>
  <c r="O112" i="17" s="1"/>
  <c r="P112" i="17" l="1"/>
  <c r="Q112" i="17"/>
  <c r="R112" i="17" l="1"/>
  <c r="K113" i="17" l="1"/>
  <c r="U113" i="17" s="1"/>
  <c r="V113" i="17" s="1"/>
  <c r="AI112" i="17"/>
  <c r="AQ112" i="17"/>
  <c r="AK112" i="17"/>
  <c r="H113" i="17"/>
  <c r="S112" i="17"/>
  <c r="T112" i="17"/>
  <c r="M113" i="17" l="1"/>
  <c r="N113" i="17" s="1"/>
  <c r="AJ113" i="17" l="1"/>
  <c r="O113" i="17" s="1"/>
  <c r="Q113" i="17" l="1"/>
  <c r="P113" i="17"/>
  <c r="R113" i="17" l="1"/>
  <c r="AQ113" i="17" s="1"/>
  <c r="K114" i="17" l="1"/>
  <c r="T113" i="17"/>
  <c r="S113" i="17"/>
  <c r="H114" i="17"/>
  <c r="AI113" i="17"/>
  <c r="AK113" i="17"/>
  <c r="U114" i="17"/>
  <c r="V114" i="17" s="1"/>
  <c r="M114" i="17"/>
  <c r="N114" i="17" l="1"/>
  <c r="AJ114" i="17" l="1"/>
  <c r="O114" i="17" s="1"/>
  <c r="Q114" i="17" l="1"/>
  <c r="P114" i="17"/>
  <c r="R114" i="17" l="1"/>
  <c r="K115" i="17" l="1"/>
  <c r="U115" i="17" s="1"/>
  <c r="V115" i="17" s="1"/>
  <c r="S114" i="17"/>
  <c r="AI114" i="17"/>
  <c r="T114" i="17"/>
  <c r="H115" i="17"/>
  <c r="AQ114" i="17"/>
  <c r="AK114" i="17"/>
  <c r="M115" i="17" l="1"/>
  <c r="N115" i="17" s="1"/>
  <c r="AJ115" i="17" l="1"/>
  <c r="O115" i="17" s="1"/>
  <c r="P115" i="17" l="1"/>
  <c r="Q115" i="17"/>
  <c r="R115" i="17" l="1"/>
  <c r="K116" i="17" l="1"/>
  <c r="M116" i="17" s="1"/>
  <c r="N116" i="17" s="1"/>
  <c r="T115" i="17"/>
  <c r="G7" i="17" s="1"/>
  <c r="H116" i="17"/>
  <c r="S115" i="17"/>
  <c r="AI115" i="17"/>
  <c r="AK115" i="17"/>
  <c r="AQ115" i="17"/>
  <c r="U116" i="17" l="1"/>
  <c r="V116" i="17" s="1"/>
  <c r="M8" i="13"/>
  <c r="L7" i="13"/>
  <c r="Q7" i="13"/>
  <c r="AJ116" i="17"/>
  <c r="O116" i="17" s="1"/>
  <c r="P116" i="17" l="1"/>
  <c r="Q116" i="17"/>
  <c r="R116" i="17" l="1"/>
  <c r="K117" i="17" l="1"/>
  <c r="U117" i="17" s="1"/>
  <c r="V117" i="17" s="1"/>
  <c r="S116" i="17"/>
  <c r="AQ116" i="17"/>
  <c r="AK116" i="17"/>
  <c r="H117" i="17"/>
  <c r="T116" i="17"/>
  <c r="AI116" i="17"/>
  <c r="M117" i="17" l="1"/>
  <c r="N117" i="17"/>
  <c r="AJ117" i="17" l="1"/>
  <c r="O117" i="17" s="1"/>
  <c r="P117" i="17" l="1"/>
  <c r="Q117" i="17"/>
  <c r="R117" i="17" l="1"/>
  <c r="T117" i="17" s="1"/>
  <c r="K118" i="17" l="1"/>
  <c r="U118" i="17" s="1"/>
  <c r="V118" i="17" s="1"/>
  <c r="H118" i="17"/>
  <c r="AI117" i="17"/>
  <c r="AK117" i="17"/>
  <c r="AQ117" i="17"/>
  <c r="S117" i="17"/>
  <c r="M118" i="17" l="1"/>
  <c r="N118" i="17" s="1"/>
  <c r="AJ118" i="17" s="1"/>
  <c r="O118" i="17" s="1"/>
  <c r="P118" i="17" l="1"/>
  <c r="Q118" i="17"/>
  <c r="R118" i="17" l="1"/>
  <c r="K119" i="17" l="1"/>
  <c r="U119" i="17" s="1"/>
  <c r="V119" i="17" s="1"/>
  <c r="AK118" i="17"/>
  <c r="AQ118" i="17"/>
  <c r="S118" i="17"/>
  <c r="H119" i="17"/>
  <c r="AI118" i="17"/>
  <c r="T118" i="17"/>
  <c r="M119" i="17" l="1"/>
  <c r="N119" i="17" s="1"/>
  <c r="AJ119" i="17" s="1"/>
  <c r="O119" i="17" s="1"/>
  <c r="P119" i="17" l="1"/>
  <c r="Q119" i="17"/>
  <c r="R119" i="17" l="1"/>
  <c r="K120" i="17" l="1"/>
  <c r="U120" i="17" s="1"/>
  <c r="V120" i="17" s="1"/>
  <c r="AK119" i="17"/>
  <c r="AQ119" i="17"/>
  <c r="S119" i="17"/>
  <c r="T119" i="17"/>
  <c r="AI119" i="17"/>
  <c r="H120" i="17"/>
  <c r="M120" i="17" l="1"/>
  <c r="N120" i="17" s="1"/>
  <c r="AJ120" i="17" s="1"/>
  <c r="O120" i="17" s="1"/>
  <c r="P120" i="17" l="1"/>
  <c r="Q120" i="17"/>
  <c r="R120" i="17" l="1"/>
  <c r="K121" i="17" l="1"/>
  <c r="U121" i="17" s="1"/>
  <c r="V121" i="17" s="1"/>
  <c r="S120" i="17"/>
  <c r="AQ120" i="17"/>
  <c r="AK120" i="17"/>
  <c r="T120" i="17"/>
  <c r="H121" i="17"/>
  <c r="AI120" i="17"/>
  <c r="M121" i="17" l="1"/>
  <c r="N121" i="17" s="1"/>
  <c r="AJ121" i="17" l="1"/>
  <c r="O121" i="17" s="1"/>
  <c r="P121" i="17" l="1"/>
  <c r="Q121" i="17"/>
  <c r="R121" i="17" l="1"/>
  <c r="K122" i="17" l="1"/>
  <c r="U122" i="17" s="1"/>
  <c r="V122" i="17" s="1"/>
  <c r="S121" i="17"/>
  <c r="H122" i="17"/>
  <c r="AK121" i="17"/>
  <c r="T121" i="17"/>
  <c r="AI121" i="17"/>
  <c r="AQ121" i="17"/>
  <c r="M122" i="17" l="1"/>
  <c r="N122" i="17" s="1"/>
  <c r="AJ122" i="17" l="1"/>
  <c r="O122" i="17" l="1"/>
  <c r="P122" i="17"/>
  <c r="Q122" i="17"/>
  <c r="R122" i="17" l="1"/>
  <c r="K123" i="17" l="1"/>
  <c r="AQ122" i="17"/>
  <c r="AK122" i="17"/>
  <c r="T122" i="17"/>
  <c r="AI122" i="17"/>
  <c r="H123" i="17"/>
  <c r="S122" i="17"/>
  <c r="M123" i="17" l="1"/>
  <c r="U123" i="17"/>
  <c r="V123" i="17" s="1"/>
  <c r="N123" i="17" l="1"/>
  <c r="AJ123" i="17" l="1"/>
  <c r="O123" i="17" s="1"/>
  <c r="Q123" i="17" l="1"/>
  <c r="P123" i="17"/>
  <c r="R123" i="17" l="1"/>
  <c r="K124" i="17" l="1"/>
  <c r="M124" i="17" s="1"/>
  <c r="N124" i="17" s="1"/>
  <c r="AQ123" i="17"/>
  <c r="AK123" i="17"/>
  <c r="H124" i="17"/>
  <c r="AI123" i="17"/>
  <c r="S123" i="17"/>
  <c r="T123" i="17"/>
  <c r="U124" i="17" l="1"/>
  <c r="V124" i="17" s="1"/>
  <c r="AJ124" i="17"/>
  <c r="Q124" i="17" s="1"/>
  <c r="O124" i="17" l="1"/>
  <c r="P124" i="17"/>
  <c r="R124" i="17" l="1"/>
  <c r="AK124" i="17" s="1"/>
  <c r="K125" i="17" l="1"/>
  <c r="U125" i="17" s="1"/>
  <c r="V125" i="17" s="1"/>
  <c r="AQ124" i="17"/>
  <c r="AI124" i="17"/>
  <c r="H125" i="17"/>
  <c r="S124" i="17"/>
  <c r="T124" i="17"/>
  <c r="M125" i="17" l="1"/>
  <c r="N125" i="17" s="1"/>
  <c r="AJ125" i="17" s="1"/>
  <c r="O125" i="17" s="1"/>
  <c r="P125" i="17" l="1"/>
  <c r="Q125" i="17"/>
  <c r="R125" i="17" l="1"/>
  <c r="K126" i="17" l="1"/>
  <c r="M126" i="17" s="1"/>
  <c r="N126" i="17" s="1"/>
  <c r="AI125" i="17"/>
  <c r="H126" i="17"/>
  <c r="T125" i="17"/>
  <c r="AQ125" i="17"/>
  <c r="S125" i="17"/>
  <c r="AK125" i="17"/>
  <c r="U126" i="17" l="1"/>
  <c r="V126" i="17" s="1"/>
  <c r="AJ126" i="17"/>
  <c r="O126" i="17" s="1"/>
  <c r="P126" i="17" l="1"/>
  <c r="Q126" i="17"/>
  <c r="R126" i="17" l="1"/>
  <c r="K127" i="17" l="1"/>
  <c r="M127" i="17" s="1"/>
  <c r="H127" i="17"/>
  <c r="AQ126" i="17"/>
  <c r="T126" i="17"/>
  <c r="S126" i="17"/>
  <c r="AI126" i="17"/>
  <c r="AK126" i="17"/>
  <c r="U127" i="17" l="1"/>
  <c r="V127" i="17" s="1"/>
  <c r="N127" i="17"/>
  <c r="AJ127" i="17" l="1"/>
  <c r="O127" i="17" s="1"/>
  <c r="Q127" i="17" l="1"/>
  <c r="P127" i="17"/>
  <c r="R127" i="17" l="1"/>
  <c r="K128" i="17" l="1"/>
  <c r="M128" i="17" s="1"/>
  <c r="N128" i="17" s="1"/>
  <c r="T127" i="17"/>
  <c r="AI127" i="17"/>
  <c r="AQ127" i="17"/>
  <c r="S127" i="17"/>
  <c r="H128" i="17"/>
  <c r="AK127" i="17"/>
  <c r="G8" i="17"/>
  <c r="U128" i="17" l="1"/>
  <c r="V128" i="17" s="1"/>
  <c r="M9" i="13"/>
  <c r="Q8" i="13"/>
  <c r="AJ128" i="17"/>
  <c r="O128" i="17" l="1"/>
  <c r="Q128" i="17"/>
  <c r="P128" i="17"/>
  <c r="R128" i="17" l="1"/>
  <c r="K129" i="17" l="1"/>
  <c r="AQ128" i="17"/>
  <c r="AK128" i="17"/>
  <c r="T128" i="17"/>
  <c r="H129" i="17"/>
  <c r="AI128" i="17"/>
  <c r="S128" i="17"/>
  <c r="U129" i="17" l="1"/>
  <c r="V129" i="17" s="1"/>
  <c r="M129" i="17"/>
  <c r="N129" i="17" l="1"/>
  <c r="AJ129" i="17" l="1"/>
  <c r="O129" i="17" s="1"/>
  <c r="Q129" i="17" l="1"/>
  <c r="P129" i="17"/>
  <c r="R129" i="17" l="1"/>
  <c r="AQ129" i="17" s="1"/>
  <c r="H130" i="17" l="1"/>
  <c r="AK129" i="17"/>
  <c r="K130" i="17"/>
  <c r="U130" i="17" s="1"/>
  <c r="V130" i="17" s="1"/>
  <c r="AI129" i="17"/>
  <c r="T129" i="17"/>
  <c r="S129" i="17"/>
  <c r="M130" i="17" l="1"/>
  <c r="N130" i="17" s="1"/>
  <c r="AJ130" i="17" s="1"/>
  <c r="O130" i="17" s="1"/>
  <c r="P130" i="17" l="1"/>
  <c r="Q130" i="17"/>
  <c r="R130" i="17" l="1"/>
  <c r="H131" i="17" s="1"/>
  <c r="T130" i="17" l="1"/>
  <c r="S130" i="17"/>
  <c r="AK130" i="17"/>
  <c r="AQ130" i="17"/>
  <c r="K131" i="17"/>
  <c r="U131" i="17" s="1"/>
  <c r="V131" i="17" s="1"/>
  <c r="AI130" i="17"/>
  <c r="M131" i="17" l="1"/>
  <c r="N131" i="17" s="1"/>
  <c r="AJ131" i="17" l="1"/>
  <c r="Q131" i="17" s="1"/>
  <c r="O131" i="17"/>
  <c r="P131" i="17"/>
  <c r="R131" i="17" l="1"/>
  <c r="K132" i="17" l="1"/>
  <c r="AQ131" i="17"/>
  <c r="AK131" i="17"/>
  <c r="H132" i="17"/>
  <c r="T131" i="17"/>
  <c r="AI131" i="17"/>
  <c r="S131" i="17"/>
  <c r="M132" i="17" l="1"/>
  <c r="N132" i="17" s="1"/>
  <c r="U132" i="17"/>
  <c r="V132" i="17" s="1"/>
  <c r="AJ132" i="17" l="1"/>
  <c r="O132" i="17" l="1"/>
  <c r="Q132" i="17"/>
  <c r="P132" i="17"/>
  <c r="R132" i="17" l="1"/>
  <c r="K133" i="17" l="1"/>
  <c r="AK132" i="17"/>
  <c r="AQ132" i="17"/>
  <c r="H133" i="17"/>
  <c r="S132" i="17"/>
  <c r="T132" i="17"/>
  <c r="AI132" i="17"/>
  <c r="M133" i="17" l="1"/>
  <c r="N133" i="17" s="1"/>
  <c r="U133" i="17"/>
  <c r="V133" i="17" s="1"/>
  <c r="AJ133" i="17" l="1"/>
  <c r="O133" i="17" l="1"/>
  <c r="P133" i="17"/>
  <c r="Q133" i="17"/>
  <c r="R133" i="17" l="1"/>
  <c r="K134" i="17" l="1"/>
  <c r="AQ133" i="17"/>
  <c r="AK133" i="17"/>
  <c r="AI133" i="17"/>
  <c r="S133" i="17"/>
  <c r="T133" i="17"/>
  <c r="H134" i="17"/>
  <c r="U134" i="17" l="1"/>
  <c r="V134" i="17" s="1"/>
  <c r="M134" i="17"/>
  <c r="N134" i="17" l="1"/>
  <c r="AJ134" i="17" l="1"/>
  <c r="O134" i="17" s="1"/>
  <c r="P134" i="17" l="1"/>
  <c r="Q134" i="17"/>
  <c r="R134" i="17" l="1"/>
  <c r="AQ134" i="17" s="1"/>
  <c r="AK134" i="17" l="1"/>
  <c r="T134" i="17"/>
  <c r="K135" i="17"/>
  <c r="M135" i="17" s="1"/>
  <c r="N135" i="17" s="1"/>
  <c r="AJ135" i="17" s="1"/>
  <c r="S134" i="17"/>
  <c r="H135" i="17"/>
  <c r="AI134" i="17"/>
  <c r="U135" i="17" l="1"/>
  <c r="V135" i="17" s="1"/>
  <c r="O135" i="17"/>
  <c r="Q135" i="17"/>
  <c r="P135" i="17"/>
  <c r="R135" i="17" l="1"/>
  <c r="K136" i="17" l="1"/>
  <c r="AK135" i="17"/>
  <c r="AQ135" i="17"/>
  <c r="H136" i="17"/>
  <c r="AI135" i="17"/>
  <c r="S135" i="17"/>
  <c r="T135" i="17"/>
  <c r="U136" i="17" l="1"/>
  <c r="V136" i="17" s="1"/>
  <c r="M136" i="17"/>
  <c r="N136" i="17" s="1"/>
  <c r="AJ136" i="17" l="1"/>
  <c r="O136" i="17" l="1"/>
  <c r="P136" i="17"/>
  <c r="Q136" i="17"/>
  <c r="R136" i="17" l="1"/>
  <c r="K137" i="17" l="1"/>
  <c r="AQ136" i="17"/>
  <c r="AK136" i="17"/>
  <c r="S136" i="17"/>
  <c r="AI136" i="17"/>
  <c r="T136" i="17"/>
  <c r="H137" i="17"/>
  <c r="U137" i="17" l="1"/>
  <c r="V137" i="17" s="1"/>
  <c r="M137" i="17"/>
  <c r="N137" i="17" l="1"/>
  <c r="AJ137" i="17" s="1"/>
  <c r="O137" i="17" s="1"/>
  <c r="Q137" i="17" l="1"/>
  <c r="P137" i="17"/>
  <c r="R137" i="17" l="1"/>
  <c r="K138" i="17" l="1"/>
  <c r="U138" i="17" s="1"/>
  <c r="V138" i="17" s="1"/>
  <c r="H138" i="17"/>
  <c r="T137" i="17"/>
  <c r="AQ137" i="17"/>
  <c r="AK137" i="17"/>
  <c r="S137" i="17"/>
  <c r="AI137" i="17"/>
  <c r="M138" i="17" l="1"/>
  <c r="N138" i="17" s="1"/>
  <c r="AJ138" i="17" s="1"/>
  <c r="O138" i="17" s="1"/>
  <c r="P138" i="17" l="1"/>
  <c r="Q138" i="17"/>
  <c r="R138" i="17" l="1"/>
  <c r="K139" i="17" l="1"/>
  <c r="M139" i="17" s="1"/>
  <c r="AQ138" i="17"/>
  <c r="S138" i="17"/>
  <c r="H139" i="17"/>
  <c r="T138" i="17"/>
  <c r="AI138" i="17"/>
  <c r="AK138" i="17"/>
  <c r="U139" i="17" l="1"/>
  <c r="V139" i="17" s="1"/>
  <c r="N139" i="17"/>
  <c r="AJ139" i="17" s="1"/>
  <c r="O139" i="17" s="1"/>
  <c r="P139" i="17" l="1"/>
  <c r="Q139" i="17"/>
  <c r="R139" i="17" l="1"/>
  <c r="K140" i="17" l="1"/>
  <c r="M140" i="17" s="1"/>
  <c r="N140" i="17" s="1"/>
  <c r="T139" i="17"/>
  <c r="G9" i="17" s="1"/>
  <c r="AI139" i="17"/>
  <c r="S139" i="17"/>
  <c r="H140" i="17"/>
  <c r="AK139" i="17"/>
  <c r="AQ139" i="17"/>
  <c r="U140" i="17" l="1"/>
  <c r="V140" i="17" s="1"/>
  <c r="M10" i="13"/>
  <c r="Q9" i="13"/>
  <c r="L9" i="13"/>
  <c r="AJ140" i="17"/>
  <c r="O140" i="17" s="1"/>
  <c r="P140" i="17" l="1"/>
  <c r="Q140" i="17"/>
  <c r="R140" i="17" l="1"/>
  <c r="K141" i="17" l="1"/>
  <c r="U141" i="17" s="1"/>
  <c r="V141" i="17" s="1"/>
  <c r="AI140" i="17"/>
  <c r="AQ140" i="17"/>
  <c r="H141" i="17"/>
  <c r="AK140" i="17"/>
  <c r="S140" i="17"/>
  <c r="T140" i="17"/>
  <c r="M141" i="17" l="1"/>
  <c r="N141" i="17" s="1"/>
  <c r="AJ141" i="17" s="1"/>
  <c r="O141" i="17" s="1"/>
  <c r="P141" i="17" l="1"/>
  <c r="Q141" i="17"/>
  <c r="R141" i="17" l="1"/>
  <c r="K142" i="17" l="1"/>
  <c r="U142" i="17" s="1"/>
  <c r="V142" i="17" s="1"/>
  <c r="T141" i="17"/>
  <c r="AK141" i="17"/>
  <c r="H142" i="17"/>
  <c r="AI141" i="17"/>
  <c r="S141" i="17"/>
  <c r="AQ141" i="17"/>
  <c r="M142" i="17" l="1"/>
  <c r="N142" i="17" s="1"/>
  <c r="AJ142" i="17" s="1"/>
  <c r="O142" i="17" s="1"/>
  <c r="Q142" i="17" l="1"/>
  <c r="P142" i="17"/>
  <c r="R142" i="17" l="1"/>
  <c r="H143" i="17" s="1"/>
  <c r="S142" i="17" l="1"/>
  <c r="AQ142" i="17"/>
  <c r="AK142" i="17"/>
  <c r="T142" i="17"/>
  <c r="K143" i="17"/>
  <c r="U143" i="17" s="1"/>
  <c r="V143" i="17" s="1"/>
  <c r="AI142" i="17"/>
  <c r="M143" i="17"/>
  <c r="N143" i="17" s="1"/>
  <c r="AJ143" i="17" l="1"/>
  <c r="O143" i="17" s="1"/>
  <c r="Q143" i="17" l="1"/>
  <c r="P143" i="17"/>
  <c r="R143" i="17" l="1"/>
  <c r="K144" i="17" l="1"/>
  <c r="U144" i="17" s="1"/>
  <c r="V144" i="17" s="1"/>
  <c r="AQ143" i="17"/>
  <c r="S143" i="17"/>
  <c r="T143" i="17"/>
  <c r="H144" i="17"/>
  <c r="AI143" i="17"/>
  <c r="AK143" i="17"/>
  <c r="M144" i="17" l="1"/>
  <c r="N144" i="17" s="1"/>
  <c r="AJ144" i="17" l="1"/>
  <c r="Q144" i="17" s="1"/>
  <c r="P144" i="17" l="1"/>
  <c r="O144" i="17"/>
  <c r="R144" i="17" s="1"/>
  <c r="K145" i="17" l="1"/>
  <c r="U145" i="17" s="1"/>
  <c r="V145" i="17" s="1"/>
  <c r="AI144" i="17"/>
  <c r="AK144" i="17"/>
  <c r="T144" i="17"/>
  <c r="H145" i="17"/>
  <c r="S144" i="17"/>
  <c r="AQ144" i="17"/>
  <c r="M145" i="17" l="1"/>
  <c r="N145" i="17" s="1"/>
  <c r="AJ145" i="17" s="1"/>
  <c r="O145" i="17" s="1"/>
  <c r="P145" i="17" l="1"/>
  <c r="Q145" i="17"/>
  <c r="R145" i="17" l="1"/>
  <c r="K146" i="17" l="1"/>
  <c r="M146" i="17" s="1"/>
  <c r="N146" i="17" s="1"/>
  <c r="AQ145" i="17"/>
  <c r="AI145" i="17"/>
  <c r="H146" i="17"/>
  <c r="S145" i="17"/>
  <c r="T145" i="17"/>
  <c r="AK145" i="17"/>
  <c r="U146" i="17" l="1"/>
  <c r="V146" i="17" s="1"/>
  <c r="AJ146" i="17"/>
  <c r="O146" i="17" s="1"/>
  <c r="P146" i="17" l="1"/>
  <c r="Q146" i="17"/>
  <c r="R146" i="17" l="1"/>
  <c r="K147" i="17" l="1"/>
  <c r="U147" i="17" s="1"/>
  <c r="V147" i="17" s="1"/>
  <c r="T146" i="17"/>
  <c r="H147" i="17"/>
  <c r="AQ146" i="17"/>
  <c r="AK146" i="17"/>
  <c r="AI146" i="17"/>
  <c r="S146" i="17"/>
  <c r="M147" i="17" l="1"/>
  <c r="N147" i="17" s="1"/>
  <c r="AJ147" i="17" s="1"/>
  <c r="O147" i="17" s="1"/>
  <c r="P147" i="17" l="1"/>
  <c r="Q147" i="17"/>
  <c r="R147" i="17" s="1"/>
  <c r="K148" i="17" l="1"/>
  <c r="AQ147" i="17"/>
  <c r="AK147" i="17"/>
  <c r="T147" i="17"/>
  <c r="H148" i="17"/>
  <c r="S147" i="17"/>
  <c r="AI147" i="17"/>
  <c r="U148" i="17" l="1"/>
  <c r="V148" i="17" s="1"/>
  <c r="M148" i="17"/>
  <c r="N148" i="17" l="1"/>
  <c r="AJ148" i="17" l="1"/>
  <c r="O148" i="17" s="1"/>
  <c r="P148" i="17" l="1"/>
  <c r="Q148" i="17"/>
  <c r="R148" i="17" l="1"/>
  <c r="K149" i="17" l="1"/>
  <c r="M149" i="17" s="1"/>
  <c r="N149" i="17" s="1"/>
  <c r="T148" i="17"/>
  <c r="AI148" i="17"/>
  <c r="H149" i="17"/>
  <c r="S148" i="17"/>
  <c r="AQ148" i="17"/>
  <c r="AK148" i="17"/>
  <c r="U149" i="17" l="1"/>
  <c r="V149" i="17" s="1"/>
  <c r="AJ149" i="17"/>
  <c r="O149" i="17" l="1"/>
  <c r="P149" i="17"/>
  <c r="Q149" i="17"/>
  <c r="R149" i="17" l="1"/>
  <c r="K150" i="17" l="1"/>
  <c r="AK149" i="17"/>
  <c r="AQ149" i="17"/>
  <c r="S149" i="17"/>
  <c r="AI149" i="17"/>
  <c r="H150" i="17"/>
  <c r="T149" i="17"/>
  <c r="U150" i="17" l="1"/>
  <c r="V150" i="17" s="1"/>
  <c r="M150" i="17"/>
  <c r="N150" i="17" l="1"/>
  <c r="AJ150" i="17" s="1"/>
  <c r="O150" i="17" s="1"/>
  <c r="P150" i="17" l="1"/>
  <c r="Q150" i="17"/>
  <c r="R150" i="17" l="1"/>
  <c r="K151" i="17" l="1"/>
  <c r="U151" i="17" s="1"/>
  <c r="V151" i="17" s="1"/>
  <c r="AK150" i="17"/>
  <c r="AQ150" i="17"/>
  <c r="AI150" i="17"/>
  <c r="T150" i="17"/>
  <c r="S150" i="17"/>
  <c r="H151" i="17"/>
  <c r="M151" i="17" l="1"/>
  <c r="N151" i="17" s="1"/>
  <c r="AJ151" i="17" s="1"/>
  <c r="O151" i="17" s="1"/>
  <c r="P151" i="17" l="1"/>
  <c r="Q151" i="17"/>
  <c r="R151" i="17" l="1"/>
  <c r="K152" i="17" l="1"/>
  <c r="U152" i="17" s="1"/>
  <c r="V152" i="17" s="1"/>
  <c r="H152" i="17"/>
  <c r="AI151" i="17"/>
  <c r="AK151" i="17"/>
  <c r="AQ151" i="17"/>
  <c r="T151" i="17"/>
  <c r="S151" i="17"/>
  <c r="M152" i="17" l="1"/>
  <c r="N152" i="17" s="1"/>
  <c r="AJ152" i="17" s="1"/>
  <c r="O152" i="17" s="1"/>
  <c r="Q152" i="17" l="1"/>
  <c r="P152" i="17"/>
  <c r="R152" i="17" l="1"/>
  <c r="K153" i="17" l="1"/>
  <c r="U153" i="17" s="1"/>
  <c r="V153" i="17" s="1"/>
  <c r="T152" i="17"/>
  <c r="AK152" i="17"/>
  <c r="H153" i="17"/>
  <c r="S152" i="17"/>
  <c r="AI152" i="17"/>
  <c r="AQ152" i="17"/>
  <c r="M153" i="17" l="1"/>
  <c r="N153" i="17" s="1"/>
  <c r="AJ153" i="17" s="1"/>
  <c r="P153" i="17" s="1"/>
  <c r="O153" i="17" l="1"/>
  <c r="Q153" i="17"/>
  <c r="R153" i="17" l="1"/>
  <c r="K154" i="17" l="1"/>
  <c r="AQ153" i="17"/>
  <c r="AK153" i="17"/>
  <c r="AI153" i="17"/>
  <c r="S153" i="17"/>
  <c r="T153" i="17"/>
  <c r="H154" i="17"/>
  <c r="U154" i="17" l="1"/>
  <c r="V154" i="17" s="1"/>
  <c r="M154" i="17"/>
  <c r="N154" i="17" s="1"/>
  <c r="AJ154" i="17" l="1"/>
  <c r="O154" i="17" s="1"/>
  <c r="P154" i="17" l="1"/>
  <c r="Q154" i="17"/>
  <c r="R154" i="17" l="1"/>
  <c r="K155" i="17" l="1"/>
  <c r="U155" i="17" s="1"/>
  <c r="V155" i="17" s="1"/>
  <c r="AI154" i="17"/>
  <c r="T154" i="17"/>
  <c r="AQ154" i="17"/>
  <c r="H155" i="17"/>
  <c r="S154" i="17"/>
  <c r="AK154" i="17"/>
  <c r="M155" i="17" l="1"/>
  <c r="N155" i="17" s="1"/>
  <c r="AJ155" i="17" s="1"/>
  <c r="O155" i="17" s="1"/>
  <c r="P155" i="17" l="1"/>
  <c r="Q155" i="17"/>
  <c r="R155" i="17" l="1"/>
  <c r="K156" i="17" s="1"/>
  <c r="M156" i="17" s="1"/>
  <c r="T155" i="17" l="1"/>
  <c r="AI155" i="17"/>
  <c r="S155" i="17"/>
  <c r="AQ155" i="17"/>
  <c r="AK155" i="17"/>
  <c r="H156" i="17"/>
  <c r="U156" i="17"/>
  <c r="V156" i="17" s="1"/>
  <c r="N156" i="17"/>
  <c r="AJ156" i="17" l="1"/>
  <c r="O156" i="17" s="1"/>
  <c r="P156" i="17" l="1"/>
  <c r="Q156" i="17"/>
  <c r="R156" i="17" l="1"/>
  <c r="H157" i="17" s="1"/>
  <c r="K157" i="17" l="1"/>
  <c r="M157" i="17" s="1"/>
  <c r="N157" i="17" s="1"/>
  <c r="T156" i="17"/>
  <c r="AK156" i="17"/>
  <c r="AQ156" i="17"/>
  <c r="AI156" i="17"/>
  <c r="S156" i="17"/>
  <c r="U157" i="17" l="1"/>
  <c r="V157" i="17" s="1"/>
  <c r="AJ157" i="17"/>
  <c r="Q157" i="17" s="1"/>
  <c r="O157" i="17" l="1"/>
  <c r="P157" i="17"/>
  <c r="R157" i="17" l="1"/>
  <c r="AK157" i="17" s="1"/>
  <c r="T157" i="17" l="1"/>
  <c r="H158" i="17"/>
  <c r="AI157" i="17"/>
  <c r="S157" i="17"/>
  <c r="AQ157" i="17"/>
  <c r="K158" i="17"/>
  <c r="U158" i="17" s="1"/>
  <c r="V158" i="17" s="1"/>
  <c r="M158" i="17"/>
  <c r="N158" i="17" l="1"/>
  <c r="AJ158" i="17" l="1"/>
  <c r="O158" i="17" s="1"/>
  <c r="P158" i="17" l="1"/>
  <c r="Q158" i="17"/>
  <c r="R158" i="17" l="1"/>
  <c r="K159" i="17" l="1"/>
  <c r="M159" i="17" s="1"/>
  <c r="AI158" i="17"/>
  <c r="AQ158" i="17"/>
  <c r="AK158" i="17"/>
  <c r="T158" i="17"/>
  <c r="S158" i="17"/>
  <c r="H159" i="17"/>
  <c r="U159" i="17" l="1"/>
  <c r="V159" i="17" s="1"/>
  <c r="N159" i="17"/>
  <c r="AJ159" i="17" l="1"/>
  <c r="O159" i="17" s="1"/>
  <c r="Q159" i="17" l="1"/>
  <c r="P159" i="17"/>
  <c r="R159" i="17" l="1"/>
  <c r="K160" i="17" l="1"/>
  <c r="U160" i="17" s="1"/>
  <c r="V160" i="17" s="1"/>
  <c r="AK159" i="17"/>
  <c r="AQ159" i="17"/>
  <c r="H160" i="17"/>
  <c r="AI159" i="17"/>
  <c r="T159" i="17"/>
  <c r="S159" i="17"/>
  <c r="M160" i="17" l="1"/>
  <c r="N160" i="17" s="1"/>
  <c r="AJ160" i="17" s="1"/>
  <c r="O160" i="17" s="1"/>
  <c r="P160" i="17" l="1"/>
  <c r="Q160" i="17"/>
  <c r="R160" i="17" l="1"/>
  <c r="K161" i="17" l="1"/>
  <c r="U161" i="17" s="1"/>
  <c r="V161" i="17" s="1"/>
  <c r="H161" i="17"/>
  <c r="AQ160" i="17"/>
  <c r="AK160" i="17"/>
  <c r="S160" i="17"/>
  <c r="AI160" i="17"/>
  <c r="T160" i="17"/>
  <c r="M161" i="17" l="1"/>
  <c r="N161" i="17" s="1"/>
  <c r="AJ161" i="17" l="1"/>
  <c r="P161" i="17" s="1"/>
  <c r="O161" i="17" l="1"/>
  <c r="Q161" i="17"/>
  <c r="R161" i="17" l="1"/>
  <c r="K162" i="17" s="1"/>
  <c r="T161" i="17"/>
  <c r="S161" i="17" l="1"/>
  <c r="H162" i="17"/>
  <c r="AK161" i="17"/>
  <c r="AI161" i="17"/>
  <c r="AQ161" i="17"/>
  <c r="M162" i="17"/>
  <c r="N162" i="17" s="1"/>
  <c r="U162" i="17"/>
  <c r="V162" i="17" s="1"/>
  <c r="AJ162" i="17" l="1"/>
  <c r="Q162" i="17" s="1"/>
  <c r="O162" i="17" l="1"/>
  <c r="P162" i="17"/>
  <c r="R162" i="17" l="1"/>
  <c r="K163" i="17" l="1"/>
  <c r="U163" i="17" s="1"/>
  <c r="V163" i="17" s="1"/>
  <c r="S162" i="17"/>
  <c r="AI162" i="17"/>
  <c r="AK162" i="17"/>
  <c r="T162" i="17"/>
  <c r="H163" i="17"/>
  <c r="AQ162" i="17"/>
  <c r="M163" i="17" l="1"/>
  <c r="N163" i="17" s="1"/>
  <c r="AJ163" i="17" l="1"/>
  <c r="O163" i="17" l="1"/>
  <c r="P163" i="17"/>
  <c r="Q163" i="17"/>
  <c r="R163" i="17" l="1"/>
  <c r="K164" i="17" l="1"/>
  <c r="AQ163" i="17"/>
  <c r="AK163" i="17"/>
  <c r="S163" i="17"/>
  <c r="T163" i="17"/>
  <c r="AI163" i="17"/>
  <c r="H164" i="17"/>
  <c r="U164" i="17" l="1"/>
  <c r="V164" i="17" s="1"/>
  <c r="M164" i="17"/>
  <c r="N164" i="17" s="1"/>
  <c r="AJ164" i="17" l="1"/>
  <c r="O164" i="17" l="1"/>
  <c r="P164" i="17"/>
  <c r="Q164" i="17"/>
  <c r="R164" i="17" l="1"/>
  <c r="K165" i="17" l="1"/>
  <c r="AK164" i="17"/>
  <c r="AQ164" i="17"/>
  <c r="S164" i="17"/>
  <c r="T164" i="17"/>
  <c r="H165" i="17"/>
  <c r="AI164" i="17"/>
  <c r="M165" i="17" l="1"/>
  <c r="N165" i="17" s="1"/>
  <c r="U165" i="17"/>
  <c r="V165" i="17" s="1"/>
  <c r="AJ165" i="17" l="1"/>
  <c r="O165" i="17" s="1"/>
  <c r="P165" i="17" l="1"/>
  <c r="Q165" i="17"/>
  <c r="R165" i="17" l="1"/>
  <c r="K166" i="17" l="1"/>
  <c r="U166" i="17" s="1"/>
  <c r="V166" i="17" s="1"/>
  <c r="AK165" i="17"/>
  <c r="H166" i="17"/>
  <c r="T165" i="17"/>
  <c r="AI165" i="17"/>
  <c r="S165" i="17"/>
  <c r="AQ165" i="17"/>
  <c r="M166" i="17" l="1"/>
  <c r="N166" i="17" s="1"/>
  <c r="AJ166" i="17" s="1"/>
  <c r="O166" i="17" s="1"/>
  <c r="Q166" i="17" l="1"/>
  <c r="P166" i="17"/>
  <c r="R166" i="17" l="1"/>
  <c r="K167" i="17" l="1"/>
  <c r="U167" i="17" s="1"/>
  <c r="V167" i="17" s="1"/>
  <c r="T166" i="17"/>
  <c r="AI166" i="17"/>
  <c r="AQ166" i="17"/>
  <c r="H167" i="17"/>
  <c r="S166" i="17"/>
  <c r="AK166" i="17"/>
  <c r="M167" i="17" l="1"/>
  <c r="N167" i="17" s="1"/>
  <c r="AJ167" i="17" s="1"/>
  <c r="O167" i="17" s="1"/>
  <c r="Q167" i="17" l="1"/>
  <c r="P167" i="17"/>
  <c r="R167" i="17" l="1"/>
  <c r="H168" i="17" s="1"/>
  <c r="AI167" i="17" l="1"/>
  <c r="S167" i="17"/>
  <c r="AQ167" i="17"/>
  <c r="K168" i="17"/>
  <c r="U168" i="17" s="1"/>
  <c r="V168" i="17" s="1"/>
  <c r="AK167" i="17"/>
  <c r="T167" i="17"/>
  <c r="M168" i="17" l="1"/>
  <c r="N168" i="17" s="1"/>
  <c r="AJ168" i="17" s="1"/>
  <c r="O168" i="17" s="1"/>
  <c r="Q168" i="17" l="1"/>
  <c r="P168" i="17"/>
  <c r="R168" i="17" l="1"/>
  <c r="K169" i="17" l="1"/>
  <c r="AQ168" i="17"/>
  <c r="AK168" i="17"/>
  <c r="T168" i="17"/>
  <c r="S168" i="17"/>
  <c r="H169" i="17"/>
  <c r="AI168" i="17"/>
  <c r="U169" i="17" l="1"/>
  <c r="V169" i="17" s="1"/>
  <c r="M169" i="17"/>
  <c r="N169" i="17" l="1"/>
  <c r="AJ169" i="17" s="1"/>
  <c r="O169" i="17" s="1"/>
  <c r="Q169" i="17" l="1"/>
  <c r="P169" i="17"/>
  <c r="R169" i="17" l="1"/>
  <c r="AQ169" i="17" s="1"/>
  <c r="K170" i="17" l="1"/>
  <c r="U170" i="17" s="1"/>
  <c r="V170" i="17" s="1"/>
  <c r="T169" i="17"/>
  <c r="H170" i="17"/>
  <c r="AI169" i="17"/>
  <c r="S169" i="17"/>
  <c r="AK169" i="17"/>
  <c r="M170" i="17" l="1"/>
  <c r="N170" i="17" s="1"/>
  <c r="AJ170" i="17"/>
  <c r="O170" i="17" s="1"/>
  <c r="P170" i="17"/>
  <c r="Q170" i="17" l="1"/>
  <c r="R170" i="17" s="1"/>
  <c r="K171" i="17" l="1"/>
  <c r="U171" i="17" s="1"/>
  <c r="V171" i="17" s="1"/>
  <c r="AK170" i="17"/>
  <c r="H171" i="17"/>
  <c r="S170" i="17"/>
  <c r="AQ170" i="17"/>
  <c r="AI170" i="17"/>
  <c r="T170" i="17"/>
  <c r="M171" i="17" l="1"/>
  <c r="N171" i="17" s="1"/>
  <c r="AJ171" i="17" s="1"/>
  <c r="O171" i="17" s="1"/>
  <c r="P171" i="17" l="1"/>
  <c r="Q171" i="17"/>
  <c r="R171" i="17" l="1"/>
  <c r="K172" i="17" s="1"/>
  <c r="M172" i="17" s="1"/>
  <c r="U172" i="17" l="1"/>
  <c r="V172" i="17" s="1"/>
  <c r="AQ171" i="17"/>
  <c r="AK171" i="17"/>
  <c r="S171" i="17"/>
  <c r="AI171" i="17"/>
  <c r="H172" i="17"/>
  <c r="T171" i="17"/>
  <c r="N172" i="17"/>
  <c r="AJ172" i="17" s="1"/>
  <c r="O172" i="17" s="1"/>
  <c r="P172" i="17" l="1"/>
  <c r="Q172" i="17"/>
  <c r="R172" i="17" l="1"/>
  <c r="K173" i="17" l="1"/>
  <c r="U173" i="17" s="1"/>
  <c r="V173" i="17" s="1"/>
  <c r="AI172" i="17"/>
  <c r="AK172" i="17"/>
  <c r="S172" i="17"/>
  <c r="H173" i="17"/>
  <c r="T172" i="17"/>
  <c r="AQ172" i="17"/>
  <c r="M173" i="17" l="1"/>
  <c r="N173" i="17" s="1"/>
  <c r="AJ173" i="17" s="1"/>
  <c r="O173" i="17" s="1"/>
  <c r="P173" i="17" l="1"/>
  <c r="Q173" i="17"/>
  <c r="R173" i="17" l="1"/>
  <c r="K174" i="17" l="1"/>
  <c r="U174" i="17" s="1"/>
  <c r="V174" i="17" s="1"/>
  <c r="AI173" i="17"/>
  <c r="T173" i="17"/>
  <c r="H174" i="17"/>
  <c r="S173" i="17"/>
  <c r="AK173" i="17"/>
  <c r="AQ173" i="17"/>
  <c r="M174" i="17" l="1"/>
  <c r="N174" i="17" s="1"/>
  <c r="AJ174" i="17" l="1"/>
  <c r="O174" i="17" s="1"/>
  <c r="Q174" i="17" l="1"/>
  <c r="P174" i="17"/>
  <c r="R174" i="17" l="1"/>
  <c r="K175" i="17" l="1"/>
  <c r="M175" i="17" s="1"/>
  <c r="AI174" i="17"/>
  <c r="AK174" i="17"/>
  <c r="AQ174" i="17"/>
  <c r="S174" i="17"/>
  <c r="T174" i="17"/>
  <c r="H175" i="17"/>
  <c r="U175" i="17" l="1"/>
  <c r="V175" i="17" s="1"/>
  <c r="N175" i="17"/>
  <c r="AJ175" i="17" s="1"/>
  <c r="O175" i="17" l="1"/>
  <c r="P175" i="17"/>
  <c r="Q175" i="17"/>
  <c r="R175" i="17" l="1"/>
  <c r="AI175" i="17" l="1"/>
  <c r="S175" i="17"/>
  <c r="T175" i="17"/>
  <c r="AQ175" i="17"/>
  <c r="AK175" i="17"/>
  <c r="K176" i="17"/>
  <c r="U176" i="17" s="1"/>
  <c r="V176" i="17" s="1"/>
  <c r="H176" i="17"/>
  <c r="M176" i="17" l="1"/>
  <c r="N176" i="17" s="1"/>
  <c r="AJ176" i="17" l="1"/>
  <c r="O176" i="17" s="1"/>
  <c r="P176" i="17" l="1"/>
  <c r="Q176" i="17"/>
  <c r="R176" i="17" l="1"/>
  <c r="K177" i="17"/>
  <c r="AK176" i="17"/>
  <c r="AQ176" i="17"/>
  <c r="T176" i="17"/>
  <c r="H177" i="17"/>
  <c r="S176" i="17"/>
  <c r="AI176" i="17"/>
  <c r="M177" i="17" l="1"/>
  <c r="N177" i="17" s="1"/>
  <c r="U177" i="17"/>
  <c r="V177" i="17" s="1"/>
  <c r="AJ177" i="17" l="1"/>
  <c r="O177" i="17" l="1"/>
  <c r="P177" i="17"/>
  <c r="Q177" i="17"/>
  <c r="R177" i="17" l="1"/>
  <c r="K178" i="17" l="1"/>
  <c r="AQ177" i="17"/>
  <c r="AK177" i="17"/>
  <c r="T177" i="17"/>
  <c r="H178" i="17"/>
  <c r="S177" i="17"/>
  <c r="AI177" i="17"/>
  <c r="M178" i="17" l="1"/>
  <c r="U178" i="17"/>
  <c r="V178" i="17" s="1"/>
  <c r="N178" i="17" l="1"/>
  <c r="AJ178" i="17" l="1"/>
  <c r="O178" i="17" s="1"/>
  <c r="Q178" i="17" l="1"/>
  <c r="P178" i="17"/>
  <c r="R178" i="17" l="1"/>
  <c r="K179" i="17" l="1"/>
  <c r="M179" i="17" s="1"/>
  <c r="AI178" i="17"/>
  <c r="H179" i="17"/>
  <c r="S178" i="17"/>
  <c r="T178" i="17"/>
  <c r="AK178" i="17"/>
  <c r="AQ178" i="17"/>
  <c r="U179" i="17" l="1"/>
  <c r="V179" i="17" s="1"/>
  <c r="N179" i="17"/>
  <c r="AJ179" i="17" l="1"/>
  <c r="O179" i="17" s="1"/>
  <c r="Q179" i="17" l="1"/>
  <c r="P179" i="17"/>
  <c r="R179" i="17" l="1"/>
  <c r="K180" i="17" l="1"/>
  <c r="U180" i="17" s="1"/>
  <c r="V180" i="17" s="1"/>
  <c r="T179" i="17"/>
  <c r="S179" i="17"/>
  <c r="H180" i="17"/>
  <c r="AK179" i="17"/>
  <c r="AQ179" i="17"/>
  <c r="AI179" i="17"/>
  <c r="M180" i="17" l="1"/>
  <c r="N180" i="17" s="1"/>
  <c r="AJ180" i="17" s="1"/>
  <c r="O180" i="17" s="1"/>
  <c r="P180" i="17" l="1"/>
  <c r="Q180" i="17"/>
  <c r="R180" i="17" l="1"/>
  <c r="AQ180" i="17" s="1"/>
  <c r="AI180" i="17" l="1"/>
  <c r="T180" i="17"/>
  <c r="H181" i="17"/>
  <c r="K181" i="17"/>
  <c r="U181" i="17" s="1"/>
  <c r="V181" i="17" s="1"/>
  <c r="AK180" i="17"/>
  <c r="S180" i="17"/>
  <c r="M181" i="17" l="1"/>
  <c r="N181" i="17" s="1"/>
  <c r="AJ181" i="17" s="1"/>
  <c r="O181" i="17" s="1"/>
  <c r="Q181" i="17" l="1"/>
  <c r="P181" i="17"/>
  <c r="R181" i="17" s="1"/>
  <c r="K182" i="17" l="1"/>
  <c r="U182" i="17" s="1"/>
  <c r="V182" i="17" s="1"/>
  <c r="T181" i="17"/>
  <c r="AQ181" i="17"/>
  <c r="AI181" i="17"/>
  <c r="H182" i="17"/>
  <c r="S181" i="17"/>
  <c r="AK181" i="17"/>
  <c r="M182" i="17" l="1"/>
  <c r="N182" i="17" s="1"/>
  <c r="AJ182" i="17" s="1"/>
  <c r="O182" i="17" s="1"/>
  <c r="P182" i="17" l="1"/>
  <c r="Q182" i="17"/>
  <c r="R182" i="17" l="1"/>
  <c r="K183" i="17" l="1"/>
  <c r="M183" i="17" s="1"/>
  <c r="AK182" i="17"/>
  <c r="S182" i="17"/>
  <c r="T182" i="17"/>
  <c r="H183" i="17"/>
  <c r="AI182" i="17"/>
  <c r="AQ182" i="17"/>
  <c r="U183" i="17" l="1"/>
  <c r="V183" i="17" s="1"/>
  <c r="N183" i="17"/>
  <c r="AJ183" i="17" s="1"/>
  <c r="O183" i="17" s="1"/>
  <c r="P183" i="17" l="1"/>
  <c r="Q183" i="17"/>
  <c r="R183" i="17" l="1"/>
  <c r="K184" i="17" l="1"/>
  <c r="U184" i="17" s="1"/>
  <c r="V184" i="17" s="1"/>
  <c r="T183" i="17"/>
  <c r="S183" i="17"/>
  <c r="AI183" i="17"/>
  <c r="H184" i="17"/>
  <c r="AQ183" i="17"/>
  <c r="AK183" i="17"/>
  <c r="M184" i="17" l="1"/>
  <c r="N184" i="17" s="1"/>
  <c r="AJ184" i="17" s="1"/>
  <c r="O184" i="17" s="1"/>
  <c r="P184" i="17" l="1"/>
  <c r="Q184" i="17"/>
  <c r="R184" i="17" l="1"/>
  <c r="K185" i="17" l="1"/>
  <c r="U185" i="17" s="1"/>
  <c r="V185" i="17" s="1"/>
  <c r="T184" i="17"/>
  <c r="H185" i="17"/>
  <c r="AI184" i="17"/>
  <c r="S184" i="17"/>
  <c r="AK184" i="17"/>
  <c r="AQ184" i="17"/>
  <c r="M185" i="17" l="1"/>
  <c r="N185" i="17" s="1"/>
  <c r="AJ185" i="17" l="1"/>
  <c r="O185" i="17" s="1"/>
  <c r="Q185" i="17" l="1"/>
  <c r="P185" i="17"/>
  <c r="R185" i="17" l="1"/>
  <c r="S185" i="17" s="1"/>
  <c r="H186" i="17" l="1"/>
  <c r="AK185" i="17"/>
  <c r="AQ185" i="17"/>
  <c r="T185" i="17"/>
  <c r="AI185" i="17"/>
  <c r="K186" i="17"/>
  <c r="U186" i="17" s="1"/>
  <c r="V186" i="17" s="1"/>
  <c r="M186" i="17" l="1"/>
  <c r="N186" i="17" s="1"/>
  <c r="AJ186" i="17" s="1"/>
  <c r="P186" i="17" s="1"/>
  <c r="Q186" i="17" l="1"/>
  <c r="O186" i="17"/>
  <c r="R186" i="17" l="1"/>
  <c r="K187" i="17" l="1"/>
  <c r="M187" i="17" s="1"/>
  <c r="N187" i="17" s="1"/>
  <c r="AK186" i="17"/>
  <c r="H187" i="17"/>
  <c r="T186" i="17"/>
  <c r="AI186" i="17"/>
  <c r="S186" i="17"/>
  <c r="AQ186" i="17"/>
  <c r="U187" i="17" l="1"/>
  <c r="V187" i="17" s="1"/>
  <c r="AJ187" i="17"/>
  <c r="O187" i="17" l="1"/>
  <c r="P187" i="17"/>
  <c r="Q187" i="17"/>
  <c r="R187" i="17" l="1"/>
  <c r="K188" i="17" l="1"/>
  <c r="AK187" i="17"/>
  <c r="AQ187" i="17"/>
  <c r="T187" i="17"/>
  <c r="AI187" i="17"/>
  <c r="S187" i="17"/>
  <c r="H188" i="17"/>
  <c r="U188" i="17" l="1"/>
  <c r="V188" i="17" s="1"/>
  <c r="M188" i="17"/>
  <c r="N188" i="17" l="1"/>
  <c r="AJ188" i="17" s="1"/>
  <c r="O188" i="17" s="1"/>
  <c r="P188" i="17" l="1"/>
  <c r="Q188" i="17"/>
  <c r="R188" i="17" l="1"/>
  <c r="K189" i="17" l="1"/>
  <c r="U189" i="17" s="1"/>
  <c r="V189" i="17" s="1"/>
  <c r="T188" i="17"/>
  <c r="H189" i="17"/>
  <c r="AQ188" i="17"/>
  <c r="S188" i="17"/>
  <c r="AI188" i="17"/>
  <c r="AK188" i="17"/>
  <c r="M189" i="17" l="1"/>
  <c r="N189" i="17" s="1"/>
  <c r="AJ189" i="17" l="1"/>
  <c r="P189" i="17" s="1"/>
  <c r="O189" i="17" l="1"/>
  <c r="Q189" i="17"/>
  <c r="R189" i="17" l="1"/>
  <c r="T189" i="17" s="1"/>
  <c r="AQ189" i="17" l="1"/>
  <c r="K190" i="17"/>
  <c r="M190" i="17" s="1"/>
  <c r="N190" i="17" s="1"/>
  <c r="S189" i="17"/>
  <c r="H190" i="17"/>
  <c r="AK189" i="17"/>
  <c r="AI189" i="17"/>
  <c r="AJ190" i="17" l="1"/>
  <c r="O190" i="17" s="1"/>
  <c r="U190" i="17"/>
  <c r="V190" i="17" s="1"/>
  <c r="P190" i="17"/>
  <c r="Q190" i="17"/>
  <c r="R190" i="17" l="1"/>
  <c r="K191" i="17" l="1"/>
  <c r="U191" i="17" s="1"/>
  <c r="V191" i="17" s="1"/>
  <c r="AI190" i="17"/>
  <c r="S190" i="17"/>
  <c r="AK190" i="17"/>
  <c r="AQ190" i="17"/>
  <c r="H191" i="17"/>
  <c r="T190" i="17"/>
  <c r="M191" i="17" l="1"/>
  <c r="N191" i="17" s="1"/>
  <c r="AJ191" i="17" l="1"/>
  <c r="O191" i="17" s="1"/>
  <c r="Q191" i="17" l="1"/>
  <c r="P191" i="17"/>
  <c r="R191" i="17" l="1"/>
  <c r="AI191" i="17" s="1"/>
  <c r="K192" i="17" l="1"/>
  <c r="U192" i="17" s="1"/>
  <c r="V192" i="17" s="1"/>
  <c r="AQ191" i="17"/>
  <c r="T191" i="17"/>
  <c r="H192" i="17"/>
  <c r="AK191" i="17"/>
  <c r="S191" i="17"/>
  <c r="M192" i="17" l="1"/>
  <c r="N192" i="17" s="1"/>
  <c r="AJ192" i="17" s="1"/>
  <c r="O192" i="17" s="1"/>
  <c r="Q192" i="17" l="1"/>
  <c r="P192" i="17"/>
  <c r="R192" i="17" s="1"/>
  <c r="K193" i="17" l="1"/>
  <c r="M193" i="17" s="1"/>
  <c r="S192" i="17"/>
  <c r="AQ192" i="17"/>
  <c r="AI192" i="17"/>
  <c r="T192" i="17"/>
  <c r="H193" i="17"/>
  <c r="AK192" i="17"/>
  <c r="U193" i="17" l="1"/>
  <c r="V193" i="17" s="1"/>
  <c r="N193" i="17"/>
  <c r="AJ193" i="17" s="1"/>
  <c r="O193" i="17" s="1"/>
  <c r="Q193" i="17" l="1"/>
  <c r="P193" i="17"/>
  <c r="R193" i="17" l="1"/>
  <c r="AI193" i="17" s="1"/>
  <c r="K194" i="17" l="1"/>
  <c r="U194" i="17" s="1"/>
  <c r="V194" i="17" s="1"/>
  <c r="H194" i="17"/>
  <c r="S193" i="17"/>
  <c r="T193" i="17"/>
  <c r="AQ193" i="17"/>
  <c r="AK193" i="17"/>
  <c r="M194" i="17" l="1"/>
  <c r="N194" i="17" s="1"/>
  <c r="AJ194" i="17" l="1"/>
  <c r="O194" i="17" s="1"/>
  <c r="P194" i="17" l="1"/>
  <c r="Q194" i="17"/>
  <c r="R194" i="17" l="1"/>
  <c r="K195" i="17" l="1"/>
  <c r="U195" i="17" s="1"/>
  <c r="V195" i="17" s="1"/>
  <c r="S194" i="17"/>
  <c r="AK194" i="17"/>
  <c r="T194" i="17"/>
  <c r="AI194" i="17"/>
  <c r="H195" i="17"/>
  <c r="AQ194" i="17"/>
  <c r="M195" i="17" l="1"/>
  <c r="N195" i="17" s="1"/>
  <c r="AJ195" i="17" s="1"/>
  <c r="O195" i="17" s="1"/>
  <c r="P195" i="17" l="1"/>
  <c r="Q195" i="17"/>
  <c r="R195" i="17" l="1"/>
  <c r="K196" i="17" l="1"/>
  <c r="U196" i="17" s="1"/>
  <c r="V196" i="17" s="1"/>
  <c r="H196" i="17"/>
  <c r="AI195" i="17"/>
  <c r="S195" i="17"/>
  <c r="AQ195" i="17"/>
  <c r="T195" i="17"/>
  <c r="AK195" i="17"/>
  <c r="M196" i="17" l="1"/>
  <c r="N196" i="17" s="1"/>
  <c r="AJ196" i="17" s="1"/>
  <c r="O196" i="17" s="1"/>
  <c r="Q196" i="17" l="1"/>
  <c r="P196" i="17"/>
  <c r="R196" i="17" l="1"/>
  <c r="K197" i="17" l="1"/>
  <c r="M197" i="17" s="1"/>
  <c r="N197" i="17" s="1"/>
  <c r="S196" i="17"/>
  <c r="AQ196" i="17"/>
  <c r="AI196" i="17"/>
  <c r="H197" i="17"/>
  <c r="T196" i="17"/>
  <c r="AK196" i="17"/>
  <c r="U197" i="17" l="1"/>
  <c r="V197" i="17" s="1"/>
  <c r="AJ197" i="17"/>
  <c r="O197" i="17" s="1"/>
  <c r="P197" i="17" l="1"/>
  <c r="Q197" i="17"/>
  <c r="R197" i="17" l="1"/>
  <c r="S197" i="17" s="1"/>
  <c r="AI197" i="17" l="1"/>
  <c r="T197" i="17"/>
  <c r="AQ197" i="17"/>
  <c r="AK197" i="17"/>
  <c r="H198" i="17"/>
  <c r="K198" i="17"/>
  <c r="M198" i="17" s="1"/>
  <c r="U198" i="17" l="1"/>
  <c r="V198" i="17" s="1"/>
  <c r="N198" i="17"/>
  <c r="AJ198" i="17" l="1"/>
  <c r="O198" i="17" s="1"/>
  <c r="Q198" i="17" l="1"/>
  <c r="P198" i="17"/>
  <c r="R198" i="17" l="1"/>
  <c r="K199" i="17" l="1"/>
  <c r="U199" i="17" s="1"/>
  <c r="V199" i="17" s="1"/>
  <c r="T198" i="17"/>
  <c r="H199" i="17"/>
  <c r="S198" i="17"/>
  <c r="AQ198" i="17"/>
  <c r="AI198" i="17"/>
  <c r="AK198" i="17"/>
  <c r="M199" i="17" l="1"/>
  <c r="N199" i="17" s="1"/>
  <c r="AJ199" i="17" l="1"/>
  <c r="O199" i="17" s="1"/>
  <c r="Q199" i="17" l="1"/>
  <c r="P199" i="17"/>
  <c r="R199" i="17" l="1"/>
  <c r="T199" i="17"/>
  <c r="AK199" i="17"/>
  <c r="S199" i="17"/>
  <c r="K200" i="17"/>
  <c r="AQ199" i="17"/>
  <c r="AI199" i="17"/>
  <c r="H200" i="17"/>
  <c r="U200" i="17" l="1"/>
  <c r="V200" i="17" s="1"/>
  <c r="G10" i="17"/>
  <c r="M200" i="17"/>
  <c r="N200" i="17" s="1"/>
  <c r="AJ200" i="17" s="1"/>
  <c r="Q200" i="17" s="1"/>
  <c r="M11" i="13" l="1"/>
  <c r="Q10" i="13"/>
  <c r="O200" i="17"/>
  <c r="P200" i="17"/>
  <c r="R200" i="17" l="1"/>
  <c r="K201" i="17" l="1"/>
  <c r="AQ200" i="17"/>
  <c r="AK200" i="17"/>
  <c r="S200" i="17"/>
  <c r="H201" i="17"/>
  <c r="AI200" i="17"/>
  <c r="T200" i="17"/>
  <c r="U201" i="17" l="1"/>
  <c r="V201" i="17" s="1"/>
  <c r="M201" i="17"/>
  <c r="N201" i="17" l="1"/>
  <c r="AJ201" i="17" l="1"/>
  <c r="O201" i="17" l="1"/>
  <c r="P201" i="17"/>
  <c r="Q201" i="17"/>
  <c r="R201" i="17" l="1"/>
  <c r="K202" i="17" l="1"/>
  <c r="AQ201" i="17"/>
  <c r="AK201" i="17"/>
  <c r="T201" i="17"/>
  <c r="S201" i="17"/>
  <c r="H202" i="17"/>
  <c r="AI201" i="17"/>
  <c r="U202" i="17" l="1"/>
  <c r="V202" i="17" s="1"/>
  <c r="M202" i="17"/>
  <c r="N202" i="17" l="1"/>
  <c r="AJ202" i="17" l="1"/>
  <c r="O202" i="17" s="1"/>
  <c r="Q202" i="17" l="1"/>
  <c r="P202" i="17"/>
  <c r="R202" i="17" l="1"/>
  <c r="K203" i="17" l="1"/>
  <c r="U203" i="17" s="1"/>
  <c r="V203" i="17" s="1"/>
  <c r="AI202" i="17"/>
  <c r="S202" i="17"/>
  <c r="T202" i="17"/>
  <c r="AQ202" i="17"/>
  <c r="AK202" i="17"/>
  <c r="H203" i="17"/>
  <c r="M203" i="17" l="1"/>
  <c r="N203" i="17" s="1"/>
  <c r="AJ203" i="17" l="1"/>
  <c r="P203" i="17" s="1"/>
  <c r="Q203" i="17" l="1"/>
  <c r="O203" i="17"/>
  <c r="R203" i="17" l="1"/>
  <c r="K204" i="17"/>
  <c r="AK203" i="17"/>
  <c r="AQ203" i="17"/>
  <c r="T203" i="17"/>
  <c r="S203" i="17"/>
  <c r="AI203" i="17"/>
  <c r="H204" i="17"/>
  <c r="U204" i="17" l="1"/>
  <c r="V204" i="17" s="1"/>
  <c r="M204" i="17"/>
  <c r="N204" i="17" l="1"/>
  <c r="AJ204" i="17" s="1"/>
  <c r="O204" i="17" s="1"/>
  <c r="P204" i="17" l="1"/>
  <c r="Q204" i="17"/>
  <c r="R204" i="17" l="1"/>
  <c r="K205" i="17" l="1"/>
  <c r="M205" i="17" s="1"/>
  <c r="N205" i="17" s="1"/>
  <c r="H205" i="17"/>
  <c r="AI204" i="17"/>
  <c r="S204" i="17"/>
  <c r="T204" i="17"/>
  <c r="AQ204" i="17"/>
  <c r="AK204" i="17"/>
  <c r="U205" i="17" l="1"/>
  <c r="V205" i="17" s="1"/>
  <c r="AJ205" i="17"/>
  <c r="Q205" i="17" s="1"/>
  <c r="O205" i="17" l="1"/>
  <c r="P205" i="17"/>
  <c r="R205" i="17" s="1"/>
  <c r="K206" i="17" l="1"/>
  <c r="AQ205" i="17"/>
  <c r="AK205" i="17"/>
  <c r="AI205" i="17"/>
  <c r="H206" i="17"/>
  <c r="S205" i="17"/>
  <c r="T205" i="17"/>
  <c r="U206" i="17" l="1"/>
  <c r="V206" i="17" s="1"/>
  <c r="M206" i="17"/>
  <c r="N206" i="17" l="1"/>
  <c r="AJ206" i="17" s="1"/>
  <c r="O206" i="17" s="1"/>
  <c r="P206" i="17" l="1"/>
  <c r="Q206" i="17"/>
  <c r="R206" i="17" l="1"/>
  <c r="K207" i="17" l="1"/>
  <c r="M207" i="17" s="1"/>
  <c r="N207" i="17" s="1"/>
  <c r="AI206" i="17"/>
  <c r="T206" i="17"/>
  <c r="S206" i="17"/>
  <c r="AQ206" i="17"/>
  <c r="H207" i="17"/>
  <c r="AK206" i="17"/>
  <c r="U207" i="17" l="1"/>
  <c r="V207" i="17" s="1"/>
  <c r="AJ207" i="17"/>
  <c r="O207" i="17" s="1"/>
  <c r="P207" i="17" l="1"/>
  <c r="Q207" i="17"/>
  <c r="R207" i="17" l="1"/>
  <c r="K208" i="17" l="1"/>
  <c r="U208" i="17" s="1"/>
  <c r="V208" i="17" s="1"/>
  <c r="S207" i="17"/>
  <c r="H208" i="17"/>
  <c r="AI207" i="17"/>
  <c r="T207" i="17"/>
  <c r="AK207" i="17"/>
  <c r="AQ207" i="17"/>
  <c r="M208" i="17" l="1"/>
  <c r="N208" i="17" s="1"/>
  <c r="AJ208" i="17" s="1"/>
  <c r="O208" i="17" s="1"/>
  <c r="P208" i="17" l="1"/>
  <c r="Q208" i="17"/>
  <c r="R208" i="17" l="1"/>
  <c r="K209" i="17" l="1"/>
  <c r="U209" i="17" s="1"/>
  <c r="V209" i="17" s="1"/>
  <c r="H209" i="17"/>
  <c r="AQ208" i="17"/>
  <c r="T208" i="17"/>
  <c r="S208" i="17"/>
  <c r="AI208" i="17"/>
  <c r="AK208" i="17"/>
  <c r="M209" i="17" l="1"/>
  <c r="N209" i="17" s="1"/>
  <c r="AJ209" i="17" s="1"/>
  <c r="O209" i="17" l="1"/>
  <c r="P209" i="17"/>
  <c r="Q209" i="17"/>
  <c r="R209" i="17" l="1"/>
  <c r="T209" i="17" l="1"/>
  <c r="S209" i="17"/>
  <c r="K210" i="17"/>
  <c r="M210" i="17" s="1"/>
  <c r="AI209" i="17"/>
  <c r="AQ209" i="17"/>
  <c r="AK209" i="17"/>
  <c r="H210" i="17"/>
  <c r="U210" i="17" l="1"/>
  <c r="V210" i="17" s="1"/>
  <c r="N210" i="17"/>
  <c r="AJ210" i="17" s="1"/>
  <c r="O210" i="17" l="1"/>
  <c r="P210" i="17"/>
  <c r="Q210" i="17"/>
  <c r="R210" i="17" l="1"/>
  <c r="K211" i="17" l="1"/>
  <c r="AK210" i="17"/>
  <c r="AQ210" i="17"/>
  <c r="S210" i="17"/>
  <c r="T210" i="17"/>
  <c r="AI210" i="17"/>
  <c r="H211" i="17"/>
  <c r="M211" i="17" l="1"/>
  <c r="N211" i="17" s="1"/>
  <c r="U211" i="17"/>
  <c r="V211" i="17" s="1"/>
  <c r="AJ211" i="17" l="1"/>
  <c r="O211" i="17" l="1"/>
  <c r="P211" i="17"/>
  <c r="Q211" i="17"/>
  <c r="R211" i="17" l="1"/>
  <c r="K212" i="17" l="1"/>
  <c r="AQ211" i="17"/>
  <c r="AK211" i="17"/>
  <c r="AI211" i="17"/>
  <c r="S211" i="17"/>
  <c r="T211" i="17"/>
  <c r="H212" i="17"/>
  <c r="U212" i="17" l="1"/>
  <c r="V212" i="17" s="1"/>
  <c r="M212" i="17"/>
  <c r="N212" i="17" s="1"/>
  <c r="AJ212" i="17" l="1"/>
  <c r="O212" i="17" s="1"/>
  <c r="P212" i="17" l="1"/>
  <c r="Q212" i="17"/>
  <c r="R212" i="17" l="1"/>
  <c r="K213" i="17" l="1"/>
  <c r="U213" i="17" s="1"/>
  <c r="V213" i="17" s="1"/>
  <c r="T212" i="17"/>
  <c r="H213" i="17"/>
  <c r="AI212" i="17"/>
  <c r="AK212" i="17"/>
  <c r="S212" i="17"/>
  <c r="AQ212" i="17"/>
  <c r="M213" i="17" l="1"/>
  <c r="N213" i="17" s="1"/>
  <c r="AJ213" i="17" s="1"/>
  <c r="O213" i="17" s="1"/>
  <c r="P213" i="17" l="1"/>
  <c r="Q213" i="17"/>
  <c r="R213" i="17" l="1"/>
  <c r="K214" i="17" l="1"/>
  <c r="U214" i="17" s="1"/>
  <c r="V214" i="17" s="1"/>
  <c r="H214" i="17"/>
  <c r="AI213" i="17"/>
  <c r="AK213" i="17"/>
  <c r="AQ213" i="17"/>
  <c r="S213" i="17"/>
  <c r="T213" i="17"/>
  <c r="M214" i="17" l="1"/>
  <c r="N214" i="17" s="1"/>
  <c r="AJ214" i="17" s="1"/>
  <c r="O214" i="17" s="1"/>
  <c r="Q214" i="17" l="1"/>
  <c r="P214" i="17"/>
  <c r="R214" i="17" l="1"/>
  <c r="S214" i="17" s="1"/>
  <c r="T214" i="17" l="1"/>
  <c r="K215" i="17"/>
  <c r="U215" i="17" s="1"/>
  <c r="V215" i="17" s="1"/>
  <c r="AI214" i="17"/>
  <c r="AK214" i="17"/>
  <c r="H215" i="17"/>
  <c r="AQ214" i="17"/>
  <c r="M215" i="17" l="1"/>
  <c r="N215" i="17" s="1"/>
  <c r="AJ215" i="17" s="1"/>
  <c r="O215" i="17" s="1"/>
  <c r="P215" i="17" l="1"/>
  <c r="Q215" i="17"/>
  <c r="R215" i="17" l="1"/>
  <c r="AI215" i="17" s="1"/>
  <c r="AQ215" i="17"/>
  <c r="S215" i="17"/>
  <c r="H216" i="17"/>
  <c r="T215" i="17"/>
  <c r="K216" i="17" l="1"/>
  <c r="M216" i="17" s="1"/>
  <c r="N216" i="17" s="1"/>
  <c r="AJ216" i="17" s="1"/>
  <c r="AK215" i="17"/>
  <c r="U216" i="17"/>
  <c r="V216" i="17" s="1"/>
  <c r="O216" i="17" l="1"/>
  <c r="P216" i="17"/>
  <c r="Q216" i="17"/>
  <c r="R216" i="17" l="1"/>
  <c r="K217" i="17" l="1"/>
  <c r="AK216" i="17"/>
  <c r="AQ216" i="17"/>
  <c r="AI216" i="17"/>
  <c r="T216" i="17"/>
  <c r="S216" i="17"/>
  <c r="H217" i="17"/>
  <c r="U217" i="17" l="1"/>
  <c r="V217" i="17" s="1"/>
  <c r="M217" i="17"/>
  <c r="N217" i="17" l="1"/>
  <c r="AJ217" i="17" s="1"/>
  <c r="O217" i="17" s="1"/>
  <c r="P217" i="17" l="1"/>
  <c r="Q217" i="17"/>
  <c r="R217" i="17" l="1"/>
  <c r="K218" i="17" l="1"/>
  <c r="M218" i="17" s="1"/>
  <c r="N218" i="17" s="1"/>
  <c r="AJ218" i="17" s="1"/>
  <c r="O218" i="17" s="1"/>
  <c r="S217" i="17"/>
  <c r="AI217" i="17"/>
  <c r="T217" i="17"/>
  <c r="H218" i="17"/>
  <c r="AQ217" i="17"/>
  <c r="AK217" i="17"/>
  <c r="U218" i="17" l="1"/>
  <c r="V218" i="17" s="1"/>
  <c r="Q218" i="17"/>
  <c r="P218" i="17"/>
  <c r="R218" i="17" l="1"/>
  <c r="AI218" i="17" s="1"/>
  <c r="S218" i="17" l="1"/>
  <c r="AQ218" i="17"/>
  <c r="AK218" i="17"/>
  <c r="K219" i="17"/>
  <c r="U219" i="17" s="1"/>
  <c r="V219" i="17" s="1"/>
  <c r="H219" i="17"/>
  <c r="T218" i="17"/>
  <c r="M219" i="17" l="1"/>
  <c r="N219" i="17" s="1"/>
  <c r="AJ219" i="17" s="1"/>
  <c r="Q219" i="17" s="1"/>
  <c r="O219" i="17" l="1"/>
  <c r="P219" i="17"/>
  <c r="R219" i="17" l="1"/>
  <c r="K220" i="17" l="1"/>
  <c r="M220" i="17" s="1"/>
  <c r="N220" i="17" s="1"/>
  <c r="AJ220" i="17" s="1"/>
  <c r="O220" i="17" s="1"/>
  <c r="T219" i="17"/>
  <c r="S219" i="17"/>
  <c r="H220" i="17"/>
  <c r="AI219" i="17"/>
  <c r="AQ219" i="17"/>
  <c r="AK219" i="17"/>
  <c r="U220" i="17" l="1"/>
  <c r="V220" i="17" s="1"/>
  <c r="Q220" i="17"/>
  <c r="P220" i="17"/>
  <c r="R220" i="17" l="1"/>
  <c r="K221" i="17" l="1"/>
  <c r="M221" i="17" s="1"/>
  <c r="N221" i="17" s="1"/>
  <c r="H221" i="17"/>
  <c r="AQ220" i="17"/>
  <c r="AK220" i="17"/>
  <c r="AI220" i="17"/>
  <c r="T220" i="17"/>
  <c r="S220" i="17"/>
  <c r="U221" i="17" l="1"/>
  <c r="V221" i="17" s="1"/>
  <c r="AJ221" i="17"/>
  <c r="O221" i="17" l="1"/>
  <c r="Q221" i="17"/>
  <c r="P221" i="17"/>
  <c r="R221" i="17" l="1"/>
  <c r="K222" i="17" l="1"/>
  <c r="AQ221" i="17"/>
  <c r="AK221" i="17"/>
  <c r="T221" i="17"/>
  <c r="H222" i="17"/>
  <c r="AI221" i="17"/>
  <c r="S221" i="17"/>
  <c r="U222" i="17" l="1"/>
  <c r="V222" i="17" s="1"/>
  <c r="M222" i="17"/>
  <c r="N222" i="17" s="1"/>
  <c r="AJ222" i="17" l="1"/>
  <c r="O222" i="17" s="1"/>
  <c r="P222" i="17" l="1"/>
  <c r="Q222" i="17"/>
  <c r="R222" i="17" l="1"/>
  <c r="K223" i="17" l="1"/>
  <c r="U223" i="17" s="1"/>
  <c r="V223" i="17" s="1"/>
  <c r="H223" i="17"/>
  <c r="T222" i="17"/>
  <c r="S222" i="17"/>
  <c r="AK222" i="17"/>
  <c r="AI222" i="17"/>
  <c r="AQ222" i="17"/>
  <c r="M223" i="17" l="1"/>
  <c r="N223" i="17" s="1"/>
  <c r="AJ223" i="17" s="1"/>
  <c r="O223" i="17" l="1"/>
  <c r="P223" i="17"/>
  <c r="Q223" i="17"/>
  <c r="R223" i="17" l="1"/>
  <c r="K224" i="17" l="1"/>
  <c r="AK223" i="17"/>
  <c r="AQ223" i="17"/>
  <c r="H224" i="17"/>
  <c r="T223" i="17"/>
  <c r="AI223" i="17"/>
  <c r="S223" i="17"/>
  <c r="U224" i="17" l="1"/>
  <c r="V224" i="17" s="1"/>
  <c r="M224" i="17"/>
  <c r="N224" i="17" s="1"/>
  <c r="AJ224" i="17" l="1"/>
  <c r="O224" i="17" s="1"/>
  <c r="P224" i="17" l="1"/>
  <c r="Q224" i="17"/>
  <c r="R224" i="17" l="1"/>
  <c r="K225" i="17" l="1"/>
  <c r="U225" i="17" s="1"/>
  <c r="V225" i="17" s="1"/>
  <c r="T224" i="17"/>
  <c r="S224" i="17"/>
  <c r="AK224" i="17"/>
  <c r="H225" i="17"/>
  <c r="AI224" i="17"/>
  <c r="AQ224" i="17"/>
  <c r="M225" i="17" l="1"/>
  <c r="N225" i="17" s="1"/>
  <c r="AJ225" i="17" s="1"/>
  <c r="O225" i="17" s="1"/>
  <c r="Q225" i="17" l="1"/>
  <c r="P225" i="17"/>
  <c r="R225" i="17" l="1"/>
  <c r="K226" i="17" l="1"/>
  <c r="U226" i="17" s="1"/>
  <c r="V226" i="17" s="1"/>
  <c r="S225" i="17"/>
  <c r="AK225" i="17"/>
  <c r="AQ225" i="17"/>
  <c r="AI225" i="17"/>
  <c r="H226" i="17"/>
  <c r="T225" i="17"/>
  <c r="M226" i="17" l="1"/>
  <c r="N226" i="17" s="1"/>
  <c r="AJ226" i="17" l="1"/>
  <c r="O226" i="17" s="1"/>
  <c r="Q226" i="17" l="1"/>
  <c r="P226" i="17"/>
  <c r="R226" i="17" l="1"/>
  <c r="K227" i="17"/>
  <c r="U227" i="17" s="1"/>
  <c r="V227" i="17" s="1"/>
  <c r="T226" i="17"/>
  <c r="AI226" i="17"/>
  <c r="S226" i="17"/>
  <c r="H227" i="17"/>
  <c r="AK226" i="17"/>
  <c r="AQ226" i="17"/>
  <c r="M227" i="17" l="1"/>
  <c r="N227" i="17" s="1"/>
  <c r="AJ227" i="17" l="1"/>
  <c r="O227" i="17" s="1"/>
  <c r="P227" i="17"/>
  <c r="Q227" i="17" l="1"/>
  <c r="R227" i="17"/>
  <c r="AK227" i="17" s="1"/>
  <c r="AI227" i="17" l="1"/>
  <c r="T227" i="17"/>
  <c r="K228" i="17"/>
  <c r="M228" i="17" s="1"/>
  <c r="N228" i="17" s="1"/>
  <c r="AQ227" i="17"/>
  <c r="H228" i="17"/>
  <c r="S227" i="17"/>
  <c r="U228" i="17" l="1"/>
  <c r="V228" i="17" s="1"/>
  <c r="AJ228" i="17"/>
  <c r="O228" i="17" s="1"/>
  <c r="P228" i="17" l="1"/>
  <c r="Q228" i="17"/>
  <c r="R228" i="17" l="1"/>
  <c r="K229" i="17" l="1"/>
  <c r="U229" i="17" s="1"/>
  <c r="V229" i="17" s="1"/>
  <c r="AK228" i="17"/>
  <c r="AQ228" i="17"/>
  <c r="AI228" i="17"/>
  <c r="H229" i="17"/>
  <c r="T228" i="17"/>
  <c r="S228" i="17"/>
  <c r="M229" i="17" l="1"/>
  <c r="N229" i="17" s="1"/>
  <c r="AJ229" i="17" l="1"/>
  <c r="O229" i="17" s="1"/>
  <c r="Q229" i="17" l="1"/>
  <c r="P229" i="17"/>
  <c r="R229" i="17" l="1"/>
  <c r="AK229" i="17" s="1"/>
  <c r="AQ229" i="17" l="1"/>
  <c r="K230" i="17"/>
  <c r="U230" i="17" s="1"/>
  <c r="V230" i="17" s="1"/>
  <c r="S229" i="17"/>
  <c r="H230" i="17"/>
  <c r="T229" i="17"/>
  <c r="AI229" i="17"/>
  <c r="M230" i="17" l="1"/>
  <c r="N230" i="17" s="1"/>
  <c r="AJ230" i="17" s="1"/>
  <c r="O230" i="17" s="1"/>
  <c r="Q230" i="17"/>
  <c r="P230" i="17" l="1"/>
  <c r="R230" i="17" s="1"/>
  <c r="K231" i="17" l="1"/>
  <c r="AK230" i="17"/>
  <c r="AQ230" i="17"/>
  <c r="AI230" i="17"/>
  <c r="S230" i="17"/>
  <c r="H231" i="17"/>
  <c r="T230" i="17"/>
  <c r="M231" i="17" l="1"/>
  <c r="U231" i="17"/>
  <c r="V231" i="17" s="1"/>
  <c r="N231" i="17" l="1"/>
  <c r="AJ231" i="17" s="1"/>
  <c r="O231" i="17" s="1"/>
  <c r="P231" i="17" l="1"/>
  <c r="Q231" i="17"/>
  <c r="R231" i="17" l="1"/>
  <c r="K232" i="17" l="1"/>
  <c r="U232" i="17" s="1"/>
  <c r="V232" i="17" s="1"/>
  <c r="AQ231" i="17"/>
  <c r="AK231" i="17"/>
  <c r="T231" i="17"/>
  <c r="H232" i="17"/>
  <c r="AI231" i="17"/>
  <c r="S231" i="17"/>
  <c r="M232" i="17" l="1"/>
  <c r="N232" i="17" s="1"/>
  <c r="AJ232" i="17" s="1"/>
  <c r="O232" i="17" s="1"/>
  <c r="P232" i="17" l="1"/>
  <c r="Q232" i="17"/>
  <c r="R232" i="17" l="1"/>
  <c r="K233" i="17" l="1"/>
  <c r="U233" i="17" s="1"/>
  <c r="V233" i="17" s="1"/>
  <c r="H233" i="17"/>
  <c r="AI232" i="17"/>
  <c r="S232" i="17"/>
  <c r="AK232" i="17"/>
  <c r="AQ232" i="17"/>
  <c r="T232" i="17"/>
  <c r="M233" i="17" l="1"/>
  <c r="N233" i="17" s="1"/>
  <c r="AJ233" i="17" l="1"/>
  <c r="O233" i="17" s="1"/>
  <c r="P233" i="17" l="1"/>
  <c r="Q233" i="17"/>
  <c r="R233" i="17" l="1"/>
  <c r="K234" i="17" s="1"/>
  <c r="U234" i="17" s="1"/>
  <c r="V234" i="17" s="1"/>
  <c r="AK233" i="17" l="1"/>
  <c r="AQ233" i="17"/>
  <c r="T233" i="17"/>
  <c r="H234" i="17"/>
  <c r="S233" i="17"/>
  <c r="AI233" i="17"/>
  <c r="M234" i="17"/>
  <c r="N234" i="17" s="1"/>
  <c r="AJ234" i="17" s="1"/>
  <c r="O234" i="17" s="1"/>
  <c r="P234" i="17" l="1"/>
  <c r="Q234" i="17"/>
  <c r="R234" i="17" l="1"/>
  <c r="K235" i="17" l="1"/>
  <c r="U235" i="17" s="1"/>
  <c r="V235" i="17" s="1"/>
  <c r="H235" i="17"/>
  <c r="AI234" i="17"/>
  <c r="S234" i="17"/>
  <c r="T234" i="17"/>
  <c r="AK234" i="17"/>
  <c r="AQ234" i="17"/>
  <c r="M235" i="17" l="1"/>
  <c r="N235" i="17" s="1"/>
  <c r="AJ235" i="17" s="1"/>
  <c r="O235" i="17" s="1"/>
  <c r="P235" i="17" l="1"/>
  <c r="Q235" i="17"/>
  <c r="R235" i="17" l="1"/>
  <c r="K236" i="17" l="1"/>
  <c r="M236" i="17" s="1"/>
  <c r="AK235" i="17"/>
  <c r="T235" i="17"/>
  <c r="AI235" i="17"/>
  <c r="H236" i="17"/>
  <c r="S235" i="17"/>
  <c r="AQ235" i="17"/>
  <c r="U236" i="17" l="1"/>
  <c r="V236" i="17" s="1"/>
  <c r="N236" i="17"/>
  <c r="AJ236" i="17" s="1"/>
  <c r="O236" i="17" s="1"/>
  <c r="P236" i="17" l="1"/>
  <c r="Q236" i="17"/>
  <c r="R236" i="17" l="1"/>
  <c r="K237" i="17" l="1"/>
  <c r="M237" i="17" s="1"/>
  <c r="AK236" i="17"/>
  <c r="AQ236" i="17"/>
  <c r="AI236" i="17"/>
  <c r="S236" i="17"/>
  <c r="T236" i="17"/>
  <c r="H237" i="17"/>
  <c r="U237" i="17" l="1"/>
  <c r="V237" i="17" s="1"/>
  <c r="N237" i="17"/>
  <c r="AJ237" i="17" s="1"/>
  <c r="O237" i="17" s="1"/>
  <c r="P237" i="17" l="1"/>
  <c r="Q237" i="17"/>
  <c r="R237" i="17" l="1"/>
  <c r="K238" i="17" l="1"/>
  <c r="AQ237" i="17"/>
  <c r="AI237" i="17"/>
  <c r="S237" i="17"/>
  <c r="T237" i="17"/>
  <c r="H238" i="17"/>
  <c r="AK237" i="17"/>
  <c r="U238" i="17" l="1"/>
  <c r="V238" i="17" s="1"/>
  <c r="M238" i="17"/>
  <c r="N238" i="17" s="1"/>
  <c r="AJ238" i="17" l="1"/>
  <c r="O238" i="17" l="1"/>
  <c r="P238" i="17"/>
  <c r="Q238" i="17"/>
  <c r="R238" i="17" l="1"/>
  <c r="K239" i="17" l="1"/>
  <c r="AK238" i="17"/>
  <c r="AQ238" i="17"/>
  <c r="S238" i="17"/>
  <c r="T238" i="17"/>
  <c r="AI238" i="17"/>
  <c r="H239" i="17"/>
  <c r="U239" i="17" l="1"/>
  <c r="V239" i="17" s="1"/>
  <c r="M239" i="17"/>
  <c r="N239" i="17" s="1"/>
  <c r="AJ239" i="17" l="1"/>
  <c r="O239" i="17" s="1"/>
  <c r="P239" i="17" l="1"/>
  <c r="Q239" i="17"/>
  <c r="R239" i="17" l="1"/>
  <c r="K240" i="17" l="1"/>
  <c r="S239" i="17"/>
  <c r="T239" i="17"/>
  <c r="AQ239" i="17"/>
  <c r="AK239" i="17"/>
  <c r="AI239" i="17"/>
  <c r="H240" i="17"/>
  <c r="U240" i="17" l="1"/>
  <c r="V240" i="17" s="1"/>
  <c r="M240" i="17"/>
  <c r="N240" i="17" s="1"/>
  <c r="AJ240" i="17" l="1"/>
  <c r="O240" i="17" s="1"/>
  <c r="Q240" i="17" l="1"/>
  <c r="P240" i="17"/>
  <c r="R240" i="17" l="1"/>
  <c r="H241" i="17" l="1"/>
  <c r="AI240" i="17"/>
  <c r="AK240" i="17"/>
  <c r="K241" i="17"/>
  <c r="U241" i="17" s="1"/>
  <c r="V241" i="17" s="1"/>
  <c r="AQ240" i="17"/>
  <c r="T240" i="17"/>
  <c r="S240" i="17"/>
  <c r="M241" i="17" l="1"/>
  <c r="N241" i="17" s="1"/>
  <c r="AJ241" i="17" l="1"/>
  <c r="O241" i="17" s="1"/>
  <c r="Q241" i="17" l="1"/>
  <c r="P241" i="17"/>
  <c r="R241" i="17" l="1"/>
  <c r="AQ241" i="17" l="1"/>
  <c r="K242" i="17"/>
  <c r="M242" i="17" s="1"/>
  <c r="AK241" i="17"/>
  <c r="AI241" i="17"/>
  <c r="T241" i="17"/>
  <c r="H242" i="17"/>
  <c r="S241" i="17"/>
  <c r="U242" i="17" l="1"/>
  <c r="V242" i="17" s="1"/>
  <c r="N242" i="17"/>
  <c r="AJ242" i="17" l="1"/>
  <c r="O242" i="17" s="1"/>
  <c r="P242" i="17" l="1"/>
  <c r="Q242" i="17"/>
  <c r="R242" i="17" l="1"/>
  <c r="AQ242" i="17" l="1"/>
  <c r="AK242" i="17"/>
  <c r="K243" i="17"/>
  <c r="M243" i="17" s="1"/>
  <c r="H243" i="17"/>
  <c r="T242" i="17"/>
  <c r="AI242" i="17"/>
  <c r="S242" i="17"/>
  <c r="N243" i="17" l="1"/>
  <c r="AJ243" i="17" s="1"/>
  <c r="O243" i="17" s="1"/>
  <c r="U243" i="17"/>
  <c r="V243" i="17" s="1"/>
  <c r="P243" i="17" l="1"/>
  <c r="Q243" i="17"/>
  <c r="R243" i="17" l="1"/>
  <c r="AI243" i="17" l="1"/>
  <c r="AQ243" i="17"/>
  <c r="S243" i="17"/>
  <c r="K244" i="17"/>
  <c r="M244" i="17" s="1"/>
  <c r="AK243" i="17"/>
  <c r="T243" i="17"/>
  <c r="H244" i="17"/>
  <c r="U244" i="17" l="1"/>
  <c r="V244" i="17" s="1"/>
  <c r="N244" i="17"/>
  <c r="AJ244" i="17" s="1"/>
  <c r="O244" i="17" s="1"/>
  <c r="Q244" i="17" l="1"/>
  <c r="P244" i="17"/>
  <c r="R244" i="17" l="1"/>
  <c r="AI244" i="17" s="1"/>
  <c r="H245" i="17" l="1"/>
  <c r="AQ244" i="17"/>
  <c r="AK244" i="17"/>
  <c r="T244" i="17"/>
  <c r="S244" i="17"/>
  <c r="K245" i="17"/>
  <c r="U245" i="17" l="1"/>
  <c r="V245" i="17" s="1"/>
  <c r="M245" i="17"/>
  <c r="N245" i="17" l="1"/>
  <c r="AJ245" i="17" s="1"/>
  <c r="O245" i="17" s="1"/>
  <c r="Q245" i="17" l="1"/>
  <c r="P245" i="17"/>
  <c r="R245" i="17" l="1"/>
  <c r="H246" i="17" s="1"/>
  <c r="K246" i="17" l="1"/>
  <c r="U246" i="17" s="1"/>
  <c r="V246" i="17" s="1"/>
  <c r="S245" i="17"/>
  <c r="T245" i="17"/>
  <c r="AK245" i="17"/>
  <c r="AI245" i="17"/>
  <c r="AQ245" i="17"/>
  <c r="M246" i="17" l="1"/>
  <c r="N246" i="17" s="1"/>
  <c r="AJ246" i="17" l="1"/>
  <c r="O246" i="17"/>
  <c r="P246" i="17"/>
  <c r="Q246" i="17"/>
  <c r="R246" i="17" l="1"/>
  <c r="K247" i="17" l="1"/>
  <c r="AI246" i="17"/>
  <c r="H247" i="17"/>
  <c r="T246" i="17"/>
  <c r="S246" i="17"/>
  <c r="AK246" i="17"/>
  <c r="AQ246" i="17"/>
  <c r="U247" i="17" l="1"/>
  <c r="V247" i="17" s="1"/>
  <c r="M247" i="17"/>
  <c r="N247" i="17" l="1"/>
  <c r="AJ247" i="17" s="1"/>
  <c r="O247" i="17" s="1"/>
  <c r="Q247" i="17" l="1"/>
  <c r="P247" i="17"/>
  <c r="R247" i="17" l="1"/>
  <c r="K248" i="17" s="1"/>
  <c r="H248" i="17" l="1"/>
  <c r="S247" i="17"/>
  <c r="T247" i="17"/>
  <c r="AI247" i="17"/>
  <c r="AK247" i="17"/>
  <c r="AQ247" i="17"/>
  <c r="U248" i="17"/>
  <c r="V248" i="17" s="1"/>
  <c r="M248" i="17"/>
  <c r="N248" i="17" s="1"/>
  <c r="AJ248" i="17" s="1"/>
  <c r="O248" i="17" s="1"/>
  <c r="Q248" i="17" l="1"/>
  <c r="P248" i="17"/>
  <c r="R248" i="17" l="1"/>
  <c r="H249" i="17" s="1"/>
  <c r="S248" i="17" l="1"/>
  <c r="T248" i="17"/>
  <c r="K249" i="17"/>
  <c r="U249" i="17" s="1"/>
  <c r="V249" i="17" s="1"/>
  <c r="AK248" i="17"/>
  <c r="AQ248" i="17"/>
  <c r="AI248" i="17"/>
  <c r="M249" i="17" l="1"/>
  <c r="N249" i="17" s="1"/>
  <c r="AJ249" i="17" s="1"/>
  <c r="O249" i="17" s="1"/>
  <c r="Q249" i="17" l="1"/>
  <c r="P249" i="17"/>
  <c r="R249" i="17" l="1"/>
  <c r="K250" i="17" l="1"/>
  <c r="U250" i="17" s="1"/>
  <c r="V250" i="17" s="1"/>
  <c r="AI249" i="17"/>
  <c r="T249" i="17"/>
  <c r="AK249" i="17"/>
  <c r="S249" i="17"/>
  <c r="H250" i="17"/>
  <c r="AQ249" i="17"/>
  <c r="M250" i="17" l="1"/>
  <c r="N250" i="17" s="1"/>
  <c r="AJ250" i="17" l="1"/>
  <c r="P250" i="17" s="1"/>
  <c r="O250" i="17" l="1"/>
  <c r="Q250" i="17"/>
  <c r="R250" i="17" l="1"/>
  <c r="AI250" i="17" s="1"/>
  <c r="S250" i="17" l="1"/>
  <c r="AK250" i="17"/>
  <c r="AQ250" i="17"/>
  <c r="K251" i="17"/>
  <c r="U251" i="17" s="1"/>
  <c r="V251" i="17" s="1"/>
  <c r="H251" i="17"/>
  <c r="T250" i="17"/>
  <c r="M251" i="17" l="1"/>
  <c r="N251" i="17" s="1"/>
  <c r="AJ251" i="17" s="1"/>
  <c r="O251" i="17" s="1"/>
  <c r="Q251" i="17" l="1"/>
  <c r="P251" i="17"/>
  <c r="R251" i="17" l="1"/>
  <c r="K252" i="17" l="1"/>
  <c r="U252" i="17" s="1"/>
  <c r="V252" i="17" s="1"/>
  <c r="AK251" i="17"/>
  <c r="H252" i="17"/>
  <c r="T251" i="17"/>
  <c r="AQ251" i="17"/>
  <c r="S251" i="17"/>
  <c r="AI251" i="17"/>
  <c r="M252" i="17" l="1"/>
  <c r="N252" i="17" s="1"/>
  <c r="AJ252" i="17" l="1"/>
  <c r="O252" i="17" s="1"/>
  <c r="P252" i="17" l="1"/>
  <c r="Q252" i="17"/>
  <c r="R252" i="17" l="1"/>
  <c r="K253" i="17" l="1"/>
  <c r="U253" i="17" s="1"/>
  <c r="V253" i="17" s="1"/>
  <c r="AI252" i="17"/>
  <c r="H253" i="17"/>
  <c r="T252" i="17"/>
  <c r="AQ252" i="17"/>
  <c r="S252" i="17"/>
  <c r="AK252" i="17"/>
  <c r="M253" i="17" l="1"/>
  <c r="N253" i="17" s="1"/>
  <c r="AJ253" i="17" l="1"/>
  <c r="O253" i="17" s="1"/>
  <c r="P253" i="17" l="1"/>
  <c r="Q253" i="17"/>
  <c r="R253" i="17" l="1"/>
  <c r="K254" i="17" s="1"/>
  <c r="T253" i="17" l="1"/>
  <c r="AI253" i="17"/>
  <c r="S253" i="17"/>
  <c r="AK253" i="17"/>
  <c r="AQ253" i="17"/>
  <c r="H254" i="17"/>
  <c r="M254" i="17"/>
  <c r="N254" i="17" s="1"/>
  <c r="U254" i="17"/>
  <c r="V254" i="17" s="1"/>
  <c r="AJ254" i="17" l="1"/>
  <c r="O254" i="17" s="1"/>
  <c r="P254" i="17" l="1"/>
  <c r="Q254" i="17"/>
  <c r="R254" i="17" l="1"/>
  <c r="K255" i="17" l="1"/>
  <c r="M255" i="17" s="1"/>
  <c r="T254" i="17"/>
  <c r="H255" i="17"/>
  <c r="AI254" i="17"/>
  <c r="S254" i="17"/>
  <c r="AK254" i="17"/>
  <c r="AQ254" i="17"/>
  <c r="U255" i="17" l="1"/>
  <c r="V255" i="17" s="1"/>
  <c r="N255" i="17"/>
  <c r="AJ255" i="17" l="1"/>
  <c r="O255" i="17" s="1"/>
  <c r="Q255" i="17" l="1"/>
  <c r="P255" i="17"/>
  <c r="R255" i="17" l="1"/>
  <c r="K256" i="17" l="1"/>
  <c r="U256" i="17" s="1"/>
  <c r="V256" i="17" s="1"/>
  <c r="AK255" i="17"/>
  <c r="T255" i="17"/>
  <c r="AI255" i="17"/>
  <c r="H256" i="17"/>
  <c r="AQ255" i="17"/>
  <c r="S255" i="17"/>
  <c r="M256" i="17" l="1"/>
  <c r="N256" i="17" s="1"/>
  <c r="AJ256" i="17" l="1"/>
  <c r="O256" i="17" s="1"/>
  <c r="Q256" i="17" l="1"/>
  <c r="P256" i="17"/>
  <c r="R256" i="17" l="1"/>
  <c r="K257" i="17" l="1"/>
  <c r="U257" i="17" s="1"/>
  <c r="V257" i="17" s="1"/>
  <c r="AK256" i="17"/>
  <c r="AQ256" i="17"/>
  <c r="H257" i="17"/>
  <c r="AI256" i="17"/>
  <c r="S256" i="17"/>
  <c r="T256" i="17"/>
  <c r="M257" i="17" l="1"/>
  <c r="N257" i="17" s="1"/>
  <c r="AJ257" i="17" l="1"/>
  <c r="O257" i="17" s="1"/>
  <c r="Q257" i="17" l="1"/>
  <c r="P257" i="17"/>
  <c r="R257" i="17" l="1"/>
  <c r="K258" i="17" l="1"/>
  <c r="U258" i="17" s="1"/>
  <c r="V258" i="17" s="1"/>
  <c r="T257" i="17"/>
  <c r="AI257" i="17"/>
  <c r="S257" i="17"/>
  <c r="H258" i="17"/>
  <c r="AK257" i="17"/>
  <c r="AQ257" i="17"/>
  <c r="M258" i="17" l="1"/>
  <c r="N258" i="17" s="1"/>
  <c r="AJ258" i="17" s="1"/>
  <c r="O258" i="17" s="1"/>
  <c r="P258" i="17" l="1"/>
  <c r="Q258" i="17"/>
  <c r="R258" i="17" l="1"/>
  <c r="K259" i="17" l="1"/>
  <c r="M259" i="17" s="1"/>
  <c r="AQ258" i="17"/>
  <c r="AK258" i="17"/>
  <c r="H259" i="17"/>
  <c r="AI258" i="17"/>
  <c r="S258" i="17"/>
  <c r="T258" i="17"/>
  <c r="U259" i="17" l="1"/>
  <c r="V259" i="17" s="1"/>
  <c r="N259" i="17"/>
  <c r="AJ259" i="17" s="1"/>
  <c r="O259" i="17" s="1"/>
  <c r="P259" i="17" l="1"/>
  <c r="Q259" i="17"/>
  <c r="R259" i="17" l="1"/>
  <c r="K260" i="17" l="1"/>
  <c r="G11" i="17" s="1"/>
  <c r="M12" i="13" s="1"/>
  <c r="AI259" i="17"/>
  <c r="T259" i="17"/>
  <c r="H260" i="17"/>
  <c r="S259" i="17"/>
  <c r="AK259" i="17"/>
  <c r="AQ259" i="17"/>
  <c r="U260" i="17" l="1"/>
  <c r="V260" i="17" s="1"/>
  <c r="M260" i="17"/>
  <c r="N260" i="17" s="1"/>
  <c r="Q11" i="13"/>
  <c r="AJ260" i="17" l="1"/>
  <c r="O260" i="17" s="1"/>
  <c r="Q260" i="17" l="1"/>
  <c r="P260" i="17"/>
  <c r="R260" i="17" l="1"/>
  <c r="AQ260" i="17" s="1"/>
  <c r="H261" i="17" l="1"/>
  <c r="AI260" i="17"/>
  <c r="T260" i="17"/>
  <c r="S260" i="17"/>
  <c r="AK260" i="17"/>
  <c r="K261" i="17"/>
  <c r="U261" i="17" s="1"/>
  <c r="V261" i="17" s="1"/>
  <c r="M261" i="17" l="1"/>
  <c r="N261" i="17" s="1"/>
  <c r="AJ261" i="17" s="1"/>
  <c r="O261" i="17" s="1"/>
  <c r="Q261" i="17" l="1"/>
  <c r="P261" i="17"/>
  <c r="R261" i="17" l="1"/>
  <c r="K262" i="17" l="1"/>
  <c r="U262" i="17" s="1"/>
  <c r="V262" i="17" s="1"/>
  <c r="S261" i="17"/>
  <c r="H262" i="17"/>
  <c r="T261" i="17"/>
  <c r="AQ261" i="17"/>
  <c r="AI261" i="17"/>
  <c r="AK261" i="17"/>
  <c r="M262" i="17" l="1"/>
  <c r="N262" i="17" s="1"/>
  <c r="AJ262" i="17" s="1"/>
  <c r="O262" i="17" s="1"/>
  <c r="P262" i="17" l="1"/>
  <c r="Q262" i="17"/>
  <c r="R262" i="17" l="1"/>
  <c r="K263" i="17" l="1"/>
  <c r="U263" i="17" s="1"/>
  <c r="V263" i="17" s="1"/>
  <c r="T262" i="17"/>
  <c r="AQ262" i="17"/>
  <c r="AK262" i="17"/>
  <c r="S262" i="17"/>
  <c r="H263" i="17"/>
  <c r="AI262" i="17"/>
  <c r="M263" i="17" l="1"/>
  <c r="N263" i="17" s="1"/>
  <c r="AJ263" i="17" s="1"/>
  <c r="O263" i="17" s="1"/>
  <c r="Q263" i="17" l="1"/>
  <c r="P263" i="17"/>
  <c r="R263" i="17" l="1"/>
  <c r="K264" i="17" l="1"/>
  <c r="U264" i="17" s="1"/>
  <c r="V264" i="17" s="1"/>
  <c r="AQ263" i="17"/>
  <c r="T263" i="17"/>
  <c r="AK263" i="17"/>
  <c r="S263" i="17"/>
  <c r="AI263" i="17"/>
  <c r="H264" i="17"/>
  <c r="M264" i="17" l="1"/>
  <c r="N264" i="17" s="1"/>
  <c r="AJ264" i="17" s="1"/>
  <c r="O264" i="17" l="1"/>
  <c r="P264" i="17"/>
  <c r="Q264" i="17"/>
  <c r="R264" i="17" l="1"/>
  <c r="K265" i="17" l="1"/>
  <c r="AQ264" i="17"/>
  <c r="AK264" i="17"/>
  <c r="AI264" i="17"/>
  <c r="T264" i="17"/>
  <c r="S264" i="17"/>
  <c r="H265" i="17"/>
  <c r="U265" i="17" l="1"/>
  <c r="V265" i="17" s="1"/>
  <c r="M265" i="17"/>
  <c r="N265" i="17" s="1"/>
  <c r="AJ265" i="17" l="1"/>
  <c r="O265" i="17" l="1"/>
  <c r="P265" i="17"/>
  <c r="Q265" i="17"/>
  <c r="R265" i="17" l="1"/>
  <c r="K266" i="17" l="1"/>
  <c r="AK265" i="17"/>
  <c r="AQ265" i="17"/>
  <c r="T265" i="17"/>
  <c r="S265" i="17"/>
  <c r="AI265" i="17"/>
  <c r="H266" i="17"/>
  <c r="U266" i="17" l="1"/>
  <c r="V266" i="17" s="1"/>
  <c r="M266" i="17"/>
  <c r="N266" i="17" l="1"/>
  <c r="AJ266" i="17" s="1"/>
  <c r="O266" i="17" s="1"/>
  <c r="Q266" i="17" l="1"/>
  <c r="P266" i="17"/>
  <c r="R266" i="17" l="1"/>
  <c r="K267" i="17" l="1"/>
  <c r="U267" i="17" s="1"/>
  <c r="V267" i="17" s="1"/>
  <c r="T266" i="17"/>
  <c r="H267" i="17"/>
  <c r="AQ266" i="17"/>
  <c r="AI266" i="17"/>
  <c r="S266" i="17"/>
  <c r="AK266" i="17"/>
  <c r="M267" i="17" l="1"/>
  <c r="N267" i="17" s="1"/>
  <c r="AJ267" i="17" l="1"/>
  <c r="O267" i="17" s="1"/>
  <c r="P267" i="17" l="1"/>
  <c r="Q267" i="17"/>
  <c r="R267" i="17" l="1"/>
  <c r="K268" i="17" l="1"/>
  <c r="M268" i="17" s="1"/>
  <c r="N268" i="17" s="1"/>
  <c r="S267" i="17"/>
  <c r="T267" i="17"/>
  <c r="AK267" i="17"/>
  <c r="AI267" i="17"/>
  <c r="H268" i="17"/>
  <c r="AQ267" i="17"/>
  <c r="U268" i="17" l="1"/>
  <c r="V268" i="17" s="1"/>
  <c r="AJ268" i="17"/>
  <c r="O268" i="17" s="1"/>
  <c r="Q268" i="17" l="1"/>
  <c r="P268" i="17"/>
  <c r="R268" i="17" l="1"/>
  <c r="K269" i="17" l="1"/>
  <c r="U269" i="17" s="1"/>
  <c r="V269" i="17" s="1"/>
  <c r="AQ268" i="17"/>
  <c r="T268" i="17"/>
  <c r="S268" i="17"/>
  <c r="H269" i="17"/>
  <c r="AI268" i="17"/>
  <c r="AK268" i="17"/>
  <c r="M269" i="17" l="1"/>
  <c r="N269" i="17" s="1"/>
  <c r="AJ269" i="17" s="1"/>
  <c r="O269" i="17" l="1"/>
  <c r="P269" i="17"/>
  <c r="Q269" i="17"/>
  <c r="R269" i="17" l="1"/>
  <c r="K270" i="17" l="1"/>
  <c r="AK269" i="17"/>
  <c r="AQ269" i="17"/>
  <c r="T269" i="17"/>
  <c r="H270" i="17"/>
  <c r="S269" i="17"/>
  <c r="AI269" i="17"/>
  <c r="U270" i="17" l="1"/>
  <c r="V270" i="17" s="1"/>
  <c r="M270" i="17"/>
  <c r="N270" i="17" l="1"/>
  <c r="AJ270" i="17" s="1"/>
  <c r="O270" i="17" s="1"/>
  <c r="Q270" i="17" l="1"/>
  <c r="P270" i="17"/>
  <c r="R270" i="17" l="1"/>
  <c r="K271" i="17" l="1"/>
  <c r="U271" i="17" s="1"/>
  <c r="V271" i="17" s="1"/>
  <c r="T270" i="17"/>
  <c r="AQ270" i="17"/>
  <c r="AK270" i="17"/>
  <c r="H271" i="17"/>
  <c r="S270" i="17"/>
  <c r="AI270" i="17"/>
  <c r="M271" i="17" l="1"/>
  <c r="N271" i="17" s="1"/>
  <c r="AJ271" i="17" l="1"/>
  <c r="O271" i="17" s="1"/>
  <c r="Q271" i="17" l="1"/>
  <c r="P271" i="17"/>
  <c r="R271" i="17" s="1"/>
  <c r="K272" i="17" l="1"/>
  <c r="U272" i="17" s="1"/>
  <c r="V272" i="17" s="1"/>
  <c r="H272" i="17"/>
  <c r="AI271" i="17"/>
  <c r="S271" i="17"/>
  <c r="AQ271" i="17"/>
  <c r="AK271" i="17"/>
  <c r="T271" i="17"/>
  <c r="M272" i="17" l="1"/>
  <c r="N272" i="17" s="1"/>
  <c r="AJ272" i="17" l="1"/>
  <c r="O272" i="17" s="1"/>
  <c r="P272" i="17" l="1"/>
  <c r="Q272" i="17"/>
  <c r="R272" i="17" l="1"/>
  <c r="S272" i="17" s="1"/>
  <c r="K273" i="17" l="1"/>
  <c r="U273" i="17" s="1"/>
  <c r="V273" i="17" s="1"/>
  <c r="AI272" i="17"/>
  <c r="AQ272" i="17"/>
  <c r="AK272" i="17"/>
  <c r="T272" i="17"/>
  <c r="H273" i="17"/>
  <c r="M273" i="17" l="1"/>
  <c r="N273" i="17" s="1"/>
  <c r="AJ273" i="17" s="1"/>
  <c r="O273" i="17" s="1"/>
  <c r="P273" i="17"/>
  <c r="Q273" i="17"/>
  <c r="R273" i="17" l="1"/>
  <c r="H274" i="17" l="1"/>
  <c r="AI273" i="17"/>
  <c r="T273" i="17"/>
  <c r="S273" i="17"/>
  <c r="K274" i="17"/>
  <c r="M274" i="17" s="1"/>
  <c r="AK273" i="17"/>
  <c r="AQ273" i="17"/>
  <c r="N274" i="17" l="1"/>
  <c r="AJ274" i="17" s="1"/>
  <c r="U274" i="17"/>
  <c r="V274" i="17" s="1"/>
  <c r="O274" i="17" l="1"/>
  <c r="Q274" i="17"/>
  <c r="P274" i="17"/>
  <c r="R274" i="17" l="1"/>
  <c r="K275" i="17" l="1"/>
  <c r="M275" i="17" s="1"/>
  <c r="N275" i="17" s="1"/>
  <c r="AJ275" i="17" s="1"/>
  <c r="O275" i="17" s="1"/>
  <c r="AI274" i="17"/>
  <c r="AK274" i="17"/>
  <c r="S274" i="17"/>
  <c r="T274" i="17"/>
  <c r="H275" i="17"/>
  <c r="AQ274" i="17"/>
  <c r="U275" i="17" l="1"/>
  <c r="V275" i="17" s="1"/>
  <c r="Q275" i="17"/>
  <c r="P275" i="17"/>
  <c r="R275" i="17" l="1"/>
  <c r="K276" i="17" l="1"/>
  <c r="U276" i="17" s="1"/>
  <c r="V276" i="17" s="1"/>
  <c r="AK275" i="17"/>
  <c r="S275" i="17"/>
  <c r="T275" i="17"/>
  <c r="AI275" i="17"/>
  <c r="H276" i="17"/>
  <c r="AQ275" i="17"/>
  <c r="M276" i="17" l="1"/>
  <c r="N276" i="17" s="1"/>
  <c r="AJ276" i="17" s="1"/>
  <c r="O276" i="17" s="1"/>
  <c r="P276" i="17" l="1"/>
  <c r="Q276" i="17"/>
  <c r="R276" i="17" l="1"/>
  <c r="K277" i="17" s="1"/>
  <c r="M277" i="17" l="1"/>
  <c r="N277" i="17" s="1"/>
  <c r="AJ277" i="17" s="1"/>
  <c r="O277" i="17" s="1"/>
  <c r="U277" i="17"/>
  <c r="V277" i="17" s="1"/>
  <c r="AK276" i="17"/>
  <c r="AQ276" i="17"/>
  <c r="H277" i="17"/>
  <c r="S276" i="17"/>
  <c r="AI276" i="17"/>
  <c r="T276" i="17"/>
  <c r="Q277" i="17" l="1"/>
  <c r="P277" i="17"/>
  <c r="R277" i="17" l="1"/>
  <c r="S277" i="17" s="1"/>
  <c r="AI277" i="17" l="1"/>
  <c r="K278" i="17"/>
  <c r="M278" i="17" s="1"/>
  <c r="AQ277" i="17"/>
  <c r="H278" i="17"/>
  <c r="T277" i="17"/>
  <c r="AK277" i="17"/>
  <c r="U278" i="17" l="1"/>
  <c r="V278" i="17" s="1"/>
  <c r="N278" i="17"/>
  <c r="AJ278" i="17" s="1"/>
  <c r="O278" i="17" s="1"/>
  <c r="P278" i="17" l="1"/>
  <c r="Q278" i="17"/>
  <c r="R278" i="17" l="1"/>
  <c r="K279" i="17" l="1"/>
  <c r="AQ278" i="17"/>
  <c r="AK278" i="17"/>
  <c r="H279" i="17"/>
  <c r="T278" i="17"/>
  <c r="AI278" i="17"/>
  <c r="S278" i="17"/>
  <c r="U279" i="17" l="1"/>
  <c r="V279" i="17" s="1"/>
  <c r="M279" i="17"/>
  <c r="N279" i="17" s="1"/>
  <c r="AJ279" i="17" l="1"/>
  <c r="O279" i="17" s="1"/>
  <c r="P279" i="17" l="1"/>
  <c r="Q279" i="17"/>
  <c r="R279" i="17" l="1"/>
  <c r="T279" i="17" s="1"/>
  <c r="AI279" i="17" l="1"/>
  <c r="K280" i="17"/>
  <c r="M280" i="17" s="1"/>
  <c r="N280" i="17" s="1"/>
  <c r="S279" i="17"/>
  <c r="AQ279" i="17"/>
  <c r="AK279" i="17"/>
  <c r="H280" i="17"/>
  <c r="U280" i="17" l="1"/>
  <c r="V280" i="17" s="1"/>
  <c r="AJ280" i="17"/>
  <c r="O280" i="17" s="1"/>
  <c r="P280" i="17" l="1"/>
  <c r="Q280" i="17"/>
  <c r="R280" i="17" l="1"/>
  <c r="AI280" i="17" s="1"/>
  <c r="H281" i="17" l="1"/>
  <c r="K281" i="17"/>
  <c r="M281" i="17" s="1"/>
  <c r="N281" i="17" s="1"/>
  <c r="T280" i="17"/>
  <c r="AK280" i="17"/>
  <c r="AQ280" i="17"/>
  <c r="S280" i="17"/>
  <c r="U281" i="17" l="1"/>
  <c r="V281" i="17" s="1"/>
  <c r="AJ281" i="17"/>
  <c r="O281" i="17" s="1"/>
  <c r="P281" i="17"/>
  <c r="Q281" i="17" l="1"/>
  <c r="R281" i="17" s="1"/>
  <c r="AQ281" i="17" s="1"/>
  <c r="AI281" i="17" l="1"/>
  <c r="H282" i="17"/>
  <c r="T281" i="17"/>
  <c r="S281" i="17"/>
  <c r="AK281" i="17"/>
  <c r="K282" i="17"/>
  <c r="U282" i="17" s="1"/>
  <c r="V282" i="17" s="1"/>
  <c r="M282" i="17" l="1"/>
  <c r="N282" i="17" s="1"/>
  <c r="AJ282" i="17" s="1"/>
  <c r="O282" i="17" s="1"/>
  <c r="Q282" i="17" l="1"/>
  <c r="P282" i="17"/>
  <c r="R282" i="17" l="1"/>
  <c r="K283" i="17" s="1"/>
  <c r="U283" i="17" s="1"/>
  <c r="V283" i="17" s="1"/>
  <c r="AI282" i="17" l="1"/>
  <c r="AK282" i="17"/>
  <c r="T282" i="17"/>
  <c r="H283" i="17"/>
  <c r="AQ282" i="17"/>
  <c r="S282" i="17"/>
  <c r="M283" i="17"/>
  <c r="N283" i="17" s="1"/>
  <c r="AJ283" i="17" l="1"/>
  <c r="O283" i="17" s="1"/>
  <c r="P283" i="17" l="1"/>
  <c r="Q283" i="17"/>
  <c r="R283" i="17" l="1"/>
  <c r="K284" i="17" s="1"/>
  <c r="U284" i="17" s="1"/>
  <c r="V284" i="17" s="1"/>
  <c r="AI283" i="17"/>
  <c r="S283" i="17"/>
  <c r="AQ283" i="17" l="1"/>
  <c r="AK283" i="17"/>
  <c r="T283" i="17"/>
  <c r="H284" i="17"/>
  <c r="M284" i="17"/>
  <c r="N284" i="17" s="1"/>
  <c r="AJ284" i="17" l="1"/>
  <c r="O284" i="17" s="1"/>
  <c r="Q284" i="17" l="1"/>
  <c r="P284" i="17"/>
  <c r="R284" i="17" l="1"/>
  <c r="K285" i="17" l="1"/>
  <c r="M285" i="17" s="1"/>
  <c r="S284" i="17"/>
  <c r="AI284" i="17"/>
  <c r="T284" i="17"/>
  <c r="H285" i="17"/>
  <c r="AK284" i="17"/>
  <c r="AQ284" i="17"/>
  <c r="U285" i="17" l="1"/>
  <c r="V285" i="17" s="1"/>
  <c r="N285" i="17"/>
  <c r="AJ285" i="17" l="1"/>
  <c r="O285" i="17" s="1"/>
  <c r="Q285" i="17" l="1"/>
  <c r="P285" i="17"/>
  <c r="R285" i="17" l="1"/>
  <c r="K286" i="17" l="1"/>
  <c r="U286" i="17" s="1"/>
  <c r="V286" i="17" s="1"/>
  <c r="T285" i="17"/>
  <c r="AK285" i="17"/>
  <c r="AQ285" i="17"/>
  <c r="S285" i="17"/>
  <c r="AI285" i="17"/>
  <c r="H286" i="17"/>
  <c r="M286" i="17" l="1"/>
  <c r="N286" i="17" s="1"/>
  <c r="AJ286" i="17" l="1"/>
  <c r="O286" i="17" s="1"/>
  <c r="Q286" i="17" l="1"/>
  <c r="P286" i="17"/>
  <c r="R286" i="17" l="1"/>
  <c r="K287" i="17" l="1"/>
  <c r="U287" i="17" s="1"/>
  <c r="V287" i="17" s="1"/>
  <c r="T286" i="17"/>
  <c r="H287" i="17"/>
  <c r="AI286" i="17"/>
  <c r="S286" i="17"/>
  <c r="AK286" i="17"/>
  <c r="AQ286" i="17"/>
  <c r="M287" i="17" l="1"/>
  <c r="N287" i="17" s="1"/>
  <c r="AJ287" i="17" s="1"/>
  <c r="O287" i="17" s="1"/>
  <c r="P287" i="17" l="1"/>
  <c r="Q287" i="17"/>
  <c r="R287" i="17" l="1"/>
  <c r="K288" i="17" s="1"/>
  <c r="M288" i="17" s="1"/>
  <c r="N288" i="17" s="1"/>
  <c r="AJ288" i="17" s="1"/>
  <c r="O288" i="17" s="1"/>
  <c r="AK287" i="17" l="1"/>
  <c r="T287" i="17"/>
  <c r="H288" i="17"/>
  <c r="Q288" i="17" s="1"/>
  <c r="S287" i="17"/>
  <c r="AI287" i="17"/>
  <c r="AQ287" i="17"/>
  <c r="U288" i="17"/>
  <c r="V288" i="17" s="1"/>
  <c r="P288" i="17"/>
  <c r="R288" i="17" l="1"/>
  <c r="K289" i="17" l="1"/>
  <c r="M289" i="17" s="1"/>
  <c r="AI288" i="17"/>
  <c r="AQ288" i="17"/>
  <c r="T288" i="17"/>
  <c r="S288" i="17"/>
  <c r="H289" i="17"/>
  <c r="AK288" i="17"/>
  <c r="U289" i="17" l="1"/>
  <c r="V289" i="17" s="1"/>
  <c r="N289" i="17"/>
  <c r="AJ289" i="17" l="1"/>
  <c r="O289" i="17" s="1"/>
  <c r="P289" i="17" l="1"/>
  <c r="Q289" i="17"/>
  <c r="R289" i="17" l="1"/>
  <c r="K290" i="17" l="1"/>
  <c r="U290" i="17" s="1"/>
  <c r="V290" i="17" s="1"/>
  <c r="T289" i="17"/>
  <c r="S289" i="17"/>
  <c r="H290" i="17"/>
  <c r="AI289" i="17"/>
  <c r="AQ289" i="17"/>
  <c r="AK289" i="17"/>
  <c r="M290" i="17" l="1"/>
  <c r="N290" i="17" s="1"/>
  <c r="AJ290" i="17" s="1"/>
  <c r="O290" i="17" s="1"/>
  <c r="Q290" i="17" l="1"/>
  <c r="P290" i="17"/>
  <c r="R290" i="17" l="1"/>
  <c r="K291" i="17" l="1"/>
  <c r="M291" i="17" s="1"/>
  <c r="AK290" i="17"/>
  <c r="AI290" i="17"/>
  <c r="AQ290" i="17"/>
  <c r="T290" i="17"/>
  <c r="S290" i="17"/>
  <c r="H291" i="17"/>
  <c r="U291" i="17" l="1"/>
  <c r="V291" i="17" s="1"/>
  <c r="N291" i="17"/>
  <c r="AJ291" i="17" l="1"/>
  <c r="O291" i="17" s="1"/>
  <c r="Q291" i="17" l="1"/>
  <c r="P291" i="17"/>
  <c r="R291" i="17" l="1"/>
  <c r="K292" i="17" l="1"/>
  <c r="U292" i="17" s="1"/>
  <c r="V292" i="17" s="1"/>
  <c r="S291" i="17"/>
  <c r="AI291" i="17"/>
  <c r="H292" i="17"/>
  <c r="AK291" i="17"/>
  <c r="AQ291" i="17"/>
  <c r="T291" i="17"/>
  <c r="M292" i="17" l="1"/>
  <c r="N292" i="17" s="1"/>
  <c r="AJ292" i="17" s="1"/>
  <c r="O292" i="17" s="1"/>
  <c r="Q292" i="17" l="1"/>
  <c r="P292" i="17"/>
  <c r="R292" i="17" l="1"/>
  <c r="K293" i="17" l="1"/>
  <c r="U293" i="17" s="1"/>
  <c r="V293" i="17" s="1"/>
  <c r="AI292" i="17"/>
  <c r="S292" i="17"/>
  <c r="AQ292" i="17"/>
  <c r="H293" i="17"/>
  <c r="T292" i="17"/>
  <c r="AK292" i="17"/>
  <c r="M293" i="17" l="1"/>
  <c r="N293" i="17" s="1"/>
  <c r="AJ293" i="17" s="1"/>
  <c r="O293" i="17" s="1"/>
  <c r="Q293" i="17" l="1"/>
  <c r="P293" i="17"/>
  <c r="R293" i="17" l="1"/>
  <c r="K294" i="17" l="1"/>
  <c r="U294" i="17" s="1"/>
  <c r="V294" i="17" s="1"/>
  <c r="T293" i="17"/>
  <c r="AK293" i="17"/>
  <c r="AQ293" i="17"/>
  <c r="S293" i="17"/>
  <c r="H294" i="17"/>
  <c r="AI293" i="17"/>
  <c r="M294" i="17" l="1"/>
  <c r="N294" i="17" s="1"/>
  <c r="AJ294" i="17" l="1"/>
  <c r="O294" i="17" s="1"/>
  <c r="P294" i="17" l="1"/>
  <c r="Q294" i="17"/>
  <c r="R294" i="17" l="1"/>
  <c r="H295" i="17" s="1"/>
  <c r="AI294" i="17" l="1"/>
  <c r="S294" i="17"/>
  <c r="T294" i="17"/>
  <c r="K295" i="17"/>
  <c r="U295" i="17" s="1"/>
  <c r="V295" i="17" s="1"/>
  <c r="AK294" i="17"/>
  <c r="AQ294" i="17"/>
  <c r="M295" i="17" l="1"/>
  <c r="N295" i="17" s="1"/>
  <c r="AJ295" i="17" s="1"/>
  <c r="O295" i="17" s="1"/>
  <c r="P295" i="17" l="1"/>
  <c r="Q295" i="17"/>
  <c r="R295" i="17" l="1"/>
  <c r="K296" i="17" l="1"/>
  <c r="U296" i="17" s="1"/>
  <c r="V296" i="17" s="1"/>
  <c r="AI295" i="17"/>
  <c r="AQ295" i="17"/>
  <c r="AK295" i="17"/>
  <c r="S295" i="17"/>
  <c r="T295" i="17"/>
  <c r="H296" i="17"/>
  <c r="M296" i="17" l="1"/>
  <c r="N296" i="17" s="1"/>
  <c r="AJ296" i="17" s="1"/>
  <c r="O296" i="17" s="1"/>
  <c r="P296" i="17" l="1"/>
  <c r="Q296" i="17"/>
  <c r="R296" i="17" l="1"/>
  <c r="K297" i="17" l="1"/>
  <c r="M297" i="17" s="1"/>
  <c r="T296" i="17"/>
  <c r="AK296" i="17"/>
  <c r="AQ296" i="17"/>
  <c r="AI296" i="17"/>
  <c r="S296" i="17"/>
  <c r="H297" i="17"/>
  <c r="U297" i="17" l="1"/>
  <c r="V297" i="17" s="1"/>
  <c r="N297" i="17"/>
  <c r="AJ297" i="17" l="1"/>
  <c r="O297" i="17" l="1"/>
  <c r="Q297" i="17"/>
  <c r="P297" i="17"/>
  <c r="R297" i="17" l="1"/>
  <c r="K298" i="17" l="1"/>
  <c r="AQ297" i="17"/>
  <c r="AK297" i="17"/>
  <c r="AI297" i="17"/>
  <c r="T297" i="17"/>
  <c r="H298" i="17"/>
  <c r="S297" i="17"/>
  <c r="U298" i="17" l="1"/>
  <c r="V298" i="17" s="1"/>
  <c r="M298" i="17"/>
  <c r="N298" i="17" l="1"/>
  <c r="AJ298" i="17" l="1"/>
  <c r="O298" i="17" s="1"/>
  <c r="P298" i="17" l="1"/>
  <c r="Q298" i="17"/>
  <c r="R298" i="17" l="1"/>
  <c r="K299" i="17" l="1"/>
  <c r="M299" i="17" s="1"/>
  <c r="N299" i="17" s="1"/>
  <c r="AJ299" i="17" s="1"/>
  <c r="AI298" i="17"/>
  <c r="S298" i="17"/>
  <c r="H299" i="17"/>
  <c r="T298" i="17"/>
  <c r="AQ298" i="17"/>
  <c r="AK298" i="17"/>
  <c r="U299" i="17" l="1"/>
  <c r="V299" i="17" s="1"/>
  <c r="O299" i="17"/>
  <c r="Q299" i="17"/>
  <c r="P299" i="17"/>
  <c r="R299" i="17" l="1"/>
  <c r="K300" i="17" l="1"/>
  <c r="U300" i="17" s="1"/>
  <c r="V300" i="17" s="1"/>
  <c r="T299" i="17"/>
  <c r="H300" i="17"/>
  <c r="S299" i="17"/>
  <c r="AQ299" i="17"/>
  <c r="AK299" i="17"/>
  <c r="AI299" i="17"/>
  <c r="M300" i="17" l="1"/>
  <c r="N300" i="17" s="1"/>
  <c r="AJ300" i="17" l="1"/>
  <c r="O300" i="17" s="1"/>
  <c r="P300" i="17" l="1"/>
  <c r="Q300" i="17"/>
  <c r="R300" i="17" l="1"/>
  <c r="K301" i="17" l="1"/>
  <c r="M301" i="17" s="1"/>
  <c r="N301" i="17" s="1"/>
  <c r="S300" i="17"/>
  <c r="T300" i="17"/>
  <c r="H301" i="17"/>
  <c r="AI300" i="17"/>
  <c r="AQ300" i="17"/>
  <c r="AK300" i="17"/>
  <c r="U301" i="17" l="1"/>
  <c r="V301" i="17" s="1"/>
  <c r="AJ301" i="17"/>
  <c r="P301" i="17" s="1"/>
  <c r="O301" i="17" l="1"/>
  <c r="Q301" i="17"/>
  <c r="R301" i="17" l="1"/>
  <c r="K302" i="17" l="1"/>
  <c r="AQ301" i="17"/>
  <c r="AK301" i="17"/>
  <c r="H302" i="17"/>
  <c r="T301" i="17"/>
  <c r="S301" i="17"/>
  <c r="AI301" i="17"/>
  <c r="U302" i="17" l="1"/>
  <c r="V302" i="17" s="1"/>
  <c r="M302" i="17"/>
  <c r="N302" i="17" s="1"/>
  <c r="AJ302" i="17" l="1"/>
  <c r="O302" i="17" s="1"/>
  <c r="P302" i="17" l="1"/>
  <c r="Q302" i="17"/>
  <c r="R302" i="17" l="1"/>
  <c r="K303" i="17" s="1"/>
  <c r="AQ302" i="17" l="1"/>
  <c r="S302" i="17"/>
  <c r="AK302" i="17"/>
  <c r="AI302" i="17"/>
  <c r="H303" i="17"/>
  <c r="T302" i="17"/>
  <c r="M303" i="17"/>
  <c r="N303" i="17" s="1"/>
  <c r="U303" i="17"/>
  <c r="V303" i="17" s="1"/>
  <c r="AJ303" i="17" l="1"/>
  <c r="O303" i="17" l="1"/>
  <c r="Q303" i="17"/>
  <c r="P303" i="17"/>
  <c r="R303" i="17" l="1"/>
  <c r="K304" i="17" l="1"/>
  <c r="AK303" i="17"/>
  <c r="AQ303" i="17"/>
  <c r="H304" i="17"/>
  <c r="S303" i="17"/>
  <c r="T303" i="17"/>
  <c r="AI303" i="17"/>
  <c r="U304" i="17" l="1"/>
  <c r="V304" i="17" s="1"/>
  <c r="M304" i="17"/>
  <c r="N304" i="17" l="1"/>
  <c r="AJ304" i="17" l="1"/>
  <c r="O304" i="17" l="1"/>
  <c r="P304" i="17"/>
  <c r="Q304" i="17"/>
  <c r="R304" i="17" l="1"/>
  <c r="K305" i="17" l="1"/>
  <c r="AK304" i="17"/>
  <c r="AQ304" i="17"/>
  <c r="S304" i="17"/>
  <c r="T304" i="17"/>
  <c r="H305" i="17"/>
  <c r="AI304" i="17"/>
  <c r="U305" i="17" l="1"/>
  <c r="V305" i="17" s="1"/>
  <c r="M305" i="17"/>
  <c r="N305" i="17" s="1"/>
  <c r="AJ305" i="17" l="1"/>
  <c r="P305" i="17" s="1"/>
  <c r="O305" i="17" l="1"/>
  <c r="Q305" i="17"/>
  <c r="R305" i="17" l="1"/>
  <c r="K306" i="17" l="1"/>
  <c r="AQ305" i="17"/>
  <c r="AK305" i="17"/>
  <c r="AI305" i="17"/>
  <c r="H306" i="17"/>
  <c r="S305" i="17"/>
  <c r="T305" i="17"/>
  <c r="M306" i="17" l="1"/>
  <c r="N306" i="17" s="1"/>
  <c r="U306" i="17"/>
  <c r="V306" i="17" s="1"/>
  <c r="AJ306" i="17" l="1"/>
  <c r="O306" i="17" s="1"/>
  <c r="Q306" i="17" l="1"/>
  <c r="P306" i="17"/>
  <c r="R306" i="17" l="1"/>
  <c r="K307" i="17" l="1"/>
  <c r="M307" i="17" s="1"/>
  <c r="AI306" i="17"/>
  <c r="T306" i="17"/>
  <c r="H307" i="17"/>
  <c r="S306" i="17"/>
  <c r="AK306" i="17"/>
  <c r="AQ306" i="17"/>
  <c r="U307" i="17" l="1"/>
  <c r="V307" i="17" s="1"/>
  <c r="N307" i="17"/>
  <c r="AJ307" i="17" l="1"/>
  <c r="O307" i="17" s="1"/>
  <c r="Q307" i="17" l="1"/>
  <c r="P307" i="17"/>
  <c r="R307" i="17" l="1"/>
  <c r="K308" i="17" l="1"/>
  <c r="U308" i="17" s="1"/>
  <c r="V308" i="17" s="1"/>
  <c r="AI307" i="17"/>
  <c r="H308" i="17"/>
  <c r="S307" i="17"/>
  <c r="T307" i="17"/>
  <c r="AK307" i="17"/>
  <c r="AQ307" i="17"/>
  <c r="M308" i="17" l="1"/>
  <c r="N308" i="17" s="1"/>
  <c r="AJ308" i="17" s="1"/>
  <c r="O308" i="17" s="1"/>
  <c r="Q308" i="17" l="1"/>
  <c r="P308" i="17"/>
  <c r="R308" i="17" l="1"/>
  <c r="AQ308" i="17" s="1"/>
  <c r="K309" i="17" l="1"/>
  <c r="U309" i="17" s="1"/>
  <c r="V309" i="17" s="1"/>
  <c r="S308" i="17"/>
  <c r="T308" i="17"/>
  <c r="AK308" i="17"/>
  <c r="AI308" i="17"/>
  <c r="H309" i="17"/>
  <c r="M309" i="17" l="1"/>
  <c r="N309" i="17"/>
  <c r="AJ309" i="17" s="1"/>
  <c r="O309" i="17" s="1"/>
  <c r="Q309" i="17" l="1"/>
  <c r="P309" i="17"/>
  <c r="R309" i="17" l="1"/>
  <c r="K310" i="17" l="1"/>
  <c r="U310" i="17" s="1"/>
  <c r="V310" i="17" s="1"/>
  <c r="T309" i="17"/>
  <c r="AI309" i="17"/>
  <c r="S309" i="17"/>
  <c r="H310" i="17"/>
  <c r="AQ309" i="17"/>
  <c r="AK309" i="17"/>
  <c r="M310" i="17" l="1"/>
  <c r="N310" i="17" s="1"/>
  <c r="AJ310" i="17" s="1"/>
  <c r="O310" i="17" s="1"/>
  <c r="Q310" i="17" l="1"/>
  <c r="P310" i="17"/>
  <c r="R310" i="17" s="1"/>
  <c r="K311" i="17" l="1"/>
  <c r="U311" i="17" s="1"/>
  <c r="V311" i="17" s="1"/>
  <c r="S310" i="17"/>
  <c r="T310" i="17"/>
  <c r="AQ310" i="17"/>
  <c r="AI310" i="17"/>
  <c r="AK310" i="17"/>
  <c r="H311" i="17"/>
  <c r="M311" i="17" l="1"/>
  <c r="N311" i="17" s="1"/>
  <c r="AJ311" i="17" s="1"/>
  <c r="O311" i="17" s="1"/>
  <c r="Q311" i="17" l="1"/>
  <c r="P311" i="17"/>
  <c r="R311" i="17" l="1"/>
  <c r="AK311" i="17" s="1"/>
  <c r="AQ311" i="17" l="1"/>
  <c r="K312" i="17"/>
  <c r="U312" i="17" s="1"/>
  <c r="V312" i="17" s="1"/>
  <c r="S311" i="17"/>
  <c r="H312" i="17"/>
  <c r="AI311" i="17"/>
  <c r="T311" i="17"/>
  <c r="M312" i="17"/>
  <c r="N312" i="17" s="1"/>
  <c r="AJ312" i="17" l="1"/>
  <c r="O312" i="17" s="1"/>
  <c r="Q312" i="17" l="1"/>
  <c r="P312" i="17"/>
  <c r="R312" i="17" l="1"/>
  <c r="K313" i="17" l="1"/>
  <c r="M313" i="17" s="1"/>
  <c r="AI312" i="17"/>
  <c r="H313" i="17"/>
  <c r="S312" i="17"/>
  <c r="AQ312" i="17"/>
  <c r="T312" i="17"/>
  <c r="AK312" i="17"/>
  <c r="U313" i="17" l="1"/>
  <c r="V313" i="17" s="1"/>
  <c r="N313" i="17"/>
  <c r="AJ313" i="17" l="1"/>
  <c r="O313" i="17" s="1"/>
  <c r="P313" i="17" l="1"/>
  <c r="Q313" i="17"/>
  <c r="R313" i="17" l="1"/>
  <c r="K314" i="17" l="1"/>
  <c r="U314" i="17" s="1"/>
  <c r="V314" i="17" s="1"/>
  <c r="S313" i="17"/>
  <c r="T313" i="17"/>
  <c r="AQ313" i="17"/>
  <c r="AI313" i="17"/>
  <c r="H314" i="17"/>
  <c r="AK313" i="17"/>
  <c r="M314" i="17" l="1"/>
  <c r="N314" i="17" s="1"/>
  <c r="AJ314" i="17" l="1"/>
  <c r="P314" i="17" s="1"/>
  <c r="O314" i="17" l="1"/>
  <c r="Q314" i="17"/>
  <c r="R314" i="17" l="1"/>
  <c r="K315" i="17" s="1"/>
  <c r="AI314" i="17"/>
  <c r="H315" i="17" l="1"/>
  <c r="T314" i="17"/>
  <c r="AK314" i="17"/>
  <c r="S314" i="17"/>
  <c r="AQ314" i="17"/>
  <c r="M315" i="17"/>
  <c r="N315" i="17" s="1"/>
  <c r="AJ315" i="17" s="1"/>
  <c r="O315" i="17" s="1"/>
  <c r="U315" i="17"/>
  <c r="V315" i="17" s="1"/>
  <c r="P315" i="17" l="1"/>
  <c r="Q315" i="17"/>
  <c r="R315" i="17" l="1"/>
  <c r="K316" i="17" l="1"/>
  <c r="M316" i="17" s="1"/>
  <c r="N316" i="17" s="1"/>
  <c r="S315" i="17"/>
  <c r="AK315" i="17"/>
  <c r="AI315" i="17"/>
  <c r="H316" i="17"/>
  <c r="T315" i="17"/>
  <c r="AQ315" i="17"/>
  <c r="U316" i="17" l="1"/>
  <c r="V316" i="17" s="1"/>
  <c r="AJ316" i="17"/>
  <c r="O316" i="17" s="1"/>
  <c r="P316" i="17" l="1"/>
  <c r="Q316" i="17"/>
  <c r="R316" i="17" l="1"/>
  <c r="K317" i="17" l="1"/>
  <c r="U317" i="17" s="1"/>
  <c r="V317" i="17" s="1"/>
  <c r="S316" i="17"/>
  <c r="AI316" i="17"/>
  <c r="T316" i="17"/>
  <c r="H317" i="17"/>
  <c r="AK316" i="17"/>
  <c r="AQ316" i="17"/>
  <c r="M317" i="17" l="1"/>
  <c r="N317" i="17" s="1"/>
  <c r="AJ317" i="17" l="1"/>
  <c r="O317" i="17" s="1"/>
  <c r="P317" i="17" l="1"/>
  <c r="Q317" i="17"/>
  <c r="R317" i="17" l="1"/>
  <c r="K318" i="17" l="1"/>
  <c r="U318" i="17" s="1"/>
  <c r="V318" i="17" s="1"/>
  <c r="AK317" i="17"/>
  <c r="AQ317" i="17"/>
  <c r="H318" i="17"/>
  <c r="S317" i="17"/>
  <c r="AI317" i="17"/>
  <c r="T317" i="17"/>
  <c r="M318" i="17" l="1"/>
  <c r="N318" i="17" s="1"/>
  <c r="AJ318" i="17" s="1"/>
  <c r="O318" i="17" s="1"/>
  <c r="Q318" i="17" l="1"/>
  <c r="P318" i="17"/>
  <c r="R318" i="17" l="1"/>
  <c r="K319" i="17" l="1"/>
  <c r="U319" i="17" s="1"/>
  <c r="V319" i="17" s="1"/>
  <c r="AI318" i="17"/>
  <c r="H319" i="17"/>
  <c r="S318" i="17"/>
  <c r="T318" i="17"/>
  <c r="AQ318" i="17"/>
  <c r="AK318" i="17"/>
  <c r="M319" i="17" l="1"/>
  <c r="N319" i="17" s="1"/>
  <c r="AJ319" i="17" l="1"/>
  <c r="O319" i="17" s="1"/>
  <c r="Q319" i="17" l="1"/>
  <c r="P319" i="17"/>
  <c r="R319" i="17" l="1"/>
  <c r="K320" i="17" l="1"/>
  <c r="G12" i="17" s="1"/>
  <c r="M13" i="13" s="1"/>
  <c r="T319" i="17"/>
  <c r="S319" i="17"/>
  <c r="AK319" i="17"/>
  <c r="AQ319" i="17"/>
  <c r="H320" i="17"/>
  <c r="AI319" i="17"/>
  <c r="M320" i="17" l="1"/>
  <c r="N320" i="17" s="1"/>
  <c r="AJ320" i="17" s="1"/>
  <c r="O320" i="17" s="1"/>
  <c r="U320" i="17"/>
  <c r="V320" i="17" s="1"/>
  <c r="Q12" i="13"/>
  <c r="P320" i="17" l="1"/>
  <c r="Q320" i="17"/>
  <c r="R320" i="17" l="1"/>
  <c r="K321" i="17" l="1"/>
  <c r="U321" i="17" s="1"/>
  <c r="V321" i="17" s="1"/>
  <c r="T320" i="17"/>
  <c r="AI320" i="17"/>
  <c r="S320" i="17"/>
  <c r="H321" i="17"/>
  <c r="AQ320" i="17"/>
  <c r="AK320" i="17"/>
  <c r="M321" i="17" l="1"/>
  <c r="N321" i="17" s="1"/>
  <c r="AJ321" i="17" s="1"/>
  <c r="O321" i="17" s="1"/>
  <c r="P321" i="17" l="1"/>
  <c r="Q321" i="17"/>
  <c r="R321" i="17" l="1"/>
  <c r="K322" i="17" l="1"/>
  <c r="M322" i="17" s="1"/>
  <c r="AI321" i="17"/>
  <c r="S321" i="17"/>
  <c r="H322" i="17"/>
  <c r="T321" i="17"/>
  <c r="AQ321" i="17"/>
  <c r="AK321" i="17"/>
  <c r="U322" i="17" l="1"/>
  <c r="V322" i="17" s="1"/>
  <c r="N322" i="17"/>
  <c r="AJ322" i="17" s="1"/>
  <c r="O322" i="17" l="1"/>
  <c r="Q322" i="17"/>
  <c r="P322" i="17"/>
  <c r="R322" i="17" l="1"/>
  <c r="K323" i="17" l="1"/>
  <c r="AK322" i="17"/>
  <c r="AQ322" i="17"/>
  <c r="H323" i="17"/>
  <c r="AI322" i="17"/>
  <c r="S322" i="17"/>
  <c r="T322" i="17"/>
  <c r="U323" i="17" l="1"/>
  <c r="V323" i="17" s="1"/>
  <c r="M323" i="17"/>
  <c r="N323" i="17" l="1"/>
  <c r="AJ323" i="17" l="1"/>
  <c r="O323" i="17" s="1"/>
  <c r="Q323" i="17" l="1"/>
  <c r="P323" i="17"/>
  <c r="R323" i="17" l="1"/>
  <c r="K324" i="17" l="1"/>
  <c r="U324" i="17" s="1"/>
  <c r="V324" i="17" s="1"/>
  <c r="T323" i="17"/>
  <c r="AQ323" i="17"/>
  <c r="H324" i="17"/>
  <c r="S323" i="17"/>
  <c r="AI323" i="17"/>
  <c r="AK323" i="17"/>
  <c r="M324" i="17" l="1"/>
  <c r="N324" i="17" s="1"/>
  <c r="AJ324" i="17" l="1"/>
  <c r="O324" i="17" s="1"/>
  <c r="P324" i="17" l="1"/>
  <c r="Q324" i="17"/>
  <c r="R324" i="17" l="1"/>
  <c r="T324" i="17" s="1"/>
  <c r="K325" i="17" l="1"/>
  <c r="M325" i="17" s="1"/>
  <c r="N325" i="17" s="1"/>
  <c r="AJ325" i="17" s="1"/>
  <c r="O325" i="17" s="1"/>
  <c r="AI324" i="17"/>
  <c r="H325" i="17"/>
  <c r="S324" i="17"/>
  <c r="AK324" i="17"/>
  <c r="AQ324" i="17"/>
  <c r="U325" i="17" l="1"/>
  <c r="V325" i="17" s="1"/>
  <c r="P325" i="17"/>
  <c r="Q325" i="17"/>
  <c r="R325" i="17" l="1"/>
  <c r="K326" i="17" l="1"/>
  <c r="M326" i="17" s="1"/>
  <c r="N326" i="17" s="1"/>
  <c r="T325" i="17"/>
  <c r="AQ325" i="17"/>
  <c r="AI325" i="17"/>
  <c r="S325" i="17"/>
  <c r="AK325" i="17"/>
  <c r="H326" i="17"/>
  <c r="U326" i="17" l="1"/>
  <c r="V326" i="17" s="1"/>
  <c r="AJ326" i="17"/>
  <c r="O326" i="17" l="1"/>
  <c r="P326" i="17"/>
  <c r="Q326" i="17"/>
  <c r="R326" i="17" l="1"/>
  <c r="K327" i="17" l="1"/>
  <c r="AQ326" i="17"/>
  <c r="AK326" i="17"/>
  <c r="H327" i="17"/>
  <c r="S326" i="17"/>
  <c r="T326" i="17"/>
  <c r="AI326" i="17"/>
  <c r="M327" i="17" l="1"/>
  <c r="N327" i="17" s="1"/>
  <c r="U327" i="17"/>
  <c r="V327" i="17" s="1"/>
  <c r="AJ327" i="17" l="1"/>
  <c r="O327" i="17" s="1"/>
  <c r="P327" i="17" l="1"/>
  <c r="Q327" i="17"/>
  <c r="R327" i="17" l="1"/>
  <c r="K328" i="17" l="1"/>
  <c r="U328" i="17" s="1"/>
  <c r="V328" i="17" s="1"/>
  <c r="AK327" i="17"/>
  <c r="H328" i="17"/>
  <c r="S327" i="17"/>
  <c r="T327" i="17"/>
  <c r="AI327" i="17"/>
  <c r="AQ327" i="17"/>
  <c r="M328" i="17" l="1"/>
  <c r="N328" i="17"/>
  <c r="AJ328" i="17" s="1"/>
  <c r="O328" i="17" s="1"/>
  <c r="P328" i="17" l="1"/>
  <c r="Q328" i="17"/>
  <c r="R328" i="17" l="1"/>
  <c r="K329" i="17" l="1"/>
  <c r="U329" i="17" s="1"/>
  <c r="V329" i="17" s="1"/>
  <c r="H329" i="17"/>
  <c r="AQ328" i="17"/>
  <c r="AK328" i="17"/>
  <c r="AI328" i="17"/>
  <c r="T328" i="17"/>
  <c r="S328" i="17"/>
  <c r="M329" i="17" l="1"/>
  <c r="N329" i="17" s="1"/>
  <c r="AJ329" i="17" s="1"/>
  <c r="O329" i="17" s="1"/>
  <c r="P329" i="17" l="1"/>
  <c r="Q329" i="17"/>
  <c r="R329" i="17" l="1"/>
  <c r="K330" i="17" l="1"/>
  <c r="U330" i="17" s="1"/>
  <c r="V330" i="17" s="1"/>
  <c r="H330" i="17"/>
  <c r="S329" i="17"/>
  <c r="AI329" i="17"/>
  <c r="AK329" i="17"/>
  <c r="T329" i="17"/>
  <c r="AQ329" i="17"/>
  <c r="M330" i="17" l="1"/>
  <c r="N330" i="17" s="1"/>
  <c r="AJ330" i="17" s="1"/>
  <c r="O330" i="17" s="1"/>
  <c r="P330" i="17" l="1"/>
  <c r="Q330" i="17"/>
  <c r="R330" i="17" l="1"/>
  <c r="K331" i="17" l="1"/>
  <c r="M331" i="17" s="1"/>
  <c r="N331" i="17" s="1"/>
  <c r="AJ331" i="17" s="1"/>
  <c r="O331" i="17" s="1"/>
  <c r="AI330" i="17"/>
  <c r="S330" i="17"/>
  <c r="T330" i="17"/>
  <c r="H331" i="17"/>
  <c r="AQ330" i="17"/>
  <c r="AK330" i="17"/>
  <c r="U331" i="17" l="1"/>
  <c r="V331" i="17" s="1"/>
  <c r="Q331" i="17"/>
  <c r="P331" i="17"/>
  <c r="R331" i="17" l="1"/>
  <c r="T331" i="17" s="1"/>
  <c r="K332" i="17" l="1"/>
  <c r="U332" i="17" s="1"/>
  <c r="V332" i="17" s="1"/>
  <c r="H332" i="17"/>
  <c r="AI331" i="17"/>
  <c r="S331" i="17"/>
  <c r="AQ331" i="17"/>
  <c r="AK331" i="17"/>
  <c r="M332" i="17" l="1"/>
  <c r="N332" i="17" s="1"/>
  <c r="AJ332" i="17" l="1"/>
  <c r="O332" i="17" s="1"/>
  <c r="Q332" i="17" l="1"/>
  <c r="P332" i="17"/>
  <c r="R332" i="17" l="1"/>
  <c r="K333" i="17" l="1"/>
  <c r="U333" i="17" s="1"/>
  <c r="V333" i="17" s="1"/>
  <c r="AQ332" i="17"/>
  <c r="AI332" i="17"/>
  <c r="T332" i="17"/>
  <c r="H333" i="17"/>
  <c r="S332" i="17"/>
  <c r="AK332" i="17"/>
  <c r="M333" i="17" l="1"/>
  <c r="N333" i="17" s="1"/>
  <c r="AJ333" i="17" s="1"/>
  <c r="O333" i="17" s="1"/>
  <c r="Q333" i="17" l="1"/>
  <c r="P333" i="17"/>
  <c r="R333" i="17" l="1"/>
  <c r="S333" i="17" s="1"/>
  <c r="K334" i="17"/>
  <c r="U334" i="17" s="1"/>
  <c r="V334" i="17" s="1"/>
  <c r="H334" i="17"/>
  <c r="T333" i="17"/>
  <c r="AQ333" i="17"/>
  <c r="AK333" i="17" l="1"/>
  <c r="AI333" i="17"/>
  <c r="M334" i="17"/>
  <c r="N334" i="17" s="1"/>
  <c r="AJ334" i="17" s="1"/>
  <c r="O334" i="17" s="1"/>
  <c r="Q334" i="17" l="1"/>
  <c r="P334" i="17"/>
  <c r="R334" i="17" l="1"/>
  <c r="K335" i="17" s="1"/>
  <c r="U335" i="17" s="1"/>
  <c r="V335" i="17" s="1"/>
  <c r="T334" i="17" l="1"/>
  <c r="AK334" i="17"/>
  <c r="AQ334" i="17"/>
  <c r="H335" i="17"/>
  <c r="AI334" i="17"/>
  <c r="S334" i="17"/>
  <c r="M335" i="17"/>
  <c r="N335" i="17" s="1"/>
  <c r="AJ335" i="17" s="1"/>
  <c r="O335" i="17" l="1"/>
  <c r="Q335" i="17"/>
  <c r="P335" i="17"/>
  <c r="R335" i="17" l="1"/>
  <c r="K336" i="17" l="1"/>
  <c r="AK335" i="17"/>
  <c r="AQ335" i="17"/>
  <c r="T335" i="17"/>
  <c r="H336" i="17"/>
  <c r="AI335" i="17"/>
  <c r="S335" i="17"/>
  <c r="U336" i="17" l="1"/>
  <c r="V336" i="17" s="1"/>
  <c r="M336" i="17"/>
  <c r="N336" i="17" l="1"/>
  <c r="AJ336" i="17" l="1"/>
  <c r="O336" i="17" s="1"/>
  <c r="P336" i="17" l="1"/>
  <c r="Q336" i="17"/>
  <c r="R336" i="17" l="1"/>
  <c r="K337" i="17" s="1"/>
  <c r="AI336" i="17" l="1"/>
  <c r="T336" i="17"/>
  <c r="S336" i="17"/>
  <c r="H337" i="17"/>
  <c r="AK336" i="17"/>
  <c r="AQ336" i="17"/>
  <c r="U337" i="17"/>
  <c r="V337" i="17" s="1"/>
  <c r="M337" i="17"/>
  <c r="N337" i="17" s="1"/>
  <c r="AJ337" i="17" l="1"/>
  <c r="O337" i="17" l="1"/>
  <c r="Q337" i="17"/>
  <c r="P337" i="17"/>
  <c r="R337" i="17" l="1"/>
  <c r="K338" i="17" l="1"/>
  <c r="AK337" i="17"/>
  <c r="AQ337" i="17"/>
  <c r="AI337" i="17"/>
  <c r="T337" i="17"/>
  <c r="H338" i="17"/>
  <c r="S337" i="17"/>
  <c r="U338" i="17" l="1"/>
  <c r="V338" i="17" s="1"/>
  <c r="M338" i="17"/>
  <c r="N338" i="17" l="1"/>
  <c r="AJ338" i="17" s="1"/>
  <c r="O338" i="17" s="1"/>
  <c r="P338" i="17" l="1"/>
  <c r="Q338" i="17"/>
  <c r="R338" i="17" l="1"/>
  <c r="K339" i="17" l="1"/>
  <c r="M339" i="17" s="1"/>
  <c r="N339" i="17" s="1"/>
  <c r="H339" i="17"/>
  <c r="AK338" i="17"/>
  <c r="AI338" i="17"/>
  <c r="T338" i="17"/>
  <c r="S338" i="17"/>
  <c r="AQ338" i="17"/>
  <c r="U339" i="17" l="1"/>
  <c r="V339" i="17" s="1"/>
  <c r="AJ339" i="17"/>
  <c r="O339" i="17" l="1"/>
  <c r="Q339" i="17"/>
  <c r="P339" i="17"/>
  <c r="R339" i="17" l="1"/>
  <c r="K340" i="17" l="1"/>
  <c r="AK339" i="17"/>
  <c r="AQ339" i="17"/>
  <c r="T339" i="17"/>
  <c r="H340" i="17"/>
  <c r="AI339" i="17"/>
  <c r="S339" i="17"/>
  <c r="M340" i="17" l="1"/>
  <c r="N340" i="17" s="1"/>
  <c r="U340" i="17"/>
  <c r="V340" i="17" s="1"/>
  <c r="AJ340" i="17" l="1"/>
  <c r="O340" i="17" s="1"/>
  <c r="P340" i="17" l="1"/>
  <c r="Q340" i="17"/>
  <c r="R340" i="17" l="1"/>
  <c r="K341" i="17" l="1"/>
  <c r="U341" i="17" s="1"/>
  <c r="V341" i="17" s="1"/>
  <c r="AQ340" i="17"/>
  <c r="T340" i="17"/>
  <c r="AI340" i="17"/>
  <c r="S340" i="17"/>
  <c r="H341" i="17"/>
  <c r="AK340" i="17"/>
  <c r="M341" i="17" l="1"/>
  <c r="N341" i="17" s="1"/>
  <c r="AJ341" i="17" l="1"/>
  <c r="O341" i="17" s="1"/>
  <c r="P341" i="17" l="1"/>
  <c r="Q341" i="17"/>
  <c r="R341" i="17" l="1"/>
  <c r="T341" i="17" s="1"/>
  <c r="S341" i="17" l="1"/>
  <c r="AI341" i="17"/>
  <c r="AK341" i="17"/>
  <c r="AQ341" i="17"/>
  <c r="K342" i="17"/>
  <c r="M342" i="17" s="1"/>
  <c r="N342" i="17" s="1"/>
  <c r="H342" i="17"/>
  <c r="U342" i="17" l="1"/>
  <c r="V342" i="17" s="1"/>
  <c r="AJ342" i="17"/>
  <c r="O342" i="17" s="1"/>
  <c r="P342" i="17" l="1"/>
  <c r="Q342" i="17"/>
  <c r="R342" i="17" l="1"/>
  <c r="K343" i="17" l="1"/>
  <c r="U343" i="17" s="1"/>
  <c r="V343" i="17" s="1"/>
  <c r="AI342" i="17"/>
  <c r="AQ342" i="17"/>
  <c r="H343" i="17"/>
  <c r="AK342" i="17"/>
  <c r="S342" i="17"/>
  <c r="T342" i="17"/>
  <c r="M343" i="17" l="1"/>
  <c r="N343" i="17" s="1"/>
  <c r="AJ343" i="17" s="1"/>
  <c r="O343" i="17" l="1"/>
  <c r="P343" i="17"/>
  <c r="Q343" i="17"/>
  <c r="R343" i="17" l="1"/>
  <c r="K344" i="17" l="1"/>
  <c r="AK343" i="17"/>
  <c r="AQ343" i="17"/>
  <c r="AI343" i="17"/>
  <c r="T343" i="17"/>
  <c r="S343" i="17"/>
  <c r="H344" i="17"/>
  <c r="U344" i="17" l="1"/>
  <c r="V344" i="17" s="1"/>
  <c r="M344" i="17"/>
  <c r="N344" i="17" l="1"/>
  <c r="AJ344" i="17" l="1"/>
  <c r="O344" i="17" s="1"/>
  <c r="Q344" i="17" l="1"/>
  <c r="P344" i="17"/>
  <c r="R344" i="17" l="1"/>
  <c r="K345" i="17" l="1"/>
  <c r="U345" i="17" s="1"/>
  <c r="V345" i="17" s="1"/>
  <c r="T344" i="17"/>
  <c r="S344" i="17"/>
  <c r="AI344" i="17"/>
  <c r="H345" i="17"/>
  <c r="AK344" i="17"/>
  <c r="AQ344" i="17"/>
  <c r="M345" i="17" l="1"/>
  <c r="N345" i="17" s="1"/>
  <c r="AJ345" i="17" l="1"/>
  <c r="Q345" i="17" s="1"/>
  <c r="O345" i="17" l="1"/>
  <c r="P345" i="17"/>
  <c r="R345" i="17" l="1"/>
  <c r="K346" i="17" l="1"/>
  <c r="AK345" i="17"/>
  <c r="AQ345" i="17"/>
  <c r="T345" i="17"/>
  <c r="H346" i="17"/>
  <c r="AI345" i="17"/>
  <c r="S345" i="17"/>
  <c r="U346" i="17" l="1"/>
  <c r="V346" i="17" s="1"/>
  <c r="M346" i="17"/>
  <c r="N346" i="17" l="1"/>
  <c r="AJ346" i="17" l="1"/>
  <c r="O346" i="17" l="1"/>
  <c r="P346" i="17"/>
  <c r="Q346" i="17"/>
  <c r="R346" i="17" l="1"/>
  <c r="K347" i="17" l="1"/>
  <c r="AQ346" i="17"/>
  <c r="AK346" i="17"/>
  <c r="AI346" i="17"/>
  <c r="T346" i="17"/>
  <c r="S346" i="17"/>
  <c r="H347" i="17"/>
  <c r="U347" i="17" l="1"/>
  <c r="V347" i="17" s="1"/>
  <c r="M347" i="17"/>
  <c r="N347" i="17" s="1"/>
  <c r="AJ347" i="17" l="1"/>
  <c r="O347" i="17" s="1"/>
  <c r="P347" i="17" l="1"/>
  <c r="Q347" i="17"/>
  <c r="R347" i="17" l="1"/>
  <c r="K348" i="17" l="1"/>
  <c r="M348" i="17" s="1"/>
  <c r="AK347" i="17"/>
  <c r="AQ347" i="17"/>
  <c r="H348" i="17"/>
  <c r="T347" i="17"/>
  <c r="S347" i="17"/>
  <c r="AI347" i="17"/>
  <c r="U348" i="17" l="1"/>
  <c r="V348" i="17" s="1"/>
  <c r="N348" i="17"/>
  <c r="AJ348" i="17" l="1"/>
  <c r="Q348" i="17" s="1"/>
  <c r="O348" i="17" l="1"/>
  <c r="P348" i="17"/>
  <c r="R348" i="17" l="1"/>
  <c r="K349" i="17" l="1"/>
  <c r="AQ348" i="17"/>
  <c r="AK348" i="17"/>
  <c r="H349" i="17"/>
  <c r="AI348" i="17"/>
  <c r="S348" i="17"/>
  <c r="T348" i="17"/>
  <c r="U349" i="17" l="1"/>
  <c r="V349" i="17" s="1"/>
  <c r="M349" i="17"/>
  <c r="N349" i="17" l="1"/>
  <c r="AJ349" i="17" l="1"/>
  <c r="Q349" i="17" s="1"/>
  <c r="O349" i="17" l="1"/>
  <c r="P349" i="17"/>
  <c r="R349" i="17" l="1"/>
  <c r="K350" i="17" l="1"/>
  <c r="AK349" i="17"/>
  <c r="AQ349" i="17"/>
  <c r="S349" i="17"/>
  <c r="AI349" i="17"/>
  <c r="T349" i="17"/>
  <c r="H350" i="17"/>
  <c r="U350" i="17" l="1"/>
  <c r="V350" i="17" s="1"/>
  <c r="M350" i="17"/>
  <c r="N350" i="17" l="1"/>
  <c r="AJ350" i="17" l="1"/>
  <c r="O350" i="17" s="1"/>
  <c r="Q350" i="17" l="1"/>
  <c r="P350" i="17"/>
  <c r="R350" i="17" l="1"/>
  <c r="K351" i="17" l="1"/>
  <c r="U351" i="17" s="1"/>
  <c r="V351" i="17" s="1"/>
  <c r="T350" i="17"/>
  <c r="H351" i="17"/>
  <c r="AQ350" i="17"/>
  <c r="S350" i="17"/>
  <c r="AI350" i="17"/>
  <c r="AK350" i="17"/>
  <c r="M351" i="17" l="1"/>
  <c r="N351" i="17" s="1"/>
  <c r="AJ351" i="17" l="1"/>
  <c r="Q351" i="17" s="1"/>
  <c r="O351" i="17" l="1"/>
  <c r="P351" i="17"/>
  <c r="R351" i="17" l="1"/>
  <c r="S351" i="17" s="1"/>
  <c r="AQ351" i="17" l="1"/>
  <c r="K352" i="17"/>
  <c r="U352" i="17" s="1"/>
  <c r="V352" i="17" s="1"/>
  <c r="AI351" i="17"/>
  <c r="AK351" i="17"/>
  <c r="H352" i="17"/>
  <c r="T351" i="17"/>
  <c r="M352" i="17" l="1"/>
  <c r="N352" i="17" s="1"/>
  <c r="AJ352" i="17" s="1"/>
  <c r="O352" i="17" s="1"/>
  <c r="P352" i="17" l="1"/>
  <c r="Q352" i="17"/>
  <c r="R352" i="17" l="1"/>
  <c r="K353" i="17" l="1"/>
  <c r="U353" i="17" s="1"/>
  <c r="V353" i="17" s="1"/>
  <c r="T352" i="17"/>
  <c r="H353" i="17"/>
  <c r="S352" i="17"/>
  <c r="AI352" i="17"/>
  <c r="AK352" i="17"/>
  <c r="AQ352" i="17"/>
  <c r="M353" i="17" l="1"/>
  <c r="N353" i="17" s="1"/>
  <c r="AJ353" i="17" l="1"/>
  <c r="O353" i="17" s="1"/>
  <c r="P353" i="17" l="1"/>
  <c r="Q353" i="17"/>
  <c r="R353" i="17" l="1"/>
  <c r="K354" i="17" s="1"/>
  <c r="AI353" i="17" l="1"/>
  <c r="H354" i="17"/>
  <c r="S353" i="17"/>
  <c r="AQ353" i="17"/>
  <c r="T353" i="17"/>
  <c r="AK353" i="17"/>
  <c r="U354" i="17"/>
  <c r="V354" i="17" s="1"/>
  <c r="M354" i="17"/>
  <c r="N354" i="17" l="1"/>
  <c r="AJ354" i="17" l="1"/>
  <c r="Q354" i="17" s="1"/>
  <c r="O354" i="17" l="1"/>
  <c r="P354" i="17"/>
  <c r="R354" i="17" l="1"/>
  <c r="K355" i="17" l="1"/>
  <c r="AK354" i="17"/>
  <c r="AQ354" i="17"/>
  <c r="AI354" i="17"/>
  <c r="S354" i="17"/>
  <c r="T354" i="17"/>
  <c r="H355" i="17"/>
  <c r="U355" i="17" l="1"/>
  <c r="V355" i="17" s="1"/>
  <c r="M355" i="17"/>
  <c r="N355" i="17" l="1"/>
  <c r="AJ355" i="17" s="1"/>
  <c r="O355" i="17" s="1"/>
  <c r="Q355" i="17" l="1"/>
  <c r="P355" i="17"/>
  <c r="R355" i="17" l="1"/>
  <c r="K356" i="17" l="1"/>
  <c r="U356" i="17" s="1"/>
  <c r="V356" i="17" s="1"/>
  <c r="T355" i="17"/>
  <c r="AI355" i="17"/>
  <c r="H356" i="17"/>
  <c r="AK355" i="17"/>
  <c r="AQ355" i="17"/>
  <c r="S355" i="17"/>
  <c r="M356" i="17" l="1"/>
  <c r="N356" i="17" s="1"/>
  <c r="AJ356" i="17" s="1"/>
  <c r="O356" i="17" s="1"/>
  <c r="Q356" i="17" l="1"/>
  <c r="P356" i="17"/>
  <c r="R356" i="17" l="1"/>
  <c r="AQ356" i="17" l="1"/>
  <c r="T356" i="17"/>
  <c r="S356" i="17"/>
  <c r="H357" i="17"/>
  <c r="K357" i="17"/>
  <c r="U357" i="17" s="1"/>
  <c r="V357" i="17" s="1"/>
  <c r="AI356" i="17"/>
  <c r="AK356" i="17"/>
  <c r="M357" i="17" l="1"/>
  <c r="N357" i="17" s="1"/>
  <c r="AJ357" i="17" s="1"/>
  <c r="O357" i="17" s="1"/>
  <c r="Q357" i="17" l="1"/>
  <c r="P357" i="17"/>
  <c r="R357" i="17" l="1"/>
  <c r="AK357" i="17" s="1"/>
  <c r="H358" i="17" l="1"/>
  <c r="T357" i="17"/>
  <c r="AI357" i="17"/>
  <c r="S357" i="17"/>
  <c r="K358" i="17"/>
  <c r="AQ357" i="17"/>
  <c r="U358" i="17" l="1"/>
  <c r="V358" i="17" s="1"/>
  <c r="M358" i="17"/>
  <c r="N358" i="17" s="1"/>
  <c r="AJ358" i="17" l="1"/>
  <c r="P358" i="17" s="1"/>
  <c r="O358" i="17" l="1"/>
  <c r="Q358" i="17"/>
  <c r="R358" i="17" l="1"/>
  <c r="AK358" i="17" s="1"/>
  <c r="T358" i="17" l="1"/>
  <c r="K359" i="17"/>
  <c r="U359" i="17" s="1"/>
  <c r="V359" i="17" s="1"/>
  <c r="S358" i="17"/>
  <c r="AI358" i="17"/>
  <c r="H359" i="17"/>
  <c r="AQ358" i="17"/>
  <c r="M359" i="17" l="1"/>
  <c r="N359" i="17" s="1"/>
  <c r="AJ359" i="17" l="1"/>
  <c r="O359" i="17" s="1"/>
  <c r="Q359" i="17" l="1"/>
  <c r="P359" i="17"/>
  <c r="R359" i="17" l="1"/>
  <c r="K360" i="17" l="1"/>
  <c r="AQ359" i="17"/>
  <c r="AK359" i="17"/>
  <c r="AI359" i="17"/>
  <c r="S359" i="17"/>
  <c r="H360" i="17"/>
  <c r="T359" i="17"/>
  <c r="M360" i="17" l="1"/>
  <c r="U360" i="17"/>
  <c r="V360" i="17" s="1"/>
  <c r="N360" i="17" l="1"/>
  <c r="AJ360" i="17" s="1"/>
  <c r="P360" i="17" l="1"/>
  <c r="Q360" i="17"/>
  <c r="O360" i="17"/>
  <c r="R360" i="17" l="1"/>
  <c r="K361" i="17" s="1"/>
  <c r="AK360" i="17" l="1"/>
  <c r="AQ360" i="17"/>
  <c r="H361" i="17"/>
  <c r="AI360" i="17"/>
  <c r="T360" i="17"/>
  <c r="S360" i="17"/>
  <c r="U361" i="17"/>
  <c r="V361" i="17" s="1"/>
  <c r="M361" i="17"/>
  <c r="N361" i="17" s="1"/>
  <c r="AJ361" i="17" s="1"/>
  <c r="P361" i="17" l="1"/>
  <c r="O361" i="17"/>
  <c r="Q361" i="17"/>
  <c r="R361" i="17" l="1"/>
  <c r="K362" i="17" s="1"/>
  <c r="H362" i="17" l="1"/>
  <c r="AK361" i="17"/>
  <c r="AQ361" i="17"/>
  <c r="S361" i="17"/>
  <c r="T361" i="17"/>
  <c r="AI361" i="17"/>
  <c r="U362" i="17"/>
  <c r="V362" i="17" s="1"/>
  <c r="M362" i="17"/>
  <c r="N362" i="17" l="1"/>
  <c r="AJ362" i="17" l="1"/>
  <c r="O362" i="17" l="1"/>
  <c r="P362" i="17"/>
  <c r="Q362" i="17"/>
  <c r="R362" i="17" l="1"/>
  <c r="K363" i="17" l="1"/>
  <c r="AK362" i="17"/>
  <c r="AQ362" i="17"/>
  <c r="H363" i="17"/>
  <c r="S362" i="17"/>
  <c r="T362" i="17"/>
  <c r="AI362" i="17"/>
  <c r="U363" i="17" l="1"/>
  <c r="V363" i="17" s="1"/>
  <c r="M363" i="17"/>
  <c r="N363" i="17" l="1"/>
  <c r="AJ363" i="17" l="1"/>
  <c r="O363" i="17" l="1"/>
  <c r="P363" i="17"/>
  <c r="Q363" i="17"/>
  <c r="R363" i="17" l="1"/>
  <c r="K364" i="17" l="1"/>
  <c r="AQ363" i="17"/>
  <c r="AK363" i="17"/>
  <c r="T363" i="17"/>
  <c r="H364" i="17"/>
  <c r="AI363" i="17"/>
  <c r="S363" i="17"/>
  <c r="M364" i="17" l="1"/>
  <c r="U364" i="17"/>
  <c r="V364" i="17" s="1"/>
  <c r="N364" i="17" l="1"/>
  <c r="AJ364" i="17" l="1"/>
  <c r="O364" i="17" s="1"/>
  <c r="Q364" i="17" l="1"/>
  <c r="P364" i="17"/>
  <c r="R364" i="17" l="1"/>
  <c r="K365" i="17" l="1"/>
  <c r="U365" i="17" s="1"/>
  <c r="V365" i="17" s="1"/>
  <c r="AK364" i="17"/>
  <c r="AI364" i="17"/>
  <c r="S364" i="17"/>
  <c r="H365" i="17"/>
  <c r="T364" i="17"/>
  <c r="AQ364" i="17"/>
  <c r="M365" i="17" l="1"/>
  <c r="N365" i="17" s="1"/>
  <c r="AJ365" i="17" l="1"/>
  <c r="Q365" i="17" s="1"/>
  <c r="P365" i="17" l="1"/>
  <c r="O365" i="17"/>
  <c r="R365" i="17" s="1"/>
  <c r="K366" i="17" l="1"/>
  <c r="AK365" i="17"/>
  <c r="AQ365" i="17"/>
  <c r="H366" i="17"/>
  <c r="AI365" i="17"/>
  <c r="S365" i="17"/>
  <c r="T365" i="17"/>
  <c r="U366" i="17" l="1"/>
  <c r="V366" i="17" s="1"/>
  <c r="M366" i="17"/>
  <c r="N366" i="17" l="1"/>
  <c r="AJ366" i="17" l="1"/>
  <c r="Q366" i="17" s="1"/>
  <c r="O366" i="17" l="1"/>
  <c r="P366" i="17"/>
  <c r="R366" i="17" l="1"/>
  <c r="K367" i="17" l="1"/>
  <c r="AK366" i="17"/>
  <c r="AQ366" i="17"/>
  <c r="T366" i="17"/>
  <c r="H367" i="17"/>
  <c r="AI366" i="17"/>
  <c r="S366" i="17"/>
  <c r="U367" i="17" l="1"/>
  <c r="V367" i="17" s="1"/>
  <c r="M367" i="17"/>
  <c r="N367" i="17" s="1"/>
  <c r="AJ367" i="17" l="1"/>
  <c r="Q367" i="17" s="1"/>
  <c r="O367" i="17" l="1"/>
  <c r="P367" i="17"/>
  <c r="R367" i="17" l="1"/>
  <c r="K368" i="17" l="1"/>
  <c r="U368" i="17" s="1"/>
  <c r="V368" i="17" s="1"/>
  <c r="H368" i="17"/>
  <c r="AK367" i="17"/>
  <c r="S367" i="17"/>
  <c r="AI367" i="17"/>
  <c r="T367" i="17"/>
  <c r="AQ367" i="17"/>
  <c r="M368" i="17" l="1"/>
  <c r="N368" i="17" s="1"/>
  <c r="AJ368" i="17" l="1"/>
  <c r="O368" i="17" s="1"/>
  <c r="P368" i="17" l="1"/>
  <c r="Q368" i="17"/>
  <c r="R368" i="17" l="1"/>
  <c r="K369" i="17" l="1"/>
  <c r="U369" i="17" s="1"/>
  <c r="V369" i="17" s="1"/>
  <c r="H369" i="17"/>
  <c r="S368" i="17"/>
  <c r="T368" i="17"/>
  <c r="AQ368" i="17"/>
  <c r="AI368" i="17"/>
  <c r="AK368" i="17"/>
  <c r="M369" i="17" l="1"/>
  <c r="N369" i="17" s="1"/>
  <c r="AJ369" i="17" s="1"/>
  <c r="O369" i="17" l="1"/>
  <c r="P369" i="17"/>
  <c r="Q369" i="17"/>
  <c r="R369" i="17" l="1"/>
  <c r="K370" i="17" l="1"/>
  <c r="AK369" i="17"/>
  <c r="AQ369" i="17"/>
  <c r="S369" i="17"/>
  <c r="AI369" i="17"/>
  <c r="H370" i="17"/>
  <c r="T369" i="17"/>
  <c r="U370" i="17" l="1"/>
  <c r="V370" i="17" s="1"/>
  <c r="M370" i="17"/>
  <c r="N370" i="17" s="1"/>
  <c r="AJ370" i="17" l="1"/>
  <c r="O370" i="17" s="1"/>
  <c r="P370" i="17" l="1"/>
  <c r="Q370" i="17"/>
  <c r="R370" i="17" l="1"/>
  <c r="K371" i="17" l="1"/>
  <c r="U371" i="17" s="1"/>
  <c r="V371" i="17" s="1"/>
  <c r="S370" i="17"/>
  <c r="T370" i="17"/>
  <c r="AI370" i="17"/>
  <c r="AQ370" i="17"/>
  <c r="H371" i="17"/>
  <c r="AK370" i="17"/>
  <c r="M371" i="17" l="1"/>
  <c r="N371" i="17" s="1"/>
  <c r="AJ371" i="17" l="1"/>
  <c r="O371" i="17" s="1"/>
  <c r="Q371" i="17" l="1"/>
  <c r="P371" i="17"/>
  <c r="R371" i="17" l="1"/>
  <c r="K372" i="17" l="1"/>
  <c r="U372" i="17" s="1"/>
  <c r="V372" i="17" s="1"/>
  <c r="AQ371" i="17"/>
  <c r="H372" i="17"/>
  <c r="S371" i="17"/>
  <c r="T371" i="17"/>
  <c r="AI371" i="17"/>
  <c r="AK371" i="17"/>
  <c r="M372" i="17" l="1"/>
  <c r="N372" i="17" s="1"/>
  <c r="AJ372" i="17" l="1"/>
  <c r="Q372" i="17" s="1"/>
  <c r="O372" i="17" l="1"/>
  <c r="P372" i="17"/>
  <c r="R372" i="17" l="1"/>
  <c r="K373" i="17" l="1"/>
  <c r="AK372" i="17"/>
  <c r="AQ372" i="17"/>
  <c r="T372" i="17"/>
  <c r="S372" i="17"/>
  <c r="AI372" i="17"/>
  <c r="H373" i="17"/>
  <c r="U373" i="17" l="1"/>
  <c r="V373" i="17" s="1"/>
  <c r="M373" i="17"/>
  <c r="N373" i="17" l="1"/>
  <c r="AJ373" i="17" s="1"/>
  <c r="O373" i="17" s="1"/>
  <c r="P373" i="17" l="1"/>
  <c r="Q373" i="17"/>
  <c r="R373" i="17" l="1"/>
  <c r="K374" i="17" l="1"/>
  <c r="U374" i="17" s="1"/>
  <c r="V374" i="17" s="1"/>
  <c r="H374" i="17"/>
  <c r="T373" i="17"/>
  <c r="S373" i="17"/>
  <c r="AI373" i="17"/>
  <c r="AK373" i="17"/>
  <c r="AQ373" i="17"/>
  <c r="M374" i="17" l="1"/>
  <c r="N374" i="17" s="1"/>
  <c r="AJ374" i="17" s="1"/>
  <c r="O374" i="17" s="1"/>
  <c r="P374" i="17" l="1"/>
  <c r="Q374" i="17"/>
  <c r="R374" i="17" l="1"/>
  <c r="AQ374" i="17" s="1"/>
  <c r="S374" i="17" l="1"/>
  <c r="K375" i="17"/>
  <c r="M375" i="17" s="1"/>
  <c r="N375" i="17" s="1"/>
  <c r="AK374" i="17"/>
  <c r="T374" i="17"/>
  <c r="AI374" i="17"/>
  <c r="H375" i="17"/>
  <c r="U375" i="17" l="1"/>
  <c r="V375" i="17" s="1"/>
  <c r="AJ375" i="17"/>
  <c r="O375" i="17" s="1"/>
  <c r="P375" i="17" l="1"/>
  <c r="Q375" i="17"/>
  <c r="R375" i="17" l="1"/>
  <c r="AQ375" i="17" l="1"/>
  <c r="K376" i="17"/>
  <c r="U376" i="17" s="1"/>
  <c r="V376" i="17" s="1"/>
  <c r="S375" i="17"/>
  <c r="H376" i="17"/>
  <c r="T375" i="17"/>
  <c r="AI375" i="17"/>
  <c r="AK375" i="17"/>
  <c r="M376" i="17" l="1"/>
  <c r="N376" i="17" s="1"/>
  <c r="AJ376" i="17" l="1"/>
  <c r="O376" i="17" s="1"/>
  <c r="Q376" i="17" l="1"/>
  <c r="P376" i="17"/>
  <c r="R376" i="17" l="1"/>
  <c r="T376" i="17" s="1"/>
  <c r="K377" i="17" l="1"/>
  <c r="U377" i="17" s="1"/>
  <c r="V377" i="17" s="1"/>
  <c r="AQ376" i="17"/>
  <c r="AK376" i="17"/>
  <c r="H377" i="17"/>
  <c r="S376" i="17"/>
  <c r="AI376" i="17"/>
  <c r="M377" i="17" l="1"/>
  <c r="N377" i="17" s="1"/>
  <c r="AJ377" i="17" s="1"/>
  <c r="O377" i="17" s="1"/>
  <c r="Q377" i="17" l="1"/>
  <c r="P377" i="17"/>
  <c r="R377" i="17" l="1"/>
  <c r="K378" i="17" s="1"/>
  <c r="S377" i="17" l="1"/>
  <c r="H378" i="17"/>
  <c r="T377" i="17"/>
  <c r="AI377" i="17"/>
  <c r="AQ377" i="17"/>
  <c r="AK377" i="17"/>
  <c r="U378" i="17"/>
  <c r="V378" i="17" s="1"/>
  <c r="M378" i="17"/>
  <c r="N378" i="17" l="1"/>
  <c r="AJ378" i="17" s="1"/>
  <c r="O378" i="17" s="1"/>
  <c r="Q378" i="17" l="1"/>
  <c r="P378" i="17"/>
  <c r="R378" i="17" s="1"/>
  <c r="K379" i="17" l="1"/>
  <c r="U379" i="17" s="1"/>
  <c r="V379" i="17" s="1"/>
  <c r="AQ378" i="17"/>
  <c r="T378" i="17"/>
  <c r="H379" i="17"/>
  <c r="AK378" i="17"/>
  <c r="AI378" i="17"/>
  <c r="S378" i="17"/>
  <c r="M379" i="17" l="1"/>
  <c r="N379" i="17"/>
  <c r="AJ379" i="17" l="1"/>
  <c r="O379" i="17" s="1"/>
  <c r="Q379" i="17" l="1"/>
  <c r="P379" i="17"/>
  <c r="R379" i="17" l="1"/>
  <c r="K380" i="17" l="1"/>
  <c r="G13" i="17" s="1"/>
  <c r="M14" i="13" s="1"/>
  <c r="AI379" i="17"/>
  <c r="T379" i="17"/>
  <c r="AK379" i="17"/>
  <c r="AQ379" i="17"/>
  <c r="H380" i="17"/>
  <c r="S379" i="17"/>
  <c r="M380" i="17" l="1"/>
  <c r="N380" i="17" s="1"/>
  <c r="AJ380" i="17" s="1"/>
  <c r="O380" i="17" s="1"/>
  <c r="U380" i="17"/>
  <c r="V380" i="17" s="1"/>
  <c r="Q13" i="13"/>
  <c r="P380" i="17" l="1"/>
  <c r="Q380" i="17"/>
  <c r="R380" i="17" l="1"/>
  <c r="AQ380" i="17" s="1"/>
  <c r="AI380" i="17" l="1"/>
  <c r="S380" i="17"/>
  <c r="K381" i="17"/>
  <c r="M381" i="17" s="1"/>
  <c r="N381" i="17" s="1"/>
  <c r="AJ381" i="17" s="1"/>
  <c r="T380" i="17"/>
  <c r="H381" i="17"/>
  <c r="AK380" i="17"/>
  <c r="U381" i="17" l="1"/>
  <c r="V381" i="17" s="1"/>
  <c r="O381" i="17"/>
  <c r="P381" i="17"/>
  <c r="Q381" i="17"/>
  <c r="R381" i="17" l="1"/>
  <c r="K382" i="17" l="1"/>
  <c r="AQ381" i="17"/>
  <c r="AK381" i="17"/>
  <c r="T381" i="17"/>
  <c r="S381" i="17"/>
  <c r="H382" i="17"/>
  <c r="AI381" i="17"/>
  <c r="U382" i="17" l="1"/>
  <c r="V382" i="17" s="1"/>
  <c r="M382" i="17"/>
  <c r="N382" i="17" l="1"/>
  <c r="AJ382" i="17" s="1"/>
  <c r="O382" i="17" s="1"/>
  <c r="Q382" i="17" l="1"/>
  <c r="P382" i="17"/>
  <c r="R382" i="17" l="1"/>
  <c r="K383" i="17" l="1"/>
  <c r="M383" i="17" s="1"/>
  <c r="N383" i="17" s="1"/>
  <c r="AJ383" i="17" s="1"/>
  <c r="O383" i="17" s="1"/>
  <c r="T382" i="17"/>
  <c r="AK382" i="17"/>
  <c r="H383" i="17"/>
  <c r="AQ382" i="17"/>
  <c r="S382" i="17"/>
  <c r="AI382" i="17"/>
  <c r="U383" i="17" l="1"/>
  <c r="V383" i="17" s="1"/>
  <c r="Q383" i="17"/>
  <c r="P383" i="17"/>
  <c r="R383" i="17" l="1"/>
  <c r="K384" i="17" l="1"/>
  <c r="U384" i="17" s="1"/>
  <c r="V384" i="17" s="1"/>
  <c r="T383" i="17"/>
  <c r="AQ383" i="17"/>
  <c r="H384" i="17"/>
  <c r="AI383" i="17"/>
  <c r="S383" i="17"/>
  <c r="AK383" i="17"/>
  <c r="M384" i="17" l="1"/>
  <c r="N384" i="17" s="1"/>
  <c r="AJ384" i="17" l="1"/>
  <c r="O384" i="17" s="1"/>
  <c r="Q384" i="17" l="1"/>
  <c r="P384" i="17"/>
  <c r="R384" i="17" l="1"/>
  <c r="K385" i="17" l="1"/>
  <c r="U385" i="17" s="1"/>
  <c r="V385" i="17" s="1"/>
  <c r="S384" i="17"/>
  <c r="AQ384" i="17"/>
  <c r="AI384" i="17"/>
  <c r="AK384" i="17"/>
  <c r="T384" i="17"/>
  <c r="H385" i="17"/>
  <c r="M385" i="17" l="1"/>
  <c r="N385" i="17" s="1"/>
  <c r="AJ385" i="17" l="1"/>
  <c r="O385" i="17" s="1"/>
  <c r="P385" i="17"/>
  <c r="Q385" i="17" l="1"/>
  <c r="R385" i="17" s="1"/>
  <c r="K386" i="17" l="1"/>
  <c r="U386" i="17" s="1"/>
  <c r="V386" i="17" s="1"/>
  <c r="H386" i="17"/>
  <c r="AI385" i="17"/>
  <c r="T385" i="17"/>
  <c r="S385" i="17"/>
  <c r="AQ385" i="17"/>
  <c r="AK385" i="17"/>
  <c r="M386" i="17" l="1"/>
  <c r="N386" i="17" s="1"/>
  <c r="AJ386" i="17" l="1"/>
  <c r="P386" i="17" s="1"/>
  <c r="O386" i="17" l="1"/>
  <c r="Q386" i="17"/>
  <c r="R386" i="17" l="1"/>
  <c r="AK386" i="17" s="1"/>
  <c r="K387" i="17" l="1"/>
  <c r="U387" i="17" s="1"/>
  <c r="V387" i="17" s="1"/>
  <c r="AQ386" i="17"/>
  <c r="AI386" i="17"/>
  <c r="S386" i="17"/>
  <c r="T386" i="17"/>
  <c r="H387" i="17"/>
  <c r="M387" i="17" l="1"/>
  <c r="N387" i="17" s="1"/>
  <c r="AJ387" i="17" s="1"/>
  <c r="O387" i="17" s="1"/>
  <c r="P387" i="17"/>
  <c r="Q387" i="17"/>
  <c r="R387" i="17" l="1"/>
  <c r="K388" i="17" l="1"/>
  <c r="U388" i="17" s="1"/>
  <c r="V388" i="17" s="1"/>
  <c r="AQ387" i="17"/>
  <c r="H388" i="17"/>
  <c r="AI387" i="17"/>
  <c r="T387" i="17"/>
  <c r="S387" i="17"/>
  <c r="AK387" i="17"/>
  <c r="M388" i="17" l="1"/>
  <c r="N388" i="17" s="1"/>
  <c r="AJ388" i="17" s="1"/>
  <c r="O388" i="17" s="1"/>
  <c r="P388" i="17" l="1"/>
  <c r="Q388" i="17"/>
  <c r="R388" i="17" l="1"/>
  <c r="K389" i="17" l="1"/>
  <c r="U389" i="17" s="1"/>
  <c r="V389" i="17" s="1"/>
  <c r="T388" i="17"/>
  <c r="AI388" i="17"/>
  <c r="S388" i="17"/>
  <c r="H389" i="17"/>
  <c r="AQ388" i="17"/>
  <c r="AK388" i="17"/>
  <c r="M389" i="17" l="1"/>
  <c r="N389" i="17" s="1"/>
  <c r="AJ389" i="17" l="1"/>
  <c r="O389" i="17" s="1"/>
  <c r="Q389" i="17" l="1"/>
  <c r="P389" i="17"/>
  <c r="R389" i="17" s="1"/>
  <c r="K390" i="17" l="1"/>
  <c r="U390" i="17" s="1"/>
  <c r="V390" i="17" s="1"/>
  <c r="AQ389" i="17"/>
  <c r="H390" i="17"/>
  <c r="T389" i="17"/>
  <c r="AI389" i="17"/>
  <c r="S389" i="17"/>
  <c r="AK389" i="17"/>
  <c r="M390" i="17" l="1"/>
  <c r="N390" i="17" s="1"/>
  <c r="AJ390" i="17" s="1"/>
  <c r="O390" i="17" s="1"/>
  <c r="P390" i="17" l="1"/>
  <c r="Q390" i="17"/>
  <c r="R390" i="17" s="1"/>
  <c r="K391" i="17" l="1"/>
  <c r="M391" i="17" s="1"/>
  <c r="S390" i="17"/>
  <c r="AK390" i="17"/>
  <c r="AQ390" i="17"/>
  <c r="T390" i="17"/>
  <c r="AI390" i="17"/>
  <c r="H391" i="17"/>
  <c r="U391" i="17" l="1"/>
  <c r="V391" i="17" s="1"/>
  <c r="N391" i="17"/>
  <c r="AJ391" i="17" l="1"/>
  <c r="O391" i="17" l="1"/>
  <c r="P391" i="17"/>
  <c r="Q391" i="17"/>
  <c r="R391" i="17" l="1"/>
  <c r="K392" i="17" l="1"/>
  <c r="AK391" i="17"/>
  <c r="AQ391" i="17"/>
  <c r="T391" i="17"/>
  <c r="AI391" i="17"/>
  <c r="H392" i="17"/>
  <c r="S391" i="17"/>
  <c r="U392" i="17" l="1"/>
  <c r="V392" i="17" s="1"/>
  <c r="M392" i="17"/>
  <c r="N392" i="17" l="1"/>
  <c r="AJ392" i="17" s="1"/>
  <c r="O392" i="17" s="1"/>
  <c r="P392" i="17" l="1"/>
  <c r="Q392" i="17"/>
  <c r="R392" i="17" l="1"/>
  <c r="K393" i="17" l="1"/>
  <c r="M393" i="17" s="1"/>
  <c r="H393" i="17"/>
  <c r="T392" i="17"/>
  <c r="AK392" i="17"/>
  <c r="AQ392" i="17"/>
  <c r="AI392" i="17"/>
  <c r="S392" i="17"/>
  <c r="U393" i="17" l="1"/>
  <c r="V393" i="17" s="1"/>
  <c r="N393" i="17"/>
  <c r="AJ393" i="17" s="1"/>
  <c r="O393" i="17" l="1"/>
  <c r="Q393" i="17"/>
  <c r="P393" i="17"/>
  <c r="R393" i="17" l="1"/>
  <c r="K394" i="17" l="1"/>
  <c r="AK393" i="17"/>
  <c r="AQ393" i="17"/>
  <c r="H394" i="17"/>
  <c r="AI393" i="17"/>
  <c r="S393" i="17"/>
  <c r="T393" i="17"/>
  <c r="U394" i="17" l="1"/>
  <c r="V394" i="17" s="1"/>
  <c r="M394" i="17"/>
  <c r="N394" i="17" s="1"/>
  <c r="AJ394" i="17" l="1"/>
  <c r="O394" i="17" l="1"/>
  <c r="P394" i="17"/>
  <c r="Q394" i="17"/>
  <c r="R394" i="17" l="1"/>
  <c r="K395" i="17" l="1"/>
  <c r="AK394" i="17"/>
  <c r="AQ394" i="17"/>
  <c r="AI394" i="17"/>
  <c r="H395" i="17"/>
  <c r="S394" i="17"/>
  <c r="T394" i="17"/>
  <c r="M395" i="17" l="1"/>
  <c r="N395" i="17" s="1"/>
  <c r="U395" i="17"/>
  <c r="V395" i="17" s="1"/>
  <c r="AJ395" i="17" l="1"/>
  <c r="O395" i="17" l="1"/>
  <c r="P395" i="17"/>
  <c r="Q395" i="17"/>
  <c r="R395" i="17" l="1"/>
  <c r="K396" i="17" l="1"/>
  <c r="AQ395" i="17"/>
  <c r="AK395" i="17"/>
  <c r="AI395" i="17"/>
  <c r="T395" i="17"/>
  <c r="S395" i="17"/>
  <c r="H396" i="17"/>
  <c r="M396" i="17" l="1"/>
  <c r="U396" i="17"/>
  <c r="V396" i="17" s="1"/>
  <c r="N396" i="17" l="1"/>
  <c r="AJ396" i="17" s="1"/>
  <c r="O396" i="17" s="1"/>
  <c r="P396" i="17" l="1"/>
  <c r="Q396" i="17"/>
  <c r="R396" i="17" l="1"/>
  <c r="K397" i="17" l="1"/>
  <c r="U397" i="17" s="1"/>
  <c r="V397" i="17" s="1"/>
  <c r="H397" i="17"/>
  <c r="S396" i="17"/>
  <c r="T396" i="17"/>
  <c r="AI396" i="17"/>
  <c r="AQ396" i="17"/>
  <c r="AK396" i="17"/>
  <c r="M397" i="17" l="1"/>
  <c r="N397" i="17" s="1"/>
  <c r="AJ397" i="17" s="1"/>
  <c r="O397" i="17" l="1"/>
  <c r="Q397" i="17"/>
  <c r="P397" i="17"/>
  <c r="R397" i="17" l="1"/>
  <c r="K398" i="17" l="1"/>
  <c r="AK397" i="17"/>
  <c r="AQ397" i="17"/>
  <c r="S397" i="17"/>
  <c r="AI397" i="17"/>
  <c r="H398" i="17"/>
  <c r="T397" i="17"/>
  <c r="U398" i="17" l="1"/>
  <c r="V398" i="17" s="1"/>
  <c r="M398" i="17"/>
  <c r="N398" i="17" l="1"/>
  <c r="AJ398" i="17" s="1"/>
  <c r="O398" i="17" s="1"/>
  <c r="P398" i="17" l="1"/>
  <c r="Q398" i="17"/>
  <c r="R398" i="17" l="1"/>
  <c r="K399" i="17" l="1"/>
  <c r="U399" i="17" s="1"/>
  <c r="V399" i="17" s="1"/>
  <c r="S398" i="17"/>
  <c r="AQ398" i="17"/>
  <c r="AK398" i="17"/>
  <c r="H399" i="17"/>
  <c r="T398" i="17"/>
  <c r="AI398" i="17"/>
  <c r="M399" i="17" l="1"/>
  <c r="N399" i="17" s="1"/>
  <c r="AJ399" i="17" l="1"/>
  <c r="O399" i="17" s="1"/>
  <c r="Q399" i="17" l="1"/>
  <c r="P399" i="17"/>
  <c r="R399" i="17" l="1"/>
  <c r="K400" i="17" l="1"/>
  <c r="U400" i="17" s="1"/>
  <c r="V400" i="17" s="1"/>
  <c r="S399" i="17"/>
  <c r="H400" i="17"/>
  <c r="AI399" i="17"/>
  <c r="T399" i="17"/>
  <c r="AQ399" i="17"/>
  <c r="AK399" i="17"/>
  <c r="M400" i="17" l="1"/>
  <c r="N400" i="17" s="1"/>
  <c r="AJ400" i="17" l="1"/>
  <c r="O400" i="17" s="1"/>
  <c r="P400" i="17" l="1"/>
  <c r="Q400" i="17"/>
  <c r="R400" i="17" l="1"/>
  <c r="K401" i="17" l="1"/>
  <c r="M401" i="17" s="1"/>
  <c r="N401" i="17" s="1"/>
  <c r="S400" i="17"/>
  <c r="T400" i="17"/>
  <c r="H401" i="17"/>
  <c r="AQ400" i="17"/>
  <c r="AI400" i="17"/>
  <c r="AK400" i="17"/>
  <c r="U401" i="17" l="1"/>
  <c r="V401" i="17" s="1"/>
  <c r="AJ401" i="17"/>
  <c r="Q401" i="17" s="1"/>
  <c r="O401" i="17" l="1"/>
  <c r="P401" i="17"/>
  <c r="R401" i="17" l="1"/>
  <c r="K402" i="17" l="1"/>
  <c r="M402" i="17" s="1"/>
  <c r="H402" i="17"/>
  <c r="T401" i="17"/>
  <c r="AK401" i="17"/>
  <c r="S401" i="17"/>
  <c r="AI401" i="17"/>
  <c r="AQ401" i="17"/>
  <c r="U402" i="17" l="1"/>
  <c r="V402" i="17" s="1"/>
  <c r="N402" i="17"/>
  <c r="AJ402" i="17" s="1"/>
  <c r="O402" i="17" s="1"/>
  <c r="P402" i="17" l="1"/>
  <c r="Q402" i="17"/>
  <c r="R402" i="17" l="1"/>
  <c r="K403" i="17" l="1"/>
  <c r="U403" i="17" s="1"/>
  <c r="V403" i="17" s="1"/>
  <c r="AI402" i="17"/>
  <c r="S402" i="17"/>
  <c r="T402" i="17"/>
  <c r="H403" i="17"/>
  <c r="AQ402" i="17"/>
  <c r="AK402" i="17"/>
  <c r="M403" i="17" l="1"/>
  <c r="N403" i="17" s="1"/>
  <c r="AJ403" i="17" s="1"/>
  <c r="O403" i="17" l="1"/>
  <c r="P403" i="17"/>
  <c r="Q403" i="17"/>
  <c r="R403" i="17" l="1"/>
  <c r="K404" i="17" l="1"/>
  <c r="AK403" i="17"/>
  <c r="AQ403" i="17"/>
  <c r="S403" i="17"/>
  <c r="T403" i="17"/>
  <c r="AI403" i="17"/>
  <c r="H404" i="17"/>
  <c r="U404" i="17" l="1"/>
  <c r="V404" i="17" s="1"/>
  <c r="M404" i="17"/>
  <c r="N404" i="17" s="1"/>
  <c r="AJ404" i="17" s="1"/>
  <c r="O404" i="17" s="1"/>
  <c r="P404" i="17" l="1"/>
  <c r="Q404" i="17"/>
  <c r="R404" i="17" l="1"/>
  <c r="K405" i="17" l="1"/>
  <c r="U405" i="17" s="1"/>
  <c r="V405" i="17" s="1"/>
  <c r="AK404" i="17"/>
  <c r="AQ404" i="17"/>
  <c r="S404" i="17"/>
  <c r="AI404" i="17"/>
  <c r="H405" i="17"/>
  <c r="T404" i="17"/>
  <c r="M405" i="17" l="1"/>
  <c r="N405" i="17" s="1"/>
  <c r="AJ405" i="17" s="1"/>
  <c r="O405" i="17" s="1"/>
  <c r="Q405" i="17" l="1"/>
  <c r="P405" i="17"/>
  <c r="R405" i="17" l="1"/>
  <c r="K406" i="17" l="1"/>
  <c r="U406" i="17" s="1"/>
  <c r="V406" i="17" s="1"/>
  <c r="S405" i="17"/>
  <c r="T405" i="17"/>
  <c r="AQ405" i="17"/>
  <c r="AK405" i="17"/>
  <c r="H406" i="17"/>
  <c r="AI405" i="17"/>
  <c r="M406" i="17" l="1"/>
  <c r="N406" i="17" s="1"/>
  <c r="AJ406" i="17" s="1"/>
  <c r="O406" i="17" s="1"/>
  <c r="P406" i="17" l="1"/>
  <c r="Q406" i="17"/>
  <c r="R406" i="17" l="1"/>
  <c r="K407" i="17" l="1"/>
  <c r="U407" i="17" s="1"/>
  <c r="V407" i="17" s="1"/>
  <c r="H407" i="17"/>
  <c r="S406" i="17"/>
  <c r="AI406" i="17"/>
  <c r="T406" i="17"/>
  <c r="AK406" i="17"/>
  <c r="AQ406" i="17"/>
  <c r="M407" i="17" l="1"/>
  <c r="N407" i="17" s="1"/>
  <c r="AJ407" i="17" l="1"/>
  <c r="O407" i="17" s="1"/>
  <c r="Q407" i="17" l="1"/>
  <c r="P407" i="17"/>
  <c r="R407" i="17" l="1"/>
  <c r="K408" i="17" s="1"/>
  <c r="T407" i="17" l="1"/>
  <c r="S407" i="17"/>
  <c r="H408" i="17"/>
  <c r="AQ407" i="17"/>
  <c r="AI407" i="17"/>
  <c r="AK407" i="17"/>
  <c r="U408" i="17"/>
  <c r="V408" i="17" s="1"/>
  <c r="M408" i="17"/>
  <c r="N408" i="17" s="1"/>
  <c r="AJ408" i="17" l="1"/>
  <c r="O408" i="17" s="1"/>
  <c r="Q408" i="17" l="1"/>
  <c r="P408" i="17"/>
  <c r="R408" i="17" l="1"/>
  <c r="AK408" i="17" l="1"/>
  <c r="S408" i="17"/>
  <c r="T408" i="17"/>
  <c r="K409" i="17"/>
  <c r="U409" i="17" s="1"/>
  <c r="V409" i="17" s="1"/>
  <c r="AQ408" i="17"/>
  <c r="H409" i="17"/>
  <c r="AI408" i="17"/>
  <c r="M409" i="17" l="1"/>
  <c r="N409" i="17" s="1"/>
  <c r="AJ409" i="17" s="1"/>
  <c r="O409" i="17" s="1"/>
  <c r="Q409" i="17" l="1"/>
  <c r="P409" i="17"/>
  <c r="R409" i="17" l="1"/>
  <c r="AQ409" i="17" l="1"/>
  <c r="S409" i="17"/>
  <c r="H410" i="17"/>
  <c r="AK409" i="17"/>
  <c r="T409" i="17"/>
  <c r="AI409" i="17"/>
  <c r="K410" i="17"/>
  <c r="U410" i="17" s="1"/>
  <c r="V410" i="17" s="1"/>
  <c r="M410" i="17" l="1"/>
  <c r="N410" i="17" s="1"/>
  <c r="AJ410" i="17" s="1"/>
  <c r="O410" i="17" s="1"/>
  <c r="P410" i="17" l="1"/>
  <c r="Q410" i="17"/>
  <c r="R410" i="17" l="1"/>
  <c r="K411" i="17" l="1"/>
  <c r="U411" i="17" s="1"/>
  <c r="V411" i="17" s="1"/>
  <c r="AK410" i="17"/>
  <c r="AQ410" i="17"/>
  <c r="AI410" i="17"/>
  <c r="H411" i="17"/>
  <c r="S410" i="17"/>
  <c r="T410" i="17"/>
  <c r="M411" i="17" l="1"/>
  <c r="N411" i="17" s="1"/>
  <c r="AJ411" i="17" l="1"/>
  <c r="O411" i="17" s="1"/>
  <c r="P411" i="17" l="1"/>
  <c r="Q411" i="17"/>
  <c r="R411" i="17" l="1"/>
  <c r="K412" i="17" l="1"/>
  <c r="U412" i="17" s="1"/>
  <c r="V412" i="17" s="1"/>
  <c r="AI411" i="17"/>
  <c r="H412" i="17"/>
  <c r="AQ411" i="17"/>
  <c r="S411" i="17"/>
  <c r="T411" i="17"/>
  <c r="AK411" i="17"/>
  <c r="M412" i="17" l="1"/>
  <c r="N412" i="17" s="1"/>
  <c r="AJ412" i="17" s="1"/>
  <c r="O412" i="17" s="1"/>
  <c r="P412" i="17" l="1"/>
  <c r="Q412" i="17"/>
  <c r="R412" i="17" l="1"/>
  <c r="K413" i="17" l="1"/>
  <c r="U413" i="17" s="1"/>
  <c r="V413" i="17" s="1"/>
  <c r="H413" i="17"/>
  <c r="AK412" i="17"/>
  <c r="AQ412" i="17"/>
  <c r="AI412" i="17"/>
  <c r="T412" i="17"/>
  <c r="S412" i="17"/>
  <c r="M413" i="17" l="1"/>
  <c r="N413" i="17" s="1"/>
  <c r="AJ413" i="17" l="1"/>
  <c r="O413" i="17" s="1"/>
  <c r="Q413" i="17" l="1"/>
  <c r="P413" i="17"/>
  <c r="R413" i="17" s="1"/>
  <c r="K414" i="17" l="1"/>
  <c r="U414" i="17" s="1"/>
  <c r="V414" i="17" s="1"/>
  <c r="AQ413" i="17"/>
  <c r="AK413" i="17"/>
  <c r="T413" i="17"/>
  <c r="AI413" i="17"/>
  <c r="H414" i="17"/>
  <c r="S413" i="17"/>
  <c r="M414" i="17" l="1"/>
  <c r="N414" i="17" s="1"/>
  <c r="AJ414" i="17" l="1"/>
  <c r="O414" i="17" s="1"/>
  <c r="Q414" i="17" l="1"/>
  <c r="P414" i="17"/>
  <c r="R414" i="17" l="1"/>
  <c r="K415" i="17" l="1"/>
  <c r="U415" i="17" s="1"/>
  <c r="V415" i="17" s="1"/>
  <c r="T414" i="17"/>
  <c r="S414" i="17"/>
  <c r="AK414" i="17"/>
  <c r="AI414" i="17"/>
  <c r="H415" i="17"/>
  <c r="AQ414" i="17"/>
  <c r="M415" i="17" l="1"/>
  <c r="N415" i="17" s="1"/>
  <c r="AJ415" i="17" s="1"/>
  <c r="O415" i="17" s="1"/>
  <c r="Q415" i="17" l="1"/>
  <c r="P415" i="17"/>
  <c r="R415" i="17" l="1"/>
  <c r="T415" i="17" s="1"/>
  <c r="AI415" i="17" l="1"/>
  <c r="S415" i="17"/>
  <c r="K416" i="17"/>
  <c r="U416" i="17" s="1"/>
  <c r="V416" i="17" s="1"/>
  <c r="AK415" i="17"/>
  <c r="AQ415" i="17"/>
  <c r="H416" i="17"/>
  <c r="M416" i="17" l="1"/>
  <c r="N416" i="17" s="1"/>
  <c r="AJ416" i="17" s="1"/>
  <c r="O416" i="17" s="1"/>
  <c r="P416" i="17" l="1"/>
  <c r="Q416" i="17"/>
  <c r="R416" i="17" l="1"/>
  <c r="K417" i="17" s="1"/>
  <c r="AQ416" i="17" l="1"/>
  <c r="AK416" i="17"/>
  <c r="H417" i="17"/>
  <c r="T416" i="17"/>
  <c r="AI416" i="17"/>
  <c r="S416" i="17"/>
  <c r="U417" i="17"/>
  <c r="V417" i="17" s="1"/>
  <c r="M417" i="17"/>
  <c r="N417" i="17" l="1"/>
  <c r="AJ417" i="17" s="1"/>
  <c r="O417" i="17" s="1"/>
  <c r="Q417" i="17" l="1"/>
  <c r="P417" i="17"/>
  <c r="R417" i="17" l="1"/>
  <c r="K418" i="17" l="1"/>
  <c r="U418" i="17" s="1"/>
  <c r="V418" i="17" s="1"/>
  <c r="S417" i="17"/>
  <c r="T417" i="17"/>
  <c r="H418" i="17"/>
  <c r="AI417" i="17"/>
  <c r="AQ417" i="17"/>
  <c r="AK417" i="17"/>
  <c r="M418" i="17" l="1"/>
  <c r="N418" i="17" s="1"/>
  <c r="AJ418" i="17" l="1"/>
  <c r="Q418" i="17" s="1"/>
  <c r="O418" i="17" l="1"/>
  <c r="P418" i="17"/>
  <c r="R418" i="17" l="1"/>
  <c r="K419" i="17" l="1"/>
  <c r="AK418" i="17"/>
  <c r="AQ418" i="17"/>
  <c r="AI418" i="17"/>
  <c r="H419" i="17"/>
  <c r="T418" i="17"/>
  <c r="S418" i="17"/>
  <c r="U419" i="17" l="1"/>
  <c r="V419" i="17" s="1"/>
  <c r="M419" i="17"/>
  <c r="N419" i="17" l="1"/>
  <c r="AJ419" i="17" s="1"/>
  <c r="O419" i="17" s="1"/>
  <c r="Q419" i="17" l="1"/>
  <c r="P419" i="17"/>
  <c r="R419" i="17" l="1"/>
  <c r="K420" i="17" l="1"/>
  <c r="U420" i="17" s="1"/>
  <c r="V420" i="17" s="1"/>
  <c r="S419" i="17"/>
  <c r="T419" i="17"/>
  <c r="AI419" i="17"/>
  <c r="H420" i="17"/>
  <c r="AK419" i="17"/>
  <c r="AQ419" i="17"/>
  <c r="M420" i="17" l="1"/>
  <c r="N420" i="17" s="1"/>
  <c r="AJ420" i="17" s="1"/>
  <c r="O420" i="17" s="1"/>
  <c r="Q420" i="17" l="1"/>
  <c r="P420" i="17"/>
  <c r="R420" i="17" l="1"/>
  <c r="K421" i="17" l="1"/>
  <c r="U421" i="17" s="1"/>
  <c r="V421" i="17" s="1"/>
  <c r="AI420" i="17"/>
  <c r="T420" i="17"/>
  <c r="H421" i="17"/>
  <c r="S420" i="17"/>
  <c r="AK420" i="17"/>
  <c r="AQ420" i="17"/>
  <c r="M421" i="17" l="1"/>
  <c r="N421" i="17" s="1"/>
  <c r="AJ421" i="17" s="1"/>
  <c r="O421" i="17" s="1"/>
  <c r="P421" i="17" l="1"/>
  <c r="Q421" i="17"/>
  <c r="R421" i="17" l="1"/>
  <c r="K422" i="17" l="1"/>
  <c r="U422" i="17" s="1"/>
  <c r="V422" i="17" s="1"/>
  <c r="S421" i="17"/>
  <c r="H422" i="17"/>
  <c r="AI421" i="17"/>
  <c r="T421" i="17"/>
  <c r="AK421" i="17"/>
  <c r="AQ421" i="17"/>
  <c r="M422" i="17" l="1"/>
  <c r="N422" i="17" s="1"/>
  <c r="AJ422" i="17" l="1"/>
  <c r="O422" i="17" s="1"/>
  <c r="P422" i="17"/>
  <c r="Q422" i="17"/>
  <c r="R422" i="17" l="1"/>
  <c r="K423" i="17" l="1"/>
  <c r="M423" i="17" s="1"/>
  <c r="S422" i="17"/>
  <c r="AQ422" i="17"/>
  <c r="T422" i="17"/>
  <c r="AI422" i="17"/>
  <c r="H423" i="17"/>
  <c r="AK422" i="17"/>
  <c r="U423" i="17" l="1"/>
  <c r="V423" i="17" s="1"/>
  <c r="N423" i="17"/>
  <c r="AJ423" i="17" l="1"/>
  <c r="O423" i="17" s="1"/>
  <c r="P423" i="17" l="1"/>
  <c r="Q423" i="17"/>
  <c r="R423" i="17" l="1"/>
  <c r="K424" i="17" l="1"/>
  <c r="U424" i="17" s="1"/>
  <c r="V424" i="17" s="1"/>
  <c r="H424" i="17"/>
  <c r="AQ423" i="17"/>
  <c r="AI423" i="17"/>
  <c r="T423" i="17"/>
  <c r="S423" i="17"/>
  <c r="AK423" i="17"/>
  <c r="M424" i="17" l="1"/>
  <c r="N424" i="17" s="1"/>
  <c r="AJ424" i="17" l="1"/>
  <c r="O424" i="17" s="1"/>
  <c r="Q424" i="17" l="1"/>
  <c r="P424" i="17"/>
  <c r="R424" i="17" s="1"/>
  <c r="S424" i="17" s="1"/>
  <c r="H425" i="17" l="1"/>
  <c r="T424" i="17"/>
  <c r="AI424" i="17"/>
  <c r="K425" i="17"/>
  <c r="U425" i="17" s="1"/>
  <c r="V425" i="17" s="1"/>
  <c r="AK424" i="17"/>
  <c r="AQ424" i="17"/>
  <c r="M425" i="17" l="1"/>
  <c r="N425" i="17" s="1"/>
  <c r="AJ425" i="17" l="1"/>
  <c r="O425" i="17" s="1"/>
  <c r="Q425" i="17" l="1"/>
  <c r="P425" i="17"/>
  <c r="R425" i="17" l="1"/>
  <c r="K426" i="17" l="1"/>
  <c r="U426" i="17" s="1"/>
  <c r="V426" i="17" s="1"/>
  <c r="AI425" i="17"/>
  <c r="T425" i="17"/>
  <c r="AK425" i="17"/>
  <c r="S425" i="17"/>
  <c r="H426" i="17"/>
  <c r="AQ425" i="17"/>
  <c r="M426" i="17" l="1"/>
  <c r="N426" i="17" s="1"/>
  <c r="AJ426" i="17" l="1"/>
  <c r="Q426" i="17" s="1"/>
  <c r="P426" i="17"/>
  <c r="O426" i="17" l="1"/>
  <c r="R426" i="17" s="1"/>
  <c r="K427" i="17" l="1"/>
  <c r="U427" i="17" s="1"/>
  <c r="V427" i="17" s="1"/>
  <c r="AI426" i="17"/>
  <c r="T426" i="17"/>
  <c r="H427" i="17"/>
  <c r="S426" i="17"/>
  <c r="AQ426" i="17"/>
  <c r="AK426" i="17"/>
  <c r="M427" i="17" l="1"/>
  <c r="N427" i="17" s="1"/>
  <c r="AJ427" i="17" s="1"/>
  <c r="O427" i="17" s="1"/>
  <c r="P427" i="17" l="1"/>
  <c r="Q427" i="17"/>
  <c r="R427" i="17" l="1"/>
  <c r="K428" i="17" l="1"/>
  <c r="M428" i="17" s="1"/>
  <c r="N428" i="17" s="1"/>
  <c r="AI427" i="17"/>
  <c r="S427" i="17"/>
  <c r="H428" i="17"/>
  <c r="T427" i="17"/>
  <c r="AK427" i="17"/>
  <c r="AQ427" i="17"/>
  <c r="U428" i="17" l="1"/>
  <c r="V428" i="17" s="1"/>
  <c r="AJ428" i="17"/>
  <c r="Q428" i="17" s="1"/>
  <c r="P428" i="17" l="1"/>
  <c r="O428" i="17"/>
  <c r="R428" i="17" l="1"/>
  <c r="K429" i="17" l="1"/>
  <c r="U429" i="17" s="1"/>
  <c r="V429" i="17" s="1"/>
  <c r="S428" i="17"/>
  <c r="AI428" i="17"/>
  <c r="AQ428" i="17"/>
  <c r="T428" i="17"/>
  <c r="H429" i="17"/>
  <c r="AK428" i="17"/>
  <c r="M429" i="17" l="1"/>
  <c r="N429" i="17" s="1"/>
  <c r="AJ429" i="17" s="1"/>
  <c r="O429" i="17" s="1"/>
  <c r="P429" i="17" l="1"/>
  <c r="Q429" i="17"/>
  <c r="R429" i="17" l="1"/>
  <c r="K430" i="17" l="1"/>
  <c r="U430" i="17" s="1"/>
  <c r="V430" i="17" s="1"/>
  <c r="S429" i="17"/>
  <c r="T429" i="17"/>
  <c r="AI429" i="17"/>
  <c r="H430" i="17"/>
  <c r="AQ429" i="17"/>
  <c r="AK429" i="17"/>
  <c r="M430" i="17" l="1"/>
  <c r="N430" i="17" s="1"/>
  <c r="AJ430" i="17" l="1"/>
  <c r="O430" i="17" s="1"/>
  <c r="Q430" i="17" l="1"/>
  <c r="P430" i="17"/>
  <c r="R430" i="17" l="1"/>
  <c r="K431" i="17" s="1"/>
  <c r="U431" i="17" s="1"/>
  <c r="V431" i="17" s="1"/>
  <c r="T430" i="17" l="1"/>
  <c r="H431" i="17"/>
  <c r="AI430" i="17"/>
  <c r="AQ430" i="17"/>
  <c r="AK430" i="17"/>
  <c r="S430" i="17"/>
  <c r="M431" i="17"/>
  <c r="N431" i="17" s="1"/>
  <c r="AJ431" i="17" l="1"/>
  <c r="O431" i="17" s="1"/>
  <c r="P431" i="17" l="1"/>
  <c r="Q431" i="17"/>
  <c r="R431" i="17" l="1"/>
  <c r="K432" i="17" l="1"/>
  <c r="U432" i="17" s="1"/>
  <c r="V432" i="17" s="1"/>
  <c r="T431" i="17"/>
  <c r="AI431" i="17"/>
  <c r="S431" i="17"/>
  <c r="H432" i="17"/>
  <c r="AK431" i="17"/>
  <c r="AQ431" i="17"/>
  <c r="M432" i="17" l="1"/>
  <c r="N432" i="17" s="1"/>
  <c r="AJ432" i="17" s="1"/>
  <c r="O432" i="17" s="1"/>
  <c r="Q432" i="17" l="1"/>
  <c r="P432" i="17"/>
  <c r="R432" i="17" l="1"/>
  <c r="K433" i="17" l="1"/>
  <c r="U433" i="17" s="1"/>
  <c r="V433" i="17" s="1"/>
  <c r="S432" i="17"/>
  <c r="AI432" i="17"/>
  <c r="H433" i="17"/>
  <c r="T432" i="17"/>
  <c r="AQ432" i="17"/>
  <c r="AK432" i="17"/>
  <c r="M433" i="17" l="1"/>
  <c r="N433" i="17" s="1"/>
  <c r="AJ433" i="17" l="1"/>
  <c r="O433" i="17" s="1"/>
  <c r="Q433" i="17" l="1"/>
  <c r="P433" i="17"/>
  <c r="R433" i="17" l="1"/>
  <c r="AK433" i="17" s="1"/>
  <c r="S433" i="17" l="1"/>
  <c r="K434" i="17"/>
  <c r="U434" i="17" s="1"/>
  <c r="V434" i="17" s="1"/>
  <c r="AI433" i="17"/>
  <c r="T433" i="17"/>
  <c r="AQ433" i="17"/>
  <c r="H434" i="17"/>
  <c r="M434" i="17" l="1"/>
  <c r="N434" i="17" s="1"/>
  <c r="AJ434" i="17" s="1"/>
  <c r="O434" i="17" s="1"/>
  <c r="P434" i="17" l="1"/>
  <c r="Q434" i="17"/>
  <c r="R434" i="17" l="1"/>
  <c r="K435" i="17" l="1"/>
  <c r="U435" i="17" s="1"/>
  <c r="V435" i="17" s="1"/>
  <c r="AI434" i="17"/>
  <c r="AK434" i="17"/>
  <c r="AQ434" i="17"/>
  <c r="H435" i="17"/>
  <c r="T434" i="17"/>
  <c r="S434" i="17"/>
  <c r="M435" i="17" l="1"/>
  <c r="N435" i="17" s="1"/>
  <c r="AJ435" i="17" l="1"/>
  <c r="O435" i="17" s="1"/>
  <c r="Q435" i="17" l="1"/>
  <c r="P435" i="17"/>
  <c r="R435" i="17" l="1"/>
  <c r="K436" i="17" l="1"/>
  <c r="M436" i="17" s="1"/>
  <c r="N436" i="17" s="1"/>
  <c r="AJ436" i="17" s="1"/>
  <c r="O436" i="17" s="1"/>
  <c r="AI435" i="17"/>
  <c r="AQ435" i="17"/>
  <c r="AK435" i="17"/>
  <c r="S435" i="17"/>
  <c r="T435" i="17"/>
  <c r="H436" i="17"/>
  <c r="U436" i="17" l="1"/>
  <c r="V436" i="17" s="1"/>
  <c r="Q436" i="17"/>
  <c r="P436" i="17"/>
  <c r="R436" i="17" l="1"/>
  <c r="K437" i="17" l="1"/>
  <c r="U437" i="17" s="1"/>
  <c r="V437" i="17" s="1"/>
  <c r="S436" i="17"/>
  <c r="AI436" i="17"/>
  <c r="T436" i="17"/>
  <c r="AQ436" i="17"/>
  <c r="AK436" i="17"/>
  <c r="H437" i="17"/>
  <c r="M437" i="17" l="1"/>
  <c r="N437" i="17" s="1"/>
  <c r="AJ437" i="17" l="1"/>
  <c r="O437" i="17" s="1"/>
  <c r="Q437" i="17"/>
  <c r="P437" i="17" l="1"/>
  <c r="R437" i="17" s="1"/>
  <c r="K438" i="17" l="1"/>
  <c r="U438" i="17" s="1"/>
  <c r="V438" i="17" s="1"/>
  <c r="H438" i="17"/>
  <c r="T437" i="17"/>
  <c r="S437" i="17"/>
  <c r="AI437" i="17"/>
  <c r="AK437" i="17"/>
  <c r="AQ437" i="17"/>
  <c r="M438" i="17" l="1"/>
  <c r="N438" i="17" s="1"/>
  <c r="AJ438" i="17" l="1"/>
  <c r="O438" i="17" s="1"/>
  <c r="Q438" i="17" l="1"/>
  <c r="P438" i="17"/>
  <c r="R438" i="17" l="1"/>
  <c r="K439" i="17" l="1"/>
  <c r="U439" i="17" s="1"/>
  <c r="V439" i="17" s="1"/>
  <c r="S438" i="17"/>
  <c r="T438" i="17"/>
  <c r="AI438" i="17"/>
  <c r="H439" i="17"/>
  <c r="AK438" i="17"/>
  <c r="AQ438" i="17"/>
  <c r="M439" i="17" l="1"/>
  <c r="N439" i="17" s="1"/>
  <c r="AJ439" i="17" l="1"/>
  <c r="O439" i="17" s="1"/>
  <c r="P439" i="17" l="1"/>
  <c r="Q439" i="17"/>
  <c r="R439" i="17" l="1"/>
  <c r="K440" i="17" l="1"/>
  <c r="G14" i="17" s="1"/>
  <c r="M15" i="13" s="1"/>
  <c r="S439" i="17"/>
  <c r="T439" i="17"/>
  <c r="H440" i="17"/>
  <c r="AI439" i="17"/>
  <c r="AQ439" i="17"/>
  <c r="AK439" i="17"/>
  <c r="M440" i="17" l="1"/>
  <c r="N440" i="17" s="1"/>
  <c r="U440" i="17"/>
  <c r="V440" i="17" s="1"/>
  <c r="Q14" i="13"/>
  <c r="AJ440" i="17" l="1"/>
  <c r="O440" i="17" s="1"/>
  <c r="P440" i="17" l="1"/>
  <c r="Q440" i="17"/>
  <c r="R440" i="17" l="1"/>
  <c r="K441" i="17" l="1"/>
  <c r="U441" i="17" s="1"/>
  <c r="V441" i="17" s="1"/>
  <c r="AI440" i="17"/>
  <c r="S440" i="17"/>
  <c r="H441" i="17"/>
  <c r="T440" i="17"/>
  <c r="AK440" i="17"/>
  <c r="AQ440" i="17"/>
  <c r="M441" i="17" l="1"/>
  <c r="N441" i="17" s="1"/>
  <c r="AJ441" i="17" s="1"/>
  <c r="P441" i="17" s="1"/>
  <c r="Q441" i="17" l="1"/>
  <c r="O441" i="17"/>
  <c r="R441" i="17" s="1"/>
  <c r="K442" i="17" l="1"/>
  <c r="AQ441" i="17"/>
  <c r="AK441" i="17"/>
  <c r="AI441" i="17"/>
  <c r="S441" i="17"/>
  <c r="H442" i="17"/>
  <c r="T441" i="17"/>
  <c r="U442" i="17" l="1"/>
  <c r="V442" i="17" s="1"/>
  <c r="M442" i="17"/>
  <c r="N442" i="17" s="1"/>
  <c r="AJ442" i="17" l="1"/>
  <c r="O442" i="17" s="1"/>
  <c r="P442" i="17" l="1"/>
  <c r="Q442" i="17"/>
  <c r="R442" i="17" l="1"/>
  <c r="K443" i="17" l="1"/>
  <c r="U443" i="17" s="1"/>
  <c r="V443" i="17" s="1"/>
  <c r="T442" i="17"/>
  <c r="AK442" i="17"/>
  <c r="AQ442" i="17"/>
  <c r="H443" i="17"/>
  <c r="S442" i="17"/>
  <c r="AI442" i="17"/>
  <c r="M443" i="17" l="1"/>
  <c r="N443" i="17" s="1"/>
  <c r="AJ443" i="17" s="1"/>
  <c r="O443" i="17" s="1"/>
  <c r="P443" i="17" l="1"/>
  <c r="Q443" i="17"/>
  <c r="R443" i="17" l="1"/>
  <c r="K444" i="17" l="1"/>
  <c r="U444" i="17" s="1"/>
  <c r="V444" i="17" s="1"/>
  <c r="AI443" i="17"/>
  <c r="T443" i="17"/>
  <c r="H444" i="17"/>
  <c r="S443" i="17"/>
  <c r="AQ443" i="17"/>
  <c r="AK443" i="17"/>
  <c r="M444" i="17" l="1"/>
  <c r="N444" i="17" s="1"/>
  <c r="AJ444" i="17" l="1"/>
  <c r="O444" i="17" s="1"/>
  <c r="Q444" i="17"/>
  <c r="P444" i="17" l="1"/>
  <c r="R444" i="17" s="1"/>
  <c r="K445" i="17" l="1"/>
  <c r="AK444" i="17"/>
  <c r="AQ444" i="17"/>
  <c r="S444" i="17"/>
  <c r="AI444" i="17"/>
  <c r="T444" i="17"/>
  <c r="H445" i="17"/>
  <c r="U445" i="17" l="1"/>
  <c r="V445" i="17" s="1"/>
  <c r="M445" i="17"/>
  <c r="N445" i="17" s="1"/>
  <c r="AJ445" i="17" l="1"/>
  <c r="O445" i="17" s="1"/>
  <c r="Q445" i="17" l="1"/>
  <c r="P445" i="17"/>
  <c r="R445" i="17" l="1"/>
  <c r="K446" i="17" l="1"/>
  <c r="M446" i="17" s="1"/>
  <c r="S445" i="17"/>
  <c r="AQ445" i="17"/>
  <c r="AK445" i="17"/>
  <c r="H446" i="17"/>
  <c r="T445" i="17"/>
  <c r="AI445" i="17"/>
  <c r="N446" i="17" l="1"/>
  <c r="AJ446" i="17" s="1"/>
  <c r="O446" i="17" s="1"/>
  <c r="U446" i="17"/>
  <c r="V446" i="17" s="1"/>
  <c r="Q446" i="17" l="1"/>
  <c r="P446" i="17"/>
  <c r="R446" i="17" l="1"/>
  <c r="S446" i="17" s="1"/>
  <c r="AI446" i="17" l="1"/>
  <c r="K447" i="17"/>
  <c r="U447" i="17" s="1"/>
  <c r="V447" i="17" s="1"/>
  <c r="AQ446" i="17"/>
  <c r="AK446" i="17"/>
  <c r="T446" i="17"/>
  <c r="H447" i="17"/>
  <c r="M447" i="17" l="1"/>
  <c r="N447" i="17" s="1"/>
  <c r="AJ447" i="17" s="1"/>
  <c r="O447" i="17" l="1"/>
  <c r="P447" i="17"/>
  <c r="Q447" i="17"/>
  <c r="R447" i="17" l="1"/>
  <c r="T447" i="17" s="1"/>
  <c r="S447" i="17" l="1"/>
  <c r="AI447" i="17"/>
  <c r="AQ447" i="17"/>
  <c r="K448" i="17"/>
  <c r="H448" i="17"/>
  <c r="AK447" i="17"/>
  <c r="M448" i="17" l="1"/>
  <c r="N448" i="17" s="1"/>
  <c r="AJ448" i="17" s="1"/>
  <c r="O448" i="17" s="1"/>
  <c r="U448" i="17"/>
  <c r="V448" i="17" s="1"/>
  <c r="P448" i="17" l="1"/>
  <c r="Q448" i="17"/>
  <c r="R448" i="17" l="1"/>
  <c r="K449" i="17" s="1"/>
  <c r="U449" i="17" s="1"/>
  <c r="V449" i="17" s="1"/>
  <c r="H449" i="17" l="1"/>
  <c r="T448" i="17"/>
  <c r="AQ448" i="17"/>
  <c r="AK448" i="17"/>
  <c r="S448" i="17"/>
  <c r="AI448" i="17"/>
  <c r="M449" i="17"/>
  <c r="N449" i="17" s="1"/>
  <c r="AJ449" i="17" l="1"/>
  <c r="O449" i="17" s="1"/>
  <c r="Q449" i="17" l="1"/>
  <c r="P449" i="17"/>
  <c r="R449" i="17" l="1"/>
  <c r="K450" i="17" s="1"/>
  <c r="U450" i="17" s="1"/>
  <c r="V450" i="17" s="1"/>
  <c r="H450" i="17" l="1"/>
  <c r="AQ449" i="17"/>
  <c r="T449" i="17"/>
  <c r="AK449" i="17"/>
  <c r="S449" i="17"/>
  <c r="AI449" i="17"/>
  <c r="M450" i="17"/>
  <c r="N450" i="17" s="1"/>
  <c r="AJ450" i="17" s="1"/>
  <c r="O450" i="17" s="1"/>
  <c r="P450" i="17" l="1"/>
  <c r="Q450" i="17"/>
  <c r="R450" i="17" l="1"/>
  <c r="K451" i="17" l="1"/>
  <c r="U451" i="17" s="1"/>
  <c r="V451" i="17" s="1"/>
  <c r="AK450" i="17"/>
  <c r="AQ450" i="17"/>
  <c r="T450" i="17"/>
  <c r="H451" i="17"/>
  <c r="AI450" i="17"/>
  <c r="S450" i="17"/>
  <c r="M451" i="17" l="1"/>
  <c r="N451" i="17" s="1"/>
  <c r="AJ451" i="17" l="1"/>
  <c r="O451" i="17" s="1"/>
  <c r="Q451" i="17" l="1"/>
  <c r="P451" i="17"/>
  <c r="R451" i="17" l="1"/>
  <c r="S451" i="17" s="1"/>
  <c r="AK451" i="17" l="1"/>
  <c r="AQ451" i="17"/>
  <c r="K452" i="17"/>
  <c r="M452" i="17" s="1"/>
  <c r="H452" i="17"/>
  <c r="T451" i="17"/>
  <c r="AI451" i="17"/>
  <c r="U452" i="17" l="1"/>
  <c r="V452" i="17" s="1"/>
  <c r="N452" i="17"/>
  <c r="AJ452" i="17" l="1"/>
  <c r="O452" i="17" s="1"/>
  <c r="Q452" i="17" l="1"/>
  <c r="P452" i="17"/>
  <c r="R452" i="17" l="1"/>
  <c r="K453" i="17" l="1"/>
  <c r="M453" i="17" s="1"/>
  <c r="N453" i="17" s="1"/>
  <c r="AK452" i="17"/>
  <c r="AQ452" i="17"/>
  <c r="AI452" i="17"/>
  <c r="T452" i="17"/>
  <c r="S452" i="17"/>
  <c r="H453" i="17"/>
  <c r="U453" i="17" l="1"/>
  <c r="V453" i="17" s="1"/>
  <c r="AJ453" i="17"/>
  <c r="O453" i="17" l="1"/>
  <c r="Q453" i="17"/>
  <c r="P453" i="17"/>
  <c r="R453" i="17" l="1"/>
  <c r="K454" i="17" l="1"/>
  <c r="AQ453" i="17"/>
  <c r="AK453" i="17"/>
  <c r="T453" i="17"/>
  <c r="S453" i="17"/>
  <c r="H454" i="17"/>
  <c r="AI453" i="17"/>
  <c r="U454" i="17" l="1"/>
  <c r="V454" i="17" s="1"/>
  <c r="M454" i="17"/>
  <c r="N454" i="17" s="1"/>
  <c r="AJ454" i="17" l="1"/>
  <c r="O454" i="17" s="1"/>
  <c r="P454" i="17" l="1"/>
  <c r="Q454" i="17"/>
  <c r="R454" i="17" l="1"/>
  <c r="K455" i="17" l="1"/>
  <c r="U455" i="17" s="1"/>
  <c r="V455" i="17" s="1"/>
  <c r="AK454" i="17"/>
  <c r="H455" i="17"/>
  <c r="AI454" i="17"/>
  <c r="T454" i="17"/>
  <c r="S454" i="17"/>
  <c r="AQ454" i="17"/>
  <c r="M455" i="17" l="1"/>
  <c r="N455" i="17" s="1"/>
  <c r="AJ455" i="17" l="1"/>
  <c r="O455" i="17" s="1"/>
  <c r="Q455" i="17" l="1"/>
  <c r="P455" i="17"/>
  <c r="R455" i="17" l="1"/>
  <c r="AK455" i="17" s="1"/>
  <c r="AI455" i="17" l="1"/>
  <c r="S455" i="17"/>
  <c r="K456" i="17"/>
  <c r="M456" i="17" s="1"/>
  <c r="N456" i="17" s="1"/>
  <c r="AJ456" i="17" s="1"/>
  <c r="T455" i="17"/>
  <c r="H456" i="17"/>
  <c r="AQ455" i="17"/>
  <c r="U456" i="17" l="1"/>
  <c r="V456" i="17" s="1"/>
  <c r="O456" i="17"/>
  <c r="Q456" i="17"/>
  <c r="P456" i="17"/>
  <c r="R456" i="17" l="1"/>
  <c r="K457" i="17" l="1"/>
  <c r="AK456" i="17"/>
  <c r="AQ456" i="17"/>
  <c r="T456" i="17"/>
  <c r="AI456" i="17"/>
  <c r="S456" i="17"/>
  <c r="H457" i="17"/>
  <c r="M457" i="17" l="1"/>
  <c r="N457" i="17" s="1"/>
  <c r="U457" i="17"/>
  <c r="V457" i="17" s="1"/>
  <c r="AJ457" i="17" l="1"/>
  <c r="O457" i="17" l="1"/>
  <c r="P457" i="17"/>
  <c r="Q457" i="17"/>
  <c r="R457" i="17" l="1"/>
  <c r="K458" i="17" l="1"/>
  <c r="AQ457" i="17"/>
  <c r="AK457" i="17"/>
  <c r="S457" i="17"/>
  <c r="AI457" i="17"/>
  <c r="H458" i="17"/>
  <c r="T457" i="17"/>
  <c r="U458" i="17" l="1"/>
  <c r="V458" i="17" s="1"/>
  <c r="M458" i="17"/>
  <c r="N458" i="17" l="1"/>
  <c r="AJ458" i="17" s="1"/>
  <c r="O458" i="17" l="1"/>
  <c r="P458" i="17"/>
  <c r="Q458" i="17"/>
  <c r="R458" i="17" l="1"/>
  <c r="K459" i="17" l="1"/>
  <c r="AQ458" i="17"/>
  <c r="AK458" i="17"/>
  <c r="AI458" i="17"/>
  <c r="S458" i="17"/>
  <c r="T458" i="17"/>
  <c r="H459" i="17"/>
  <c r="U459" i="17" l="1"/>
  <c r="V459" i="17" s="1"/>
  <c r="M459" i="17"/>
  <c r="N459" i="17" l="1"/>
  <c r="AJ459" i="17" s="1"/>
  <c r="O459" i="17" s="1"/>
  <c r="Q459" i="17" l="1"/>
  <c r="P459" i="17"/>
  <c r="R459" i="17" l="1"/>
  <c r="K460" i="17" l="1"/>
  <c r="M460" i="17" s="1"/>
  <c r="AK459" i="17"/>
  <c r="H460" i="17"/>
  <c r="AI459" i="17"/>
  <c r="S459" i="17"/>
  <c r="T459" i="17"/>
  <c r="AQ459" i="17"/>
  <c r="U460" i="17" l="1"/>
  <c r="V460" i="17" s="1"/>
  <c r="N460" i="17"/>
  <c r="AJ460" i="17" s="1"/>
  <c r="O460" i="17" s="1"/>
  <c r="P460" i="17" l="1"/>
  <c r="Q460" i="17"/>
  <c r="R460" i="17" l="1"/>
  <c r="K461" i="17" l="1"/>
  <c r="U461" i="17" s="1"/>
  <c r="V461" i="17" s="1"/>
  <c r="H461" i="17"/>
  <c r="T460" i="17"/>
  <c r="S460" i="17"/>
  <c r="AI460" i="17"/>
  <c r="AQ460" i="17"/>
  <c r="AK460" i="17"/>
  <c r="M461" i="17" l="1"/>
  <c r="N461" i="17" s="1"/>
  <c r="AJ461" i="17" l="1"/>
  <c r="O461" i="17" l="1"/>
  <c r="P461" i="17"/>
  <c r="Q461" i="17"/>
  <c r="R461" i="17" l="1"/>
  <c r="K462" i="17" l="1"/>
  <c r="AQ461" i="17"/>
  <c r="AK461" i="17"/>
  <c r="T461" i="17"/>
  <c r="H462" i="17"/>
  <c r="S461" i="17"/>
  <c r="AI461" i="17"/>
  <c r="U462" i="17" l="1"/>
  <c r="V462" i="17" s="1"/>
  <c r="M462" i="17"/>
  <c r="N462" i="17" l="1"/>
  <c r="AJ462" i="17" s="1"/>
  <c r="O462" i="17" s="1"/>
  <c r="P462" i="17" l="1"/>
  <c r="Q462" i="17"/>
  <c r="R462" i="17" l="1"/>
  <c r="K463" i="17" l="1"/>
  <c r="U463" i="17" s="1"/>
  <c r="V463" i="17" s="1"/>
  <c r="AQ462" i="17"/>
  <c r="S462" i="17"/>
  <c r="T462" i="17"/>
  <c r="H463" i="17"/>
  <c r="AI462" i="17"/>
  <c r="AK462" i="17"/>
  <c r="M463" i="17" l="1"/>
  <c r="N463" i="17" l="1"/>
  <c r="AJ463" i="17" s="1"/>
  <c r="O463" i="17" l="1"/>
  <c r="P463" i="17"/>
  <c r="Q463" i="17"/>
  <c r="R463" i="17" l="1"/>
  <c r="K464" i="17" s="1"/>
  <c r="T463" i="17" l="1"/>
  <c r="U464" i="17"/>
  <c r="V464" i="17" s="1"/>
  <c r="M464" i="17"/>
  <c r="N464" i="17" s="1"/>
  <c r="AJ464" i="17" s="1"/>
  <c r="O464" i="17" s="1"/>
  <c r="AI463" i="17"/>
  <c r="AK463" i="17"/>
  <c r="AQ463" i="17"/>
  <c r="S463" i="17"/>
  <c r="H464" i="17"/>
  <c r="P464" i="17" l="1"/>
  <c r="Q464" i="17"/>
  <c r="R464" i="17" l="1"/>
  <c r="K465" i="17" l="1"/>
  <c r="M465" i="17" s="1"/>
  <c r="AI464" i="17"/>
  <c r="S464" i="17"/>
  <c r="H465" i="17"/>
  <c r="T464" i="17"/>
  <c r="AQ464" i="17"/>
  <c r="AK464" i="17"/>
  <c r="N465" i="17" l="1"/>
  <c r="AJ465" i="17" s="1"/>
  <c r="O465" i="17" s="1"/>
  <c r="U465" i="17"/>
  <c r="V465" i="17" s="1"/>
  <c r="Q465" i="17" l="1"/>
  <c r="P465" i="17"/>
  <c r="R465" i="17" l="1"/>
  <c r="K466" i="17" l="1"/>
  <c r="U466" i="17" s="1"/>
  <c r="V466" i="17" s="1"/>
  <c r="S465" i="17"/>
  <c r="AK465" i="17"/>
  <c r="H466" i="17"/>
  <c r="AI465" i="17"/>
  <c r="T465" i="17"/>
  <c r="AQ465" i="17"/>
  <c r="M466" i="17" l="1"/>
  <c r="N466" i="17" s="1"/>
  <c r="AJ466" i="17" s="1"/>
  <c r="O466" i="17" l="1"/>
  <c r="P466" i="17"/>
  <c r="Q466" i="17"/>
  <c r="R466" i="17" l="1"/>
  <c r="K467" i="17" l="1"/>
  <c r="AQ466" i="17"/>
  <c r="AK466" i="17"/>
  <c r="AI466" i="17"/>
  <c r="S466" i="17"/>
  <c r="T466" i="17"/>
  <c r="H467" i="17"/>
  <c r="U467" i="17" l="1"/>
  <c r="V467" i="17" s="1"/>
  <c r="M467" i="17"/>
  <c r="N467" i="17" l="1"/>
  <c r="AJ467" i="17" s="1"/>
  <c r="O467" i="17" s="1"/>
  <c r="P467" i="17" l="1"/>
  <c r="Q467" i="17"/>
  <c r="R467" i="17" l="1"/>
  <c r="K468" i="17" l="1"/>
  <c r="U468" i="17" s="1"/>
  <c r="V468" i="17" s="1"/>
  <c r="AI467" i="17"/>
  <c r="AQ467" i="17"/>
  <c r="H468" i="17"/>
  <c r="T467" i="17"/>
  <c r="S467" i="17"/>
  <c r="AK467" i="17"/>
  <c r="M468" i="17" l="1"/>
  <c r="N468" i="17" s="1"/>
  <c r="AJ468" i="17" s="1"/>
  <c r="O468" i="17" s="1"/>
  <c r="P468" i="17" l="1"/>
  <c r="Q468" i="17"/>
  <c r="R468" i="17" l="1"/>
  <c r="K469" i="17" l="1"/>
  <c r="U469" i="17" s="1"/>
  <c r="V469" i="17" s="1"/>
  <c r="T468" i="17"/>
  <c r="H469" i="17"/>
  <c r="AI468" i="17"/>
  <c r="AQ468" i="17"/>
  <c r="AK468" i="17"/>
  <c r="S468" i="17"/>
  <c r="M469" i="17" l="1"/>
  <c r="N469" i="17" s="1"/>
  <c r="AJ469" i="17" s="1"/>
  <c r="Q469" i="17" s="1"/>
  <c r="O469" i="17" l="1"/>
  <c r="P469" i="17"/>
  <c r="R469" i="17" l="1"/>
  <c r="K470" i="17" s="1"/>
  <c r="AI469" i="17" l="1"/>
  <c r="AQ469" i="17"/>
  <c r="AK469" i="17"/>
  <c r="H470" i="17"/>
  <c r="S469" i="17"/>
  <c r="T469" i="17"/>
  <c r="U470" i="17"/>
  <c r="V470" i="17" s="1"/>
  <c r="M470" i="17"/>
  <c r="N470" i="17" l="1"/>
  <c r="AJ470" i="17" l="1"/>
  <c r="Q470" i="17" s="1"/>
  <c r="O470" i="17" l="1"/>
  <c r="P470" i="17"/>
  <c r="R470" i="17" l="1"/>
  <c r="K471" i="17" l="1"/>
  <c r="AQ470" i="17"/>
  <c r="AK470" i="17"/>
  <c r="S470" i="17"/>
  <c r="H471" i="17"/>
  <c r="AI470" i="17"/>
  <c r="T470" i="17"/>
  <c r="U471" i="17" l="1"/>
  <c r="V471" i="17" s="1"/>
  <c r="M471" i="17"/>
  <c r="N471" i="17" s="1"/>
  <c r="AJ471" i="17" l="1"/>
  <c r="O471" i="17" l="1"/>
  <c r="Q471" i="17"/>
  <c r="P471" i="17"/>
  <c r="R471" i="17" l="1"/>
  <c r="K472" i="17" l="1"/>
  <c r="AQ471" i="17"/>
  <c r="AK471" i="17"/>
  <c r="H472" i="17"/>
  <c r="AI471" i="17"/>
  <c r="S471" i="17"/>
  <c r="T471" i="17"/>
  <c r="M472" i="17" l="1"/>
  <c r="U472" i="17"/>
  <c r="V472" i="17" s="1"/>
  <c r="N472" i="17" l="1"/>
  <c r="AJ472" i="17" l="1"/>
  <c r="O472" i="17" s="1"/>
  <c r="P472" i="17" l="1"/>
  <c r="Q472" i="17"/>
  <c r="R472" i="17" l="1"/>
  <c r="K473" i="17" l="1"/>
  <c r="M473" i="17" s="1"/>
  <c r="N473" i="17" s="1"/>
  <c r="AK472" i="17"/>
  <c r="S472" i="17"/>
  <c r="H473" i="17"/>
  <c r="T472" i="17"/>
  <c r="AI472" i="17"/>
  <c r="AQ472" i="17"/>
  <c r="U473" i="17" l="1"/>
  <c r="V473" i="17" s="1"/>
  <c r="AJ473" i="17"/>
  <c r="O473" i="17" s="1"/>
  <c r="P473" i="17" l="1"/>
  <c r="Q473" i="17"/>
  <c r="R473" i="17" l="1"/>
  <c r="K474" i="17" l="1"/>
  <c r="M474" i="17" s="1"/>
  <c r="N474" i="17" s="1"/>
  <c r="T473" i="17"/>
  <c r="H474" i="17"/>
  <c r="S473" i="17"/>
  <c r="AI473" i="17"/>
  <c r="AK473" i="17"/>
  <c r="AQ473" i="17"/>
  <c r="U474" i="17" l="1"/>
  <c r="V474" i="17" s="1"/>
  <c r="AJ474" i="17"/>
  <c r="O474" i="17" l="1"/>
  <c r="P474" i="17"/>
  <c r="Q474" i="17"/>
  <c r="R474" i="17" l="1"/>
  <c r="K475" i="17" l="1"/>
  <c r="AK474" i="17"/>
  <c r="AQ474" i="17"/>
  <c r="AI474" i="17"/>
  <c r="S474" i="17"/>
  <c r="T474" i="17"/>
  <c r="H475" i="17"/>
  <c r="U475" i="17" l="1"/>
  <c r="V475" i="17" s="1"/>
  <c r="M475" i="17"/>
  <c r="N475" i="17" l="1"/>
  <c r="AJ475" i="17" s="1"/>
  <c r="O475" i="17" s="1"/>
  <c r="P475" i="17" l="1"/>
  <c r="Q475" i="17"/>
  <c r="R475" i="17" l="1"/>
  <c r="K476" i="17" l="1"/>
  <c r="M476" i="17" s="1"/>
  <c r="N476" i="17" s="1"/>
  <c r="AI475" i="17"/>
  <c r="AQ475" i="17"/>
  <c r="AK475" i="17"/>
  <c r="T475" i="17"/>
  <c r="H476" i="17"/>
  <c r="S475" i="17"/>
  <c r="U476" i="17" l="1"/>
  <c r="V476" i="17" s="1"/>
  <c r="AJ476" i="17"/>
  <c r="O476" i="17" l="1"/>
  <c r="Q476" i="17"/>
  <c r="P476" i="17"/>
  <c r="R476" i="17" l="1"/>
  <c r="K477" i="17" l="1"/>
  <c r="AQ476" i="17"/>
  <c r="AK476" i="17"/>
  <c r="T476" i="17"/>
  <c r="S476" i="17"/>
  <c r="AI476" i="17"/>
  <c r="H477" i="17"/>
  <c r="U477" i="17" l="1"/>
  <c r="V477" i="17" s="1"/>
  <c r="M477" i="17"/>
  <c r="N477" i="17" l="1"/>
  <c r="AJ477" i="17" s="1"/>
  <c r="O477" i="17" s="1"/>
  <c r="P477" i="17" l="1"/>
  <c r="Q477" i="17"/>
  <c r="R477" i="17" l="1"/>
  <c r="K478" i="17" l="1"/>
  <c r="U478" i="17" s="1"/>
  <c r="V478" i="17" s="1"/>
  <c r="S477" i="17"/>
  <c r="AI477" i="17"/>
  <c r="AK477" i="17"/>
  <c r="T477" i="17"/>
  <c r="H478" i="17"/>
  <c r="AQ477" i="17"/>
  <c r="M478" i="17" l="1"/>
  <c r="N478" i="17" s="1"/>
  <c r="AJ478" i="17" l="1"/>
  <c r="Q478" i="17" s="1"/>
  <c r="O478" i="17" l="1"/>
  <c r="P478" i="17"/>
  <c r="R478" i="17" l="1"/>
  <c r="K479" i="17" l="1"/>
  <c r="AK478" i="17"/>
  <c r="AQ478" i="17"/>
  <c r="H479" i="17"/>
  <c r="AI478" i="17"/>
  <c r="S478" i="17"/>
  <c r="T478" i="17"/>
  <c r="U479" i="17" l="1"/>
  <c r="V479" i="17" s="1"/>
  <c r="M479" i="17"/>
  <c r="N479" i="17" l="1"/>
  <c r="AJ479" i="17" s="1"/>
  <c r="O479" i="17" s="1"/>
  <c r="Q479" i="17" l="1"/>
  <c r="P479" i="17"/>
  <c r="R479" i="17" l="1"/>
  <c r="K480" i="17" l="1"/>
  <c r="U480" i="17" s="1"/>
  <c r="V480" i="17" s="1"/>
  <c r="AI479" i="17"/>
  <c r="H480" i="17"/>
  <c r="T479" i="17"/>
  <c r="S479" i="17"/>
  <c r="AQ479" i="17"/>
  <c r="AK479" i="17"/>
  <c r="M480" i="17" l="1"/>
  <c r="N480" i="17" s="1"/>
  <c r="AJ480" i="17" l="1"/>
  <c r="O480" i="17" s="1"/>
  <c r="Q480" i="17" l="1"/>
  <c r="P480" i="17"/>
  <c r="R480" i="17" l="1"/>
  <c r="K481" i="17" l="1"/>
  <c r="U481" i="17" s="1"/>
  <c r="V481" i="17" s="1"/>
  <c r="S480" i="17"/>
  <c r="AQ480" i="17"/>
  <c r="AK480" i="17"/>
  <c r="H481" i="17"/>
  <c r="T480" i="17"/>
  <c r="AI480" i="17"/>
  <c r="M481" i="17" l="1"/>
  <c r="N481" i="17" s="1"/>
  <c r="AJ481" i="17" s="1"/>
  <c r="O481" i="17" s="1"/>
  <c r="P481" i="17" l="1"/>
  <c r="Q481" i="17"/>
  <c r="R481" i="17" l="1"/>
  <c r="K482" i="17" l="1"/>
  <c r="U482" i="17" s="1"/>
  <c r="V482" i="17" s="1"/>
  <c r="S481" i="17"/>
  <c r="T481" i="17"/>
  <c r="AI481" i="17"/>
  <c r="H482" i="17"/>
  <c r="AQ481" i="17"/>
  <c r="AK481" i="17"/>
  <c r="M482" i="17" l="1"/>
  <c r="N482" i="17" s="1"/>
  <c r="AJ482" i="17" l="1"/>
  <c r="O482" i="17" s="1"/>
  <c r="Q482" i="17" l="1"/>
  <c r="P482" i="17"/>
  <c r="R482" i="17" l="1"/>
  <c r="K483" i="17" s="1"/>
  <c r="H483" i="17"/>
  <c r="AI482" i="17"/>
  <c r="T482" i="17"/>
  <c r="S482" i="17"/>
  <c r="AK482" i="17" l="1"/>
  <c r="AQ482" i="17"/>
  <c r="U483" i="17"/>
  <c r="V483" i="17" s="1"/>
  <c r="M483" i="17"/>
  <c r="N483" i="17" l="1"/>
  <c r="AJ483" i="17" l="1"/>
  <c r="O483" i="17" s="1"/>
  <c r="P483" i="17" l="1"/>
  <c r="Q483" i="17"/>
  <c r="R483" i="17" l="1"/>
  <c r="AQ483" i="17" s="1"/>
  <c r="K484" i="17" l="1"/>
  <c r="U484" i="17" s="1"/>
  <c r="V484" i="17" s="1"/>
  <c r="AK483" i="17"/>
  <c r="H484" i="17"/>
  <c r="T483" i="17"/>
  <c r="S483" i="17"/>
  <c r="AI483" i="17"/>
  <c r="M484" i="17" l="1"/>
  <c r="N484" i="17" s="1"/>
  <c r="AJ484" i="17" s="1"/>
  <c r="O484" i="17" s="1"/>
  <c r="P484" i="17" l="1"/>
  <c r="Q484" i="17"/>
  <c r="R484" i="17" l="1"/>
  <c r="K485" i="17" l="1"/>
  <c r="M485" i="17" s="1"/>
  <c r="T484" i="17"/>
  <c r="AI484" i="17"/>
  <c r="S484" i="17"/>
  <c r="H485" i="17"/>
  <c r="AQ484" i="17"/>
  <c r="AK484" i="17"/>
  <c r="U485" i="17" l="1"/>
  <c r="V485" i="17" s="1"/>
  <c r="N485" i="17"/>
  <c r="AJ485" i="17" l="1"/>
  <c r="O485" i="17" s="1"/>
  <c r="Q485" i="17" l="1"/>
  <c r="P485" i="17"/>
  <c r="R485" i="17" l="1"/>
  <c r="K486" i="17" l="1"/>
  <c r="M486" i="17" s="1"/>
  <c r="T485" i="17"/>
  <c r="AK485" i="17"/>
  <c r="AQ485" i="17"/>
  <c r="S485" i="17"/>
  <c r="H486" i="17"/>
  <c r="AI485" i="17"/>
  <c r="U486" i="17" l="1"/>
  <c r="V486" i="17" s="1"/>
  <c r="N486" i="17"/>
  <c r="AJ486" i="17" s="1"/>
  <c r="O486" i="17" s="1"/>
  <c r="P486" i="17" l="1"/>
  <c r="Q486" i="17"/>
  <c r="R486" i="17" l="1"/>
  <c r="K487" i="17" l="1"/>
  <c r="U487" i="17" s="1"/>
  <c r="V487" i="17" s="1"/>
  <c r="H487" i="17"/>
  <c r="S486" i="17"/>
  <c r="T486" i="17"/>
  <c r="AI486" i="17"/>
  <c r="AQ486" i="17"/>
  <c r="AK486" i="17"/>
  <c r="M487" i="17" l="1"/>
  <c r="N487" i="17" s="1"/>
  <c r="AJ487" i="17" s="1"/>
  <c r="O487" i="17" l="1"/>
  <c r="Q487" i="17"/>
  <c r="P487" i="17"/>
  <c r="R487" i="17" l="1"/>
  <c r="K488" i="17" l="1"/>
  <c r="AQ487" i="17"/>
  <c r="AK487" i="17"/>
  <c r="T487" i="17"/>
  <c r="S487" i="17"/>
  <c r="AI487" i="17"/>
  <c r="H488" i="17"/>
  <c r="U488" i="17" l="1"/>
  <c r="V488" i="17" s="1"/>
  <c r="M488" i="17"/>
  <c r="N488" i="17" l="1"/>
  <c r="AJ488" i="17" s="1"/>
  <c r="O488" i="17" s="1"/>
  <c r="P488" i="17" l="1"/>
  <c r="Q488" i="17"/>
  <c r="R488" i="17" l="1"/>
  <c r="K489" i="17" l="1"/>
  <c r="U489" i="17" s="1"/>
  <c r="V489" i="17" s="1"/>
  <c r="S488" i="17"/>
  <c r="AQ488" i="17"/>
  <c r="AK488" i="17"/>
  <c r="AI488" i="17"/>
  <c r="H489" i="17"/>
  <c r="T488" i="17"/>
  <c r="M489" i="17" l="1"/>
  <c r="N489" i="17"/>
  <c r="AJ489" i="17" s="1"/>
  <c r="O489" i="17" s="1"/>
  <c r="P489" i="17" l="1"/>
  <c r="Q489" i="17"/>
  <c r="R489" i="17" l="1"/>
  <c r="K490" i="17" l="1"/>
  <c r="U490" i="17" s="1"/>
  <c r="V490" i="17" s="1"/>
  <c r="T489" i="17"/>
  <c r="AK489" i="17"/>
  <c r="AQ489" i="17"/>
  <c r="AI489" i="17"/>
  <c r="H490" i="17"/>
  <c r="S489" i="17"/>
  <c r="M490" i="17" l="1"/>
  <c r="N490" i="17" s="1"/>
  <c r="AJ490" i="17" s="1"/>
  <c r="O490" i="17" l="1"/>
  <c r="P490" i="17"/>
  <c r="Q490" i="17"/>
  <c r="R490" i="17" l="1"/>
  <c r="K491" i="17" l="1"/>
  <c r="AK490" i="17"/>
  <c r="AQ490" i="17"/>
  <c r="AI490" i="17"/>
  <c r="S490" i="17"/>
  <c r="T490" i="17"/>
  <c r="H491" i="17"/>
  <c r="U491" i="17" l="1"/>
  <c r="V491" i="17" s="1"/>
  <c r="M491" i="17"/>
  <c r="N491" i="17" s="1"/>
  <c r="AJ491" i="17" s="1"/>
  <c r="O491" i="17" s="1"/>
  <c r="Q491" i="17" l="1"/>
  <c r="P491" i="17"/>
  <c r="R491" i="17" l="1"/>
  <c r="K492" i="17" l="1"/>
  <c r="U492" i="17" s="1"/>
  <c r="V492" i="17" s="1"/>
  <c r="S491" i="17"/>
  <c r="AK491" i="17"/>
  <c r="H492" i="17"/>
  <c r="T491" i="17"/>
  <c r="AI491" i="17"/>
  <c r="AQ491" i="17"/>
  <c r="M492" i="17" l="1"/>
  <c r="N492" i="17" s="1"/>
  <c r="AJ492" i="17" s="1"/>
  <c r="O492" i="17" l="1"/>
  <c r="Q492" i="17"/>
  <c r="P492" i="17"/>
  <c r="R492" i="17" l="1"/>
  <c r="K493" i="17" l="1"/>
  <c r="U493" i="17" s="1"/>
  <c r="V493" i="17" s="1"/>
  <c r="AK492" i="17"/>
  <c r="AQ492" i="17"/>
  <c r="T492" i="17"/>
  <c r="AI492" i="17"/>
  <c r="H493" i="17"/>
  <c r="S492" i="17"/>
  <c r="M493" i="17" l="1"/>
  <c r="N493" i="17" s="1"/>
  <c r="AJ493" i="17" s="1"/>
  <c r="O493" i="17" s="1"/>
  <c r="P493" i="17" l="1"/>
  <c r="Q493" i="17"/>
  <c r="R493" i="17" l="1"/>
  <c r="K494" i="17" l="1"/>
  <c r="U494" i="17" s="1"/>
  <c r="V494" i="17" s="1"/>
  <c r="S493" i="17"/>
  <c r="H494" i="17"/>
  <c r="T493" i="17"/>
  <c r="AI493" i="17"/>
  <c r="AK493" i="17"/>
  <c r="AQ493" i="17"/>
  <c r="M494" i="17" l="1"/>
  <c r="N494" i="17" s="1"/>
  <c r="AJ494" i="17" s="1"/>
  <c r="O494" i="17" s="1"/>
  <c r="P494" i="17" l="1"/>
  <c r="Q494" i="17"/>
  <c r="R494" i="17" l="1"/>
  <c r="K495" i="17" l="1"/>
  <c r="M495" i="17" s="1"/>
  <c r="AI494" i="17"/>
  <c r="H495" i="17"/>
  <c r="AK494" i="17"/>
  <c r="AQ494" i="17"/>
  <c r="S494" i="17"/>
  <c r="T494" i="17"/>
  <c r="U495" i="17" l="1"/>
  <c r="V495" i="17" s="1"/>
  <c r="N495" i="17"/>
  <c r="AJ495" i="17" s="1"/>
  <c r="O495" i="17" s="1"/>
  <c r="P495" i="17" l="1"/>
  <c r="Q495" i="17"/>
  <c r="R495" i="17" l="1"/>
  <c r="K496" i="17" l="1"/>
  <c r="U496" i="17" s="1"/>
  <c r="V496" i="17" s="1"/>
  <c r="H496" i="17"/>
  <c r="AI495" i="17"/>
  <c r="T495" i="17"/>
  <c r="S495" i="17"/>
  <c r="AK495" i="17"/>
  <c r="AQ495" i="17"/>
  <c r="M496" i="17" l="1"/>
  <c r="N496" i="17" s="1"/>
  <c r="AJ496" i="17" s="1"/>
  <c r="O496" i="17" s="1"/>
  <c r="P496" i="17" l="1"/>
  <c r="Q496" i="17"/>
  <c r="R496" i="17" l="1"/>
  <c r="K497" i="17" l="1"/>
  <c r="AK496" i="17"/>
  <c r="AQ496" i="17"/>
  <c r="AI496" i="17"/>
  <c r="H497" i="17"/>
  <c r="T496" i="17"/>
  <c r="S496" i="17"/>
  <c r="U497" i="17" l="1"/>
  <c r="V497" i="17" s="1"/>
  <c r="M497" i="17"/>
  <c r="N497" i="17" s="1"/>
  <c r="AJ497" i="17" l="1"/>
  <c r="O497" i="17" s="1"/>
  <c r="Q497" i="17" l="1"/>
  <c r="P497" i="17"/>
  <c r="R497" i="17" l="1"/>
  <c r="AK497" i="17" s="1"/>
  <c r="K498" i="17" l="1"/>
  <c r="H498" i="17"/>
  <c r="AI497" i="17"/>
  <c r="S497" i="17"/>
  <c r="T497" i="17"/>
  <c r="AQ497" i="17"/>
  <c r="M498" i="17"/>
  <c r="U498" i="17"/>
  <c r="V498" i="17" s="1"/>
  <c r="N498" i="17" l="1"/>
  <c r="AJ498" i="17" l="1"/>
  <c r="O498" i="17" s="1"/>
  <c r="Q498" i="17" l="1"/>
  <c r="P498" i="17"/>
  <c r="R498" i="17" l="1"/>
  <c r="K499" i="17" l="1"/>
  <c r="M499" i="17" s="1"/>
  <c r="N499" i="17" s="1"/>
  <c r="AJ499" i="17" s="1"/>
  <c r="O499" i="17" s="1"/>
  <c r="H499" i="17"/>
  <c r="AK498" i="17"/>
  <c r="T498" i="17"/>
  <c r="AI498" i="17"/>
  <c r="S498" i="17"/>
  <c r="AQ498" i="17"/>
  <c r="U499" i="17" l="1"/>
  <c r="V499" i="17" s="1"/>
  <c r="Q499" i="17"/>
  <c r="P499" i="17"/>
  <c r="R499" i="17" l="1"/>
  <c r="K500" i="17" l="1"/>
  <c r="G15" i="17" s="1"/>
  <c r="H500" i="17"/>
  <c r="S499" i="17"/>
  <c r="T499" i="17"/>
  <c r="AK499" i="17"/>
  <c r="AI499" i="17"/>
  <c r="AQ499" i="17"/>
  <c r="M16" i="13" l="1"/>
  <c r="Q15" i="13"/>
  <c r="M500" i="17"/>
  <c r="N500" i="17" s="1"/>
  <c r="AJ500" i="17" s="1"/>
  <c r="O500" i="17" s="1"/>
  <c r="U500" i="17"/>
  <c r="V500" i="17" s="1"/>
  <c r="P500" i="17" l="1"/>
  <c r="Q500" i="17"/>
  <c r="R500" i="17" l="1"/>
  <c r="K501" i="17" l="1"/>
  <c r="U501" i="17" s="1"/>
  <c r="V501" i="17" s="1"/>
  <c r="AK500" i="17"/>
  <c r="AI500" i="17"/>
  <c r="S500" i="17"/>
  <c r="H501" i="17"/>
  <c r="T500" i="17"/>
  <c r="AQ500" i="17"/>
  <c r="M501" i="17" l="1"/>
  <c r="N501" i="17" s="1"/>
  <c r="AJ501" i="17" s="1"/>
  <c r="O501" i="17" s="1"/>
  <c r="P501" i="17" l="1"/>
  <c r="Q501" i="17"/>
  <c r="R501" i="17" l="1"/>
  <c r="K502" i="17" l="1"/>
  <c r="U502" i="17" s="1"/>
  <c r="V502" i="17" s="1"/>
  <c r="AI501" i="17"/>
  <c r="S501" i="17"/>
  <c r="AK501" i="17"/>
  <c r="H502" i="17"/>
  <c r="T501" i="17"/>
  <c r="AQ501" i="17"/>
  <c r="M502" i="17" l="1"/>
  <c r="N502" i="17" s="1"/>
  <c r="AJ502" i="17" l="1"/>
  <c r="Q502" i="17" s="1"/>
  <c r="O502" i="17" l="1"/>
  <c r="P502" i="17"/>
  <c r="R502" i="17" l="1"/>
  <c r="K503" i="17" l="1"/>
  <c r="AK502" i="17"/>
  <c r="AQ502" i="17"/>
  <c r="S502" i="17"/>
  <c r="AI502" i="17"/>
  <c r="T502" i="17"/>
  <c r="H503" i="17"/>
  <c r="M503" i="17" l="1"/>
  <c r="N503" i="17" s="1"/>
  <c r="AJ503" i="17" s="1"/>
  <c r="O503" i="17" s="1"/>
  <c r="U503" i="17"/>
  <c r="V503" i="17" s="1"/>
  <c r="P503" i="17" l="1"/>
  <c r="Q503" i="17"/>
  <c r="R503" i="17" l="1"/>
  <c r="K504" i="17" l="1"/>
  <c r="U504" i="17" s="1"/>
  <c r="V504" i="17" s="1"/>
  <c r="AI503" i="17"/>
  <c r="T503" i="17"/>
  <c r="S503" i="17"/>
  <c r="AK503" i="17"/>
  <c r="AQ503" i="17"/>
  <c r="H504" i="17"/>
  <c r="M504" i="17" l="1"/>
  <c r="N504" i="17" s="1"/>
  <c r="AJ504" i="17" l="1"/>
  <c r="O504" i="17" s="1"/>
  <c r="P504" i="17" l="1"/>
  <c r="Q504" i="17"/>
  <c r="R504" i="17" l="1"/>
  <c r="K505" i="17" l="1"/>
  <c r="U505" i="17" s="1"/>
  <c r="V505" i="17" s="1"/>
  <c r="AK504" i="17"/>
  <c r="AQ504" i="17"/>
  <c r="H505" i="17"/>
  <c r="S504" i="17"/>
  <c r="T504" i="17"/>
  <c r="AI504" i="17"/>
  <c r="M505" i="17" l="1"/>
  <c r="N505" i="17" s="1"/>
  <c r="AJ505" i="17" l="1"/>
  <c r="Q505" i="17" s="1"/>
  <c r="O505" i="17" l="1"/>
  <c r="P505" i="17"/>
  <c r="R505" i="17" l="1"/>
  <c r="AQ505" i="17" s="1"/>
  <c r="K506" i="17" l="1"/>
  <c r="U506" i="17" s="1"/>
  <c r="V506" i="17" s="1"/>
  <c r="T505" i="17"/>
  <c r="AK505" i="17"/>
  <c r="H506" i="17"/>
  <c r="AI505" i="17"/>
  <c r="S505" i="17"/>
  <c r="M506" i="17" l="1"/>
  <c r="N506" i="17" s="1"/>
  <c r="AJ506" i="17" l="1"/>
  <c r="O506" i="17" s="1"/>
  <c r="P506" i="17" l="1"/>
  <c r="Q506" i="17"/>
  <c r="R506" i="17" l="1"/>
  <c r="H507" i="17" s="1"/>
  <c r="K507" i="17" l="1"/>
  <c r="U507" i="17" s="1"/>
  <c r="V507" i="17" s="1"/>
  <c r="AI506" i="17"/>
  <c r="AK506" i="17"/>
  <c r="AQ506" i="17"/>
  <c r="T506" i="17"/>
  <c r="S506" i="17"/>
  <c r="M507" i="17" l="1"/>
  <c r="N507" i="17" s="1"/>
  <c r="AJ507" i="17" s="1"/>
  <c r="O507" i="17" s="1"/>
  <c r="P507" i="17"/>
  <c r="Q507" i="17"/>
  <c r="R507" i="17" l="1"/>
  <c r="K508" i="17" l="1"/>
  <c r="U508" i="17" s="1"/>
  <c r="V508" i="17" s="1"/>
  <c r="H508" i="17"/>
  <c r="S507" i="17"/>
  <c r="AI507" i="17"/>
  <c r="T507" i="17"/>
  <c r="AK507" i="17"/>
  <c r="AQ507" i="17"/>
  <c r="M508" i="17" l="1"/>
  <c r="N508" i="17" s="1"/>
  <c r="AJ508" i="17" l="1"/>
  <c r="O508" i="17" s="1"/>
  <c r="P508" i="17" l="1"/>
  <c r="Q508" i="17"/>
  <c r="R508" i="17" l="1"/>
  <c r="K509" i="17" l="1"/>
  <c r="U509" i="17" s="1"/>
  <c r="V509" i="17" s="1"/>
  <c r="H509" i="17"/>
  <c r="T508" i="17"/>
  <c r="AI508" i="17"/>
  <c r="AK508" i="17"/>
  <c r="S508" i="17"/>
  <c r="AQ508" i="17"/>
  <c r="M509" i="17" l="1"/>
  <c r="N509" i="17" s="1"/>
  <c r="AJ509" i="17" s="1"/>
  <c r="O509" i="17" s="1"/>
  <c r="Q509" i="17" l="1"/>
  <c r="P509" i="17"/>
  <c r="R509" i="17" s="1"/>
  <c r="K510" i="17" l="1"/>
  <c r="U510" i="17" s="1"/>
  <c r="V510" i="17" s="1"/>
  <c r="H510" i="17"/>
  <c r="T509" i="17"/>
  <c r="AI509" i="17"/>
  <c r="S509" i="17"/>
  <c r="AK509" i="17"/>
  <c r="AQ509" i="17"/>
  <c r="M510" i="17" l="1"/>
  <c r="N510" i="17" s="1"/>
  <c r="AJ510" i="17" s="1"/>
  <c r="O510" i="17" s="1"/>
  <c r="P510" i="17" l="1"/>
  <c r="Q510" i="17"/>
  <c r="R510" i="17" l="1"/>
  <c r="K511" i="17" l="1"/>
  <c r="U511" i="17" s="1"/>
  <c r="V511" i="17" s="1"/>
  <c r="AK510" i="17"/>
  <c r="AQ510" i="17"/>
  <c r="S510" i="17"/>
  <c r="AI510" i="17"/>
  <c r="H511" i="17"/>
  <c r="T510" i="17"/>
  <c r="M511" i="17" l="1"/>
  <c r="N511" i="17" s="1"/>
  <c r="AJ511" i="17" l="1"/>
  <c r="O511" i="17" s="1"/>
  <c r="Q511" i="17" l="1"/>
  <c r="P511" i="17"/>
  <c r="R511" i="17" l="1"/>
  <c r="K512" i="17" l="1"/>
  <c r="U512" i="17" s="1"/>
  <c r="V512" i="17" s="1"/>
  <c r="AK511" i="17"/>
  <c r="S511" i="17"/>
  <c r="T511" i="17"/>
  <c r="H512" i="17"/>
  <c r="AI511" i="17"/>
  <c r="AQ511" i="17"/>
  <c r="M512" i="17" l="1"/>
  <c r="N512" i="17" s="1"/>
  <c r="AJ512" i="17" l="1"/>
  <c r="Q512" i="17" s="1"/>
  <c r="O512" i="17" l="1"/>
  <c r="P512" i="17"/>
  <c r="R512" i="17" l="1"/>
  <c r="K513" i="17" l="1"/>
  <c r="AK512" i="17"/>
  <c r="AQ512" i="17"/>
  <c r="S512" i="17"/>
  <c r="T512" i="17"/>
  <c r="H513" i="17"/>
  <c r="AI512" i="17"/>
  <c r="U513" i="17" l="1"/>
  <c r="V513" i="17" s="1"/>
  <c r="M513" i="17"/>
  <c r="N513" i="17" s="1"/>
  <c r="AJ513" i="17" l="1"/>
  <c r="O513" i="17" l="1"/>
  <c r="P513" i="17"/>
  <c r="Q513" i="17"/>
  <c r="R513" i="17" l="1"/>
  <c r="K514" i="17" l="1"/>
  <c r="AK513" i="17"/>
  <c r="AQ513" i="17"/>
  <c r="T513" i="17"/>
  <c r="S513" i="17"/>
  <c r="AI513" i="17"/>
  <c r="H514" i="17"/>
  <c r="M514" i="17" l="1"/>
  <c r="U514" i="17"/>
  <c r="V514" i="17" s="1"/>
  <c r="N514" i="17" l="1"/>
  <c r="AJ514" i="17" s="1"/>
  <c r="O514" i="17" s="1"/>
  <c r="P514" i="17" l="1"/>
  <c r="Q514" i="17"/>
  <c r="R514" i="17" l="1"/>
  <c r="K515" i="17" l="1"/>
  <c r="U515" i="17" s="1"/>
  <c r="V515" i="17" s="1"/>
  <c r="AQ514" i="17"/>
  <c r="T514" i="17"/>
  <c r="S514" i="17"/>
  <c r="AI514" i="17"/>
  <c r="H515" i="17"/>
  <c r="AK514" i="17"/>
  <c r="M515" i="17" l="1"/>
  <c r="N515" i="17" s="1"/>
  <c r="AJ515" i="17" s="1"/>
  <c r="O515" i="17" s="1"/>
  <c r="P515" i="17" l="1"/>
  <c r="Q515" i="17"/>
  <c r="R515" i="17" l="1"/>
  <c r="K516" i="17" l="1"/>
  <c r="U516" i="17" s="1"/>
  <c r="V516" i="17" s="1"/>
  <c r="AK515" i="17"/>
  <c r="AQ515" i="17"/>
  <c r="H516" i="17"/>
  <c r="AI515" i="17"/>
  <c r="T515" i="17"/>
  <c r="S515" i="17"/>
  <c r="M516" i="17" l="1"/>
  <c r="N516" i="17" l="1"/>
  <c r="AJ516" i="17" s="1"/>
  <c r="O516" i="17" s="1"/>
  <c r="P516" i="17" l="1"/>
  <c r="Q516" i="17"/>
  <c r="R516" i="17" l="1"/>
  <c r="K517" i="17" l="1"/>
  <c r="M517" i="17" s="1"/>
  <c r="T516" i="17"/>
  <c r="H517" i="17"/>
  <c r="S516" i="17"/>
  <c r="AK516" i="17"/>
  <c r="AI516" i="17"/>
  <c r="AQ516" i="17"/>
  <c r="U517" i="17" l="1"/>
  <c r="V517" i="17" s="1"/>
  <c r="N517" i="17"/>
  <c r="AJ517" i="17" l="1"/>
  <c r="O517" i="17" s="1"/>
  <c r="Q517" i="17" l="1"/>
  <c r="P517" i="17"/>
  <c r="R517" i="17" l="1"/>
  <c r="AQ517" i="17" s="1"/>
  <c r="AI517" i="17" l="1"/>
  <c r="H518" i="17"/>
  <c r="AK517" i="17"/>
  <c r="K518" i="17"/>
  <c r="U518" i="17" s="1"/>
  <c r="V518" i="17" s="1"/>
  <c r="T517" i="17"/>
  <c r="S517" i="17"/>
  <c r="M518" i="17" l="1"/>
  <c r="N518" i="17" s="1"/>
  <c r="AJ518" i="17" s="1"/>
  <c r="O518" i="17" s="1"/>
  <c r="Q518" i="17" l="1"/>
  <c r="P518" i="17"/>
  <c r="R518" i="17" l="1"/>
  <c r="AK518" i="17" s="1"/>
  <c r="AI518" i="17" l="1"/>
  <c r="K519" i="17"/>
  <c r="M519" i="17" s="1"/>
  <c r="S518" i="17"/>
  <c r="T518" i="17"/>
  <c r="H519" i="17"/>
  <c r="AQ518" i="17"/>
  <c r="N519" i="17" l="1"/>
  <c r="AJ519" i="17" s="1"/>
  <c r="O519" i="17" s="1"/>
  <c r="U519" i="17"/>
  <c r="V519" i="17" s="1"/>
  <c r="P519" i="17" l="1"/>
  <c r="Q519" i="17"/>
  <c r="R519" i="17" s="1"/>
  <c r="K520" i="17" l="1"/>
  <c r="M520" i="17" s="1"/>
  <c r="N520" i="17" s="1"/>
  <c r="AJ520" i="17" s="1"/>
  <c r="AQ519" i="17"/>
  <c r="S519" i="17"/>
  <c r="T519" i="17"/>
  <c r="AI519" i="17"/>
  <c r="H520" i="17"/>
  <c r="AK519" i="17"/>
  <c r="U520" i="17" l="1"/>
  <c r="V520" i="17" s="1"/>
  <c r="O520" i="17"/>
  <c r="P520" i="17"/>
  <c r="Q520" i="17"/>
  <c r="R520" i="17" l="1"/>
  <c r="K521" i="17" l="1"/>
  <c r="AQ520" i="17"/>
  <c r="AK520" i="17"/>
  <c r="S520" i="17"/>
  <c r="H521" i="17"/>
  <c r="AI520" i="17"/>
  <c r="T520" i="17"/>
  <c r="M521" i="17" l="1"/>
  <c r="N521" i="17" s="1"/>
  <c r="U521" i="17"/>
  <c r="V521" i="17" s="1"/>
  <c r="AJ521" i="17" l="1"/>
  <c r="O521" i="17" l="1"/>
  <c r="Q521" i="17"/>
  <c r="P521" i="17"/>
  <c r="R521" i="17" l="1"/>
  <c r="K522" i="17" l="1"/>
  <c r="AK521" i="17"/>
  <c r="AQ521" i="17"/>
  <c r="AI521" i="17"/>
  <c r="H522" i="17"/>
  <c r="S521" i="17"/>
  <c r="T521" i="17"/>
  <c r="U522" i="17" l="1"/>
  <c r="V522" i="17" s="1"/>
  <c r="M522" i="17"/>
  <c r="N522" i="17" l="1"/>
  <c r="AJ522" i="17" s="1"/>
  <c r="O522" i="17" l="1"/>
  <c r="Q522" i="17"/>
  <c r="P522" i="17"/>
  <c r="R522" i="17" l="1"/>
  <c r="K523" i="17" l="1"/>
  <c r="AK522" i="17"/>
  <c r="AQ522" i="17"/>
  <c r="H523" i="17"/>
  <c r="T522" i="17"/>
  <c r="S522" i="17"/>
  <c r="AI522" i="17"/>
  <c r="M523" i="17" l="1"/>
  <c r="N523" i="17" s="1"/>
  <c r="U523" i="17"/>
  <c r="V523" i="17" s="1"/>
  <c r="AJ523" i="17" l="1"/>
  <c r="O523" i="17" l="1"/>
  <c r="P523" i="17"/>
  <c r="Q523" i="17"/>
  <c r="R523" i="17" l="1"/>
  <c r="K524" i="17" l="1"/>
  <c r="AQ523" i="17"/>
  <c r="AK523" i="17"/>
  <c r="T523" i="17"/>
  <c r="AI523" i="17"/>
  <c r="S523" i="17"/>
  <c r="H524" i="17"/>
  <c r="U524" i="17" l="1"/>
  <c r="V524" i="17" s="1"/>
  <c r="M524" i="17"/>
  <c r="N524" i="17" s="1"/>
  <c r="AJ524" i="17" l="1"/>
  <c r="O524" i="17" l="1"/>
  <c r="P524" i="17"/>
  <c r="Q524" i="17"/>
  <c r="R524" i="17" l="1"/>
  <c r="K525" i="17" l="1"/>
  <c r="AQ524" i="17"/>
  <c r="AK524" i="17"/>
  <c r="S524" i="17"/>
  <c r="AI524" i="17"/>
  <c r="T524" i="17"/>
  <c r="H525" i="17"/>
  <c r="M525" i="17" l="1"/>
  <c r="N525" i="17" s="1"/>
  <c r="U525" i="17"/>
  <c r="V525" i="17" s="1"/>
  <c r="AJ525" i="17" l="1"/>
  <c r="O525" i="17" l="1"/>
  <c r="Q525" i="17"/>
  <c r="P525" i="17"/>
  <c r="R525" i="17" l="1"/>
  <c r="K526" i="17" l="1"/>
  <c r="AK525" i="17"/>
  <c r="AQ525" i="17"/>
  <c r="H526" i="17"/>
  <c r="S525" i="17"/>
  <c r="AI525" i="17"/>
  <c r="T525" i="17"/>
  <c r="U526" i="17" l="1"/>
  <c r="V526" i="17" s="1"/>
  <c r="M526" i="17"/>
  <c r="N526" i="17" s="1"/>
  <c r="AJ526" i="17" l="1"/>
  <c r="P526" i="17" s="1"/>
  <c r="O526" i="17" l="1"/>
  <c r="Q526" i="17"/>
  <c r="R526" i="17" l="1"/>
  <c r="K527" i="17" l="1"/>
  <c r="U527" i="17" s="1"/>
  <c r="V527" i="17" s="1"/>
  <c r="T526" i="17"/>
  <c r="AI526" i="17"/>
  <c r="H527" i="17"/>
  <c r="AQ526" i="17"/>
  <c r="S526" i="17"/>
  <c r="AK526" i="17"/>
  <c r="M527" i="17" l="1"/>
  <c r="N527" i="17" s="1"/>
  <c r="AJ527" i="17" s="1"/>
  <c r="P527" i="17" s="1"/>
  <c r="Q527" i="17" l="1"/>
  <c r="O527" i="17"/>
  <c r="R527" i="17" l="1"/>
  <c r="K528" i="17" l="1"/>
  <c r="U528" i="17" s="1"/>
  <c r="V528" i="17" s="1"/>
  <c r="AI527" i="17"/>
  <c r="T527" i="17"/>
  <c r="AK527" i="17"/>
  <c r="H528" i="17"/>
  <c r="S527" i="17"/>
  <c r="AQ527" i="17"/>
  <c r="M528" i="17" l="1"/>
  <c r="N528" i="17" s="1"/>
  <c r="AJ528" i="17" s="1"/>
  <c r="O528" i="17" s="1"/>
  <c r="P528" i="17" l="1"/>
  <c r="Q528" i="17"/>
  <c r="R528" i="17" l="1"/>
  <c r="K529" i="17" l="1"/>
  <c r="M529" i="17" s="1"/>
  <c r="N529" i="17" s="1"/>
  <c r="S528" i="17"/>
  <c r="AI528" i="17"/>
  <c r="T528" i="17"/>
  <c r="H529" i="17"/>
  <c r="AK528" i="17"/>
  <c r="AQ528" i="17"/>
  <c r="U529" i="17" l="1"/>
  <c r="V529" i="17" s="1"/>
  <c r="AJ529" i="17"/>
  <c r="O529" i="17" s="1"/>
  <c r="P529" i="17" l="1"/>
  <c r="Q529" i="17"/>
  <c r="R529" i="17" l="1"/>
  <c r="K530" i="17" l="1"/>
  <c r="U530" i="17" s="1"/>
  <c r="V530" i="17" s="1"/>
  <c r="T529" i="17"/>
  <c r="H530" i="17"/>
  <c r="AI529" i="17"/>
  <c r="S529" i="17"/>
  <c r="AQ529" i="17"/>
  <c r="AK529" i="17"/>
  <c r="M530" i="17" l="1"/>
  <c r="N530" i="17" s="1"/>
  <c r="AJ530" i="17" l="1"/>
  <c r="O530" i="17" s="1"/>
  <c r="Q530" i="17" l="1"/>
  <c r="P530" i="17"/>
  <c r="R530" i="17" s="1"/>
  <c r="AQ530" i="17" s="1"/>
  <c r="AI530" i="17" l="1"/>
  <c r="S530" i="17"/>
  <c r="H531" i="17"/>
  <c r="T530" i="17"/>
  <c r="AK530" i="17"/>
  <c r="K531" i="17"/>
  <c r="M531" i="17" s="1"/>
  <c r="N531" i="17" s="1"/>
  <c r="U531" i="17" l="1"/>
  <c r="V531" i="17" s="1"/>
  <c r="AJ531" i="17"/>
  <c r="O531" i="17" s="1"/>
  <c r="Q531" i="17" l="1"/>
  <c r="P531" i="17"/>
  <c r="R531" i="17" l="1"/>
  <c r="K532" i="17" l="1"/>
  <c r="U532" i="17" s="1"/>
  <c r="V532" i="17" s="1"/>
  <c r="AI531" i="17"/>
  <c r="S531" i="17"/>
  <c r="AQ531" i="17"/>
  <c r="H532" i="17"/>
  <c r="T531" i="17"/>
  <c r="AK531" i="17"/>
  <c r="M532" i="17" l="1"/>
  <c r="N532" i="17" s="1"/>
  <c r="AJ532" i="17" s="1"/>
  <c r="O532" i="17" s="1"/>
  <c r="P532" i="17" l="1"/>
  <c r="Q532" i="17"/>
  <c r="R532" i="17" l="1"/>
  <c r="K533" i="17" l="1"/>
  <c r="U533" i="17" s="1"/>
  <c r="V533" i="17" s="1"/>
  <c r="AI532" i="17"/>
  <c r="T532" i="17"/>
  <c r="H533" i="17"/>
  <c r="S532" i="17"/>
  <c r="AK532" i="17"/>
  <c r="AQ532" i="17"/>
  <c r="M533" i="17" l="1"/>
  <c r="N533" i="17" s="1"/>
  <c r="AJ533" i="17" l="1"/>
  <c r="O533" i="17" s="1"/>
  <c r="Q533" i="17" l="1"/>
  <c r="P533" i="17"/>
  <c r="R533" i="17" l="1"/>
  <c r="K534" i="17" l="1"/>
  <c r="M534" i="17" s="1"/>
  <c r="AK533" i="17"/>
  <c r="AQ533" i="17"/>
  <c r="T533" i="17"/>
  <c r="H534" i="17"/>
  <c r="S533" i="17"/>
  <c r="AI533" i="17"/>
  <c r="N534" i="17" l="1"/>
  <c r="AJ534" i="17" s="1"/>
  <c r="O534" i="17" s="1"/>
  <c r="U534" i="17"/>
  <c r="V534" i="17" s="1"/>
  <c r="P534" i="17" l="1"/>
  <c r="Q534" i="17"/>
  <c r="R534" i="17" l="1"/>
  <c r="AI534" i="17" s="1"/>
  <c r="K535" i="17" l="1"/>
  <c r="U535" i="17" s="1"/>
  <c r="V535" i="17" s="1"/>
  <c r="S534" i="17"/>
  <c r="AQ534" i="17"/>
  <c r="AK534" i="17"/>
  <c r="T534" i="17"/>
  <c r="H535" i="17"/>
  <c r="M535" i="17" l="1"/>
  <c r="N535" i="17" s="1"/>
  <c r="AJ535" i="17" s="1"/>
  <c r="O535" i="17" s="1"/>
  <c r="P535" i="17" l="1"/>
  <c r="Q535" i="17"/>
  <c r="R535" i="17" s="1"/>
  <c r="K536" i="17" l="1"/>
  <c r="U536" i="17" s="1"/>
  <c r="V536" i="17" s="1"/>
  <c r="T535" i="17"/>
  <c r="AI535" i="17"/>
  <c r="S535" i="17"/>
  <c r="AQ535" i="17"/>
  <c r="H536" i="17"/>
  <c r="AK535" i="17"/>
  <c r="M536" i="17" l="1"/>
  <c r="N536" i="17" s="1"/>
  <c r="AJ536" i="17" s="1"/>
  <c r="O536" i="17" l="1"/>
  <c r="Q536" i="17"/>
  <c r="P536" i="17"/>
  <c r="R536" i="17" l="1"/>
  <c r="K537" i="17" l="1"/>
  <c r="AQ536" i="17"/>
  <c r="AK536" i="17"/>
  <c r="S536" i="17"/>
  <c r="T536" i="17"/>
  <c r="H537" i="17"/>
  <c r="AI536" i="17"/>
  <c r="U537" i="17" l="1"/>
  <c r="V537" i="17" s="1"/>
  <c r="M537" i="17"/>
  <c r="N537" i="17" l="1"/>
  <c r="AJ537" i="17" l="1"/>
  <c r="Q537" i="17" s="1"/>
  <c r="O537" i="17" l="1"/>
  <c r="P537" i="17"/>
  <c r="R537" i="17" l="1"/>
  <c r="K538" i="17" l="1"/>
  <c r="AQ537" i="17"/>
  <c r="AK537" i="17"/>
  <c r="H538" i="17"/>
  <c r="T537" i="17"/>
  <c r="AI537" i="17"/>
  <c r="S537" i="17"/>
  <c r="M538" i="17" l="1"/>
  <c r="U538" i="17"/>
  <c r="V538" i="17" s="1"/>
  <c r="N538" i="17" l="1"/>
  <c r="AJ538" i="17" l="1"/>
  <c r="Q538" i="17" s="1"/>
  <c r="O538" i="17" l="1"/>
  <c r="P538" i="17"/>
  <c r="R538" i="17" l="1"/>
  <c r="K539" i="17" l="1"/>
  <c r="AQ538" i="17"/>
  <c r="AK538" i="17"/>
  <c r="T538" i="17"/>
  <c r="S538" i="17"/>
  <c r="H539" i="17"/>
  <c r="AI538" i="17"/>
  <c r="M539" i="17" l="1"/>
  <c r="U539" i="17"/>
  <c r="V539" i="17" s="1"/>
  <c r="N539" i="17" l="1"/>
  <c r="AJ539" i="17" l="1"/>
  <c r="O539" i="17" s="1"/>
  <c r="Q539" i="17" l="1"/>
  <c r="P539" i="17"/>
  <c r="R539" i="17" l="1"/>
  <c r="K540" i="17" l="1"/>
  <c r="U540" i="17" s="1"/>
  <c r="V540" i="17" s="1"/>
  <c r="T539" i="17"/>
  <c r="S539" i="17"/>
  <c r="H540" i="17"/>
  <c r="AI539" i="17"/>
  <c r="AK539" i="17"/>
  <c r="AQ539" i="17"/>
  <c r="M540" i="17" l="1"/>
  <c r="N540" i="17" s="1"/>
  <c r="AJ540" i="17" s="1"/>
  <c r="O540" i="17" s="1"/>
  <c r="P540" i="17" l="1"/>
  <c r="Q540" i="17"/>
  <c r="R540" i="17" l="1"/>
  <c r="K541" i="17" l="1"/>
  <c r="U541" i="17" s="1"/>
  <c r="V541" i="17" s="1"/>
  <c r="H541" i="17"/>
  <c r="T540" i="17"/>
  <c r="S540" i="17"/>
  <c r="AI540" i="17"/>
  <c r="AK540" i="17"/>
  <c r="AQ540" i="17"/>
  <c r="M541" i="17" l="1"/>
  <c r="N541" i="17" s="1"/>
  <c r="AJ541" i="17" s="1"/>
  <c r="O541" i="17" s="1"/>
  <c r="P541" i="17" l="1"/>
  <c r="Q541" i="17"/>
  <c r="R541" i="17" l="1"/>
  <c r="K542" i="17" l="1"/>
  <c r="M542" i="17" s="1"/>
  <c r="N542" i="17" s="1"/>
  <c r="AK541" i="17"/>
  <c r="T541" i="17"/>
  <c r="S541" i="17"/>
  <c r="H542" i="17"/>
  <c r="AI541" i="17"/>
  <c r="AQ541" i="17"/>
  <c r="U542" i="17" l="1"/>
  <c r="V542" i="17" s="1"/>
  <c r="AJ542" i="17"/>
  <c r="P542" i="17" s="1"/>
  <c r="O542" i="17" l="1"/>
  <c r="Q542" i="17"/>
  <c r="R542" i="17" l="1"/>
  <c r="S542" i="17" s="1"/>
  <c r="AI542" i="17" l="1"/>
  <c r="AK542" i="17"/>
  <c r="AQ542" i="17"/>
  <c r="K543" i="17"/>
  <c r="M543" i="17" s="1"/>
  <c r="N543" i="17" s="1"/>
  <c r="AJ543" i="17" s="1"/>
  <c r="T542" i="17"/>
  <c r="H543" i="17"/>
  <c r="U543" i="17" l="1"/>
  <c r="V543" i="17" s="1"/>
  <c r="O543" i="17"/>
  <c r="P543" i="17"/>
  <c r="Q543" i="17"/>
  <c r="R543" i="17" l="1"/>
  <c r="K544" i="17" l="1"/>
  <c r="AQ543" i="17"/>
  <c r="AK543" i="17"/>
  <c r="AI543" i="17"/>
  <c r="S543" i="17"/>
  <c r="H544" i="17"/>
  <c r="T543" i="17"/>
  <c r="U544" i="17" l="1"/>
  <c r="V544" i="17" s="1"/>
  <c r="M544" i="17"/>
  <c r="N544" i="17" s="1"/>
  <c r="AJ544" i="17" l="1"/>
  <c r="P544" i="17" s="1"/>
  <c r="Q544" i="17" l="1"/>
  <c r="O544" i="17"/>
  <c r="R544" i="17" l="1"/>
  <c r="AI544" i="17" s="1"/>
  <c r="T544" i="17" l="1"/>
  <c r="AK544" i="17"/>
  <c r="AQ544" i="17"/>
  <c r="K545" i="17"/>
  <c r="U545" i="17" s="1"/>
  <c r="V545" i="17" s="1"/>
  <c r="H545" i="17"/>
  <c r="S544" i="17"/>
  <c r="M545" i="17" l="1"/>
  <c r="N545" i="17" s="1"/>
  <c r="AJ545" i="17" s="1"/>
  <c r="O545" i="17" s="1"/>
  <c r="P545" i="17" l="1"/>
  <c r="Q545" i="17"/>
  <c r="R545" i="17" l="1"/>
  <c r="K546" i="17" l="1"/>
  <c r="U546" i="17" s="1"/>
  <c r="V546" i="17" s="1"/>
  <c r="AI545" i="17"/>
  <c r="AQ545" i="17"/>
  <c r="T545" i="17"/>
  <c r="S545" i="17"/>
  <c r="H546" i="17"/>
  <c r="AK545" i="17"/>
  <c r="M546" i="17" l="1"/>
  <c r="N546" i="17" s="1"/>
  <c r="AJ546" i="17" s="1"/>
  <c r="P546" i="17" s="1"/>
  <c r="O546" i="17" l="1"/>
  <c r="Q546" i="17"/>
  <c r="R546" i="17" l="1"/>
  <c r="K547" i="17" l="1"/>
  <c r="AK546" i="17"/>
  <c r="AQ546" i="17"/>
  <c r="H547" i="17"/>
  <c r="AI546" i="17"/>
  <c r="T546" i="17"/>
  <c r="S546" i="17"/>
  <c r="U547" i="17" l="1"/>
  <c r="V547" i="17" s="1"/>
  <c r="M547" i="17"/>
  <c r="N547" i="17" l="1"/>
  <c r="AJ547" i="17" s="1"/>
  <c r="O547" i="17" s="1"/>
  <c r="P547" i="17" l="1"/>
  <c r="Q547" i="17"/>
  <c r="R547" i="17" l="1"/>
  <c r="K548" i="17" l="1"/>
  <c r="M548" i="17" s="1"/>
  <c r="N548" i="17" s="1"/>
  <c r="AI547" i="17"/>
  <c r="AQ547" i="17"/>
  <c r="S547" i="17"/>
  <c r="T547" i="17"/>
  <c r="H548" i="17"/>
  <c r="AK547" i="17"/>
  <c r="U548" i="17" l="1"/>
  <c r="V548" i="17" s="1"/>
  <c r="AJ548" i="17"/>
  <c r="O548" i="17" l="1"/>
  <c r="P548" i="17"/>
  <c r="Q548" i="17"/>
  <c r="R548" i="17" l="1"/>
  <c r="K549" i="17" l="1"/>
  <c r="AK548" i="17"/>
  <c r="AQ548" i="17"/>
  <c r="T548" i="17"/>
  <c r="H549" i="17"/>
  <c r="AI548" i="17"/>
  <c r="S548" i="17"/>
  <c r="M549" i="17" l="1"/>
  <c r="N549" i="17" s="1"/>
  <c r="AJ549" i="17" s="1"/>
  <c r="O549" i="17" s="1"/>
  <c r="U549" i="17"/>
  <c r="V549" i="17" s="1"/>
  <c r="Q549" i="17" l="1"/>
  <c r="P549" i="17"/>
  <c r="R549" i="17" l="1"/>
  <c r="K550" i="17" l="1"/>
  <c r="U550" i="17" s="1"/>
  <c r="V550" i="17" s="1"/>
  <c r="AI549" i="17"/>
  <c r="T549" i="17"/>
  <c r="S549" i="17"/>
  <c r="H550" i="17"/>
  <c r="AK549" i="17"/>
  <c r="AQ549" i="17"/>
  <c r="M550" i="17" l="1"/>
  <c r="N550" i="17"/>
  <c r="AJ550" i="17" l="1"/>
  <c r="O550" i="17" s="1"/>
  <c r="Q550" i="17" l="1"/>
  <c r="P550" i="17"/>
  <c r="R550" i="17" l="1"/>
  <c r="K551" i="17" l="1"/>
  <c r="U551" i="17" s="1"/>
  <c r="V551" i="17" s="1"/>
  <c r="AI550" i="17"/>
  <c r="T550" i="17"/>
  <c r="H551" i="17"/>
  <c r="AK550" i="17"/>
  <c r="S550" i="17"/>
  <c r="AQ550" i="17"/>
  <c r="M551" i="17" l="1"/>
  <c r="N551" i="17" s="1"/>
  <c r="AJ551" i="17" l="1"/>
  <c r="O551" i="17" s="1"/>
  <c r="Q551" i="17" l="1"/>
  <c r="P551" i="17"/>
  <c r="R551" i="17" l="1"/>
  <c r="K552" i="17" l="1"/>
  <c r="U552" i="17" s="1"/>
  <c r="V552" i="17" s="1"/>
  <c r="S551" i="17"/>
  <c r="T551" i="17"/>
  <c r="AI551" i="17"/>
  <c r="H552" i="17"/>
  <c r="AQ551" i="17"/>
  <c r="AK551" i="17"/>
  <c r="M552" i="17" l="1"/>
  <c r="N552" i="17" s="1"/>
  <c r="AJ552" i="17" l="1"/>
  <c r="O552" i="17" s="1"/>
  <c r="P552" i="17" l="1"/>
  <c r="Q552" i="17"/>
  <c r="R552" i="17" l="1"/>
  <c r="K553" i="17" l="1"/>
  <c r="M553" i="17" s="1"/>
  <c r="N553" i="17" s="1"/>
  <c r="AJ553" i="17" s="1"/>
  <c r="H553" i="17"/>
  <c r="AQ552" i="17"/>
  <c r="AI552" i="17"/>
  <c r="S552" i="17"/>
  <c r="T552" i="17"/>
  <c r="AK552" i="17"/>
  <c r="U553" i="17" l="1"/>
  <c r="V553" i="17" s="1"/>
  <c r="O553" i="17"/>
  <c r="P553" i="17"/>
  <c r="Q553" i="17"/>
  <c r="R553" i="17" l="1"/>
  <c r="K554" i="17" l="1"/>
  <c r="AK553" i="17"/>
  <c r="AQ553" i="17"/>
  <c r="AI553" i="17"/>
  <c r="H554" i="17"/>
  <c r="T553" i="17"/>
  <c r="S553" i="17"/>
  <c r="U554" i="17" l="1"/>
  <c r="V554" i="17" s="1"/>
  <c r="M554" i="17"/>
  <c r="N554" i="17" s="1"/>
  <c r="AJ554" i="17" s="1"/>
  <c r="O554" i="17" l="1"/>
  <c r="P554" i="17"/>
  <c r="Q554" i="17"/>
  <c r="R554" i="17" l="1"/>
  <c r="K555" i="17" l="1"/>
  <c r="AQ554" i="17"/>
  <c r="AK554" i="17"/>
  <c r="T554" i="17"/>
  <c r="AI554" i="17"/>
  <c r="S554" i="17"/>
  <c r="H555" i="17"/>
  <c r="U555" i="17" l="1"/>
  <c r="V555" i="17" s="1"/>
  <c r="M555" i="17"/>
  <c r="N555" i="17" l="1"/>
  <c r="AJ555" i="17" s="1"/>
  <c r="O555" i="17" s="1"/>
  <c r="P555" i="17" l="1"/>
  <c r="Q555" i="17"/>
  <c r="R555" i="17" l="1"/>
  <c r="K556" i="17" l="1"/>
  <c r="U556" i="17" s="1"/>
  <c r="V556" i="17" s="1"/>
  <c r="H556" i="17"/>
  <c r="S555" i="17"/>
  <c r="AK555" i="17"/>
  <c r="AI555" i="17"/>
  <c r="T555" i="17"/>
  <c r="AQ555" i="17"/>
  <c r="M556" i="17" l="1"/>
  <c r="N556" i="17" s="1"/>
  <c r="AJ556" i="17" s="1"/>
  <c r="Q556" i="17" s="1"/>
  <c r="O556" i="17" l="1"/>
  <c r="P556" i="17"/>
  <c r="R556" i="17" l="1"/>
  <c r="K557" i="17" s="1"/>
  <c r="AQ556" i="17"/>
  <c r="S556" i="17"/>
  <c r="T556" i="17"/>
  <c r="AI556" i="17"/>
  <c r="H557" i="17"/>
  <c r="AK556" i="17" l="1"/>
  <c r="U557" i="17"/>
  <c r="V557" i="17" s="1"/>
  <c r="M557" i="17"/>
  <c r="N557" i="17" l="1"/>
  <c r="AJ557" i="17" s="1"/>
  <c r="O557" i="17" s="1"/>
  <c r="P557" i="17" l="1"/>
  <c r="Q557" i="17"/>
  <c r="R557" i="17" l="1"/>
  <c r="K558" i="17" l="1"/>
  <c r="U558" i="17" s="1"/>
  <c r="V558" i="17" s="1"/>
  <c r="T557" i="17"/>
  <c r="H558" i="17"/>
  <c r="AK557" i="17"/>
  <c r="AQ557" i="17"/>
  <c r="S557" i="17"/>
  <c r="AI557" i="17"/>
  <c r="M558" i="17" l="1"/>
  <c r="N558" i="17" s="1"/>
  <c r="AJ558" i="17" l="1"/>
  <c r="O558" i="17" s="1"/>
  <c r="P558" i="17" l="1"/>
  <c r="Q558" i="17"/>
  <c r="R558" i="17" l="1"/>
  <c r="K559" i="17" l="1"/>
  <c r="U559" i="17" s="1"/>
  <c r="V559" i="17" s="1"/>
  <c r="T558" i="17"/>
  <c r="AI558" i="17"/>
  <c r="S558" i="17"/>
  <c r="H559" i="17"/>
  <c r="AK558" i="17"/>
  <c r="AQ558" i="17"/>
  <c r="M559" i="17" l="1"/>
  <c r="N559" i="17" s="1"/>
  <c r="AJ559" i="17" s="1"/>
  <c r="O559" i="17" s="1"/>
  <c r="Q559" i="17" l="1"/>
  <c r="P559" i="17"/>
  <c r="R559" i="17" l="1"/>
  <c r="K560" i="17" l="1"/>
  <c r="G16" i="17" s="1"/>
  <c r="Q16" i="13" s="1"/>
  <c r="T559" i="17"/>
  <c r="AQ559" i="17"/>
  <c r="AK559" i="17"/>
  <c r="H560" i="17"/>
  <c r="AI559" i="17"/>
  <c r="S559" i="17"/>
  <c r="U560" i="17" l="1"/>
  <c r="V560" i="17" s="1"/>
  <c r="M560" i="17"/>
  <c r="N560" i="17" s="1"/>
  <c r="AJ560" i="17" s="1"/>
  <c r="O560" i="17" s="1"/>
  <c r="P560" i="17" l="1"/>
  <c r="Q560" i="17"/>
  <c r="R560" i="17" l="1"/>
  <c r="K561" i="17" l="1"/>
  <c r="U561" i="17" s="1"/>
  <c r="V561" i="17" s="1"/>
  <c r="AI560" i="17"/>
  <c r="S560" i="17"/>
  <c r="H561" i="17"/>
  <c r="T560" i="17"/>
  <c r="AK560" i="17"/>
  <c r="AQ560" i="17"/>
  <c r="M561" i="17" l="1"/>
  <c r="N561" i="17" s="1"/>
  <c r="AJ561" i="17" l="1"/>
  <c r="Q561" i="17" s="1"/>
  <c r="O561" i="17"/>
  <c r="P561" i="17"/>
  <c r="R561" i="17" l="1"/>
  <c r="K562" i="17" l="1"/>
  <c r="AK561" i="17"/>
  <c r="AQ561" i="17"/>
  <c r="T561" i="17"/>
  <c r="AI561" i="17"/>
  <c r="S561" i="17"/>
  <c r="H562" i="17"/>
  <c r="U562" i="17" l="1"/>
  <c r="V562" i="17" s="1"/>
  <c r="M562" i="17"/>
  <c r="N562" i="17" s="1"/>
  <c r="AJ562" i="17" l="1"/>
  <c r="O562" i="17" s="1"/>
  <c r="P562" i="17" l="1"/>
  <c r="Q562" i="17"/>
  <c r="R562" i="17" l="1"/>
  <c r="K563" i="17" l="1"/>
  <c r="M563" i="17" s="1"/>
  <c r="N563" i="17" s="1"/>
  <c r="T562" i="17"/>
  <c r="AK562" i="17"/>
  <c r="AQ562" i="17"/>
  <c r="H563" i="17"/>
  <c r="S562" i="17"/>
  <c r="AI562" i="17"/>
  <c r="U563" i="17" l="1"/>
  <c r="V563" i="17" s="1"/>
  <c r="AJ563" i="17"/>
  <c r="O563" i="17" l="1"/>
  <c r="P563" i="17"/>
  <c r="Q563" i="17"/>
  <c r="R563" i="17" l="1"/>
  <c r="K564" i="17" l="1"/>
  <c r="AK563" i="17"/>
  <c r="AQ563" i="17"/>
  <c r="T563" i="17"/>
  <c r="H564" i="17"/>
  <c r="AI563" i="17"/>
  <c r="S563" i="17"/>
  <c r="U564" i="17" l="1"/>
  <c r="V564" i="17" s="1"/>
  <c r="M564" i="17"/>
  <c r="N564" i="17" l="1"/>
  <c r="AJ564" i="17" l="1"/>
  <c r="O564" i="17" s="1"/>
  <c r="Q564" i="17" l="1"/>
  <c r="P564" i="17"/>
  <c r="R564" i="17" l="1"/>
  <c r="K565" i="17" l="1"/>
  <c r="M565" i="17" s="1"/>
  <c r="N565" i="17" s="1"/>
  <c r="AI564" i="17"/>
  <c r="T564" i="17"/>
  <c r="AQ564" i="17"/>
  <c r="S564" i="17"/>
  <c r="H565" i="17"/>
  <c r="AK564" i="17"/>
  <c r="U565" i="17" l="1"/>
  <c r="V565" i="17" s="1"/>
  <c r="AJ565" i="17"/>
  <c r="O565" i="17" s="1"/>
  <c r="P565" i="17" l="1"/>
  <c r="Q565" i="17"/>
  <c r="R565" i="17" l="1"/>
  <c r="K566" i="17" l="1"/>
  <c r="U566" i="17" s="1"/>
  <c r="V566" i="17" s="1"/>
  <c r="AI565" i="17"/>
  <c r="S565" i="17"/>
  <c r="AK565" i="17"/>
  <c r="H566" i="17"/>
  <c r="T565" i="17"/>
  <c r="AQ565" i="17"/>
  <c r="M566" i="17" l="1"/>
  <c r="N566" i="17" s="1"/>
  <c r="AJ566" i="17" s="1"/>
  <c r="O566" i="17" l="1"/>
  <c r="Q566" i="17"/>
  <c r="P566" i="17"/>
  <c r="R566" i="17" l="1"/>
  <c r="K567" i="17" l="1"/>
  <c r="U567" i="17" s="1"/>
  <c r="V567" i="17" s="1"/>
  <c r="S566" i="17"/>
  <c r="AI566" i="17"/>
  <c r="T566" i="17"/>
  <c r="AK566" i="17"/>
  <c r="AQ566" i="17"/>
  <c r="H567" i="17"/>
  <c r="M567" i="17" l="1"/>
  <c r="N567" i="17" s="1"/>
  <c r="AJ567" i="17" s="1"/>
  <c r="O567" i="17" s="1"/>
  <c r="P567" i="17" l="1"/>
  <c r="Q567" i="17"/>
  <c r="R567" i="17" l="1"/>
  <c r="K568" i="17" s="1"/>
  <c r="U568" i="17" s="1"/>
  <c r="V568" i="17" s="1"/>
  <c r="S567" i="17" l="1"/>
  <c r="AK567" i="17"/>
  <c r="AI567" i="17"/>
  <c r="H568" i="17"/>
  <c r="AQ567" i="17"/>
  <c r="T567" i="17"/>
  <c r="M568" i="17"/>
  <c r="N568" i="17" s="1"/>
  <c r="AJ568" i="17" l="1"/>
  <c r="Q568" i="17" s="1"/>
  <c r="O568" i="17" l="1"/>
  <c r="P568" i="17"/>
  <c r="R568" i="17" l="1"/>
  <c r="K569" i="17" l="1"/>
  <c r="AK568" i="17"/>
  <c r="AQ568" i="17"/>
  <c r="H569" i="17"/>
  <c r="S568" i="17"/>
  <c r="AI568" i="17"/>
  <c r="T568" i="17"/>
  <c r="U569" i="17" l="1"/>
  <c r="V569" i="17" s="1"/>
  <c r="M569" i="17"/>
  <c r="N569" i="17" s="1"/>
  <c r="AJ569" i="17" l="1"/>
  <c r="O569" i="17" l="1"/>
  <c r="Q569" i="17"/>
  <c r="P569" i="17"/>
  <c r="R569" i="17" l="1"/>
  <c r="K570" i="17" l="1"/>
  <c r="AK569" i="17"/>
  <c r="AQ569" i="17"/>
  <c r="S569" i="17"/>
  <c r="AI569" i="17"/>
  <c r="T569" i="17"/>
  <c r="H570" i="17"/>
  <c r="M570" i="17" l="1"/>
  <c r="U570" i="17"/>
  <c r="V570" i="17" s="1"/>
  <c r="N570" i="17" l="1"/>
  <c r="AJ570" i="17" l="1"/>
  <c r="Q570" i="17" s="1"/>
  <c r="O570" i="17" l="1"/>
  <c r="P570" i="17"/>
  <c r="R570" i="17" l="1"/>
  <c r="K571" i="17" l="1"/>
  <c r="AK570" i="17"/>
  <c r="AQ570" i="17"/>
  <c r="H571" i="17"/>
  <c r="S570" i="17"/>
  <c r="AI570" i="17"/>
  <c r="T570" i="17"/>
  <c r="M571" i="17" l="1"/>
  <c r="N571" i="17" s="1"/>
  <c r="U571" i="17"/>
  <c r="V571" i="17" s="1"/>
  <c r="AJ571" i="17" l="1"/>
  <c r="P571" i="17" s="1"/>
  <c r="O571" i="17" l="1"/>
  <c r="Q571" i="17"/>
  <c r="R571" i="17" l="1"/>
  <c r="K572" i="17" l="1"/>
  <c r="M572" i="17" s="1"/>
  <c r="N572" i="17" s="1"/>
  <c r="AJ572" i="17" s="1"/>
  <c r="T571" i="17"/>
  <c r="S571" i="17"/>
  <c r="AQ571" i="17"/>
  <c r="AK571" i="17"/>
  <c r="AI571" i="17"/>
  <c r="H572" i="17"/>
  <c r="U572" i="17" l="1"/>
  <c r="V572" i="17" s="1"/>
  <c r="O572" i="17"/>
  <c r="Q572" i="17"/>
  <c r="P572" i="17"/>
  <c r="R572" i="17" l="1"/>
  <c r="K573" i="17" l="1"/>
  <c r="AK572" i="17"/>
  <c r="AQ572" i="17"/>
  <c r="S572" i="17"/>
  <c r="T572" i="17"/>
  <c r="H573" i="17"/>
  <c r="AI572" i="17"/>
  <c r="M573" i="17" l="1"/>
  <c r="N573" i="17" s="1"/>
  <c r="AJ573" i="17" s="1"/>
  <c r="O573" i="17" s="1"/>
  <c r="U573" i="17"/>
  <c r="V573" i="17" s="1"/>
  <c r="Q573" i="17" l="1"/>
  <c r="P573" i="17"/>
  <c r="R573" i="17" l="1"/>
  <c r="K574" i="17" l="1"/>
  <c r="U574" i="17" s="1"/>
  <c r="V574" i="17" s="1"/>
  <c r="AQ573" i="17"/>
  <c r="AK573" i="17"/>
  <c r="H574" i="17"/>
  <c r="AI573" i="17"/>
  <c r="S573" i="17"/>
  <c r="T573" i="17"/>
  <c r="M574" i="17" l="1"/>
  <c r="N574" i="17" s="1"/>
  <c r="AJ574" i="17" s="1"/>
  <c r="O574" i="17" s="1"/>
  <c r="P574" i="17" l="1"/>
  <c r="Q574" i="17"/>
  <c r="R574" i="17" l="1"/>
  <c r="K575" i="17" l="1"/>
  <c r="M575" i="17" s="1"/>
  <c r="AQ574" i="17"/>
  <c r="AK574" i="17"/>
  <c r="H575" i="17"/>
  <c r="AI574" i="17"/>
  <c r="S574" i="17"/>
  <c r="T574" i="17"/>
  <c r="U575" i="17" l="1"/>
  <c r="V575" i="17" s="1"/>
  <c r="N575" i="17"/>
  <c r="AJ575" i="17" s="1"/>
  <c r="O575" i="17" s="1"/>
  <c r="P575" i="17" l="1"/>
  <c r="Q575" i="17"/>
  <c r="R575" i="17" l="1"/>
  <c r="K576" i="17" l="1"/>
  <c r="M576" i="17" s="1"/>
  <c r="N576" i="17" s="1"/>
  <c r="AK575" i="17"/>
  <c r="AQ575" i="17"/>
  <c r="H576" i="17"/>
  <c r="T575" i="17"/>
  <c r="AI575" i="17"/>
  <c r="S575" i="17"/>
  <c r="U576" i="17" l="1"/>
  <c r="V576" i="17" s="1"/>
  <c r="AJ576" i="17"/>
  <c r="O576" i="17" s="1"/>
  <c r="Q576" i="17" l="1"/>
  <c r="P576" i="17"/>
  <c r="R576" i="17" l="1"/>
  <c r="K577" i="17" l="1"/>
  <c r="M577" i="17" s="1"/>
  <c r="S576" i="17"/>
  <c r="AI576" i="17"/>
  <c r="T576" i="17"/>
  <c r="AK576" i="17"/>
  <c r="H577" i="17"/>
  <c r="AQ576" i="17"/>
  <c r="U577" i="17" l="1"/>
  <c r="V577" i="17" s="1"/>
  <c r="N577" i="17"/>
  <c r="AJ577" i="17" s="1"/>
  <c r="O577" i="17" l="1"/>
  <c r="P577" i="17"/>
  <c r="Q577" i="17"/>
  <c r="R577" i="17" l="1"/>
  <c r="K578" i="17" l="1"/>
  <c r="AQ577" i="17"/>
  <c r="AK577" i="17"/>
  <c r="T577" i="17"/>
  <c r="S577" i="17"/>
  <c r="AI577" i="17"/>
  <c r="H578" i="17"/>
  <c r="U578" i="17" l="1"/>
  <c r="V578" i="17" s="1"/>
  <c r="M578" i="17"/>
  <c r="N578" i="17" l="1"/>
  <c r="AJ578" i="17" s="1"/>
  <c r="O578" i="17" s="1"/>
  <c r="P578" i="17" l="1"/>
  <c r="Q578" i="17"/>
  <c r="R578" i="17" l="1"/>
  <c r="K579" i="17" l="1"/>
  <c r="M579" i="17" s="1"/>
  <c r="H579" i="17"/>
  <c r="T578" i="17"/>
  <c r="S578" i="17"/>
  <c r="AI578" i="17"/>
  <c r="AK578" i="17"/>
  <c r="AQ578" i="17"/>
  <c r="U579" i="17" l="1"/>
  <c r="V579" i="17" s="1"/>
  <c r="N579" i="17"/>
  <c r="AJ579" i="17" s="1"/>
  <c r="O579" i="17" s="1"/>
  <c r="P579" i="17" l="1"/>
  <c r="Q579" i="17"/>
  <c r="R579" i="17" l="1"/>
  <c r="K580" i="17" l="1"/>
  <c r="M580" i="17" s="1"/>
  <c r="S579" i="17"/>
  <c r="AI579" i="17"/>
  <c r="H580" i="17"/>
  <c r="T579" i="17"/>
  <c r="AQ579" i="17"/>
  <c r="AK579" i="17"/>
  <c r="U580" i="17" l="1"/>
  <c r="V580" i="17" s="1"/>
  <c r="N580" i="17"/>
  <c r="AJ580" i="17" s="1"/>
  <c r="O580" i="17" s="1"/>
  <c r="P580" i="17" l="1"/>
  <c r="Q580" i="17"/>
  <c r="R580" i="17" l="1"/>
  <c r="K581" i="17" l="1"/>
  <c r="U581" i="17" s="1"/>
  <c r="V581" i="17" s="1"/>
  <c r="H581" i="17"/>
  <c r="AI580" i="17"/>
  <c r="T580" i="17"/>
  <c r="S580" i="17"/>
  <c r="AQ580" i="17"/>
  <c r="AK580" i="17"/>
  <c r="M581" i="17" l="1"/>
  <c r="N581" i="17" s="1"/>
  <c r="AJ581" i="17" s="1"/>
  <c r="O581" i="17" s="1"/>
  <c r="P581" i="17" l="1"/>
  <c r="Q581" i="17"/>
  <c r="R581" i="17" l="1"/>
  <c r="K582" i="17" l="1"/>
  <c r="M582" i="17" s="1"/>
  <c r="N582" i="17" s="1"/>
  <c r="S581" i="17"/>
  <c r="T581" i="17"/>
  <c r="AI581" i="17"/>
  <c r="H582" i="17"/>
  <c r="AQ581" i="17"/>
  <c r="AK581" i="17"/>
  <c r="U582" i="17" l="1"/>
  <c r="V582" i="17" s="1"/>
  <c r="AJ582" i="17"/>
  <c r="O582" i="17" l="1"/>
  <c r="Q582" i="17"/>
  <c r="P582" i="17"/>
  <c r="R582" i="17" l="1"/>
  <c r="K583" i="17" l="1"/>
  <c r="AK582" i="17"/>
  <c r="AQ582" i="17"/>
  <c r="S582" i="17"/>
  <c r="H583" i="17"/>
  <c r="T582" i="17"/>
  <c r="AI582" i="17"/>
  <c r="U583" i="17" l="1"/>
  <c r="V583" i="17" s="1"/>
  <c r="M583" i="17"/>
  <c r="N583" i="17" s="1"/>
  <c r="AJ583" i="17" l="1"/>
  <c r="O583" i="17" s="1"/>
  <c r="P583" i="17" l="1"/>
  <c r="Q583" i="17"/>
  <c r="R583" i="17" l="1"/>
  <c r="K584" i="17" l="1"/>
  <c r="U584" i="17" s="1"/>
  <c r="V584" i="17" s="1"/>
  <c r="AI583" i="17"/>
  <c r="S583" i="17"/>
  <c r="H584" i="17"/>
  <c r="T583" i="17"/>
  <c r="AK583" i="17"/>
  <c r="AQ583" i="17"/>
  <c r="M584" i="17" l="1"/>
  <c r="N584" i="17" s="1"/>
  <c r="AJ584" i="17" s="1"/>
  <c r="O584" i="17" s="1"/>
  <c r="P584" i="17" l="1"/>
  <c r="Q584" i="17"/>
  <c r="R584" i="17" l="1"/>
  <c r="K585" i="17" l="1"/>
  <c r="M585" i="17" s="1"/>
  <c r="H585" i="17"/>
  <c r="AK584" i="17"/>
  <c r="T584" i="17"/>
  <c r="S584" i="17"/>
  <c r="AI584" i="17"/>
  <c r="AQ584" i="17"/>
  <c r="U585" i="17" l="1"/>
  <c r="V585" i="17" s="1"/>
  <c r="N585" i="17"/>
  <c r="AJ585" i="17" l="1"/>
  <c r="O585" i="17" s="1"/>
  <c r="Q585" i="17" l="1"/>
  <c r="P585" i="17"/>
  <c r="R585" i="17" l="1"/>
  <c r="K586" i="17" l="1"/>
  <c r="U586" i="17" s="1"/>
  <c r="V586" i="17" s="1"/>
  <c r="S585" i="17"/>
  <c r="H586" i="17"/>
  <c r="AQ585" i="17"/>
  <c r="AK585" i="17"/>
  <c r="AI585" i="17"/>
  <c r="T585" i="17"/>
  <c r="M586" i="17" l="1"/>
  <c r="N586" i="17" s="1"/>
  <c r="AJ586" i="17" l="1"/>
  <c r="O586" i="17" s="1"/>
  <c r="P586" i="17" l="1"/>
  <c r="Q586" i="17"/>
  <c r="R586" i="17" l="1"/>
  <c r="H587" i="17" s="1"/>
  <c r="AK586" i="17" l="1"/>
  <c r="AQ586" i="17"/>
  <c r="K587" i="17"/>
  <c r="U587" i="17" s="1"/>
  <c r="V587" i="17" s="1"/>
  <c r="S586" i="17"/>
  <c r="T586" i="17"/>
  <c r="AI586" i="17"/>
  <c r="M587" i="17" l="1"/>
  <c r="N587" i="17" s="1"/>
  <c r="AJ587" i="17" s="1"/>
  <c r="O587" i="17" s="1"/>
  <c r="P587" i="17" l="1"/>
  <c r="Q587" i="17"/>
  <c r="R587" i="17" l="1"/>
  <c r="K588" i="17" l="1"/>
  <c r="U588" i="17" s="1"/>
  <c r="V588" i="17" s="1"/>
  <c r="AK587" i="17"/>
  <c r="AQ587" i="17"/>
  <c r="T587" i="17"/>
  <c r="S587" i="17"/>
  <c r="AI587" i="17"/>
  <c r="H588" i="17"/>
  <c r="M588" i="17" l="1"/>
  <c r="N588" i="17" s="1"/>
  <c r="AJ588" i="17" s="1"/>
  <c r="O588" i="17" s="1"/>
  <c r="Q588" i="17" l="1"/>
  <c r="P588" i="17"/>
  <c r="R588" i="17" l="1"/>
  <c r="K589" i="17" l="1"/>
  <c r="M589" i="17" s="1"/>
  <c r="N589" i="17" s="1"/>
  <c r="AI588" i="17"/>
  <c r="AQ588" i="17"/>
  <c r="H589" i="17"/>
  <c r="T588" i="17"/>
  <c r="S588" i="17"/>
  <c r="AK588" i="17"/>
  <c r="U589" i="17" l="1"/>
  <c r="V589" i="17" s="1"/>
  <c r="AJ589" i="17"/>
  <c r="O589" i="17" s="1"/>
  <c r="P589" i="17" l="1"/>
  <c r="Q589" i="17"/>
  <c r="R589" i="17" l="1"/>
  <c r="K590" i="17" l="1"/>
  <c r="U590" i="17" s="1"/>
  <c r="V590" i="17" s="1"/>
  <c r="H590" i="17"/>
  <c r="T589" i="17"/>
  <c r="S589" i="17"/>
  <c r="AI589" i="17"/>
  <c r="AQ589" i="17"/>
  <c r="AK589" i="17"/>
  <c r="M590" i="17" l="1"/>
  <c r="N590" i="17" s="1"/>
  <c r="AJ590" i="17" l="1"/>
  <c r="O590" i="17" s="1"/>
  <c r="P590" i="17" l="1"/>
  <c r="Q590" i="17"/>
  <c r="R590" i="17" l="1"/>
  <c r="H591" i="17" s="1"/>
  <c r="T590" i="17" l="1"/>
  <c r="S590" i="17"/>
  <c r="K591" i="17"/>
  <c r="M591" i="17" s="1"/>
  <c r="AK590" i="17"/>
  <c r="AQ590" i="17"/>
  <c r="AI590" i="17"/>
  <c r="U591" i="17" l="1"/>
  <c r="V591" i="17" s="1"/>
  <c r="N591" i="17"/>
  <c r="AJ591" i="17" s="1"/>
  <c r="O591" i="17" s="1"/>
  <c r="P591" i="17" l="1"/>
  <c r="Q591" i="17"/>
  <c r="R591" i="17" l="1"/>
  <c r="AI591" i="17" s="1"/>
  <c r="AK591" i="17" l="1"/>
  <c r="AQ591" i="17"/>
  <c r="K592" i="17"/>
  <c r="U592" i="17" s="1"/>
  <c r="V592" i="17" s="1"/>
  <c r="S591" i="17"/>
  <c r="H592" i="17"/>
  <c r="T591" i="17"/>
  <c r="M592" i="17" l="1"/>
  <c r="N592" i="17"/>
  <c r="AJ592" i="17" l="1"/>
  <c r="O592" i="17" s="1"/>
  <c r="Q592" i="17" l="1"/>
  <c r="P592" i="17"/>
  <c r="R592" i="17" l="1"/>
  <c r="K593" i="17" l="1"/>
  <c r="U593" i="17" s="1"/>
  <c r="V593" i="17" s="1"/>
  <c r="S592" i="17"/>
  <c r="H593" i="17"/>
  <c r="AK592" i="17"/>
  <c r="AQ592" i="17"/>
  <c r="AI592" i="17"/>
  <c r="T592" i="17"/>
  <c r="M593" i="17" l="1"/>
  <c r="N593" i="17" s="1"/>
  <c r="AJ593" i="17" l="1"/>
  <c r="O593" i="17" s="1"/>
  <c r="P593" i="17" l="1"/>
  <c r="Q593" i="17"/>
  <c r="R593" i="17" l="1"/>
  <c r="T593" i="17" s="1"/>
  <c r="AK593" i="17" l="1"/>
  <c r="H594" i="17"/>
  <c r="AQ593" i="17"/>
  <c r="S593" i="17"/>
  <c r="AI593" i="17"/>
  <c r="K594" i="17"/>
  <c r="M594" i="17" s="1"/>
  <c r="N594" i="17" l="1"/>
  <c r="AJ594" i="17" s="1"/>
  <c r="O594" i="17" s="1"/>
  <c r="U594" i="17"/>
  <c r="V594" i="17" s="1"/>
  <c r="Q594" i="17" l="1"/>
  <c r="P594" i="17"/>
  <c r="R594" i="17" l="1"/>
  <c r="AI594" i="17" s="1"/>
  <c r="T594" i="17" l="1"/>
  <c r="S594" i="17"/>
  <c r="AQ594" i="17"/>
  <c r="K595" i="17"/>
  <c r="U595" i="17" s="1"/>
  <c r="V595" i="17" s="1"/>
  <c r="AK594" i="17"/>
  <c r="H595" i="17"/>
  <c r="M595" i="17" l="1"/>
  <c r="N595" i="17" s="1"/>
  <c r="AJ595" i="17" s="1"/>
  <c r="O595" i="17" s="1"/>
  <c r="Q595" i="17"/>
  <c r="P595" i="17"/>
  <c r="R595" i="17" l="1"/>
  <c r="K596" i="17" s="1"/>
  <c r="AK595" i="17"/>
  <c r="AQ595" i="17"/>
  <c r="AI595" i="17"/>
  <c r="S595" i="17"/>
  <c r="T595" i="17" l="1"/>
  <c r="H596" i="17"/>
  <c r="U596" i="17"/>
  <c r="V596" i="17" s="1"/>
  <c r="M596" i="17"/>
  <c r="N596" i="17" s="1"/>
  <c r="AJ596" i="17" l="1"/>
  <c r="O596" i="17" s="1"/>
  <c r="Q596" i="17" l="1"/>
  <c r="P596" i="17"/>
  <c r="R596" i="17" l="1"/>
  <c r="K597" i="17" l="1"/>
  <c r="T596" i="17"/>
  <c r="AI596" i="17"/>
  <c r="H597" i="17"/>
  <c r="AK596" i="17"/>
  <c r="AQ596" i="17"/>
  <c r="S596" i="17"/>
  <c r="U597" i="17" l="1"/>
  <c r="V597" i="17" s="1"/>
  <c r="M597" i="17"/>
  <c r="N597" i="17" s="1"/>
  <c r="AJ597" i="17" l="1"/>
  <c r="O597" i="17" s="1"/>
  <c r="Q597" i="17" l="1"/>
  <c r="P597" i="17"/>
  <c r="R597" i="17" l="1"/>
  <c r="H598" i="17" s="1"/>
  <c r="K598" i="17" l="1"/>
  <c r="U598" i="17" s="1"/>
  <c r="V598" i="17" s="1"/>
  <c r="AQ597" i="17"/>
  <c r="AK597" i="17"/>
  <c r="S597" i="17"/>
  <c r="AI597" i="17"/>
  <c r="T597" i="17"/>
  <c r="M598" i="17"/>
  <c r="N598" i="17" s="1"/>
  <c r="AJ598" i="17" s="1"/>
  <c r="O598" i="17" s="1"/>
  <c r="P598" i="17" l="1"/>
  <c r="Q598" i="17"/>
  <c r="R598" i="17" l="1"/>
  <c r="K599" i="17" l="1"/>
  <c r="U599" i="17" s="1"/>
  <c r="V599" i="17" s="1"/>
  <c r="AI598" i="17"/>
  <c r="S598" i="17"/>
  <c r="H599" i="17"/>
  <c r="T598" i="17"/>
  <c r="AK598" i="17"/>
  <c r="AQ598" i="17"/>
  <c r="M599" i="17" l="1"/>
  <c r="N599" i="17" s="1"/>
  <c r="AJ599" i="17" s="1"/>
  <c r="O599" i="17" s="1"/>
  <c r="P599" i="17" l="1"/>
  <c r="Q599" i="17"/>
  <c r="R599" i="17" l="1"/>
  <c r="AI599" i="17" s="1"/>
  <c r="AQ599" i="17" l="1"/>
  <c r="K600" i="17"/>
  <c r="U600" i="17" s="1"/>
  <c r="V600" i="17" s="1"/>
  <c r="AK599" i="17"/>
  <c r="H600" i="17"/>
  <c r="S599" i="17"/>
  <c r="T599" i="17"/>
  <c r="M600" i="17" l="1"/>
  <c r="N600" i="17" s="1"/>
  <c r="AJ600" i="17" s="1"/>
  <c r="O600" i="17" s="1"/>
  <c r="Q600" i="17" l="1"/>
  <c r="P600" i="17"/>
  <c r="R600" i="17" l="1"/>
  <c r="K601" i="17" s="1"/>
  <c r="U601" i="17" s="1"/>
  <c r="V601" i="17" s="1"/>
  <c r="S600" i="17"/>
  <c r="AI600" i="17"/>
  <c r="H601" i="17"/>
  <c r="AK600" i="17"/>
  <c r="AQ600" i="17"/>
  <c r="T600" i="17" l="1"/>
  <c r="M601" i="17"/>
  <c r="N601" i="17" s="1"/>
  <c r="AJ601" i="17" l="1"/>
  <c r="O601" i="17" s="1"/>
  <c r="Q601" i="17" l="1"/>
  <c r="P601" i="17"/>
  <c r="R601" i="17" l="1"/>
  <c r="K602" i="17" l="1"/>
  <c r="U602" i="17" s="1"/>
  <c r="V602" i="17" s="1"/>
  <c r="S601" i="17"/>
  <c r="AK601" i="17"/>
  <c r="AI601" i="17"/>
  <c r="T601" i="17"/>
  <c r="H602" i="17"/>
  <c r="AQ601" i="17"/>
  <c r="M602" i="17" l="1"/>
  <c r="N602" i="17" s="1"/>
  <c r="AJ602" i="17" s="1"/>
  <c r="O602" i="17"/>
  <c r="P602" i="17" l="1"/>
  <c r="Q602" i="17"/>
  <c r="R602" i="17" s="1"/>
  <c r="K603" i="17" l="1"/>
  <c r="AK602" i="17"/>
  <c r="AQ602" i="17"/>
  <c r="AI602" i="17"/>
  <c r="H603" i="17"/>
  <c r="S602" i="17"/>
  <c r="T602" i="17"/>
  <c r="M603" i="17" l="1"/>
  <c r="U603" i="17"/>
  <c r="V603" i="17" s="1"/>
  <c r="N603" i="17" l="1"/>
  <c r="AJ603" i="17" s="1"/>
  <c r="O603" i="17" s="1"/>
  <c r="P603" i="17" l="1"/>
  <c r="Q603" i="17"/>
  <c r="R603" i="17" l="1"/>
  <c r="K604" i="17" l="1"/>
  <c r="U604" i="17" s="1"/>
  <c r="V604" i="17" s="1"/>
  <c r="AI603" i="17"/>
  <c r="H604" i="17"/>
  <c r="T603" i="17"/>
  <c r="AQ603" i="17"/>
  <c r="S603" i="17"/>
  <c r="AK603" i="17"/>
  <c r="M604" i="17" l="1"/>
  <c r="N604" i="17" s="1"/>
  <c r="AJ604" i="17" s="1"/>
  <c r="O604" i="17" s="1"/>
  <c r="Q604" i="17" l="1"/>
  <c r="P604" i="17"/>
  <c r="R604" i="17" s="1"/>
  <c r="K605" i="17" l="1"/>
  <c r="M605" i="17" s="1"/>
  <c r="S604" i="17"/>
  <c r="H605" i="17"/>
  <c r="T604" i="17"/>
  <c r="AQ604" i="17"/>
  <c r="AI604" i="17"/>
  <c r="AK604" i="17"/>
  <c r="U605" i="17" l="1"/>
  <c r="V605" i="17" s="1"/>
  <c r="N605" i="17"/>
  <c r="AJ605" i="17" s="1"/>
  <c r="O605" i="17" s="1"/>
  <c r="P605" i="17" l="1"/>
  <c r="Q605" i="17"/>
  <c r="R605" i="17" l="1"/>
  <c r="K606" i="17" l="1"/>
  <c r="U606" i="17" s="1"/>
  <c r="V606" i="17" s="1"/>
  <c r="AI605" i="17"/>
  <c r="T605" i="17"/>
  <c r="S605" i="17"/>
  <c r="H606" i="17"/>
  <c r="AQ605" i="17"/>
  <c r="AK605" i="17"/>
  <c r="M606" i="17" l="1"/>
  <c r="N606" i="17" s="1"/>
  <c r="AJ606" i="17" s="1"/>
  <c r="P606" i="17" s="1"/>
  <c r="O606" i="17" l="1"/>
  <c r="Q606" i="17"/>
  <c r="R606" i="17" l="1"/>
  <c r="K607" i="17" s="1"/>
  <c r="AI606" i="17"/>
  <c r="S606" i="17"/>
  <c r="AQ606" i="17" l="1"/>
  <c r="H607" i="17"/>
  <c r="T606" i="17"/>
  <c r="AK606" i="17"/>
  <c r="U607" i="17"/>
  <c r="V607" i="17" s="1"/>
  <c r="M607" i="17"/>
  <c r="N607" i="17" s="1"/>
  <c r="AJ607" i="17" l="1"/>
  <c r="O607" i="17" l="1"/>
  <c r="Q607" i="17"/>
  <c r="P607" i="17"/>
  <c r="R607" i="17" l="1"/>
  <c r="K608" i="17" l="1"/>
  <c r="AK607" i="17"/>
  <c r="AQ607" i="17"/>
  <c r="H608" i="17"/>
  <c r="T607" i="17"/>
  <c r="S607" i="17"/>
  <c r="AI607" i="17"/>
  <c r="U608" i="17" l="1"/>
  <c r="V608" i="17" s="1"/>
  <c r="M608" i="17"/>
  <c r="N608" i="17" l="1"/>
  <c r="AJ608" i="17" l="1"/>
  <c r="O608" i="17" s="1"/>
  <c r="P608" i="17" l="1"/>
  <c r="Q608" i="17"/>
  <c r="R608" i="17" l="1"/>
  <c r="K609" i="17" l="1"/>
  <c r="U609" i="17" s="1"/>
  <c r="V609" i="17" s="1"/>
  <c r="S608" i="17"/>
  <c r="AI608" i="17"/>
  <c r="T608" i="17"/>
  <c r="H609" i="17"/>
  <c r="AQ608" i="17"/>
  <c r="AK608" i="17"/>
  <c r="M609" i="17" l="1"/>
  <c r="N609" i="17" s="1"/>
  <c r="AJ609" i="17" s="1"/>
  <c r="O609" i="17" s="1"/>
  <c r="Q609" i="17" l="1"/>
  <c r="P609" i="17"/>
  <c r="R609" i="17" l="1"/>
  <c r="AK609" i="17" s="1"/>
  <c r="AQ609" i="17" l="1"/>
  <c r="K610" i="17"/>
  <c r="U610" i="17" s="1"/>
  <c r="V610" i="17" s="1"/>
  <c r="H610" i="17"/>
  <c r="S609" i="17"/>
  <c r="AI609" i="17"/>
  <c r="T609" i="17"/>
  <c r="M610" i="17" l="1"/>
  <c r="N610" i="17"/>
  <c r="AJ610" i="17" s="1"/>
  <c r="O610" i="17" s="1"/>
  <c r="P610" i="17" l="1"/>
  <c r="Q610" i="17"/>
  <c r="R610" i="17" l="1"/>
  <c r="K611" i="17" l="1"/>
  <c r="M611" i="17" s="1"/>
  <c r="S610" i="17"/>
  <c r="T610" i="17"/>
  <c r="AI610" i="17"/>
  <c r="H611" i="17"/>
  <c r="AK610" i="17"/>
  <c r="AQ610" i="17"/>
  <c r="U611" i="17" l="1"/>
  <c r="V611" i="17" s="1"/>
  <c r="N611" i="17"/>
  <c r="AJ611" i="17" l="1"/>
  <c r="O611" i="17" s="1"/>
  <c r="Q611" i="17" l="1"/>
  <c r="P611" i="17"/>
  <c r="R611" i="17" l="1"/>
  <c r="AQ611" i="17" s="1"/>
  <c r="H612" i="17" l="1"/>
  <c r="T611" i="17"/>
  <c r="AK611" i="17"/>
  <c r="K612" i="17"/>
  <c r="U612" i="17" s="1"/>
  <c r="V612" i="17" s="1"/>
  <c r="S611" i="17"/>
  <c r="AI611" i="17"/>
  <c r="M612" i="17" l="1"/>
  <c r="N612" i="17" s="1"/>
  <c r="AJ612" i="17" s="1"/>
  <c r="P612" i="17" s="1"/>
  <c r="O612" i="17" l="1"/>
  <c r="Q612" i="17"/>
  <c r="R612" i="17" l="1"/>
  <c r="K613" i="17" s="1"/>
  <c r="AI612" i="17" l="1"/>
  <c r="S612" i="17"/>
  <c r="AK612" i="17"/>
  <c r="T612" i="17"/>
  <c r="H613" i="17"/>
  <c r="AQ612" i="17"/>
  <c r="U613" i="17"/>
  <c r="V613" i="17" s="1"/>
  <c r="M613" i="17"/>
  <c r="N613" i="17" l="1"/>
  <c r="AJ613" i="17" s="1"/>
  <c r="O613" i="17" s="1"/>
  <c r="P613" i="17" l="1"/>
  <c r="Q613" i="17"/>
  <c r="R613" i="17" l="1"/>
  <c r="K614" i="17" l="1"/>
  <c r="M614" i="17" s="1"/>
  <c r="N614" i="17" s="1"/>
  <c r="AQ613" i="17"/>
  <c r="AK613" i="17"/>
  <c r="AI613" i="17"/>
  <c r="S613" i="17"/>
  <c r="H614" i="17"/>
  <c r="T613" i="17"/>
  <c r="U614" i="17" l="1"/>
  <c r="V614" i="17" s="1"/>
  <c r="AJ614" i="17"/>
  <c r="O614" i="17" l="1"/>
  <c r="P614" i="17"/>
  <c r="Q614" i="17"/>
  <c r="R614" i="17" l="1"/>
  <c r="K615" i="17" l="1"/>
  <c r="AQ614" i="17"/>
  <c r="AK614" i="17"/>
  <c r="S614" i="17"/>
  <c r="AI614" i="17"/>
  <c r="H615" i="17"/>
  <c r="T614" i="17"/>
  <c r="M615" i="17" l="1"/>
  <c r="N615" i="17" s="1"/>
  <c r="U615" i="17"/>
  <c r="V615" i="17" s="1"/>
  <c r="AJ615" i="17" l="1"/>
  <c r="O615" i="17" s="1"/>
  <c r="P615" i="17" l="1"/>
  <c r="Q615" i="17"/>
  <c r="R615" i="17" l="1"/>
  <c r="K616" i="17" l="1"/>
  <c r="U616" i="17" s="1"/>
  <c r="V616" i="17" s="1"/>
  <c r="T615" i="17"/>
  <c r="S615" i="17"/>
  <c r="H616" i="17"/>
  <c r="AI615" i="17"/>
  <c r="AQ615" i="17"/>
  <c r="AK615" i="17"/>
  <c r="M616" i="17" l="1"/>
  <c r="N616" i="17" s="1"/>
  <c r="AJ616" i="17" s="1"/>
  <c r="O616" i="17" s="1"/>
  <c r="P616" i="17" l="1"/>
  <c r="Q616" i="17"/>
  <c r="R616" i="17" l="1"/>
  <c r="K617" i="17" l="1"/>
  <c r="M617" i="17" s="1"/>
  <c r="H617" i="17"/>
  <c r="AI616" i="17"/>
  <c r="S616" i="17"/>
  <c r="AQ616" i="17"/>
  <c r="T616" i="17"/>
  <c r="AK616" i="17"/>
  <c r="U617" i="17" l="1"/>
  <c r="V617" i="17" s="1"/>
  <c r="N617" i="17"/>
  <c r="AJ617" i="17" s="1"/>
  <c r="O617" i="17" s="1"/>
  <c r="P617" i="17" l="1"/>
  <c r="Q617" i="17"/>
  <c r="R617" i="17" l="1"/>
  <c r="K618" i="17" l="1"/>
  <c r="U618" i="17" s="1"/>
  <c r="V618" i="17" s="1"/>
  <c r="AQ617" i="17"/>
  <c r="AI617" i="17"/>
  <c r="S617" i="17"/>
  <c r="H618" i="17"/>
  <c r="T617" i="17"/>
  <c r="AK617" i="17"/>
  <c r="M618" i="17" l="1"/>
  <c r="N618" i="17" l="1"/>
  <c r="AJ618" i="17" s="1"/>
  <c r="O618" i="17" s="1"/>
  <c r="Q618" i="17" l="1"/>
  <c r="P618" i="17"/>
  <c r="R618" i="17" l="1"/>
  <c r="K619" i="17" l="1"/>
  <c r="M619" i="17" s="1"/>
  <c r="AI618" i="17"/>
  <c r="AQ618" i="17"/>
  <c r="T618" i="17"/>
  <c r="S618" i="17"/>
  <c r="H619" i="17"/>
  <c r="AK618" i="17"/>
  <c r="U619" i="17" l="1"/>
  <c r="V619" i="17" s="1"/>
  <c r="N619" i="17"/>
  <c r="AJ619" i="17" s="1"/>
  <c r="O619" i="17" s="1"/>
  <c r="Q619" i="17" l="1"/>
  <c r="P619" i="17"/>
  <c r="R619" i="17" l="1"/>
  <c r="K620" i="17" l="1"/>
  <c r="U620" i="17" s="1"/>
  <c r="V620" i="17" s="1"/>
  <c r="S619" i="17"/>
  <c r="H620" i="17"/>
  <c r="AK619" i="17"/>
  <c r="AQ619" i="17"/>
  <c r="T619" i="17"/>
  <c r="AI619" i="17"/>
  <c r="M620" i="17" l="1"/>
  <c r="N620" i="17" s="1"/>
  <c r="AJ620" i="17" s="1"/>
  <c r="O620" i="17" s="1"/>
  <c r="P620" i="17" l="1"/>
  <c r="Q620" i="17"/>
  <c r="R620" i="17" l="1"/>
  <c r="K621" i="17" l="1"/>
  <c r="U621" i="17" s="1"/>
  <c r="V621" i="17" s="1"/>
  <c r="T620" i="17"/>
  <c r="S620" i="17"/>
  <c r="H621" i="17"/>
  <c r="AI620" i="17"/>
  <c r="AK620" i="17"/>
  <c r="AQ620" i="17"/>
  <c r="M621" i="17" l="1"/>
  <c r="N621" i="17" s="1"/>
  <c r="AJ621" i="17" s="1"/>
  <c r="O621" i="17" s="1"/>
  <c r="Q621" i="17" l="1"/>
  <c r="P621" i="17"/>
  <c r="R621" i="17" s="1"/>
  <c r="T621" i="17" l="1"/>
  <c r="K622" i="17"/>
  <c r="M622" i="17" s="1"/>
  <c r="S621" i="17"/>
  <c r="AI621" i="17"/>
  <c r="AK621" i="17"/>
  <c r="AQ621" i="17"/>
  <c r="H622" i="17"/>
  <c r="U622" i="17" l="1"/>
  <c r="V622" i="17" s="1"/>
  <c r="N622" i="17"/>
  <c r="AJ622" i="17" l="1"/>
  <c r="O622" i="17" s="1"/>
  <c r="Q622" i="17" l="1"/>
  <c r="P622" i="17"/>
  <c r="R622" i="17" l="1"/>
  <c r="K623" i="17" l="1"/>
  <c r="M623" i="17" s="1"/>
  <c r="S622" i="17"/>
  <c r="AI622" i="17"/>
  <c r="T622" i="17"/>
  <c r="AK622" i="17"/>
  <c r="H623" i="17"/>
  <c r="AQ622" i="17"/>
  <c r="U623" i="17" l="1"/>
  <c r="V623" i="17" s="1"/>
  <c r="N623" i="17"/>
  <c r="AJ623" i="17" s="1"/>
  <c r="O623" i="17" s="1"/>
  <c r="P623" i="17" l="1"/>
  <c r="Q623" i="17"/>
  <c r="R623" i="17" l="1"/>
  <c r="K624" i="17" l="1"/>
  <c r="M624" i="17" s="1"/>
  <c r="N624" i="17" s="1"/>
  <c r="AQ623" i="17"/>
  <c r="T623" i="17"/>
  <c r="AK623" i="17"/>
  <c r="S623" i="17"/>
  <c r="H624" i="17"/>
  <c r="AI623" i="17"/>
  <c r="U624" i="17" l="1"/>
  <c r="V624" i="17" s="1"/>
  <c r="AJ624" i="17"/>
  <c r="O624" i="17" l="1"/>
  <c r="P624" i="17"/>
  <c r="Q624" i="17"/>
  <c r="R624" i="17" l="1"/>
  <c r="K625" i="17" l="1"/>
  <c r="AQ624" i="17"/>
  <c r="AK624" i="17"/>
  <c r="T624" i="17"/>
  <c r="AI624" i="17"/>
  <c r="S624" i="17"/>
  <c r="H625" i="17"/>
  <c r="U625" i="17" l="1"/>
  <c r="V625" i="17" s="1"/>
  <c r="M625" i="17"/>
  <c r="N625" i="17" l="1"/>
  <c r="AJ625" i="17" s="1"/>
  <c r="O625" i="17" s="1"/>
  <c r="P625" i="17" l="1"/>
  <c r="Q625" i="17"/>
  <c r="R625" i="17" l="1"/>
  <c r="K626" i="17" l="1"/>
  <c r="U626" i="17" s="1"/>
  <c r="V626" i="17" s="1"/>
  <c r="AI625" i="17"/>
  <c r="AK625" i="17"/>
  <c r="AQ625" i="17"/>
  <c r="S625" i="17"/>
  <c r="T625" i="17"/>
  <c r="H626" i="17"/>
  <c r="M626" i="17" l="1"/>
  <c r="N626" i="17"/>
  <c r="AJ626" i="17" l="1"/>
  <c r="O626" i="17" s="1"/>
  <c r="P626" i="17" l="1"/>
  <c r="Q626" i="17"/>
  <c r="R626" i="17" l="1"/>
  <c r="K627" i="17" l="1"/>
  <c r="U627" i="17" s="1"/>
  <c r="V627" i="17" s="1"/>
  <c r="AI626" i="17"/>
  <c r="AQ626" i="17"/>
  <c r="AK626" i="17"/>
  <c r="T626" i="17"/>
  <c r="S626" i="17"/>
  <c r="H627" i="17"/>
  <c r="M627" i="17" l="1"/>
  <c r="N627" i="17" s="1"/>
  <c r="AJ627" i="17" s="1"/>
  <c r="O627" i="17" s="1"/>
  <c r="P627" i="17" l="1"/>
  <c r="Q627" i="17"/>
  <c r="R627" i="17" l="1"/>
  <c r="K628" i="17" l="1"/>
  <c r="M628" i="17" s="1"/>
  <c r="S627" i="17"/>
  <c r="T627" i="17"/>
  <c r="AI627" i="17"/>
  <c r="H628" i="17"/>
  <c r="AQ627" i="17"/>
  <c r="AK627" i="17"/>
  <c r="U628" i="17" l="1"/>
  <c r="V628" i="17" s="1"/>
  <c r="N628" i="17"/>
  <c r="AJ628" i="17" l="1"/>
  <c r="O628" i="17" s="1"/>
  <c r="P628" i="17" l="1"/>
  <c r="Q628" i="17"/>
  <c r="R628" i="17" l="1"/>
  <c r="K629" i="17" l="1"/>
  <c r="U629" i="17" s="1"/>
  <c r="V629" i="17" s="1"/>
  <c r="H629" i="17"/>
  <c r="AQ628" i="17"/>
  <c r="AK628" i="17"/>
  <c r="S628" i="17"/>
  <c r="T628" i="17"/>
  <c r="AI628" i="17"/>
  <c r="M629" i="17" l="1"/>
  <c r="N629" i="17" s="1"/>
  <c r="AJ629" i="17" l="1"/>
  <c r="O629" i="17" s="1"/>
  <c r="P629" i="17" l="1"/>
  <c r="Q629" i="17"/>
  <c r="R629" i="17" l="1"/>
  <c r="K630" i="17" l="1"/>
  <c r="U630" i="17" s="1"/>
  <c r="V630" i="17" s="1"/>
  <c r="T629" i="17"/>
  <c r="AI629" i="17"/>
  <c r="S629" i="17"/>
  <c r="H630" i="17"/>
  <c r="AQ629" i="17"/>
  <c r="AK629" i="17"/>
  <c r="M630" i="17" l="1"/>
  <c r="N630" i="17" s="1"/>
  <c r="AJ630" i="17" s="1"/>
  <c r="O630" i="17" s="1"/>
  <c r="Q630" i="17" l="1"/>
  <c r="P630" i="17"/>
  <c r="R630" i="17" l="1"/>
  <c r="K631" i="17" l="1"/>
  <c r="M631" i="17" s="1"/>
  <c r="N631" i="17" s="1"/>
  <c r="T630" i="17"/>
  <c r="AQ630" i="17"/>
  <c r="AI630" i="17"/>
  <c r="H631" i="17"/>
  <c r="S630" i="17"/>
  <c r="AK630" i="17"/>
  <c r="U631" i="17" l="1"/>
  <c r="V631" i="17" s="1"/>
  <c r="AJ631" i="17"/>
  <c r="P631" i="17" s="1"/>
  <c r="O631" i="17" l="1"/>
  <c r="Q631" i="17"/>
  <c r="R631" i="17" l="1"/>
  <c r="AI631" i="17" s="1"/>
  <c r="K632" i="17" l="1"/>
  <c r="U632" i="17" s="1"/>
  <c r="V632" i="17" s="1"/>
  <c r="H632" i="17"/>
  <c r="AQ631" i="17"/>
  <c r="T631" i="17"/>
  <c r="S631" i="17"/>
  <c r="AK631" i="17"/>
  <c r="M632" i="17" l="1"/>
  <c r="N632" i="17" s="1"/>
  <c r="AJ632" i="17" s="1"/>
  <c r="O632" i="17" s="1"/>
  <c r="P632" i="17" l="1"/>
  <c r="Q632" i="17"/>
  <c r="R632" i="17" l="1"/>
  <c r="K633" i="17" l="1"/>
  <c r="U633" i="17" s="1"/>
  <c r="V633" i="17" s="1"/>
  <c r="AI632" i="17"/>
  <c r="AK632" i="17"/>
  <c r="AQ632" i="17"/>
  <c r="S632" i="17"/>
  <c r="H633" i="17"/>
  <c r="T632" i="17"/>
  <c r="M633" i="17" l="1"/>
  <c r="N633" i="17" s="1"/>
  <c r="AJ633" i="17" s="1"/>
  <c r="O633" i="17" s="1"/>
  <c r="P633" i="17" l="1"/>
  <c r="Q633" i="17"/>
  <c r="R633" i="17" l="1"/>
  <c r="H634" i="17" s="1"/>
  <c r="AQ633" i="17" l="1"/>
  <c r="AK633" i="17"/>
  <c r="T633" i="17"/>
  <c r="K634" i="17"/>
  <c r="M634" i="17" s="1"/>
  <c r="AI633" i="17"/>
  <c r="S633" i="17"/>
  <c r="N634" i="17" l="1"/>
  <c r="AJ634" i="17" s="1"/>
  <c r="O634" i="17" s="1"/>
  <c r="U634" i="17"/>
  <c r="V634" i="17" s="1"/>
  <c r="P634" i="17"/>
  <c r="Q634" i="17"/>
  <c r="R634" i="17" l="1"/>
  <c r="K635" i="17" l="1"/>
  <c r="M635" i="17" s="1"/>
  <c r="H635" i="17"/>
  <c r="T634" i="17"/>
  <c r="S634" i="17"/>
  <c r="AI634" i="17"/>
  <c r="AQ634" i="17"/>
  <c r="AK634" i="17"/>
  <c r="N635" i="17" l="1"/>
  <c r="AJ635" i="17" s="1"/>
  <c r="O635" i="17" s="1"/>
  <c r="U635" i="17"/>
  <c r="V635" i="17" s="1"/>
  <c r="P635" i="17" l="1"/>
  <c r="Q635" i="17"/>
  <c r="R635" i="17" l="1"/>
  <c r="K636" i="17" s="1"/>
  <c r="U636" i="17" s="1"/>
  <c r="V636" i="17" s="1"/>
  <c r="AI635" i="17" l="1"/>
  <c r="S635" i="17"/>
  <c r="AK635" i="17"/>
  <c r="AQ635" i="17"/>
  <c r="T635" i="17"/>
  <c r="H636" i="17"/>
  <c r="M636" i="17"/>
  <c r="N636" i="17" s="1"/>
  <c r="AJ636" i="17" l="1"/>
  <c r="Q636" i="17" s="1"/>
  <c r="P636" i="17"/>
  <c r="O636" i="17" l="1"/>
  <c r="R636" i="17" s="1"/>
  <c r="K637" i="17" l="1"/>
  <c r="AQ636" i="17"/>
  <c r="AK636" i="17"/>
  <c r="S636" i="17"/>
  <c r="AI636" i="17"/>
  <c r="T636" i="17"/>
  <c r="H637" i="17"/>
  <c r="U637" i="17" l="1"/>
  <c r="V637" i="17" s="1"/>
  <c r="M637" i="17"/>
  <c r="N637" i="17" s="1"/>
  <c r="AJ637" i="17" l="1"/>
  <c r="O637" i="17" s="1"/>
  <c r="Q637" i="17" l="1"/>
  <c r="P637" i="17"/>
  <c r="R637" i="17" l="1"/>
  <c r="K638" i="17" l="1"/>
  <c r="U638" i="17" s="1"/>
  <c r="V638" i="17" s="1"/>
  <c r="AQ637" i="17"/>
  <c r="AI637" i="17"/>
  <c r="H638" i="17"/>
  <c r="T637" i="17"/>
  <c r="S637" i="17"/>
  <c r="AK637" i="17"/>
  <c r="M638" i="17" l="1"/>
  <c r="N638" i="17" s="1"/>
  <c r="AJ638" i="17" s="1"/>
  <c r="O638" i="17" s="1"/>
  <c r="P638" i="17" l="1"/>
  <c r="Q638" i="17"/>
  <c r="R638" i="17" l="1"/>
  <c r="K639" i="17" l="1"/>
  <c r="M639" i="17" s="1"/>
  <c r="T638" i="17"/>
  <c r="AK638" i="17"/>
  <c r="S638" i="17"/>
  <c r="H639" i="17"/>
  <c r="AI638" i="17"/>
  <c r="AQ638" i="17"/>
  <c r="U639" i="17" l="1"/>
  <c r="V639" i="17" s="1"/>
  <c r="N639" i="17"/>
  <c r="AJ639" i="17" s="1"/>
  <c r="O639" i="17" s="1"/>
  <c r="P639" i="17" l="1"/>
  <c r="Q639" i="17"/>
  <c r="R639" i="17" l="1"/>
  <c r="K640" i="17" l="1"/>
  <c r="M640" i="17" s="1"/>
  <c r="N640" i="17" s="1"/>
  <c r="T639" i="17"/>
  <c r="S639" i="17"/>
  <c r="AI639" i="17"/>
  <c r="H640" i="17"/>
  <c r="AQ639" i="17"/>
  <c r="AK639" i="17"/>
  <c r="U640" i="17" l="1"/>
  <c r="V640" i="17" s="1"/>
  <c r="AJ640" i="17"/>
  <c r="Q640" i="17" s="1"/>
  <c r="P640" i="17" l="1"/>
  <c r="O640" i="17"/>
  <c r="R640" i="17" l="1"/>
  <c r="K641" i="17" l="1"/>
  <c r="U641" i="17" s="1"/>
  <c r="V641" i="17" s="1"/>
  <c r="T640" i="17"/>
  <c r="AI640" i="17"/>
  <c r="AQ640" i="17"/>
  <c r="AK640" i="17"/>
  <c r="H641" i="17"/>
  <c r="S640" i="17"/>
  <c r="M641" i="17" l="1"/>
  <c r="N641" i="17" s="1"/>
  <c r="AJ641" i="17" l="1"/>
  <c r="O641" i="17" s="1"/>
  <c r="P641" i="17" l="1"/>
  <c r="Q641" i="17"/>
  <c r="R641" i="17" l="1"/>
  <c r="AK641" i="17" s="1"/>
  <c r="K642" i="17"/>
  <c r="M642" i="17" s="1"/>
  <c r="H642" i="17"/>
  <c r="S641" i="17"/>
  <c r="T641" i="17" l="1"/>
  <c r="AQ641" i="17"/>
  <c r="AI641" i="17"/>
  <c r="N642" i="17"/>
  <c r="AJ642" i="17" s="1"/>
  <c r="O642" i="17" s="1"/>
  <c r="U642" i="17"/>
  <c r="V642" i="17" s="1"/>
  <c r="Q642" i="17" l="1"/>
  <c r="P642" i="17"/>
  <c r="R642" i="17" l="1"/>
  <c r="S642" i="17" s="1"/>
  <c r="K643" i="17" l="1"/>
  <c r="U643" i="17" s="1"/>
  <c r="V643" i="17" s="1"/>
  <c r="AI642" i="17"/>
  <c r="T642" i="17"/>
  <c r="H643" i="17"/>
  <c r="AK642" i="17"/>
  <c r="AQ642" i="17"/>
  <c r="M643" i="17" l="1"/>
  <c r="N643" i="17" s="1"/>
  <c r="AJ643" i="17" s="1"/>
  <c r="O643" i="17" s="1"/>
  <c r="P643" i="17" l="1"/>
  <c r="Q643" i="17"/>
  <c r="R643" i="17" l="1"/>
  <c r="K644" i="17" l="1"/>
  <c r="U644" i="17" s="1"/>
  <c r="V644" i="17" s="1"/>
  <c r="AI643" i="17"/>
  <c r="S643" i="17"/>
  <c r="H644" i="17"/>
  <c r="AK643" i="17"/>
  <c r="AQ643" i="17"/>
  <c r="T643" i="17"/>
  <c r="M644" i="17" l="1"/>
  <c r="N644" i="17" s="1"/>
  <c r="AJ644" i="17" s="1"/>
  <c r="O644" i="17" s="1"/>
  <c r="P644" i="17" l="1"/>
  <c r="Q644" i="17"/>
  <c r="R644" i="17" l="1"/>
  <c r="K645" i="17" l="1"/>
  <c r="U645" i="17" s="1"/>
  <c r="V645" i="17" s="1"/>
  <c r="AI644" i="17"/>
  <c r="H645" i="17"/>
  <c r="T644" i="17"/>
  <c r="S644" i="17"/>
  <c r="AQ644" i="17"/>
  <c r="AK644" i="17"/>
  <c r="M645" i="17" l="1"/>
  <c r="N645" i="17" s="1"/>
  <c r="AJ645" i="17" l="1"/>
  <c r="O645" i="17" s="1"/>
  <c r="P645" i="17" l="1"/>
  <c r="Q645" i="17"/>
  <c r="R645" i="17" l="1"/>
  <c r="S645" i="17" s="1"/>
  <c r="H646" i="17"/>
  <c r="AQ645" i="17" l="1"/>
  <c r="T645" i="17"/>
  <c r="K646" i="17"/>
  <c r="M646" i="17" s="1"/>
  <c r="N646" i="17" s="1"/>
  <c r="AI645" i="17"/>
  <c r="AK645" i="17"/>
  <c r="U646" i="17" l="1"/>
  <c r="V646" i="17" s="1"/>
  <c r="AJ646" i="17"/>
  <c r="O646" i="17" s="1"/>
  <c r="P646" i="17"/>
  <c r="Q646" i="17"/>
  <c r="R646" i="17" l="1"/>
  <c r="S646" i="17" s="1"/>
  <c r="H647" i="17"/>
  <c r="AK646" i="17"/>
  <c r="K647" i="17" l="1"/>
  <c r="U647" i="17" s="1"/>
  <c r="V647" i="17" s="1"/>
  <c r="T646" i="17"/>
  <c r="AQ646" i="17"/>
  <c r="AI646" i="17"/>
  <c r="M647" i="17" l="1"/>
  <c r="N647" i="17" s="1"/>
  <c r="AJ647" i="17" s="1"/>
  <c r="O647" i="17" s="1"/>
  <c r="Q647" i="17"/>
  <c r="P647" i="17"/>
  <c r="R647" i="17" l="1"/>
  <c r="H648" i="17" s="1"/>
  <c r="K648" i="17" l="1"/>
  <c r="U648" i="17" s="1"/>
  <c r="V648" i="17" s="1"/>
  <c r="AI647" i="17"/>
  <c r="T647" i="17"/>
  <c r="S647" i="17"/>
  <c r="AK647" i="17"/>
  <c r="AQ647" i="17"/>
  <c r="M648" i="17" l="1"/>
  <c r="N648" i="17" s="1"/>
  <c r="AJ648" i="17" s="1"/>
  <c r="O648" i="17" s="1"/>
  <c r="P648" i="17" l="1"/>
  <c r="Q648" i="17"/>
  <c r="R648" i="17" l="1"/>
  <c r="AK648" i="17" s="1"/>
  <c r="K649" i="17"/>
  <c r="M649" i="17" s="1"/>
  <c r="S648" i="17"/>
  <c r="H649" i="17"/>
  <c r="T648" i="17"/>
  <c r="AI648" i="17"/>
  <c r="AQ648" i="17" l="1"/>
  <c r="U649" i="17"/>
  <c r="V649" i="17" s="1"/>
  <c r="N649" i="17"/>
  <c r="AJ649" i="17" s="1"/>
  <c r="O649" i="17" s="1"/>
  <c r="P649" i="17" l="1"/>
  <c r="Q649" i="17"/>
  <c r="R649" i="17" l="1"/>
  <c r="K650" i="17" l="1"/>
  <c r="M650" i="17" s="1"/>
  <c r="N650" i="17" s="1"/>
  <c r="AJ650" i="17" s="1"/>
  <c r="O650" i="17" s="1"/>
  <c r="T649" i="17"/>
  <c r="S649" i="17"/>
  <c r="H650" i="17"/>
  <c r="AI649" i="17"/>
  <c r="AQ649" i="17"/>
  <c r="AK649" i="17"/>
  <c r="U650" i="17" l="1"/>
  <c r="V650" i="17" s="1"/>
  <c r="Q650" i="17"/>
  <c r="P650" i="17"/>
  <c r="R650" i="17" l="1"/>
  <c r="K651" i="17" l="1"/>
  <c r="U651" i="17" s="1"/>
  <c r="V651" i="17" s="1"/>
  <c r="AI650" i="17"/>
  <c r="T650" i="17"/>
  <c r="S650" i="17"/>
  <c r="AQ650" i="17"/>
  <c r="H651" i="17"/>
  <c r="AK650" i="17"/>
  <c r="M651" i="17" l="1"/>
  <c r="N651" i="17" s="1"/>
  <c r="AJ651" i="17" l="1"/>
  <c r="O651" i="17" s="1"/>
  <c r="P651" i="17" l="1"/>
  <c r="Q651" i="17"/>
  <c r="R651" i="17" l="1"/>
  <c r="K652" i="17" l="1"/>
  <c r="M652" i="17" s="1"/>
  <c r="N652" i="17" s="1"/>
  <c r="T651" i="17"/>
  <c r="AQ651" i="17"/>
  <c r="AK651" i="17"/>
  <c r="S651" i="17"/>
  <c r="H652" i="17"/>
  <c r="AI651" i="17"/>
  <c r="AJ652" i="17" l="1"/>
  <c r="O652" i="17" s="1"/>
  <c r="U652" i="17"/>
  <c r="V652" i="17" s="1"/>
  <c r="Q652" i="17" l="1"/>
  <c r="P652" i="17"/>
  <c r="R652" i="17" l="1"/>
  <c r="AQ652" i="17" s="1"/>
  <c r="T652" i="17" l="1"/>
  <c r="AK652" i="17"/>
  <c r="K653" i="17"/>
  <c r="U653" i="17" s="1"/>
  <c r="V653" i="17" s="1"/>
  <c r="AI652" i="17"/>
  <c r="S652" i="17"/>
  <c r="H653" i="17"/>
  <c r="M653" i="17" l="1"/>
  <c r="N653" i="17" s="1"/>
  <c r="AJ653" i="17" s="1"/>
  <c r="O653" i="17" s="1"/>
  <c r="P653" i="17" l="1"/>
  <c r="Q653" i="17"/>
  <c r="R653" i="17" l="1"/>
  <c r="S653" i="17" s="1"/>
  <c r="T653" i="17" l="1"/>
  <c r="K654" i="17"/>
  <c r="AQ653" i="17"/>
  <c r="AK653" i="17"/>
  <c r="H654" i="17"/>
  <c r="AI653" i="17"/>
  <c r="U654" i="17" l="1"/>
  <c r="V654" i="17" s="1"/>
  <c r="M654" i="17"/>
  <c r="N654" i="17" l="1"/>
  <c r="AJ654" i="17" s="1"/>
  <c r="O654" i="17" s="1"/>
  <c r="P654" i="17" l="1"/>
  <c r="Q654" i="17"/>
  <c r="R654" i="17" s="1"/>
  <c r="K655" i="17" l="1"/>
  <c r="H655" i="17"/>
  <c r="S654" i="17"/>
  <c r="AI654" i="17"/>
  <c r="T654" i="17"/>
  <c r="AK654" i="17"/>
  <c r="AQ654" i="17"/>
  <c r="U655" i="17" l="1"/>
  <c r="V655" i="17" s="1"/>
  <c r="M655" i="17"/>
  <c r="N655" i="17" s="1"/>
  <c r="AJ655" i="17" s="1"/>
  <c r="O655" i="17" s="1"/>
  <c r="P655" i="17" l="1"/>
  <c r="Q655" i="17"/>
  <c r="R655" i="17" l="1"/>
  <c r="S655" i="17" l="1"/>
  <c r="AI655" i="17"/>
  <c r="AK655" i="17"/>
  <c r="AQ655" i="17"/>
  <c r="K656" i="17"/>
  <c r="H656" i="17"/>
  <c r="T655" i="17"/>
  <c r="U656" i="17" l="1"/>
  <c r="V656" i="17" s="1"/>
  <c r="M656" i="17"/>
  <c r="N656" i="17" l="1"/>
  <c r="AJ656" i="17" s="1"/>
  <c r="O656" i="17" s="1"/>
  <c r="Q656" i="17" l="1"/>
  <c r="P656" i="17"/>
  <c r="R656" i="17" l="1"/>
  <c r="AI656" i="17" s="1"/>
  <c r="T656" i="17"/>
  <c r="H657" i="17" l="1"/>
  <c r="AK656" i="17"/>
  <c r="K657" i="17"/>
  <c r="U657" i="17" s="1"/>
  <c r="V657" i="17" s="1"/>
  <c r="AQ656" i="17"/>
  <c r="S656" i="17"/>
  <c r="M657" i="17" l="1"/>
  <c r="N657" i="17"/>
  <c r="AJ657" i="17" s="1"/>
  <c r="P657" i="17" l="1"/>
  <c r="O657" i="17"/>
  <c r="Q657" i="17"/>
  <c r="R657" i="17" l="1"/>
  <c r="S657" i="17" s="1"/>
  <c r="T657" i="17" l="1"/>
  <c r="K658" i="17"/>
  <c r="U658" i="17" s="1"/>
  <c r="V658" i="17" s="1"/>
  <c r="AQ657" i="17"/>
  <c r="AI657" i="17"/>
  <c r="AK657" i="17"/>
  <c r="H658" i="17"/>
  <c r="M658" i="17" l="1"/>
  <c r="N658" i="17"/>
  <c r="AJ658" i="17" s="1"/>
  <c r="O658" i="17" s="1"/>
  <c r="Q658" i="17" l="1"/>
  <c r="P658" i="17"/>
  <c r="R658" i="17" l="1"/>
  <c r="K659" i="17" s="1"/>
  <c r="AK658" i="17" l="1"/>
  <c r="T658" i="17"/>
  <c r="AQ658" i="17"/>
  <c r="H659" i="17"/>
  <c r="AI658" i="17"/>
  <c r="S658" i="17"/>
  <c r="U659" i="17"/>
  <c r="V659" i="17" s="1"/>
  <c r="M659" i="17"/>
  <c r="N659" i="17" l="1"/>
  <c r="AJ659" i="17" l="1"/>
  <c r="O659" i="17" s="1"/>
  <c r="P659" i="17" l="1"/>
  <c r="Q659" i="17"/>
  <c r="R659" i="17" l="1"/>
  <c r="K660" i="17" s="1"/>
  <c r="T659" i="17" l="1"/>
  <c r="H660" i="17"/>
  <c r="AK659" i="17"/>
  <c r="S659" i="17"/>
  <c r="AQ659" i="17"/>
  <c r="AI659" i="17"/>
  <c r="M660" i="17"/>
  <c r="N660" i="17" s="1"/>
  <c r="U660" i="17"/>
  <c r="V660" i="17" s="1"/>
  <c r="AJ660" i="17" l="1"/>
  <c r="O660" i="17" l="1"/>
  <c r="P660" i="17"/>
  <c r="Q660" i="17"/>
  <c r="R660" i="17" l="1"/>
  <c r="K661" i="17" s="1"/>
  <c r="M661" i="17" s="1"/>
  <c r="N661" i="17" s="1"/>
  <c r="AJ661" i="17" s="1"/>
  <c r="U661" i="17" l="1"/>
  <c r="V661" i="17" s="1"/>
  <c r="T660" i="17"/>
  <c r="AI660" i="17"/>
  <c r="AQ660" i="17"/>
  <c r="S660" i="17"/>
  <c r="H661" i="17"/>
  <c r="Q661" i="17" s="1"/>
  <c r="AK660" i="17"/>
  <c r="P661" i="17"/>
  <c r="O661" i="17"/>
  <c r="R661" i="17" l="1"/>
  <c r="K662" i="17" l="1"/>
  <c r="U662" i="17" s="1"/>
  <c r="V662" i="17" s="1"/>
  <c r="T661" i="17"/>
  <c r="AI661" i="17"/>
  <c r="H662" i="17"/>
  <c r="S661" i="17"/>
  <c r="AK661" i="17"/>
  <c r="AQ661" i="17"/>
  <c r="M662" i="17" l="1"/>
  <c r="N662" i="17" s="1"/>
  <c r="AJ662" i="17" s="1"/>
  <c r="O662" i="17" s="1"/>
  <c r="P662" i="17" l="1"/>
  <c r="Q662" i="17"/>
  <c r="R662" i="17" l="1"/>
  <c r="K663" i="17" l="1"/>
  <c r="U663" i="17" s="1"/>
  <c r="V663" i="17" s="1"/>
  <c r="AK662" i="17"/>
  <c r="T662" i="17"/>
  <c r="AI662" i="17"/>
  <c r="H663" i="17"/>
  <c r="S662" i="17"/>
  <c r="AQ662" i="17"/>
  <c r="M663" i="17" l="1"/>
  <c r="N663" i="17" s="1"/>
  <c r="AJ663" i="17" s="1"/>
  <c r="P663" i="17" s="1"/>
  <c r="Q663" i="17" l="1"/>
  <c r="O663" i="17"/>
  <c r="R663" i="17" l="1"/>
  <c r="K664" i="17" l="1"/>
  <c r="M664" i="17" s="1"/>
  <c r="N664" i="17" s="1"/>
  <c r="S663" i="17"/>
  <c r="AI663" i="17"/>
  <c r="AK663" i="17"/>
  <c r="H664" i="17"/>
  <c r="T663" i="17"/>
  <c r="AQ663" i="17"/>
  <c r="U664" i="17" l="1"/>
  <c r="V664" i="17" s="1"/>
  <c r="AJ664" i="17"/>
  <c r="O664" i="17" s="1"/>
  <c r="P664" i="17" l="1"/>
  <c r="Q664" i="17"/>
  <c r="R664" i="17" l="1"/>
  <c r="K665" i="17" l="1"/>
  <c r="U665" i="17" s="1"/>
  <c r="V665" i="17" s="1"/>
  <c r="H665" i="17"/>
  <c r="T664" i="17"/>
  <c r="AI664" i="17"/>
  <c r="S664" i="17"/>
  <c r="AQ664" i="17"/>
  <c r="AK664" i="17"/>
  <c r="M665" i="17" l="1"/>
  <c r="N665" i="17" s="1"/>
  <c r="AJ665" i="17" s="1"/>
  <c r="O665" i="17" s="1"/>
  <c r="P665" i="17" l="1"/>
  <c r="Q665" i="17"/>
  <c r="R665" i="17" l="1"/>
  <c r="S665" i="17" s="1"/>
  <c r="H666" i="17" l="1"/>
  <c r="AK665" i="17"/>
  <c r="K666" i="17"/>
  <c r="M666" i="17" s="1"/>
  <c r="T665" i="17"/>
  <c r="AQ665" i="17"/>
  <c r="AI665" i="17"/>
  <c r="U666" i="17" l="1"/>
  <c r="V666" i="17" s="1"/>
  <c r="N666" i="17"/>
  <c r="AJ666" i="17" s="1"/>
  <c r="O666" i="17" s="1"/>
  <c r="Q666" i="17" l="1"/>
  <c r="P666" i="17"/>
  <c r="R666" i="17" s="1"/>
  <c r="K667" i="17" l="1"/>
  <c r="M667" i="17" s="1"/>
  <c r="H667" i="17"/>
  <c r="AI666" i="17"/>
  <c r="S666" i="17"/>
  <c r="T666" i="17"/>
  <c r="AK666" i="17"/>
  <c r="AQ666" i="17"/>
  <c r="U667" i="17" l="1"/>
  <c r="V667" i="17" s="1"/>
  <c r="N667" i="17"/>
  <c r="AJ667" i="17" s="1"/>
  <c r="O667" i="17" l="1"/>
  <c r="P667" i="17"/>
  <c r="Q667" i="17"/>
  <c r="R667" i="17" l="1"/>
  <c r="K668" i="17" l="1"/>
  <c r="U668" i="17" s="1"/>
  <c r="V668" i="17" s="1"/>
  <c r="AI667" i="17"/>
  <c r="S667" i="17"/>
  <c r="AQ667" i="17"/>
  <c r="AK667" i="17"/>
  <c r="H668" i="17"/>
  <c r="T667" i="17"/>
  <c r="M668" i="17"/>
  <c r="N668" i="17" s="1"/>
  <c r="AJ668" i="17" l="1"/>
  <c r="O668" i="17" s="1"/>
  <c r="P668" i="17" l="1"/>
  <c r="Q668" i="17"/>
  <c r="R668" i="17" l="1"/>
  <c r="K669" i="17" l="1"/>
  <c r="M669" i="17" s="1"/>
  <c r="AI668" i="17"/>
  <c r="T668" i="17"/>
  <c r="H669" i="17"/>
  <c r="S668" i="17"/>
  <c r="AQ668" i="17"/>
  <c r="AK668" i="17"/>
  <c r="U669" i="17" l="1"/>
  <c r="V669" i="17" s="1"/>
  <c r="N669" i="17"/>
  <c r="AJ669" i="17" s="1"/>
  <c r="O669" i="17" s="1"/>
  <c r="P669" i="17" l="1"/>
  <c r="Q669" i="17"/>
  <c r="R669" i="17" l="1"/>
  <c r="K670" i="17" l="1"/>
  <c r="U670" i="17" s="1"/>
  <c r="V670" i="17" s="1"/>
  <c r="AI669" i="17"/>
  <c r="S669" i="17"/>
  <c r="T669" i="17"/>
  <c r="H670" i="17"/>
  <c r="AK669" i="17"/>
  <c r="AQ669" i="17"/>
  <c r="M670" i="17" l="1"/>
  <c r="N670" i="17" s="1"/>
  <c r="AJ670" i="17" l="1"/>
  <c r="O670" i="17" s="1"/>
  <c r="Q670" i="17"/>
  <c r="P670" i="17" l="1"/>
  <c r="R670" i="17"/>
  <c r="K671" i="17" l="1"/>
  <c r="AQ670" i="17"/>
  <c r="AK670" i="17"/>
  <c r="H671" i="17"/>
  <c r="S670" i="17"/>
  <c r="AI670" i="17"/>
  <c r="T670" i="17"/>
  <c r="U671" i="17" l="1"/>
  <c r="V671" i="17" s="1"/>
  <c r="M671" i="17"/>
  <c r="N671" i="17" s="1"/>
  <c r="AJ671" i="17" s="1"/>
  <c r="P671" i="17" l="1"/>
  <c r="O671" i="17"/>
  <c r="Q671" i="17"/>
  <c r="R671" i="17" l="1"/>
  <c r="K672" i="17" l="1"/>
  <c r="U672" i="17" s="1"/>
  <c r="V672" i="17" s="1"/>
  <c r="AI671" i="17"/>
  <c r="T671" i="17"/>
  <c r="S671" i="17"/>
  <c r="H672" i="17"/>
  <c r="AK671" i="17"/>
  <c r="AQ671" i="17"/>
  <c r="M672" i="17" l="1"/>
  <c r="N672" i="17" s="1"/>
  <c r="AJ672" i="17" s="1"/>
  <c r="O672" i="17" s="1"/>
  <c r="P672" i="17" l="1"/>
  <c r="Q672" i="17"/>
  <c r="R672" i="17" l="1"/>
  <c r="K673" i="17" s="1"/>
  <c r="U673" i="17" s="1"/>
  <c r="V673" i="17" s="1"/>
  <c r="H673" i="17" l="1"/>
  <c r="T672" i="17"/>
  <c r="AK672" i="17"/>
  <c r="AI672" i="17"/>
  <c r="S672" i="17"/>
  <c r="AQ672" i="17"/>
  <c r="M673" i="17"/>
  <c r="N673" i="17" s="1"/>
  <c r="AJ673" i="17" s="1"/>
  <c r="O673" i="17" s="1"/>
  <c r="P673" i="17" l="1"/>
  <c r="Q673" i="17"/>
  <c r="R673" i="17" l="1"/>
  <c r="K674" i="17" l="1"/>
  <c r="U674" i="17" s="1"/>
  <c r="V674" i="17" s="1"/>
  <c r="H674" i="17"/>
  <c r="T673" i="17"/>
  <c r="AI673" i="17"/>
  <c r="S673" i="17"/>
  <c r="AK673" i="17"/>
  <c r="AQ673" i="17"/>
  <c r="M674" i="17" l="1"/>
  <c r="N674" i="17" s="1"/>
  <c r="AJ674" i="17" s="1"/>
  <c r="O674" i="17" s="1"/>
  <c r="P674" i="17" l="1"/>
  <c r="Q674" i="17"/>
  <c r="R674" i="17" l="1"/>
  <c r="K675" i="17" l="1"/>
  <c r="U675" i="17" s="1"/>
  <c r="V675" i="17" s="1"/>
  <c r="S674" i="17"/>
  <c r="T674" i="17"/>
  <c r="AI674" i="17"/>
  <c r="H675" i="17"/>
  <c r="AQ674" i="17"/>
  <c r="AK674" i="17"/>
  <c r="M675" i="17" l="1"/>
  <c r="N675" i="17" s="1"/>
  <c r="AJ675" i="17" s="1"/>
  <c r="O675" i="17" s="1"/>
  <c r="Q675" i="17" l="1"/>
  <c r="P675" i="17"/>
  <c r="R675" i="17" l="1"/>
  <c r="K676" i="17" l="1"/>
  <c r="M676" i="17" s="1"/>
  <c r="S675" i="17"/>
  <c r="AI675" i="17"/>
  <c r="H676" i="17"/>
  <c r="AQ675" i="17"/>
  <c r="T675" i="17"/>
  <c r="AK675" i="17"/>
  <c r="U676" i="17" l="1"/>
  <c r="V676" i="17" s="1"/>
  <c r="N676" i="17"/>
  <c r="AJ676" i="17" s="1"/>
  <c r="O676" i="17" l="1"/>
  <c r="P676" i="17"/>
  <c r="Q676" i="17"/>
  <c r="R676" i="17" l="1"/>
  <c r="K677" i="17" l="1"/>
  <c r="AK676" i="17"/>
  <c r="AQ676" i="17"/>
  <c r="S676" i="17"/>
  <c r="T676" i="17"/>
  <c r="AI676" i="17"/>
  <c r="H677" i="17"/>
  <c r="M677" i="17" l="1"/>
  <c r="U677" i="17"/>
  <c r="V677" i="17" s="1"/>
  <c r="N677" i="17" l="1"/>
  <c r="AJ677" i="17" s="1"/>
  <c r="O677" i="17" l="1"/>
  <c r="P677" i="17"/>
  <c r="Q677" i="17"/>
  <c r="R677" i="17" l="1"/>
  <c r="K678" i="17" l="1"/>
  <c r="AQ677" i="17"/>
  <c r="AK677" i="17"/>
  <c r="S677" i="17"/>
  <c r="AI677" i="17"/>
  <c r="T677" i="17"/>
  <c r="H678" i="17"/>
  <c r="U678" i="17" l="1"/>
  <c r="V678" i="17" s="1"/>
  <c r="M678" i="17"/>
  <c r="C67" i="17"/>
  <c r="L10" i="13" s="1"/>
  <c r="L8" i="13" l="1"/>
  <c r="L11" i="13"/>
  <c r="L14" i="13"/>
  <c r="L13" i="13"/>
  <c r="L12" i="13"/>
  <c r="L15" i="13"/>
  <c r="AN416" i="17"/>
  <c r="AP416" i="17" s="1"/>
  <c r="AN405" i="17"/>
  <c r="AP405" i="17" s="1"/>
  <c r="AN502" i="17"/>
  <c r="AP502" i="17" s="1"/>
  <c r="AN649" i="17"/>
  <c r="AP649" i="17" s="1"/>
  <c r="AN393" i="17"/>
  <c r="AP393" i="17" s="1"/>
  <c r="AN404" i="17"/>
  <c r="AP404" i="17" s="1"/>
  <c r="AN554" i="17"/>
  <c r="AP554" i="17" s="1"/>
  <c r="AN355" i="17"/>
  <c r="AP355" i="17" s="1"/>
  <c r="AN100" i="17"/>
  <c r="AP100" i="17" s="1"/>
  <c r="AN515" i="17"/>
  <c r="AP515" i="17" s="1"/>
  <c r="AN637" i="17"/>
  <c r="AP637" i="17" s="1"/>
  <c r="AN263" i="17"/>
  <c r="AP263" i="17" s="1"/>
  <c r="AN390" i="17"/>
  <c r="AP390" i="17" s="1"/>
  <c r="AN346" i="17"/>
  <c r="AP346" i="17" s="1"/>
  <c r="AN359" i="17"/>
  <c r="AP359" i="17" s="1"/>
  <c r="AN95" i="17"/>
  <c r="AP95" i="17" s="1"/>
  <c r="AN449" i="17"/>
  <c r="AP449" i="17" s="1"/>
  <c r="AN84" i="17"/>
  <c r="AP84" i="17" s="1"/>
  <c r="AN566" i="17"/>
  <c r="AP566" i="17" s="1"/>
  <c r="AN560" i="17"/>
  <c r="AP560" i="17" s="1"/>
  <c r="AN159" i="17"/>
  <c r="AP159" i="17" s="1"/>
  <c r="AN469" i="17"/>
  <c r="AP469" i="17" s="1"/>
  <c r="AN621" i="17"/>
  <c r="AP621" i="17" s="1"/>
  <c r="AN403" i="17"/>
  <c r="AP403" i="17" s="1"/>
  <c r="AN476" i="17"/>
  <c r="AP476" i="17" s="1"/>
  <c r="AN412" i="17"/>
  <c r="AP412" i="17" s="1"/>
  <c r="AN516" i="17"/>
  <c r="AP516" i="17" s="1"/>
  <c r="AN597" i="17"/>
  <c r="AP597" i="17" s="1"/>
  <c r="AN353" i="17"/>
  <c r="AP353" i="17" s="1"/>
  <c r="AN407" i="17"/>
  <c r="AP407" i="17" s="1"/>
  <c r="AN672" i="17"/>
  <c r="AP672" i="17" s="1"/>
  <c r="AN585" i="17"/>
  <c r="AP585" i="17" s="1"/>
  <c r="AN423" i="17"/>
  <c r="AP423" i="17" s="1"/>
  <c r="AN341" i="17"/>
  <c r="AP341" i="17" s="1"/>
  <c r="AN671" i="17"/>
  <c r="AP671" i="17" s="1"/>
  <c r="AN214" i="17"/>
  <c r="AP214" i="17" s="1"/>
  <c r="AN91" i="17"/>
  <c r="AP91" i="17" s="1"/>
  <c r="AN302" i="17"/>
  <c r="AP302" i="17" s="1"/>
  <c r="AN314" i="17"/>
  <c r="AP314" i="17" s="1"/>
  <c r="AN181" i="17"/>
  <c r="AP181" i="17" s="1"/>
  <c r="AN657" i="17"/>
  <c r="AP657" i="17" s="1"/>
  <c r="AN349" i="17"/>
  <c r="AP349" i="17" s="1"/>
  <c r="AN375" i="17"/>
  <c r="AP375" i="17" s="1"/>
  <c r="AN426" i="17"/>
  <c r="AP426" i="17" s="1"/>
  <c r="AN311" i="17"/>
  <c r="AP311" i="17" s="1"/>
  <c r="AN232" i="17"/>
  <c r="AP232" i="17" s="1"/>
  <c r="AN552" i="17"/>
  <c r="AP552" i="17" s="1"/>
  <c r="AN168" i="17"/>
  <c r="AP168" i="17" s="1"/>
  <c r="AN99" i="17"/>
  <c r="AP99" i="17" s="1"/>
  <c r="AN331" i="17"/>
  <c r="AP331" i="17" s="1"/>
  <c r="AN167" i="17"/>
  <c r="AP167" i="17" s="1"/>
  <c r="AN485" i="17"/>
  <c r="AP485" i="17" s="1"/>
  <c r="AN579" i="17"/>
  <c r="AP579" i="17" s="1"/>
  <c r="AN177" i="17"/>
  <c r="AP177" i="17" s="1"/>
  <c r="AN499" i="17"/>
  <c r="AP499" i="17" s="1"/>
  <c r="AN433" i="17"/>
  <c r="AP433" i="17" s="1"/>
  <c r="AN456" i="17"/>
  <c r="AP456" i="17" s="1"/>
  <c r="AN288" i="17"/>
  <c r="AP288" i="17" s="1"/>
  <c r="AN238" i="17"/>
  <c r="AP238" i="17" s="1"/>
  <c r="AN408" i="17"/>
  <c r="AP408" i="17" s="1"/>
  <c r="AN136" i="17"/>
  <c r="AP136" i="17" s="1"/>
  <c r="AN217" i="17"/>
  <c r="AP217" i="17" s="1"/>
  <c r="AN197" i="17"/>
  <c r="AP197" i="17" s="1"/>
  <c r="AN228" i="17"/>
  <c r="AP228" i="17" s="1"/>
  <c r="AN264" i="17"/>
  <c r="AP264" i="17" s="1"/>
  <c r="AN462" i="17"/>
  <c r="AP462" i="17" s="1"/>
  <c r="AN401" i="17"/>
  <c r="AP401" i="17" s="1"/>
  <c r="AN265" i="17"/>
  <c r="AP265" i="17" s="1"/>
  <c r="AN268" i="17"/>
  <c r="AP268" i="17" s="1"/>
  <c r="AN222" i="17"/>
  <c r="AP222" i="17" s="1"/>
  <c r="AN188" i="17"/>
  <c r="AP188" i="17" s="1"/>
  <c r="AN242" i="17"/>
  <c r="AP242" i="17" s="1"/>
  <c r="AN335" i="17"/>
  <c r="AP335" i="17" s="1"/>
  <c r="AN239" i="17"/>
  <c r="AP239" i="17" s="1"/>
  <c r="AN623" i="17"/>
  <c r="AP623" i="17" s="1"/>
  <c r="AN490" i="17"/>
  <c r="AP490" i="17" s="1"/>
  <c r="AN114" i="17"/>
  <c r="AP114" i="17" s="1"/>
  <c r="AN465" i="17"/>
  <c r="AP465" i="17" s="1"/>
  <c r="AN351" i="17"/>
  <c r="AP351" i="17" s="1"/>
  <c r="AN280" i="17"/>
  <c r="AP280" i="17" s="1"/>
  <c r="AN324" i="17"/>
  <c r="AP324" i="17" s="1"/>
  <c r="AN409" i="17"/>
  <c r="AP409" i="17" s="1"/>
  <c r="AN418" i="17"/>
  <c r="AP418" i="17" s="1"/>
  <c r="AN244" i="17"/>
  <c r="AP244" i="17" s="1"/>
  <c r="AN533" i="17"/>
  <c r="AP533" i="17" s="1"/>
  <c r="AN446" i="17"/>
  <c r="AP446" i="17" s="1"/>
  <c r="AN132" i="17"/>
  <c r="AP132" i="17" s="1"/>
  <c r="AN608" i="17"/>
  <c r="AP608" i="17" s="1"/>
  <c r="AN149" i="17"/>
  <c r="AP149" i="17" s="1"/>
  <c r="AN227" i="17"/>
  <c r="AP227" i="17" s="1"/>
  <c r="AN587" i="17"/>
  <c r="AP587" i="17" s="1"/>
  <c r="AN286" i="17"/>
  <c r="AP286" i="17" s="1"/>
  <c r="AN365" i="17"/>
  <c r="AP365" i="17" s="1"/>
  <c r="AN519" i="17"/>
  <c r="AP519" i="17" s="1"/>
  <c r="AN438" i="17"/>
  <c r="AP438" i="17" s="1"/>
  <c r="AN590" i="17"/>
  <c r="AP590" i="17" s="1"/>
  <c r="AN596" i="17"/>
  <c r="AP596" i="17" s="1"/>
  <c r="AN240" i="17"/>
  <c r="AP240" i="17" s="1"/>
  <c r="AN356" i="17"/>
  <c r="AP356" i="17" s="1"/>
  <c r="AN371" i="17"/>
  <c r="AP371" i="17" s="1"/>
  <c r="AN190" i="17"/>
  <c r="AP190" i="17" s="1"/>
  <c r="AN121" i="17"/>
  <c r="AP121" i="17" s="1"/>
  <c r="AN258" i="17"/>
  <c r="AP258" i="17" s="1"/>
  <c r="AN275" i="17"/>
  <c r="AP275" i="17" s="1"/>
  <c r="AN219" i="17"/>
  <c r="AP219" i="17" s="1"/>
  <c r="AN599" i="17"/>
  <c r="AP599" i="17" s="1"/>
  <c r="D15" i="13"/>
  <c r="AN605" i="17"/>
  <c r="AP605" i="17" s="1"/>
  <c r="AN522" i="17"/>
  <c r="AP522" i="17" s="1"/>
  <c r="AN304" i="17"/>
  <c r="AP304" i="17" s="1"/>
  <c r="AN467" i="17"/>
  <c r="AP467" i="17" s="1"/>
  <c r="AN479" i="17"/>
  <c r="AP479" i="17" s="1"/>
  <c r="AN617" i="17"/>
  <c r="AP617" i="17" s="1"/>
  <c r="AN630" i="17"/>
  <c r="AP630" i="17" s="1"/>
  <c r="AN421" i="17"/>
  <c r="AP421" i="17" s="1"/>
  <c r="AN457" i="17"/>
  <c r="AP457" i="17" s="1"/>
  <c r="AN310" i="17"/>
  <c r="AP310" i="17" s="1"/>
  <c r="AN631" i="17"/>
  <c r="AP631" i="17" s="1"/>
  <c r="AN318" i="17"/>
  <c r="AP318" i="17" s="1"/>
  <c r="AN283" i="17"/>
  <c r="AP283" i="17" s="1"/>
  <c r="AN667" i="17"/>
  <c r="AP667" i="17" s="1"/>
  <c r="AN626" i="17"/>
  <c r="AP626" i="17" s="1"/>
  <c r="AN203" i="17"/>
  <c r="AP203" i="17" s="1"/>
  <c r="AN398" i="17"/>
  <c r="AP398" i="17" s="1"/>
  <c r="AN486" i="17"/>
  <c r="AP486" i="17" s="1"/>
  <c r="AN458" i="17"/>
  <c r="AP458" i="17" s="1"/>
  <c r="AN497" i="17"/>
  <c r="AP497" i="17" s="1"/>
  <c r="AN194" i="17"/>
  <c r="AP194" i="17" s="1"/>
  <c r="AN459" i="17"/>
  <c r="AP459" i="17" s="1"/>
  <c r="AN206" i="17"/>
  <c r="AP206" i="17" s="1"/>
  <c r="AN472" i="17"/>
  <c r="AP472" i="17" s="1"/>
  <c r="AN363" i="17"/>
  <c r="AP363" i="17" s="1"/>
  <c r="AN94" i="17"/>
  <c r="AP94" i="17" s="1"/>
  <c r="AN205" i="17"/>
  <c r="AP205" i="17" s="1"/>
  <c r="AN279" i="17"/>
  <c r="AP279" i="17" s="1"/>
  <c r="AN442" i="17"/>
  <c r="AP442" i="17" s="1"/>
  <c r="AN571" i="17"/>
  <c r="AP571" i="17" s="1"/>
  <c r="AN79" i="17"/>
  <c r="AP79" i="17" s="1"/>
  <c r="AN259" i="17"/>
  <c r="AP259" i="17" s="1"/>
  <c r="AN383" i="17"/>
  <c r="AP383" i="17" s="1"/>
  <c r="AN137" i="17"/>
  <c r="AP137" i="17" s="1"/>
  <c r="AN97" i="17"/>
  <c r="AP97" i="17" s="1"/>
  <c r="AN445" i="17"/>
  <c r="AP445" i="17" s="1"/>
  <c r="AN389" i="17"/>
  <c r="AP389" i="17" s="1"/>
  <c r="AN98" i="17"/>
  <c r="AP98" i="17" s="1"/>
  <c r="AN262" i="17"/>
  <c r="AP262" i="17" s="1"/>
  <c r="AN266" i="17"/>
  <c r="AP266" i="17" s="1"/>
  <c r="AN451" i="17"/>
  <c r="AP451" i="17" s="1"/>
  <c r="AN330" i="17"/>
  <c r="AP330" i="17" s="1"/>
  <c r="AN176" i="17"/>
  <c r="AP176" i="17" s="1"/>
  <c r="AN221" i="17"/>
  <c r="AP221" i="17" s="1"/>
  <c r="AN329" i="17"/>
  <c r="AP329" i="17" s="1"/>
  <c r="AN231" i="17"/>
  <c r="AP231" i="17" s="1"/>
  <c r="AN636" i="17"/>
  <c r="AP636" i="17" s="1"/>
  <c r="AN157" i="17"/>
  <c r="AP157" i="17" s="1"/>
  <c r="AN362" i="17"/>
  <c r="AP362" i="17" s="1"/>
  <c r="AN230" i="17"/>
  <c r="AP230" i="17" s="1"/>
  <c r="AN591" i="17"/>
  <c r="AP591" i="17" s="1"/>
  <c r="AN601" i="17"/>
  <c r="AP601" i="17" s="1"/>
  <c r="AN539" i="17"/>
  <c r="AP539" i="17" s="1"/>
  <c r="AN629" i="17"/>
  <c r="AP629" i="17" s="1"/>
  <c r="AN640" i="17"/>
  <c r="AP640" i="17" s="1"/>
  <c r="AN126" i="17"/>
  <c r="AP126" i="17" s="1"/>
  <c r="AN524" i="17"/>
  <c r="AP524" i="17" s="1"/>
  <c r="AN169" i="17"/>
  <c r="AP169" i="17" s="1"/>
  <c r="AN478" i="17"/>
  <c r="AP478" i="17" s="1"/>
  <c r="AN461" i="17"/>
  <c r="AP461" i="17" s="1"/>
  <c r="AN234" i="17"/>
  <c r="AP234" i="17" s="1"/>
  <c r="AN233" i="17"/>
  <c r="AP233" i="17" s="1"/>
  <c r="AN452" i="17"/>
  <c r="AP452" i="17" s="1"/>
  <c r="AN185" i="17"/>
  <c r="AP185" i="17" s="1"/>
  <c r="AN118" i="17"/>
  <c r="AP118" i="17" s="1"/>
  <c r="AN674" i="17"/>
  <c r="AP674" i="17" s="1"/>
  <c r="AN489" i="17"/>
  <c r="AP489" i="17" s="1"/>
  <c r="AN430" i="17"/>
  <c r="AP430" i="17" s="1"/>
  <c r="AN358" i="17"/>
  <c r="AP358" i="17" s="1"/>
  <c r="AN89" i="17"/>
  <c r="AP89" i="17" s="1"/>
  <c r="AN334" i="17"/>
  <c r="AP334" i="17" s="1"/>
  <c r="AN487" i="17"/>
  <c r="AP487" i="17" s="1"/>
  <c r="AN224" i="17"/>
  <c r="AP224" i="17" s="1"/>
  <c r="AN448" i="17"/>
  <c r="AP448" i="17" s="1"/>
  <c r="AN540" i="17"/>
  <c r="AP540" i="17" s="1"/>
  <c r="AN581" i="17"/>
  <c r="AP581" i="17" s="1"/>
  <c r="AN166" i="17"/>
  <c r="AP166" i="17" s="1"/>
  <c r="AN229" i="17"/>
  <c r="AP229" i="17" s="1"/>
  <c r="AN129" i="17"/>
  <c r="AP129" i="17" s="1"/>
  <c r="AN303" i="17"/>
  <c r="AP303" i="17" s="1"/>
  <c r="AN255" i="17"/>
  <c r="AP255" i="17" s="1"/>
  <c r="AN439" i="17"/>
  <c r="AP439" i="17" s="1"/>
  <c r="AN189" i="17"/>
  <c r="AP189" i="17" s="1"/>
  <c r="AN542" i="17"/>
  <c r="AP542" i="17" s="1"/>
  <c r="AN429" i="17"/>
  <c r="AP429" i="17" s="1"/>
  <c r="AN336" i="17"/>
  <c r="AP336" i="17" s="1"/>
  <c r="AN535" i="17"/>
  <c r="AP535" i="17" s="1"/>
  <c r="AN508" i="17"/>
  <c r="AP508" i="17" s="1"/>
  <c r="AN367" i="17"/>
  <c r="AP367" i="17" s="1"/>
  <c r="AN394" i="17"/>
  <c r="AP394" i="17" s="1"/>
  <c r="AN395" i="17"/>
  <c r="AP395" i="17" s="1"/>
  <c r="AN638" i="17"/>
  <c r="AP638" i="17" s="1"/>
  <c r="AN153" i="17"/>
  <c r="AP153" i="17" s="1"/>
  <c r="AN659" i="17"/>
  <c r="AP659" i="17" s="1"/>
  <c r="AN305" i="17"/>
  <c r="AP305" i="17" s="1"/>
  <c r="AN555" i="17"/>
  <c r="AP555" i="17" s="1"/>
  <c r="AN135" i="17"/>
  <c r="AP135" i="17" s="1"/>
  <c r="AN396" i="17"/>
  <c r="AP396" i="17" s="1"/>
  <c r="AN281" i="17"/>
  <c r="AP281" i="17" s="1"/>
  <c r="AN656" i="17"/>
  <c r="AP656" i="17" s="1"/>
  <c r="AN376" i="17"/>
  <c r="AP376" i="17" s="1"/>
  <c r="AN377" i="17"/>
  <c r="AP377" i="17" s="1"/>
  <c r="AN360" i="17"/>
  <c r="AP360" i="17" s="1"/>
  <c r="AN384" i="17"/>
  <c r="AP384" i="17" s="1"/>
  <c r="AN322" i="17"/>
  <c r="AP322" i="17" s="1"/>
  <c r="AN146" i="17"/>
  <c r="AP146" i="17" s="1"/>
  <c r="AN520" i="17"/>
  <c r="AP520" i="17" s="1"/>
  <c r="AN652" i="17"/>
  <c r="AP652" i="17" s="1"/>
  <c r="AN595" i="17"/>
  <c r="AP595" i="17" s="1"/>
  <c r="AN628" i="17"/>
  <c r="AP628" i="17" s="1"/>
  <c r="AN287" i="17"/>
  <c r="AP287" i="17" s="1"/>
  <c r="AN507" i="17"/>
  <c r="AP507" i="17" s="1"/>
  <c r="AN319" i="17"/>
  <c r="AP319" i="17" s="1"/>
  <c r="AN644" i="17"/>
  <c r="AP644" i="17" s="1"/>
  <c r="AN357" i="17"/>
  <c r="AP357" i="17" s="1"/>
  <c r="AN563" i="17"/>
  <c r="AP563" i="17" s="1"/>
  <c r="AN678" i="17"/>
  <c r="AN345" i="17"/>
  <c r="AP345" i="17" s="1"/>
  <c r="AN272" i="17"/>
  <c r="AP272" i="17" s="1"/>
  <c r="AN271" i="17"/>
  <c r="AP271" i="17" s="1"/>
  <c r="AN257" i="17"/>
  <c r="AP257" i="17" s="1"/>
  <c r="AN424" i="17"/>
  <c r="AP424" i="17" s="1"/>
  <c r="AN273" i="17"/>
  <c r="AP273" i="17" s="1"/>
  <c r="AN140" i="17"/>
  <c r="AP140" i="17" s="1"/>
  <c r="AN639" i="17"/>
  <c r="AP639" i="17" s="1"/>
  <c r="AN635" i="17"/>
  <c r="AP635" i="17" s="1"/>
  <c r="AN269" i="17"/>
  <c r="AP269" i="17" s="1"/>
  <c r="AN422" i="17"/>
  <c r="AP422" i="17" s="1"/>
  <c r="AN612" i="17"/>
  <c r="AP612" i="17" s="1"/>
  <c r="AN589" i="17"/>
  <c r="AP589" i="17" s="1"/>
  <c r="AN607" i="17"/>
  <c r="AP607" i="17" s="1"/>
  <c r="AN550" i="17"/>
  <c r="AP550" i="17" s="1"/>
  <c r="AN270" i="17"/>
  <c r="AP270" i="17" s="1"/>
  <c r="AN402" i="17"/>
  <c r="AP402" i="17" s="1"/>
  <c r="AN250" i="17"/>
  <c r="AP250" i="17" s="1"/>
  <c r="AN364" i="17"/>
  <c r="AP364" i="17" s="1"/>
  <c r="AN193" i="17"/>
  <c r="AP193" i="17" s="1"/>
  <c r="AN447" i="17"/>
  <c r="AP447" i="17" s="1"/>
  <c r="AN491" i="17"/>
  <c r="AP491" i="17" s="1"/>
  <c r="AN337" i="17"/>
  <c r="AP337" i="17" s="1"/>
  <c r="AN124" i="17"/>
  <c r="AP124" i="17" s="1"/>
  <c r="AN165" i="17"/>
  <c r="AP165" i="17" s="1"/>
  <c r="AN512" i="17"/>
  <c r="AP512" i="17" s="1"/>
  <c r="AN342" i="17"/>
  <c r="AP342" i="17" s="1"/>
  <c r="AN647" i="17"/>
  <c r="AP647" i="17" s="1"/>
  <c r="AN109" i="17"/>
  <c r="AP109" i="17" s="1"/>
  <c r="AN650" i="17"/>
  <c r="AP650" i="17" s="1"/>
  <c r="AN618" i="17"/>
  <c r="AP618" i="17" s="1"/>
  <c r="AN528" i="17"/>
  <c r="AP528" i="17" s="1"/>
  <c r="AN246" i="17"/>
  <c r="AP246" i="17" s="1"/>
  <c r="AN101" i="17"/>
  <c r="AP101" i="17" s="1"/>
  <c r="AN648" i="17"/>
  <c r="AP648" i="17" s="1"/>
  <c r="AN344" i="17"/>
  <c r="AP344" i="17" s="1"/>
  <c r="AN174" i="17"/>
  <c r="AP174" i="17" s="1"/>
  <c r="AN658" i="17"/>
  <c r="AP658" i="17" s="1"/>
  <c r="AN267" i="17"/>
  <c r="AP267" i="17" s="1"/>
  <c r="AN111" i="17"/>
  <c r="AP111" i="17" s="1"/>
  <c r="AN584" i="17"/>
  <c r="AP584" i="17" s="1"/>
  <c r="AN164" i="17"/>
  <c r="AP164" i="17" s="1"/>
  <c r="AN292" i="17"/>
  <c r="AP292" i="17" s="1"/>
  <c r="AN215" i="17"/>
  <c r="AP215" i="17" s="1"/>
  <c r="AN410" i="17"/>
  <c r="AP410" i="17" s="1"/>
  <c r="AN399" i="17"/>
  <c r="AP399" i="17" s="1"/>
  <c r="AN186" i="17"/>
  <c r="AP186" i="17" s="1"/>
  <c r="AN380" i="17"/>
  <c r="AP380" i="17" s="1"/>
  <c r="AN575" i="17"/>
  <c r="AP575" i="17" s="1"/>
  <c r="AN162" i="17"/>
  <c r="AP162" i="17" s="1"/>
  <c r="AN503" i="17"/>
  <c r="AP503" i="17" s="1"/>
  <c r="AN216" i="17"/>
  <c r="AP216" i="17" s="1"/>
  <c r="AN427" i="17"/>
  <c r="AP427" i="17" s="1"/>
  <c r="AN642" i="17"/>
  <c r="AP642" i="17" s="1"/>
  <c r="AN147" i="17"/>
  <c r="AP147" i="17" s="1"/>
  <c r="AN562" i="17"/>
  <c r="AP562" i="17" s="1"/>
  <c r="AN387" i="17"/>
  <c r="AP387" i="17" s="1"/>
  <c r="AN614" i="17"/>
  <c r="AP614" i="17" s="1"/>
  <c r="AN285" i="17"/>
  <c r="AP285" i="17" s="1"/>
  <c r="AN172" i="17"/>
  <c r="AP172" i="17" s="1"/>
  <c r="AN339" i="17"/>
  <c r="AP339" i="17" s="1"/>
  <c r="AN294" i="17"/>
  <c r="AP294" i="17" s="1"/>
  <c r="AN81" i="17"/>
  <c r="AP81" i="17" s="1"/>
  <c r="AN103" i="17"/>
  <c r="AP103" i="17" s="1"/>
  <c r="AN152" i="17"/>
  <c r="AP152" i="17" s="1"/>
  <c r="AN440" i="17"/>
  <c r="AP440" i="17" s="1"/>
  <c r="AN569" i="17"/>
  <c r="AP569" i="17" s="1"/>
  <c r="AN312" i="17"/>
  <c r="AP312" i="17" s="1"/>
  <c r="AN532" i="17"/>
  <c r="AP532" i="17" s="1"/>
  <c r="AN253" i="17"/>
  <c r="AP253" i="17" s="1"/>
  <c r="AN632" i="17"/>
  <c r="AP632" i="17" s="1"/>
  <c r="AN369" i="17"/>
  <c r="AP369" i="17" s="1"/>
  <c r="AN83" i="17"/>
  <c r="AP83" i="17" s="1"/>
  <c r="AN144" i="17"/>
  <c r="AP144" i="17" s="1"/>
  <c r="AN673" i="17"/>
  <c r="AP673" i="17" s="1"/>
  <c r="AN463" i="17"/>
  <c r="AP463" i="17" s="1"/>
  <c r="AN385" i="17"/>
  <c r="AP385" i="17" s="1"/>
  <c r="AN276" i="17"/>
  <c r="AP276" i="17" s="1"/>
  <c r="AN201" i="17"/>
  <c r="AP201" i="17" s="1"/>
  <c r="AN509" i="17"/>
  <c r="AP509" i="17" s="1"/>
  <c r="AN610" i="17"/>
  <c r="AP610" i="17" s="1"/>
  <c r="AN350" i="17"/>
  <c r="AP350" i="17" s="1"/>
  <c r="AN85" i="17"/>
  <c r="AP85" i="17" s="1"/>
  <c r="AN130" i="17"/>
  <c r="AP130" i="17" s="1"/>
  <c r="AN179" i="17"/>
  <c r="AP179" i="17" s="1"/>
  <c r="AN116" i="17"/>
  <c r="AP116" i="17" s="1"/>
  <c r="AN620" i="17"/>
  <c r="AP620" i="17" s="1"/>
  <c r="AN460" i="17"/>
  <c r="AP460" i="17" s="1"/>
  <c r="AN453" i="17"/>
  <c r="AP453" i="17" s="1"/>
  <c r="AN506" i="17"/>
  <c r="AP506" i="17" s="1"/>
  <c r="AN645" i="17"/>
  <c r="AP645" i="17" s="1"/>
  <c r="AN145" i="17"/>
  <c r="AP145" i="17" s="1"/>
  <c r="AN209" i="17"/>
  <c r="AP209" i="17" s="1"/>
  <c r="AN141" i="17"/>
  <c r="AP141" i="17" s="1"/>
  <c r="AN473" i="17"/>
  <c r="AP473" i="17" s="1"/>
  <c r="AN191" i="17"/>
  <c r="AP191" i="17" s="1"/>
  <c r="AN518" i="17"/>
  <c r="AP518" i="17" s="1"/>
  <c r="AN662" i="17"/>
  <c r="AP662" i="17" s="1"/>
  <c r="AN150" i="17"/>
  <c r="AP150" i="17" s="1"/>
  <c r="AN138" i="17"/>
  <c r="AP138" i="17" s="1"/>
  <c r="AN183" i="17"/>
  <c r="AP183" i="17" s="1"/>
  <c r="AN625" i="17"/>
  <c r="AP625" i="17" s="1"/>
  <c r="AN510" i="17"/>
  <c r="AP510" i="17" s="1"/>
  <c r="AN444" i="17"/>
  <c r="AP444" i="17" s="1"/>
  <c r="AN354" i="17"/>
  <c r="AP354" i="17" s="1"/>
  <c r="AN379" i="17"/>
  <c r="AP379" i="17" s="1"/>
  <c r="AN195" i="17"/>
  <c r="AP195" i="17" s="1"/>
  <c r="AN553" i="17"/>
  <c r="AP553" i="17" s="1"/>
  <c r="AN477" i="17"/>
  <c r="AP477" i="17" s="1"/>
  <c r="AN622" i="17"/>
  <c r="AP622" i="17" s="1"/>
  <c r="AN397" i="17"/>
  <c r="AP397" i="17" s="1"/>
  <c r="AN511" i="17"/>
  <c r="AP511" i="17" s="1"/>
  <c r="AN249" i="17"/>
  <c r="AP249" i="17" s="1"/>
  <c r="AN668" i="17"/>
  <c r="AP668" i="17" s="1"/>
  <c r="AN317" i="17"/>
  <c r="AP317" i="17" s="1"/>
  <c r="AN488" i="17"/>
  <c r="AP488" i="17" s="1"/>
  <c r="AN306" i="17"/>
  <c r="AP306" i="17" s="1"/>
  <c r="AN301" i="17"/>
  <c r="AP301" i="17" s="1"/>
  <c r="AN213" i="17"/>
  <c r="AP213" i="17" s="1"/>
  <c r="AN198" i="17"/>
  <c r="AP198" i="17" s="1"/>
  <c r="AN454" i="17"/>
  <c r="AP454" i="17" s="1"/>
  <c r="AN196" i="17"/>
  <c r="AP196" i="17" s="1"/>
  <c r="AN295" i="17"/>
  <c r="AP295" i="17" s="1"/>
  <c r="AN290" i="17"/>
  <c r="AP290" i="17" s="1"/>
  <c r="AN615" i="17"/>
  <c r="AP615" i="17" s="1"/>
  <c r="AN541" i="17"/>
  <c r="AP541" i="17" s="1"/>
  <c r="AN93" i="17"/>
  <c r="AP93" i="17" s="1"/>
  <c r="AN374" i="17"/>
  <c r="AP374" i="17" s="1"/>
  <c r="AN158" i="17"/>
  <c r="AP158" i="17" s="1"/>
  <c r="AN619" i="17"/>
  <c r="AP619" i="17" s="1"/>
  <c r="AN139" i="17"/>
  <c r="AP139" i="17" s="1"/>
  <c r="AN332" i="17"/>
  <c r="AP332" i="17" s="1"/>
  <c r="AN593" i="17"/>
  <c r="AP593" i="17" s="1"/>
  <c r="AN300" i="17"/>
  <c r="AP300" i="17" s="1"/>
  <c r="AN495" i="17"/>
  <c r="AP495" i="17" s="1"/>
  <c r="AN434" i="17"/>
  <c r="AP434" i="17" s="1"/>
  <c r="AN513" i="17"/>
  <c r="AP513" i="17" s="1"/>
  <c r="AN464" i="17"/>
  <c r="AP464" i="17" s="1"/>
  <c r="AN212" i="17"/>
  <c r="AP212" i="17" s="1"/>
  <c r="AN611" i="17"/>
  <c r="AP611" i="17" s="1"/>
  <c r="AN133" i="17"/>
  <c r="AP133" i="17" s="1"/>
  <c r="AN603" i="17"/>
  <c r="AP603" i="17" s="1"/>
  <c r="AN582" i="17"/>
  <c r="AP582" i="17" s="1"/>
  <c r="AN248" i="17"/>
  <c r="AP248" i="17" s="1"/>
  <c r="AN247" i="17"/>
  <c r="AP247" i="17" s="1"/>
  <c r="AN142" i="17"/>
  <c r="AP142" i="17" s="1"/>
  <c r="AN666" i="17"/>
  <c r="AP666" i="17" s="1"/>
  <c r="AN207" i="17"/>
  <c r="AP207" i="17" s="1"/>
  <c r="AN670" i="17"/>
  <c r="AP670" i="17" s="1"/>
  <c r="AN352" i="17"/>
  <c r="AP352" i="17" s="1"/>
  <c r="AN125" i="17"/>
  <c r="AP125" i="17" s="1"/>
  <c r="AN202" i="17"/>
  <c r="AP202" i="17" s="1"/>
  <c r="AN208" i="17"/>
  <c r="AP208" i="17" s="1"/>
  <c r="AN534" i="17"/>
  <c r="AP534" i="17" s="1"/>
  <c r="AN119" i="17"/>
  <c r="AP119" i="17" s="1"/>
  <c r="AN90" i="17"/>
  <c r="AP90" i="17" s="1"/>
  <c r="AN527" i="17"/>
  <c r="AP527" i="17" s="1"/>
  <c r="AN218" i="17"/>
  <c r="AP218" i="17" s="1"/>
  <c r="AN545" i="17"/>
  <c r="AP545" i="17" s="1"/>
  <c r="AN468" i="17"/>
  <c r="AP468" i="17" s="1"/>
  <c r="AN323" i="17"/>
  <c r="AP323" i="17" s="1"/>
  <c r="AN576" i="17"/>
  <c r="AP576" i="17" s="1"/>
  <c r="AN296" i="17"/>
  <c r="AP296" i="17" s="1"/>
  <c r="AN419" i="17"/>
  <c r="AP419" i="17" s="1"/>
  <c r="AN309" i="17"/>
  <c r="AP309" i="17" s="1"/>
  <c r="AN163" i="17"/>
  <c r="AP163" i="17" s="1"/>
  <c r="AN120" i="17"/>
  <c r="AP120" i="17" s="1"/>
  <c r="AN588" i="17"/>
  <c r="AP588" i="17" s="1"/>
  <c r="AN558" i="17"/>
  <c r="AP558" i="17" s="1"/>
  <c r="AN298" i="17"/>
  <c r="AP298" i="17" s="1"/>
  <c r="AN289" i="17"/>
  <c r="AP289" i="17" s="1"/>
  <c r="AN564" i="17"/>
  <c r="AP564" i="17" s="1"/>
  <c r="AN368" i="17"/>
  <c r="AP368" i="17" s="1"/>
  <c r="AN567" i="17"/>
  <c r="AP567" i="17" s="1"/>
  <c r="AN627" i="17"/>
  <c r="AP627" i="17" s="1"/>
  <c r="AN328" i="17"/>
  <c r="AP328" i="17" s="1"/>
  <c r="AN501" i="17"/>
  <c r="AP501" i="17" s="1"/>
  <c r="AN237" i="17"/>
  <c r="AP237" i="17" s="1"/>
  <c r="AN161" i="17"/>
  <c r="AP161" i="17" s="1"/>
  <c r="AN151" i="17"/>
  <c r="AP151" i="17" s="1"/>
  <c r="AN548" i="17"/>
  <c r="AP548" i="17" s="1"/>
  <c r="AN160" i="17"/>
  <c r="AP160" i="17" s="1"/>
  <c r="AN574" i="17"/>
  <c r="AP574" i="17" s="1"/>
  <c r="AN526" i="17"/>
  <c r="AP526" i="17" s="1"/>
  <c r="AN573" i="17"/>
  <c r="AP573" i="17" s="1"/>
  <c r="AN492" i="17"/>
  <c r="AP492" i="17" s="1"/>
  <c r="AN392" i="17"/>
  <c r="AP392" i="17" s="1"/>
  <c r="AN500" i="17"/>
  <c r="AP500" i="17" s="1"/>
  <c r="AN450" i="17"/>
  <c r="AP450" i="17" s="1"/>
  <c r="AN417" i="17"/>
  <c r="AP417" i="17" s="1"/>
  <c r="AN602" i="17"/>
  <c r="AP602" i="17" s="1"/>
  <c r="AN557" i="17"/>
  <c r="AP557" i="17" s="1"/>
  <c r="AN170" i="17"/>
  <c r="AP170" i="17" s="1"/>
  <c r="AN480" i="17"/>
  <c r="AP480" i="17" s="1"/>
  <c r="AN606" i="17"/>
  <c r="AP606" i="17" s="1"/>
  <c r="AN517" i="17"/>
  <c r="AP517" i="17" s="1"/>
  <c r="AN592" i="17"/>
  <c r="AP592" i="17" s="1"/>
  <c r="AN565" i="17"/>
  <c r="AP565" i="17" s="1"/>
  <c r="AN148" i="17"/>
  <c r="AP148" i="17" s="1"/>
  <c r="AN192" i="17"/>
  <c r="AP192" i="17" s="1"/>
  <c r="AN676" i="17"/>
  <c r="AP676" i="17" s="1"/>
  <c r="AN665" i="17"/>
  <c r="AP665" i="17" s="1"/>
  <c r="AN609" i="17"/>
  <c r="AP609" i="17" s="1"/>
  <c r="AN604" i="17"/>
  <c r="AP604" i="17" s="1"/>
  <c r="AN624" i="17"/>
  <c r="AP624" i="17" s="1"/>
  <c r="AN646" i="17"/>
  <c r="AP646" i="17" s="1"/>
  <c r="AN277" i="17"/>
  <c r="AP277" i="17" s="1"/>
  <c r="AN643" i="17"/>
  <c r="AP643" i="17" s="1"/>
  <c r="AN436" i="17"/>
  <c r="AP436" i="17" s="1"/>
  <c r="AN112" i="17"/>
  <c r="AP112" i="17" s="1"/>
  <c r="AN613" i="17"/>
  <c r="AP613" i="17" s="1"/>
  <c r="AN256" i="17"/>
  <c r="AP256" i="17" s="1"/>
  <c r="AN105" i="17"/>
  <c r="AP105" i="17" s="1"/>
  <c r="AN428" i="17"/>
  <c r="AP428" i="17" s="1"/>
  <c r="AN586" i="17"/>
  <c r="AP586" i="17" s="1"/>
  <c r="AN366" i="17"/>
  <c r="AP366" i="17" s="1"/>
  <c r="AN494" i="17"/>
  <c r="AP494" i="17" s="1"/>
  <c r="AN254" i="17"/>
  <c r="AP254" i="17" s="1"/>
  <c r="AN241" i="17"/>
  <c r="AP241" i="17" s="1"/>
  <c r="AN236" i="17"/>
  <c r="AP236" i="17" s="1"/>
  <c r="AN372" i="17"/>
  <c r="AP372" i="17" s="1"/>
  <c r="AN108" i="17"/>
  <c r="AP108" i="17" s="1"/>
  <c r="AN333" i="17"/>
  <c r="AP333" i="17" s="1"/>
  <c r="AN437" i="17"/>
  <c r="AP437" i="17" s="1"/>
  <c r="AN155" i="17"/>
  <c r="AP155" i="17" s="1"/>
  <c r="AN547" i="17"/>
  <c r="AP547" i="17" s="1"/>
  <c r="AN278" i="17"/>
  <c r="AP278" i="17" s="1"/>
  <c r="AN561" i="17"/>
  <c r="AP561" i="17" s="1"/>
  <c r="AN378" i="17"/>
  <c r="AP378" i="17" s="1"/>
  <c r="AN199" i="17"/>
  <c r="AP199" i="17" s="1"/>
  <c r="AN504" i="17"/>
  <c r="AP504" i="17" s="1"/>
  <c r="AN580" i="17"/>
  <c r="AP580" i="17" s="1"/>
  <c r="AN481" i="17"/>
  <c r="AP481" i="17" s="1"/>
  <c r="AN594" i="17"/>
  <c r="AP594" i="17" s="1"/>
  <c r="AN493" i="17"/>
  <c r="AP493" i="17" s="1"/>
  <c r="AN106" i="17"/>
  <c r="AP106" i="17" s="1"/>
  <c r="AN178" i="17"/>
  <c r="AP178" i="17" s="1"/>
  <c r="AN537" i="17"/>
  <c r="AP537" i="17" s="1"/>
  <c r="AN225" i="17"/>
  <c r="AP225" i="17" s="1"/>
  <c r="AN570" i="17"/>
  <c r="AP570" i="17" s="1"/>
  <c r="AN538" i="17"/>
  <c r="AP538" i="17" s="1"/>
  <c r="AN546" i="17"/>
  <c r="AP546" i="17" s="1"/>
  <c r="AN543" i="17"/>
  <c r="AP543" i="17" s="1"/>
  <c r="AN235" i="17"/>
  <c r="AP235" i="17" s="1"/>
  <c r="AN154" i="17"/>
  <c r="AP154" i="17" s="1"/>
  <c r="AN559" i="17"/>
  <c r="AP559" i="17" s="1"/>
  <c r="AN175" i="17"/>
  <c r="AP175" i="17" s="1"/>
  <c r="AN641" i="17"/>
  <c r="AP641" i="17" s="1"/>
  <c r="AN425" i="17"/>
  <c r="AP425" i="17" s="1"/>
  <c r="AN184" i="17"/>
  <c r="AP184" i="17" s="1"/>
  <c r="AN102" i="17"/>
  <c r="AP102" i="17" s="1"/>
  <c r="AN598" i="17"/>
  <c r="AP598" i="17" s="1"/>
  <c r="AN653" i="17"/>
  <c r="AP653" i="17" s="1"/>
  <c r="AN261" i="17"/>
  <c r="AP261" i="17" s="1"/>
  <c r="AN80" i="17"/>
  <c r="AP80" i="17" s="1"/>
  <c r="AN435" i="17"/>
  <c r="AP435" i="17" s="1"/>
  <c r="AN514" i="17"/>
  <c r="AP514" i="17" s="1"/>
  <c r="AN373" i="17"/>
  <c r="AP373" i="17" s="1"/>
  <c r="AN496" i="17"/>
  <c r="AP496" i="17" s="1"/>
  <c r="AN556" i="17"/>
  <c r="AP556" i="17" s="1"/>
  <c r="AN406" i="17"/>
  <c r="AP406" i="17" s="1"/>
  <c r="AN475" i="17"/>
  <c r="AP475" i="17" s="1"/>
  <c r="AN321" i="17"/>
  <c r="AP321" i="17" s="1"/>
  <c r="AN204" i="17"/>
  <c r="AP204" i="17" s="1"/>
  <c r="AN391" i="17"/>
  <c r="AP391" i="17" s="1"/>
  <c r="AN220" i="17"/>
  <c r="AP220" i="17" s="1"/>
  <c r="AN655" i="17"/>
  <c r="AP655" i="17" s="1"/>
  <c r="AN180" i="17"/>
  <c r="AP180" i="17" s="1"/>
  <c r="AN431" i="17"/>
  <c r="AP431" i="17" s="1"/>
  <c r="AN411" i="17"/>
  <c r="AP411" i="17" s="1"/>
  <c r="AN297" i="17"/>
  <c r="AP297" i="17" s="1"/>
  <c r="AN525" i="17"/>
  <c r="AP525" i="17" s="1"/>
  <c r="AN505" i="17"/>
  <c r="AP505" i="17" s="1"/>
  <c r="AN382" i="17"/>
  <c r="AP382" i="17" s="1"/>
  <c r="AN245" i="17"/>
  <c r="AP245" i="17" s="1"/>
  <c r="AN260" i="17"/>
  <c r="AP260" i="17" s="1"/>
  <c r="AN320" i="17"/>
  <c r="AP320" i="17" s="1"/>
  <c r="AN127" i="17"/>
  <c r="AP127" i="17" s="1"/>
  <c r="AN308" i="17"/>
  <c r="AP308" i="17" s="1"/>
  <c r="AN156" i="17"/>
  <c r="AP156" i="17" s="1"/>
  <c r="AN654" i="17"/>
  <c r="AP654" i="17" s="1"/>
  <c r="AN128" i="17"/>
  <c r="AP128" i="17" s="1"/>
  <c r="AN82" i="17"/>
  <c r="AP82" i="17" s="1"/>
  <c r="AN251" i="17"/>
  <c r="AP251" i="17" s="1"/>
  <c r="AN315" i="17"/>
  <c r="AP315" i="17" s="1"/>
  <c r="AN660" i="17"/>
  <c r="AP660" i="17" s="1"/>
  <c r="AN340" i="17"/>
  <c r="AP340" i="17" s="1"/>
  <c r="AN578" i="17"/>
  <c r="AP578" i="17" s="1"/>
  <c r="AN386" i="17"/>
  <c r="AP386" i="17" s="1"/>
  <c r="AN572" i="17"/>
  <c r="AP572" i="17" s="1"/>
  <c r="AN115" i="17"/>
  <c r="AP115" i="17" s="1"/>
  <c r="AN338" i="17"/>
  <c r="AP338" i="17" s="1"/>
  <c r="AN226" i="17"/>
  <c r="AP226" i="17" s="1"/>
  <c r="AN664" i="17"/>
  <c r="AP664" i="17" s="1"/>
  <c r="AN634" i="17"/>
  <c r="AP634" i="17" s="1"/>
  <c r="AN474" i="17"/>
  <c r="AP474" i="17" s="1"/>
  <c r="AN414" i="17"/>
  <c r="AP414" i="17" s="1"/>
  <c r="AN432" i="17"/>
  <c r="AP432" i="17" s="1"/>
  <c r="AN669" i="17"/>
  <c r="AP669" i="17" s="1"/>
  <c r="AN484" i="17"/>
  <c r="AP484" i="17" s="1"/>
  <c r="AN122" i="17"/>
  <c r="AP122" i="17" s="1"/>
  <c r="AN483" i="17"/>
  <c r="AP483" i="17" s="1"/>
  <c r="AN471" i="17"/>
  <c r="AP471" i="17" s="1"/>
  <c r="AN96" i="17"/>
  <c r="AP96" i="17" s="1"/>
  <c r="AN521" i="17"/>
  <c r="AP521" i="17" s="1"/>
  <c r="AN110" i="17"/>
  <c r="AP110" i="17" s="1"/>
  <c r="AN600" i="17"/>
  <c r="AP600" i="17" s="1"/>
  <c r="AN583" i="17"/>
  <c r="AP583" i="17" s="1"/>
  <c r="AN420" i="17"/>
  <c r="AP420" i="17" s="1"/>
  <c r="AN313" i="17"/>
  <c r="AP313" i="17" s="1"/>
  <c r="AN243" i="17"/>
  <c r="AP243" i="17" s="1"/>
  <c r="AN88" i="17"/>
  <c r="AP88" i="17" s="1"/>
  <c r="AN291" i="17"/>
  <c r="AP291" i="17" s="1"/>
  <c r="AN327" i="17"/>
  <c r="AP327" i="17" s="1"/>
  <c r="AN388" i="17"/>
  <c r="AP388" i="17" s="1"/>
  <c r="AN651" i="17"/>
  <c r="AP651" i="17" s="1"/>
  <c r="AN675" i="17"/>
  <c r="AP675" i="17" s="1"/>
  <c r="AN210" i="17"/>
  <c r="AP210" i="17" s="1"/>
  <c r="AN182" i="17"/>
  <c r="AP182" i="17" s="1"/>
  <c r="AN523" i="17"/>
  <c r="AP523" i="17" s="1"/>
  <c r="AN293" i="17"/>
  <c r="AP293" i="17" s="1"/>
  <c r="AN663" i="17"/>
  <c r="AP663" i="17" s="1"/>
  <c r="AN443" i="17"/>
  <c r="AP443" i="17" s="1"/>
  <c r="AN347" i="17"/>
  <c r="AP347" i="17" s="1"/>
  <c r="AN131" i="17"/>
  <c r="AP131" i="17" s="1"/>
  <c r="AN187" i="17"/>
  <c r="AP187" i="17" s="1"/>
  <c r="AN381" i="17"/>
  <c r="AP381" i="17" s="1"/>
  <c r="AN307" i="17"/>
  <c r="AP307" i="17" s="1"/>
  <c r="AN470" i="17"/>
  <c r="AP470" i="17" s="1"/>
  <c r="AN211" i="17"/>
  <c r="AP211" i="17" s="1"/>
  <c r="AN551" i="17"/>
  <c r="AP551" i="17" s="1"/>
  <c r="AN325" i="17"/>
  <c r="AP325" i="17" s="1"/>
  <c r="AN343" i="17"/>
  <c r="AP343" i="17" s="1"/>
  <c r="AN107" i="17"/>
  <c r="AP107" i="17" s="1"/>
  <c r="AN529" i="17"/>
  <c r="AP529" i="17" s="1"/>
  <c r="AN400" i="17"/>
  <c r="AP400" i="17" s="1"/>
  <c r="AN113" i="17"/>
  <c r="AP113" i="17" s="1"/>
  <c r="AN616" i="17"/>
  <c r="AP616" i="17" s="1"/>
  <c r="AN568" i="17"/>
  <c r="AP568" i="17" s="1"/>
  <c r="AN117" i="17"/>
  <c r="AP117" i="17" s="1"/>
  <c r="AN677" i="17"/>
  <c r="AP677" i="17" s="1"/>
  <c r="AN143" i="17"/>
  <c r="AP143" i="17" s="1"/>
  <c r="AN530" i="17"/>
  <c r="AP530" i="17" s="1"/>
  <c r="AN123" i="17"/>
  <c r="AP123" i="17" s="1"/>
  <c r="AN173" i="17"/>
  <c r="AP173" i="17" s="1"/>
  <c r="AN441" i="17"/>
  <c r="AP441" i="17" s="1"/>
  <c r="AN223" i="17"/>
  <c r="AP223" i="17" s="1"/>
  <c r="AN482" i="17"/>
  <c r="AP482" i="17" s="1"/>
  <c r="AN466" i="17"/>
  <c r="AP466" i="17" s="1"/>
  <c r="AN200" i="17"/>
  <c r="AP200" i="17" s="1"/>
  <c r="AN633" i="17"/>
  <c r="AP633" i="17" s="1"/>
  <c r="AN455" i="17"/>
  <c r="AP455" i="17" s="1"/>
  <c r="AN415" i="17"/>
  <c r="AP415" i="17" s="1"/>
  <c r="AN413" i="17"/>
  <c r="AP413" i="17" s="1"/>
  <c r="AN531" i="17"/>
  <c r="AP531" i="17" s="1"/>
  <c r="AN299" i="17"/>
  <c r="AP299" i="17" s="1"/>
  <c r="AN661" i="17"/>
  <c r="AP661" i="17" s="1"/>
  <c r="AN282" i="17"/>
  <c r="AP282" i="17" s="1"/>
  <c r="AN326" i="17"/>
  <c r="AP326" i="17" s="1"/>
  <c r="AN171" i="17"/>
  <c r="AP171" i="17" s="1"/>
  <c r="AN86" i="17"/>
  <c r="AP86" i="17" s="1"/>
  <c r="AN549" i="17"/>
  <c r="AP549" i="17" s="1"/>
  <c r="AN92" i="17"/>
  <c r="AP92" i="17" s="1"/>
  <c r="AN87" i="17"/>
  <c r="AP87" i="17" s="1"/>
  <c r="AN577" i="17"/>
  <c r="AP577" i="17" s="1"/>
  <c r="AN361" i="17"/>
  <c r="AP361" i="17" s="1"/>
  <c r="AN370" i="17"/>
  <c r="AP370" i="17" s="1"/>
  <c r="AN536" i="17"/>
  <c r="AP536" i="17" s="1"/>
  <c r="AN316" i="17"/>
  <c r="AP316" i="17" s="1"/>
  <c r="AN252" i="17"/>
  <c r="AP252" i="17" s="1"/>
  <c r="AN498" i="17"/>
  <c r="AP498" i="17" s="1"/>
  <c r="AN348" i="17"/>
  <c r="AP348" i="17" s="1"/>
  <c r="AN274" i="17"/>
  <c r="AP274" i="17" s="1"/>
  <c r="AN544" i="17"/>
  <c r="AP544" i="17" s="1"/>
  <c r="AN284" i="17"/>
  <c r="AP284" i="17" s="1"/>
  <c r="AN134" i="17"/>
  <c r="AP134" i="17" s="1"/>
  <c r="AN104" i="17"/>
  <c r="AP104" i="17" s="1"/>
  <c r="L16" i="13"/>
  <c r="D9" i="17"/>
  <c r="D7" i="17"/>
  <c r="D16" i="17"/>
  <c r="D14" i="17"/>
  <c r="D10" i="17"/>
  <c r="D5" i="17"/>
  <c r="D11" i="17"/>
  <c r="D8" i="17"/>
  <c r="D6" i="17"/>
  <c r="D12" i="17"/>
  <c r="D13" i="17"/>
  <c r="D15" i="17"/>
  <c r="N678" i="17"/>
  <c r="AJ678" i="17" l="1"/>
  <c r="O678" i="17" s="1"/>
  <c r="E10" i="17"/>
  <c r="O10" i="13" s="1"/>
  <c r="E5" i="17"/>
  <c r="O5" i="13" s="1"/>
  <c r="E16" i="17"/>
  <c r="O16" i="13" s="1"/>
  <c r="E12" i="17"/>
  <c r="O12" i="13" s="1"/>
  <c r="E11" i="17"/>
  <c r="O11" i="13" s="1"/>
  <c r="E13" i="17"/>
  <c r="O13" i="13" s="1"/>
  <c r="E9" i="17"/>
  <c r="O9" i="13" s="1"/>
  <c r="E8" i="17"/>
  <c r="O8" i="13" s="1"/>
  <c r="E7" i="17"/>
  <c r="O7" i="13" s="1"/>
  <c r="E15" i="17"/>
  <c r="O15" i="13" s="1"/>
  <c r="E6" i="17"/>
  <c r="O6" i="13" s="1"/>
  <c r="E14" i="17"/>
  <c r="O14" i="13" s="1"/>
  <c r="N6" i="13"/>
  <c r="N8" i="13"/>
  <c r="N11" i="13"/>
  <c r="N5" i="13"/>
  <c r="N10" i="13"/>
  <c r="N16" i="13"/>
  <c r="N9" i="13"/>
  <c r="N12" i="13"/>
  <c r="N14" i="13"/>
  <c r="N7" i="13"/>
  <c r="N15" i="13"/>
  <c r="N13" i="13"/>
  <c r="P678" i="17" l="1"/>
  <c r="Q678" i="17"/>
  <c r="R678" i="17" l="1"/>
  <c r="AK678" i="17" s="1"/>
  <c r="F16" i="17"/>
  <c r="P16" i="13" s="1"/>
  <c r="F14" i="17"/>
  <c r="P14" i="13" s="1"/>
  <c r="F12" i="17"/>
  <c r="P12" i="13" s="1"/>
  <c r="F6" i="17"/>
  <c r="P6" i="13" s="1"/>
  <c r="F13" i="17"/>
  <c r="P13" i="13" s="1"/>
  <c r="F9" i="17"/>
  <c r="P9" i="13" s="1"/>
  <c r="F7" i="17"/>
  <c r="P7" i="13" s="1"/>
  <c r="F15" i="17"/>
  <c r="P15" i="13" s="1"/>
  <c r="F11" i="17"/>
  <c r="P11" i="13" s="1"/>
  <c r="F5" i="17"/>
  <c r="P5" i="13" s="1"/>
  <c r="S678" i="17"/>
  <c r="AQ678" i="17"/>
  <c r="AP64" i="17" s="1"/>
  <c r="AP65" i="17" s="1"/>
  <c r="E6" i="13" s="1"/>
  <c r="AP678" i="17"/>
  <c r="AO64" i="17" s="1"/>
  <c r="AO65" i="17" s="1"/>
  <c r="F8" i="17"/>
  <c r="P8" i="13" s="1"/>
  <c r="F10" i="17"/>
  <c r="P10" i="13" s="1"/>
  <c r="M5" i="17"/>
  <c r="M6" i="17"/>
  <c r="M7" i="17"/>
  <c r="M8" i="17"/>
  <c r="M9" i="17"/>
  <c r="M10" i="17"/>
  <c r="M11" i="17"/>
  <c r="M12" i="17"/>
  <c r="M13" i="17"/>
  <c r="M14" i="17"/>
  <c r="M15" i="17"/>
  <c r="M16" i="17"/>
  <c r="T678" i="17" l="1"/>
  <c r="AI678" i="17"/>
  <c r="AQ65" i="17"/>
  <c r="N10" i="17"/>
  <c r="N43" i="13"/>
  <c r="O43" i="13"/>
  <c r="N41" i="13"/>
  <c r="N8" i="17"/>
  <c r="O41" i="13"/>
  <c r="N6" i="17"/>
  <c r="N39" i="13"/>
  <c r="O39" i="13"/>
  <c r="O49" i="13"/>
  <c r="N49" i="13"/>
  <c r="N16" i="17"/>
  <c r="N47" i="13"/>
  <c r="O47" i="13"/>
  <c r="N14" i="17"/>
  <c r="N9" i="17"/>
  <c r="N42" i="13"/>
  <c r="O42" i="13"/>
  <c r="N40" i="13"/>
  <c r="O40" i="13"/>
  <c r="N7" i="17"/>
  <c r="N38" i="13"/>
  <c r="O38" i="13"/>
  <c r="N5" i="17"/>
  <c r="O48" i="13"/>
  <c r="N15" i="17"/>
  <c r="N48" i="13"/>
  <c r="N13" i="17"/>
  <c r="O46" i="13"/>
  <c r="N46" i="13"/>
  <c r="N45" i="13"/>
  <c r="N12" i="17"/>
  <c r="O45" i="13"/>
  <c r="O44" i="13"/>
  <c r="N11" i="17"/>
  <c r="N44"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Fiachra MacLeid</author>
  </authors>
  <commentList>
    <comment ref="T40" authorId="0" shapeId="0" xr:uid="{4DDCF64D-941D-4AE0-BFC0-A718DA604BB2}">
      <text>
        <r>
          <rPr>
            <b/>
            <sz val="9"/>
            <color indexed="81"/>
            <rFont val="Tahoma"/>
            <family val="2"/>
          </rPr>
          <t>Fiachra MacLeid:</t>
        </r>
        <r>
          <rPr>
            <sz val="9"/>
            <color indexed="81"/>
            <rFont val="Tahoma"/>
            <family val="2"/>
          </rPr>
          <t xml:space="preserve">
capped at 6%
</t>
        </r>
      </text>
    </comment>
    <comment ref="C48" authorId="0" shapeId="0" xr:uid="{418C2379-6B35-4B08-ACD3-6EAA66C2A824}">
      <text>
        <r>
          <rPr>
            <b/>
            <sz val="9"/>
            <color indexed="81"/>
            <rFont val="Tahoma"/>
            <family val="2"/>
          </rPr>
          <t>Fiachra MacLeid:</t>
        </r>
        <r>
          <rPr>
            <sz val="9"/>
            <color indexed="81"/>
            <rFont val="Tahoma"/>
            <family val="2"/>
          </rPr>
          <t xml:space="preserve">
This is conditional on a guarantee being selected in the investment table to the right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Kevin V.Manning</author>
  </authors>
  <commentList>
    <comment ref="C6" authorId="0" shapeId="0" xr:uid="{C071B33C-95B0-451C-A4C5-2B4B03FB903B}">
      <text>
        <r>
          <rPr>
            <b/>
            <sz val="9"/>
            <color indexed="81"/>
            <rFont val="Tahoma"/>
            <family val="2"/>
          </rPr>
          <t>Kevin V.Manning:</t>
        </r>
        <r>
          <rPr>
            <sz val="9"/>
            <color indexed="81"/>
            <rFont val="Tahoma"/>
            <family val="2"/>
          </rPr>
          <t xml:space="preserve">
while RIY is standard terminology, note that the figure used by the PoI doc is the reduced yield rather than the reduction.</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<sst xmlns="http://schemas.openxmlformats.org/spreadsheetml/2006/main" count="428" uniqueCount="259">
  <si>
    <t>Version</t>
  </si>
  <si>
    <t>Date</t>
  </si>
  <si>
    <t>Change By</t>
  </si>
  <si>
    <t>Review By</t>
  </si>
  <si>
    <t>Description</t>
  </si>
  <si>
    <t>V7</t>
  </si>
  <si>
    <t>Hugh Gannon</t>
  </si>
  <si>
    <t>Addition of A4, A5, B4, B5 and F1-F5 product codes</t>
  </si>
  <si>
    <t>V7.1</t>
  </si>
  <si>
    <t>Gearóid Hughes</t>
  </si>
  <si>
    <t>Fix for Surrender Penalty Text given 1A enhancement</t>
  </si>
  <si>
    <t>V8</t>
  </si>
  <si>
    <t>Updated external fund manager AMCs in line with proposed new share classes</t>
  </si>
  <si>
    <t>V9</t>
  </si>
  <si>
    <t>Updated to allow for Initial Commission Special Deal</t>
  </si>
  <si>
    <t>V10</t>
  </si>
  <si>
    <t>Updated to allow for changes to the allocation rate and initial commission on a case by case basis</t>
  </si>
  <si>
    <t>V10.1</t>
  </si>
  <si>
    <t xml:space="preserve">Minor update to fix rounding error </t>
  </si>
  <si>
    <t>V10.2</t>
  </si>
  <si>
    <t>Update to fix error with commission calculation</t>
  </si>
  <si>
    <t>V10.3</t>
  </si>
  <si>
    <t>Update to fix reference error</t>
  </si>
  <si>
    <t>V11</t>
  </si>
  <si>
    <t>Updated to reflect change in Actuarial Standard Practice.
Upper Rate of Return should reflect chosen asset allocation, limited to a maximum of 6%.
Fixes to the RIY calculation</t>
  </si>
  <si>
    <t>V11.1</t>
  </si>
  <si>
    <t>Updated to include extra allocation/initial charge trade-off for upfront commission</t>
  </si>
  <si>
    <t>V11.2</t>
  </si>
  <si>
    <t>Updated to add the new HSBC funds, detailed change notes in email</t>
  </si>
  <si>
    <t>V11.3</t>
  </si>
  <si>
    <t>Updated parameters for AMC and surrender penalties</t>
  </si>
  <si>
    <t>V12</t>
  </si>
  <si>
    <t>Signed off on Updates
Included change to the maximum initial commission on the Parameters tab (cell E78) to increase this to 6% (to allow for bonus 1% initial commission)</t>
  </si>
  <si>
    <t>V13</t>
  </si>
  <si>
    <t>Updated prescribed assumptions</t>
  </si>
  <si>
    <t>Overview</t>
  </si>
  <si>
    <t>Cell Color Key</t>
  </si>
  <si>
    <t>Product and Fund Parameters</t>
  </si>
  <si>
    <t>Customer specific inputs</t>
  </si>
  <si>
    <t>Formulas</t>
  </si>
  <si>
    <t>A flag used where a change in formula occurs during the projection</t>
  </si>
  <si>
    <t>Regulatory/ ASP inputs</t>
  </si>
  <si>
    <t>Other Hardcoded Numbers</t>
  </si>
  <si>
    <t>Summary tables</t>
  </si>
  <si>
    <t>User Guide</t>
  </si>
  <si>
    <t>Step</t>
  </si>
  <si>
    <t>Update Customer specific inputs on ARF Projection tab</t>
  </si>
  <si>
    <t>Sheet Description</t>
  </si>
  <si>
    <t>Sheet Name</t>
  </si>
  <si>
    <t>HyperLink</t>
  </si>
  <si>
    <t>In this tab:
(1.) The key information about the EUC is documented.
(2.) The user instructions for updating this model is documented.
(3.) The purpose of each sheet is also documented.</t>
  </si>
  <si>
    <t>Parameters</t>
  </si>
  <si>
    <t>This tab contains:
-  Product specific parameters
- Fund specific parameters
- Regulatory specific inputs.
This tab should only be updated if there are changes to any of the above.</t>
  </si>
  <si>
    <t>ARF Projection</t>
  </si>
  <si>
    <t>This tab projections the ARF over the lifetime of the policy on 2 ASP prescribed growth rates
- Customer specifc inputs should be updated here</t>
  </si>
  <si>
    <t>Inputs for PointOfIssue Doc</t>
  </si>
  <si>
    <t>This tab contains inputs for the Point of Issue Disclosure Template</t>
  </si>
  <si>
    <t>Commission</t>
  </si>
  <si>
    <t>Surrender Penalty</t>
  </si>
  <si>
    <t>Product Version</t>
  </si>
  <si>
    <t>Product Code</t>
  </si>
  <si>
    <t>SP Upfront Base</t>
  </si>
  <si>
    <t>SP Upfront Special Deal</t>
  </si>
  <si>
    <t>Fund Based Commission</t>
  </si>
  <si>
    <t>Admin Charge</t>
  </si>
  <si>
    <t>A</t>
  </si>
  <si>
    <t>A1</t>
  </si>
  <si>
    <t>A2</t>
  </si>
  <si>
    <t>A3</t>
  </si>
  <si>
    <t>A4</t>
  </si>
  <si>
    <t>A5</t>
  </si>
  <si>
    <t>B</t>
  </si>
  <si>
    <t>B1</t>
  </si>
  <si>
    <t>B2</t>
  </si>
  <si>
    <t>B3</t>
  </si>
  <si>
    <t>B4</t>
  </si>
  <si>
    <t>B5</t>
  </si>
  <si>
    <t>C</t>
  </si>
  <si>
    <t>C1</t>
  </si>
  <si>
    <t>C2</t>
  </si>
  <si>
    <t>C3</t>
  </si>
  <si>
    <t>D</t>
  </si>
  <si>
    <t>D1</t>
  </si>
  <si>
    <t>F</t>
  </si>
  <si>
    <t>F1</t>
  </si>
  <si>
    <t>F2</t>
  </si>
  <si>
    <t>F3</t>
  </si>
  <si>
    <t>F4</t>
  </si>
  <si>
    <t>F5</t>
  </si>
  <si>
    <t>Growth Assumptions</t>
  </si>
  <si>
    <t>Equity</t>
  </si>
  <si>
    <t>ASP-LA8</t>
  </si>
  <si>
    <t>ASP LA-8</t>
  </si>
  <si>
    <t>Figures effecive from 01/01/2025</t>
  </si>
  <si>
    <t>Property</t>
  </si>
  <si>
    <t>Fixed Interest</t>
  </si>
  <si>
    <t>Cash</t>
  </si>
  <si>
    <t>Fund</t>
  </si>
  <si>
    <t>Fixed Income</t>
  </si>
  <si>
    <t>Strategy Select 30</t>
  </si>
  <si>
    <t>Strategy Select 50</t>
  </si>
  <si>
    <t>Strategy Select 75</t>
  </si>
  <si>
    <t>Allianz Best Styles Global Equity SRI</t>
  </si>
  <si>
    <t>Allianz Advanced Fixed Income Short Duration</t>
  </si>
  <si>
    <t>Allianz Advanced Fixed Income Euro</t>
  </si>
  <si>
    <t>Allianz Dynamic Multi Asset Strategy SRI 75</t>
  </si>
  <si>
    <t>Allianz Dynamic Multi Asset Strategy SRI 50</t>
  </si>
  <si>
    <t>Allianz Dynamic Multi Asset Strategy SRI 15</t>
  </si>
  <si>
    <t>HSBC EURO STOXX 50 UCITS ETF</t>
  </si>
  <si>
    <t>HSBC MSCI World UCITS ETF</t>
  </si>
  <si>
    <t>HSBC S&amp;P 500 UCITS ETF</t>
  </si>
  <si>
    <t>Allianz Euro Cash</t>
  </si>
  <si>
    <t>Guarantee Charge</t>
  </si>
  <si>
    <t>Growth Rate p.a.</t>
  </si>
  <si>
    <t>Growth Rate p.m.</t>
  </si>
  <si>
    <t>External Fund Manager Charge</t>
  </si>
  <si>
    <t>Ext FM charges updated with new fund classes mid 2025</t>
  </si>
  <si>
    <t>Default Income Rate</t>
  </si>
  <si>
    <t>Annual Rate</t>
  </si>
  <si>
    <t>Monthly rate</t>
  </si>
  <si>
    <t>&gt;=2000000</t>
  </si>
  <si>
    <t>&lt;71</t>
  </si>
  <si>
    <t>&gt;=71</t>
  </si>
  <si>
    <t>Min</t>
  </si>
  <si>
    <t>Max</t>
  </si>
  <si>
    <t>Initial Commission</t>
  </si>
  <si>
    <t>ARF Projections</t>
  </si>
  <si>
    <t>Year</t>
  </si>
  <si>
    <t>E</t>
  </si>
  <si>
    <t>€</t>
  </si>
  <si>
    <t>Total amount of premiums paid into the policy to date</t>
  </si>
  <si>
    <t>Projected investment growth to date</t>
  </si>
  <si>
    <t>Projected expenses and charges to date</t>
  </si>
  <si>
    <t>Cumulative gross income to date</t>
  </si>
  <si>
    <t>Projected policy value after income</t>
  </si>
  <si>
    <t>Contributions payable in that year</t>
  </si>
  <si>
    <t>Projected total intermediary and sales remuneration payable in that year</t>
  </si>
  <si>
    <t>Inputs:</t>
  </si>
  <si>
    <t>Investment Stategy</t>
  </si>
  <si>
    <t>Monthly Rate</t>
  </si>
  <si>
    <t xml:space="preserve">Fund </t>
  </si>
  <si>
    <t>Investment %</t>
  </si>
  <si>
    <t>% invested</t>
  </si>
  <si>
    <t>Commencement Date</t>
  </si>
  <si>
    <t>Rate of Return</t>
  </si>
  <si>
    <t>Date of Birth</t>
  </si>
  <si>
    <t>External Fund Charge</t>
  </si>
  <si>
    <t>Single Contribution</t>
  </si>
  <si>
    <t>If Guarantee</t>
  </si>
  <si>
    <t>No</t>
  </si>
  <si>
    <t>Current Age</t>
  </si>
  <si>
    <t>Max Rate of return</t>
  </si>
  <si>
    <t>Invested Funds</t>
  </si>
  <si>
    <t>Growth Rate 1</t>
  </si>
  <si>
    <t>Growth Rate 2</t>
  </si>
  <si>
    <t>Guarantee on/off</t>
  </si>
  <si>
    <t>Regular Income Type</t>
  </si>
  <si>
    <t>Default Percent</t>
  </si>
  <si>
    <t>Monetary Amount Choosen (annual)</t>
  </si>
  <si>
    <t>Custom Regular Income %</t>
  </si>
  <si>
    <t>Initial income % used</t>
  </si>
  <si>
    <t>Start Regular Income Amount</t>
  </si>
  <si>
    <t>Income Escalation %</t>
  </si>
  <si>
    <t>Regular Income Start Age</t>
  </si>
  <si>
    <t>Regular Income Start Month</t>
  </si>
  <si>
    <t>External Fund Charge (average)</t>
  </si>
  <si>
    <t>Admin Charge p.a</t>
  </si>
  <si>
    <t>Gtee Charge p.a.</t>
  </si>
  <si>
    <t>Commission Uplift Factor (upfront commission)</t>
  </si>
  <si>
    <t>Upfront commission</t>
  </si>
  <si>
    <t>Single Equivanlence Charge</t>
  </si>
  <si>
    <t>IRR (Monthly)</t>
  </si>
  <si>
    <t>Reduction in Yield</t>
  </si>
  <si>
    <t>Ongoing commission p.a.</t>
  </si>
  <si>
    <t>IRR (Yearly)</t>
  </si>
  <si>
    <t>Minimum Fund</t>
  </si>
  <si>
    <t>Fund Zero Year</t>
  </si>
  <si>
    <t>Special Deal Initial Commission Indicator</t>
  </si>
  <si>
    <t>Special Deal Initial Commission Level</t>
  </si>
  <si>
    <t>Manually Altered Initial Commission Indicator</t>
  </si>
  <si>
    <t>Manually Adjusted Initial Commission</t>
  </si>
  <si>
    <t>Used Initial Commission</t>
  </si>
  <si>
    <t>Used Allocation Rate</t>
  </si>
  <si>
    <t>Projection:</t>
  </si>
  <si>
    <t>Age</t>
  </si>
  <si>
    <t>Projection Year</t>
  </si>
  <si>
    <t>Projection Month</t>
  </si>
  <si>
    <t>Growth per month</t>
  </si>
  <si>
    <t>Gtee Flag</t>
  </si>
  <si>
    <t>Surrender Penalty rate</t>
  </si>
  <si>
    <t>Default Income % of Fund</t>
  </si>
  <si>
    <t>Single Premium</t>
  </si>
  <si>
    <t>Over/Under Allocation</t>
  </si>
  <si>
    <t>Policy Value</t>
  </si>
  <si>
    <t>Allocated Premium</t>
  </si>
  <si>
    <t>Investment Growth</t>
  </si>
  <si>
    <t>Charges</t>
  </si>
  <si>
    <t>Fixed IncomeAmount</t>
  </si>
  <si>
    <t>Chosen Income %</t>
  </si>
  <si>
    <t>Default Income %</t>
  </si>
  <si>
    <t>Income Amount Used</t>
  </si>
  <si>
    <t>Policy Value No Charges</t>
  </si>
  <si>
    <t>Growth No Charges</t>
  </si>
  <si>
    <t>Closing Fund Value</t>
  </si>
  <si>
    <t>Income Reduction</t>
  </si>
  <si>
    <t>Month</t>
  </si>
  <si>
    <t>Premiums &amp; Initial Fund</t>
  </si>
  <si>
    <t>Final Fund No Charges</t>
  </si>
  <si>
    <t>Final Fund Charges</t>
  </si>
  <si>
    <t>Cashflows (no Charges)</t>
  </si>
  <si>
    <t>Cashflows (Charges)</t>
  </si>
  <si>
    <t>Inputs for Point Of Disclosure Document</t>
  </si>
  <si>
    <t>Illustration table assuming growth rate 1</t>
  </si>
  <si>
    <t>Growth Rate 1 (%)</t>
  </si>
  <si>
    <t>Projected charges to date</t>
  </si>
  <si>
    <t>Reduced to:</t>
  </si>
  <si>
    <t>RIY (reduced from [Growth Rate 1 (%)] to)</t>
  </si>
  <si>
    <t>Income Description Text</t>
  </si>
  <si>
    <t>Surrender Penalty text</t>
  </si>
  <si>
    <t>* charges reflect additional allocation to the policy</t>
  </si>
  <si>
    <t>Illustration table assuming growth rate 2</t>
  </si>
  <si>
    <t>Growth Rate 2 (%)</t>
  </si>
  <si>
    <t>RIY2 (reduced from [Growth Rate 2 (%)] to):</t>
  </si>
  <si>
    <t>Fund Zero Year2</t>
  </si>
  <si>
    <t>Single Contribution Paid</t>
  </si>
  <si>
    <t>Show if [new_allocation_rate] &lt;= 100%:</t>
  </si>
  <si>
    <t>Contribution Charge (%)</t>
  </si>
  <si>
    <t>Contribution Charge (€)</t>
  </si>
  <si>
    <t>Invested Amount</t>
  </si>
  <si>
    <t>Commission Table</t>
  </si>
  <si>
    <t>Show if [new_allocation_rate] &gt; 100%:</t>
  </si>
  <si>
    <t>Projected total intermediary and sales remuneration payable in that year (6%)</t>
  </si>
  <si>
    <t>Projected total intermediary and sales remuneration payable in that year (2.65%)</t>
  </si>
  <si>
    <t>Contribution Rate (%)</t>
  </si>
  <si>
    <t>Additional Contribution (€)</t>
  </si>
  <si>
    <t>Reliances &amp; Limitations</t>
  </si>
  <si>
    <t>Allianz Global Life dac</t>
  </si>
  <si>
    <t>RELIANCES</t>
  </si>
  <si>
    <t>DATA</t>
  </si>
  <si>
    <t>In carrying out our work and producing this workbook, we relied on data and other information provided by AGL dac. We have not audited or verified this data and other information. If the underlying data or information is inaccurate or incomplete, the results of our analysis may likewise be inaccurate or incomplete.</t>
  </si>
  <si>
    <t>We performed a limited review of the data used directly in our analysis for reasonableness and consistency and have not found material defects in the data. If there are material defects in the data, it is possible that they would be uncovered by a detailed, systematic review and comparison of the data to search for data values that are questionable or for relationships that are materially inconsistent. Such a review was beyond the scope of our assignment.</t>
  </si>
  <si>
    <t>In carrying out our work and producing this workbook, reliance has been placed upon, but not limited to, the following information:</t>
  </si>
  <si>
    <t>Composition of Funds</t>
  </si>
  <si>
    <t>Product Parameters including:</t>
  </si>
  <si>
    <t>- Commission Profile</t>
  </si>
  <si>
    <t>- Contribution charge</t>
  </si>
  <si>
    <t>Fund Management Charges</t>
  </si>
  <si>
    <t>Guarantee Charges</t>
  </si>
  <si>
    <t>We supplemented AGL dac's data with insurance industry data where deemed necessary. The use of external data is another source of uncertainty in our estimates.</t>
  </si>
  <si>
    <t>LIMITATIONS</t>
  </si>
  <si>
    <t>DISTRIBUTION &amp; USAGE</t>
  </si>
  <si>
    <t>This workbook has been prepared solely for the internal business use of and is only to be relied upon by the management of AGL dac. No portion of this workbook may be provided to any other party without our prior written consent. In the event such consent is provided, the workbook must be provided in its entirety.</t>
  </si>
  <si>
    <t>Judgments as to the conclusions contained in this workbook should be made only after studying the workbook in its entirety. Furthermore, conclusions reached by review of a section or sections on an isolated basis may be incorrect.</t>
  </si>
  <si>
    <t>The workbook is intended to be used by a person with a certain level of expertise in the areas addressed and for the stated purposes only.  Any user of this workbook must possess a certain level of expertise in areas relevant to this analysis to appreciate the significance of the assumptions and the impact of these assumptions on the illustrated results. The user should be advised by their own actuaries or other qualified professionals competent in the subject matter of this workbook, so as to properly interpret the material.</t>
  </si>
  <si>
    <t>This workbook is subject to the terms and limitations, including limitation of liability, set out in our letter of engagement / statement of work / transaction agreement / other relevant agreement.</t>
  </si>
  <si>
    <t>VARIABILITY OF RESULTS</t>
  </si>
  <si>
    <t>Differences between our projections and actual amounts depend on the extent to which future experience conforms to the assumptions made for this analysis.  The assumptions we have used have, in our view, been made on the basis of reasonable hypotheses.  It is certain, however, that actual experience will not conform exactly to the assumptions used in this analysis. Actual amounts will differ from projected amounts to the extent that actual experience deviates from expected experience.  Such variations in experience could have a significant effect on the results and conclusions in this workbook.  No warranty is given that the assumptions made in this workbook will be reflected in actual future experience.</t>
  </si>
  <si>
    <t>RECOMMENDED OTHER PROFESSIONAL ADVICE</t>
  </si>
  <si>
    <t>The consultants who worked on this assignment are insurance actuaries. As such, they are familiar with statutory accounting and GAAP accounting, but are by no means experts in law, taxation, or accounting. Our advice is not, nor is it intended to be, a substitute for qualified legal, tax, or accounting advice.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</si>
</sst>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 #,##0.00_-;_-* &quot;-&quot;??_-;_-@_-"/>
    <numFmt numFmtId="164" formatCode="_-* #,##0_-;\-* #,##0_-;_-* &quot;-&quot;??_-;_-@_-"/>
    <numFmt numFmtId="165" formatCode="0.000%"/>
    <numFmt numFmtId="166" formatCode="0.0%"/>
    <numFmt numFmtId="167" formatCode="_-* #,##0.0_-;\-* #,##0.0_-;_-* &quot;-&quot;??_-;_-@_-"/>
    <numFmt numFmtId="168" formatCode="0.0000%"/>
    <numFmt numFmtId="169" formatCode="&quot;€&quot;#,##0"/>
    <numFmt numFmtId="170" formatCode="_-* #,##0.00\ _€_-;\-* #,##0.00\ _€_-;_-* &quot;-&quot;??\ _€_-;_-@_-"/>
    <numFmt numFmtId="171" formatCode="&quot;step_&quot;00"/>
    <numFmt numFmtId="172" formatCode="#,##0_ ;\-#,##0\ "/>
    <numFmt numFmtId="173" formatCode="0.0000000000000%"/>
    <numFmt numFmtId="174" formatCode="&quot;€&quot;#,##0.00"/>
  </numFmts>
  <fonts count="31">
    <font>
      <sz val="11"/>
      <color theme="1"/>
      <name val="Aptos Narrow"/>
      <family val="2"/>
      <scheme val="minor"/>
    </font>
    <font>
      <sz val="11"/>
      <color theme="1"/>
      <name val="Aptos Narrow"/>
      <family val="2"/>
      <scheme val="minor"/>
    </font>
    <font>
      <sz val="10"/>
      <color rgb="FFFFFFFF"/>
      <name val="Allianz Neo"/>
      <family val="2"/>
    </font>
    <font>
      <sz val="10"/>
      <color theme="1"/>
      <name val="Allianz Neo"/>
      <family val="2"/>
    </font>
    <font>
      <sz val="10"/>
      <color rgb="FFFF0000"/>
      <name val="Allianz Neo"/>
      <family val="2"/>
    </font>
    <font>
      <b/>
      <sz val="10"/>
      <color theme="1"/>
      <name val="Allianz Neo"/>
      <family val="2"/>
    </font>
    <font>
      <sz val="10"/>
      <name val="Arial"/>
      <family val="2"/>
    </font>
    <font>
      <sz val="10"/>
      <name val="Allianz Neo"/>
      <family val="2"/>
    </font>
    <font>
      <sz val="10"/>
      <color rgb="FFFFFFFF"/>
      <name val="Calibri"/>
      <family val="2"/>
    </font>
    <font>
      <sz val="11"/>
      <color rgb="FFFF0000"/>
      <name val="Aptos Narrow"/>
      <family val="2"/>
      <scheme val="minor"/>
    </font>
    <font>
      <b/>
      <sz val="11"/>
      <color theme="1"/>
      <name val="Aptos Narrow"/>
      <family val="2"/>
      <scheme val="minor"/>
    </font>
    <font>
      <b/>
      <u/>
      <sz val="10"/>
      <color theme="1"/>
      <name val="Allianz Neo"/>
      <family val="2"/>
    </font>
    <font>
      <sz val="9"/>
      <color indexed="81"/>
      <name val="Tahoma"/>
      <family val="2"/>
    </font>
    <font>
      <b/>
      <sz val="9"/>
      <color indexed="81"/>
      <name val="Tahoma"/>
      <family val="2"/>
    </font>
    <font>
      <sz val="9"/>
      <color theme="1"/>
      <name val="arial"/>
      <family val="2"/>
    </font>
    <font>
      <b/>
      <sz val="12"/>
      <color theme="1"/>
      <name val="arial"/>
      <family val="2"/>
    </font>
    <font>
      <sz val="11"/>
      <color theme="1"/>
      <name val="Calibri"/>
      <family val="2"/>
    </font>
    <font>
      <b/>
      <sz val="9"/>
      <color theme="1"/>
      <name val="arial"/>
      <family val="2"/>
    </font>
    <font>
      <b/>
      <sz val="11"/>
      <color theme="0"/>
      <name val="Aptos Narrow"/>
      <family val="2"/>
      <scheme val="minor"/>
    </font>
    <font>
      <b/>
      <sz val="10"/>
      <color rgb="FFFFFFFF"/>
      <name val="Allianz Neo PPT"/>
    </font>
    <font>
      <b/>
      <sz val="10"/>
      <color rgb="FF003781"/>
      <name val="Allianz Neo PPT"/>
    </font>
    <font>
      <sz val="8"/>
      <name val="Aptos Narrow"/>
      <family val="2"/>
      <scheme val="minor"/>
    </font>
    <font>
      <b/>
      <sz val="10"/>
      <name val="Allianz Neo PPT"/>
    </font>
    <font>
      <b/>
      <sz val="18"/>
      <color theme="1"/>
      <name val="Allianz Neo"/>
      <family val="2"/>
    </font>
    <font>
      <u/>
      <sz val="11"/>
      <color theme="10"/>
      <name val="Aptos Narrow"/>
      <family val="2"/>
      <scheme val="minor"/>
    </font>
    <font>
      <sz val="11"/>
      <name val="Aptos Narrow"/>
      <family val="2"/>
      <scheme val="minor"/>
    </font>
    <font>
      <sz val="11"/>
      <color theme="2"/>
      <name val="Aptos Narrow"/>
      <family val="2"/>
      <scheme val="minor"/>
    </font>
    <font>
      <b/>
      <sz val="11"/>
      <name val="Aptos Narrow"/>
      <family val="2"/>
      <scheme val="minor"/>
    </font>
    <font>
      <u/>
      <sz val="10"/>
      <color indexed="12"/>
      <name val="Arial"/>
      <family val="2"/>
    </font>
    <font>
      <u/>
      <sz val="11"/>
      <name val="Aptos Narrow"/>
      <family val="2"/>
      <scheme val="minor"/>
    </font>
    <font>
      <sz val="9"/>
      <color theme="1"/>
      <name val="Aptos Narrow"/>
      <family val="2"/>
      <scheme val="minor"/>
    </font>
  </fonts>
  <fills count="13">
    <fill>
      <patternFill patternType="none"/>
    </fill>
    <fill>
      <patternFill patternType="gray125"/>
    </fill>
    <fill>
      <patternFill patternType="solid">
        <fgColor rgb="FF2E74B5"/>
        <bgColor indexed="64"/>
      </patternFill>
    </fill>
    <fill>
      <patternFill patternType="solid">
        <fgColor theme="9" tint="0.79998168889431442"/>
        <bgColor indexed="64"/>
      </patternFill>
    </fill>
    <fill>
      <patternFill patternType="solid">
        <fgColor theme="3" tint="0.89999084444715716"/>
        <bgColor indexed="64"/>
      </patternFill>
    </fill>
    <fill>
      <patternFill patternType="solid">
        <fgColor rgb="FFFFFF00"/>
        <bgColor indexed="64"/>
      </patternFill>
    </fill>
    <fill>
      <patternFill patternType="solid">
        <fgColor theme="3" tint="0.749992370372631"/>
        <bgColor indexed="64"/>
      </patternFill>
    </fill>
    <fill>
      <patternFill patternType="solid">
        <fgColor theme="2" tint="-9.9978637043366805E-2"/>
        <bgColor indexed="64"/>
      </patternFill>
    </fill>
    <fill>
      <patternFill patternType="solid">
        <fgColor rgb="FF122B54"/>
        <bgColor indexed="64"/>
      </patternFill>
    </fill>
    <fill>
      <patternFill patternType="solid">
        <fgColor theme="5" tint="0.79998168889431442"/>
        <bgColor indexed="64"/>
      </patternFill>
    </fill>
    <fill>
      <patternFill patternType="solid">
        <fgColor theme="4" tint="-0.249977111117893"/>
        <bgColor indexed="64"/>
      </patternFill>
    </fill>
    <fill>
      <patternFill patternType="solid">
        <fgColor theme="5" tint="0.39997558519241921"/>
        <bgColor indexed="64"/>
      </patternFill>
    </fill>
    <fill>
      <patternFill patternType="solid">
        <fgColor theme="8" tint="0.79998168889431442"/>
        <bgColor indexed="64"/>
      </patternFill>
    </fill>
  </fills>
  <borders count="24">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style="medium">
        <color indexed="64"/>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rgb="FFFFFFFF"/>
      </top>
      <bottom style="medium">
        <color rgb="FFFFFFFF"/>
      </bottom>
      <diagonal/>
    </border>
    <border>
      <left/>
      <right style="thin">
        <color rgb="FF000000"/>
      </right>
      <top style="medium">
        <color rgb="FFFFFFFF"/>
      </top>
      <bottom/>
      <diagonal/>
    </border>
    <border>
      <left style="thin">
        <color rgb="FF000000"/>
      </left>
      <right style="medium">
        <color rgb="FFFFFFFF"/>
      </right>
      <top style="medium">
        <color rgb="FFFFFFFF"/>
      </top>
      <bottom/>
      <diagonal/>
    </border>
    <border>
      <left/>
      <right style="medium">
        <color rgb="FFFFFFFF"/>
      </right>
      <top/>
      <bottom/>
      <diagonal/>
    </border>
    <border>
      <left style="medium">
        <color rgb="FFFFFFFF"/>
      </left>
      <right style="medium">
        <color rgb="FFFFFFFF"/>
      </right>
      <top/>
      <bottom/>
      <diagonal/>
    </border>
    <border>
      <left style="medium">
        <color rgb="FFFFFFFF"/>
      </left>
      <right/>
      <top style="medium">
        <color rgb="FFFFFFFF"/>
      </top>
      <bottom/>
      <diagonal/>
    </border>
    <border>
      <left/>
      <right/>
      <top style="medium">
        <color rgb="FFFFFFFF"/>
      </top>
      <bottom/>
      <diagonal/>
    </border>
    <border>
      <left style="thin">
        <color indexed="64"/>
      </left>
      <right style="thin">
        <color indexed="64"/>
      </right>
      <top style="thin">
        <color indexed="64"/>
      </top>
      <bottom style="thin">
        <color indexed="64"/>
      </bottom>
      <diagonal/>
    </border>
  </borders>
  <cellStyleXfs count="10">
    <xf numFmtId="0" fontId="0" fillId="0" borderId="0"/>
    <xf numFmtId="43" fontId="1" fillId="0" borderId="0" applyFont="0" applyFill="0" applyBorder="0" applyAlignment="0" applyProtection="0"/>
    <xf numFmtId="0" fontId="6" fillId="0" borderId="0"/>
    <xf numFmtId="9" fontId="1" fillId="0" borderId="0" applyFont="0" applyFill="0" applyBorder="0" applyAlignment="0" applyProtection="0"/>
    <xf numFmtId="0" fontId="14" fillId="0" borderId="0"/>
    <xf numFmtId="0" fontId="24" fillId="0" borderId="0" applyNumberFormat="0" applyFill="0" applyBorder="0" applyAlignment="0" applyProtection="0"/>
    <xf numFmtId="0" fontId="6" fillId="0" borderId="0"/>
    <xf numFmtId="170" fontId="1" fillId="0" borderId="0" applyFont="0" applyFill="0" applyBorder="0" applyAlignment="0" applyProtection="0"/>
    <xf numFmtId="0" fontId="28" fillId="0" borderId="0" applyNumberFormat="0" applyFill="0" applyBorder="0" applyAlignment="0" applyProtection="0">
      <alignment vertical="top"/>
      <protection locked="0"/>
    </xf>
    <xf numFmtId="43" fontId="1" fillId="0" borderId="0" applyFont="0" applyFill="0" applyBorder="0" applyAlignment="0" applyProtection="0"/>
  </cellStyleXfs>
  <cellXfs count="251">
    <xf numFmtId="0" fontId="0" fillId="0" borderId="0" xfId="0"/>
    <xf numFmtId="0" fontId="3" fillId="0" borderId="0" xfId="0" applyFont="1"/>
    <xf numFmtId="0" fontId="5" fillId="0" borderId="0" xfId="0" applyFont="1"/>
    <xf numFmtId="0" fontId="3" fillId="0" borderId="0" xfId="0" applyFont="1" applyAlignment="1">
      <alignment horizontal="right"/>
    </xf>
    <xf numFmtId="164" fontId="3" fillId="0" borderId="0" xfId="0" applyNumberFormat="1" applyFont="1"/>
    <xf numFmtId="164" fontId="7" fillId="3" borderId="0" xfId="1" applyNumberFormat="1" applyFont="1" applyFill="1"/>
    <xf numFmtId="43" fontId="3" fillId="4" borderId="0" xfId="1" applyFont="1" applyFill="1"/>
    <xf numFmtId="0" fontId="4" fillId="0" borderId="0" xfId="0" applyFont="1"/>
    <xf numFmtId="0" fontId="3" fillId="0" borderId="2" xfId="0" applyFont="1" applyBorder="1" applyAlignment="1">
      <alignment vertical="center" wrapText="1"/>
    </xf>
    <xf numFmtId="0" fontId="2" fillId="2" borderId="1" xfId="0" applyFont="1" applyFill="1" applyBorder="1" applyAlignment="1">
      <alignment horizontal="right" vertical="center" wrapText="1"/>
    </xf>
    <xf numFmtId="0" fontId="8" fillId="2" borderId="2" xfId="0" applyFont="1" applyFill="1" applyBorder="1" applyAlignment="1">
      <alignment horizontal="right" vertical="center" wrapText="1"/>
    </xf>
    <xf numFmtId="0" fontId="2" fillId="2" borderId="4" xfId="0" applyFont="1" applyFill="1" applyBorder="1" applyAlignment="1">
      <alignment horizontal="right" vertical="center" wrapText="1"/>
    </xf>
    <xf numFmtId="0" fontId="8" fillId="2" borderId="3" xfId="0" applyFont="1" applyFill="1" applyBorder="1" applyAlignment="1">
      <alignment horizontal="right" vertical="center" wrapText="1"/>
    </xf>
    <xf numFmtId="164" fontId="3" fillId="0" borderId="3" xfId="1" applyNumberFormat="1" applyFont="1" applyBorder="1" applyAlignment="1">
      <alignment horizontal="right" vertical="center" wrapText="1"/>
    </xf>
    <xf numFmtId="166" fontId="3" fillId="4" borderId="0" xfId="3" applyNumberFormat="1" applyFont="1" applyFill="1"/>
    <xf numFmtId="10" fontId="3" fillId="0" borderId="0" xfId="0" applyNumberFormat="1" applyFont="1"/>
    <xf numFmtId="0" fontId="3" fillId="4" borderId="0" xfId="3" applyNumberFormat="1" applyFont="1" applyFill="1"/>
    <xf numFmtId="10" fontId="3" fillId="4" borderId="0" xfId="3" applyNumberFormat="1" applyFont="1" applyFill="1"/>
    <xf numFmtId="14" fontId="7" fillId="3" borderId="0" xfId="1" applyNumberFormat="1" applyFont="1" applyFill="1"/>
    <xf numFmtId="0" fontId="0" fillId="0" borderId="0" xfId="0" applyAlignment="1">
      <alignment horizontal="center"/>
    </xf>
    <xf numFmtId="43" fontId="3" fillId="0" borderId="0" xfId="0" applyNumberFormat="1" applyFont="1"/>
    <xf numFmtId="10" fontId="0" fillId="0" borderId="0" xfId="0" applyNumberFormat="1"/>
    <xf numFmtId="9" fontId="7" fillId="3" borderId="0" xfId="3" applyFont="1" applyFill="1" applyAlignment="1">
      <alignment horizontal="right"/>
    </xf>
    <xf numFmtId="0" fontId="10" fillId="0" borderId="0" xfId="0" applyFont="1"/>
    <xf numFmtId="164" fontId="4" fillId="0" borderId="0" xfId="0" applyNumberFormat="1" applyFont="1"/>
    <xf numFmtId="10" fontId="4" fillId="0" borderId="0" xfId="3" applyNumberFormat="1" applyFont="1"/>
    <xf numFmtId="10" fontId="9" fillId="0" borderId="0" xfId="0" applyNumberFormat="1" applyFont="1"/>
    <xf numFmtId="164" fontId="7" fillId="3" borderId="0" xfId="1" applyNumberFormat="1" applyFont="1" applyFill="1" applyAlignment="1">
      <alignment horizontal="right" wrapText="1"/>
    </xf>
    <xf numFmtId="164" fontId="3" fillId="0" borderId="3" xfId="1" applyNumberFormat="1" applyFont="1" applyFill="1" applyBorder="1" applyAlignment="1">
      <alignment horizontal="right" vertical="center" wrapText="1"/>
    </xf>
    <xf numFmtId="164" fontId="0" fillId="0" borderId="6" xfId="1" applyNumberFormat="1" applyFont="1" applyBorder="1"/>
    <xf numFmtId="0" fontId="0" fillId="0" borderId="8" xfId="0" applyBorder="1"/>
    <xf numFmtId="0" fontId="0" fillId="0" borderId="10" xfId="0" applyBorder="1"/>
    <xf numFmtId="43" fontId="7" fillId="3" borderId="0" xfId="1" applyFont="1" applyFill="1" applyAlignment="1">
      <alignment horizontal="right"/>
    </xf>
    <xf numFmtId="10" fontId="7" fillId="4" borderId="0" xfId="3" applyNumberFormat="1" applyFont="1" applyFill="1"/>
    <xf numFmtId="43" fontId="3" fillId="6" borderId="0" xfId="0" applyNumberFormat="1" applyFont="1" applyFill="1"/>
    <xf numFmtId="0" fontId="3" fillId="0" borderId="1" xfId="0" applyFont="1" applyBorder="1"/>
    <xf numFmtId="168" fontId="3" fillId="0" borderId="7" xfId="0" applyNumberFormat="1" applyFont="1" applyBorder="1"/>
    <xf numFmtId="10" fontId="3" fillId="0" borderId="4" xfId="0" applyNumberFormat="1" applyFont="1" applyBorder="1"/>
    <xf numFmtId="0" fontId="3" fillId="0" borderId="12" xfId="0" applyFont="1" applyBorder="1"/>
    <xf numFmtId="0" fontId="3" fillId="0" borderId="2" xfId="0" applyFont="1" applyBorder="1"/>
    <xf numFmtId="10" fontId="3" fillId="0" borderId="11" xfId="3" applyNumberFormat="1" applyFont="1" applyBorder="1"/>
    <xf numFmtId="10" fontId="3" fillId="0" borderId="3" xfId="3" applyNumberFormat="1" applyFont="1" applyBorder="1"/>
    <xf numFmtId="165" fontId="3" fillId="5" borderId="2" xfId="3" applyNumberFormat="1" applyFont="1" applyFill="1" applyBorder="1"/>
    <xf numFmtId="166" fontId="0" fillId="0" borderId="0" xfId="0" applyNumberFormat="1"/>
    <xf numFmtId="164" fontId="3" fillId="0" borderId="0" xfId="1" applyNumberFormat="1" applyFont="1"/>
    <xf numFmtId="9" fontId="3" fillId="0" borderId="0" xfId="3" applyFont="1"/>
    <xf numFmtId="0" fontId="3" fillId="0" borderId="9" xfId="0" applyFont="1" applyBorder="1"/>
    <xf numFmtId="10" fontId="3" fillId="0" borderId="0" xfId="3" applyNumberFormat="1" applyFont="1" applyBorder="1"/>
    <xf numFmtId="0" fontId="3" fillId="3" borderId="0" xfId="0" applyFont="1" applyFill="1"/>
    <xf numFmtId="0" fontId="3" fillId="7" borderId="0" xfId="0" applyFont="1" applyFill="1"/>
    <xf numFmtId="0" fontId="3" fillId="7" borderId="9" xfId="0" applyFont="1" applyFill="1" applyBorder="1"/>
    <xf numFmtId="0" fontId="3" fillId="7" borderId="11" xfId="0" applyFont="1" applyFill="1" applyBorder="1"/>
    <xf numFmtId="0" fontId="3" fillId="7" borderId="3" xfId="0" applyFont="1" applyFill="1" applyBorder="1"/>
    <xf numFmtId="10" fontId="3" fillId="4" borderId="9" xfId="3" applyNumberFormat="1" applyFont="1" applyFill="1" applyBorder="1"/>
    <xf numFmtId="0" fontId="3" fillId="0" borderId="5" xfId="0" applyFont="1" applyBorder="1"/>
    <xf numFmtId="10" fontId="3" fillId="4" borderId="3" xfId="3" applyNumberFormat="1" applyFont="1" applyFill="1" applyBorder="1"/>
    <xf numFmtId="10" fontId="3" fillId="4" borderId="8" xfId="3" applyNumberFormat="1" applyFont="1" applyFill="1" applyBorder="1"/>
    <xf numFmtId="0" fontId="3" fillId="4" borderId="8" xfId="0" applyFont="1" applyFill="1" applyBorder="1"/>
    <xf numFmtId="0" fontId="3" fillId="4" borderId="9" xfId="0" applyFont="1" applyFill="1" applyBorder="1"/>
    <xf numFmtId="10" fontId="3" fillId="4" borderId="10" xfId="3" applyNumberFormat="1" applyFont="1" applyFill="1" applyBorder="1"/>
    <xf numFmtId="10" fontId="3" fillId="4" borderId="0" xfId="3" applyNumberFormat="1" applyFont="1" applyFill="1" applyBorder="1"/>
    <xf numFmtId="10" fontId="3" fillId="4" borderId="11" xfId="3" applyNumberFormat="1" applyFont="1" applyFill="1" applyBorder="1"/>
    <xf numFmtId="9" fontId="3" fillId="3" borderId="0" xfId="3" applyFont="1" applyFill="1" applyBorder="1"/>
    <xf numFmtId="9" fontId="3" fillId="3" borderId="9" xfId="3" applyFont="1" applyFill="1" applyBorder="1"/>
    <xf numFmtId="0" fontId="3" fillId="4" borderId="13" xfId="0" applyFont="1" applyFill="1" applyBorder="1"/>
    <xf numFmtId="164" fontId="3" fillId="4" borderId="14" xfId="0" applyNumberFormat="1" applyFont="1" applyFill="1" applyBorder="1"/>
    <xf numFmtId="164" fontId="3" fillId="4" borderId="15" xfId="0" applyNumberFormat="1" applyFont="1" applyFill="1" applyBorder="1"/>
    <xf numFmtId="0" fontId="3" fillId="4" borderId="6" xfId="0" applyFont="1" applyFill="1" applyBorder="1"/>
    <xf numFmtId="9" fontId="3" fillId="4" borderId="4" xfId="3" applyFont="1" applyFill="1" applyBorder="1"/>
    <xf numFmtId="9" fontId="3" fillId="4" borderId="9" xfId="3" applyFont="1" applyFill="1" applyBorder="1"/>
    <xf numFmtId="0" fontId="3" fillId="4" borderId="10" xfId="0" applyFont="1" applyFill="1" applyBorder="1"/>
    <xf numFmtId="9" fontId="3" fillId="4" borderId="3" xfId="3" applyFont="1" applyFill="1" applyBorder="1"/>
    <xf numFmtId="165" fontId="3" fillId="5" borderId="0" xfId="3" applyNumberFormat="1" applyFont="1" applyFill="1" applyBorder="1"/>
    <xf numFmtId="43" fontId="7" fillId="0" borderId="0" xfId="1" applyFont="1" applyFill="1" applyBorder="1" applyAlignment="1">
      <alignment horizontal="right"/>
    </xf>
    <xf numFmtId="164" fontId="7" fillId="4" borderId="0" xfId="1" applyNumberFormat="1" applyFont="1" applyFill="1" applyAlignment="1">
      <alignment horizontal="right"/>
    </xf>
    <xf numFmtId="164" fontId="3" fillId="0" borderId="2" xfId="1" applyNumberFormat="1" applyFont="1" applyFill="1" applyBorder="1" applyAlignment="1">
      <alignment horizontal="right" vertical="center" wrapText="1"/>
    </xf>
    <xf numFmtId="169" fontId="7" fillId="3" borderId="0" xfId="1" applyNumberFormat="1" applyFont="1" applyFill="1" applyAlignment="1">
      <alignment horizontal="right" wrapText="1"/>
    </xf>
    <xf numFmtId="10" fontId="0" fillId="0" borderId="0" xfId="3" applyNumberFormat="1" applyFont="1"/>
    <xf numFmtId="164" fontId="3" fillId="0" borderId="0" xfId="1" applyNumberFormat="1" applyFont="1" applyFill="1" applyBorder="1" applyAlignment="1">
      <alignment horizontal="right" vertical="center" wrapText="1"/>
    </xf>
    <xf numFmtId="0" fontId="8" fillId="2" borderId="5" xfId="0" applyFont="1" applyFill="1" applyBorder="1" applyAlignment="1">
      <alignment horizontal="right" vertical="center" wrapText="1"/>
    </xf>
    <xf numFmtId="0" fontId="8" fillId="2" borderId="9" xfId="0" applyFont="1" applyFill="1" applyBorder="1" applyAlignment="1">
      <alignment horizontal="right" vertical="center" wrapText="1"/>
    </xf>
    <xf numFmtId="164" fontId="3" fillId="0" borderId="12" xfId="1" applyNumberFormat="1" applyFont="1" applyFill="1" applyBorder="1" applyAlignment="1">
      <alignment horizontal="right" vertical="center" wrapText="1"/>
    </xf>
    <xf numFmtId="0" fontId="3" fillId="4" borderId="0" xfId="0" applyFont="1" applyFill="1"/>
    <xf numFmtId="164" fontId="3" fillId="4" borderId="0" xfId="0" applyNumberFormat="1" applyFont="1" applyFill="1"/>
    <xf numFmtId="43" fontId="3" fillId="0" borderId="0" xfId="1" applyFont="1"/>
    <xf numFmtId="43" fontId="3" fillId="6" borderId="0" xfId="1" applyFont="1" applyFill="1"/>
    <xf numFmtId="43" fontId="3" fillId="6" borderId="0" xfId="1" applyFont="1" applyFill="1" applyAlignment="1">
      <alignment wrapText="1"/>
    </xf>
    <xf numFmtId="43" fontId="3" fillId="4" borderId="0" xfId="1" applyFont="1" applyFill="1" applyAlignment="1">
      <alignment wrapText="1"/>
    </xf>
    <xf numFmtId="165" fontId="3" fillId="4" borderId="0" xfId="3" applyNumberFormat="1" applyFont="1" applyFill="1"/>
    <xf numFmtId="165" fontId="3" fillId="4" borderId="0" xfId="3" applyNumberFormat="1" applyFont="1" applyFill="1" applyAlignment="1">
      <alignment wrapText="1"/>
    </xf>
    <xf numFmtId="2" fontId="3" fillId="4" borderId="0" xfId="0" applyNumberFormat="1" applyFont="1" applyFill="1"/>
    <xf numFmtId="43" fontId="3" fillId="4" borderId="0" xfId="0" applyNumberFormat="1" applyFont="1" applyFill="1"/>
    <xf numFmtId="9" fontId="7" fillId="4" borderId="0" xfId="3" applyFont="1" applyFill="1" applyAlignment="1">
      <alignment horizontal="right"/>
    </xf>
    <xf numFmtId="169" fontId="7" fillId="4" borderId="0" xfId="1" applyNumberFormat="1" applyFont="1" applyFill="1" applyAlignment="1">
      <alignment horizontal="right"/>
    </xf>
    <xf numFmtId="164" fontId="7" fillId="4" borderId="0" xfId="1" applyNumberFormat="1" applyFont="1" applyFill="1" applyAlignment="1">
      <alignment horizontal="right" wrapText="1"/>
    </xf>
    <xf numFmtId="10" fontId="3" fillId="0" borderId="0" xfId="3" applyNumberFormat="1" applyFont="1"/>
    <xf numFmtId="0" fontId="15" fillId="0" borderId="0" xfId="4" applyFont="1" applyAlignment="1">
      <alignment vertical="top" wrapText="1"/>
    </xf>
    <xf numFmtId="0" fontId="14" fillId="0" borderId="0" xfId="4"/>
    <xf numFmtId="0" fontId="14" fillId="0" borderId="0" xfId="4" applyAlignment="1">
      <alignment vertical="top" wrapText="1"/>
    </xf>
    <xf numFmtId="0" fontId="16" fillId="0" borderId="0" xfId="4" applyFont="1"/>
    <xf numFmtId="14" fontId="14" fillId="0" borderId="0" xfId="4" applyNumberFormat="1" applyAlignment="1">
      <alignment horizontal="left" vertical="top" wrapText="1"/>
    </xf>
    <xf numFmtId="0" fontId="17" fillId="0" borderId="0" xfId="4" applyFont="1" applyAlignment="1">
      <alignment vertical="top" wrapText="1"/>
    </xf>
    <xf numFmtId="0" fontId="14" fillId="0" borderId="0" xfId="4" applyAlignment="1">
      <alignment horizontal="left" vertical="center" indent="2"/>
    </xf>
    <xf numFmtId="0" fontId="14" fillId="0" borderId="0" xfId="4" quotePrefix="1" applyAlignment="1">
      <alignment horizontal="left" vertical="center" indent="2"/>
    </xf>
    <xf numFmtId="0" fontId="14" fillId="0" borderId="0" xfId="4" applyAlignment="1">
      <alignment vertical="top"/>
    </xf>
    <xf numFmtId="167" fontId="7" fillId="4" borderId="0" xfId="1" applyNumberFormat="1" applyFont="1" applyFill="1"/>
    <xf numFmtId="0" fontId="19" fillId="8" borderId="17" xfId="0" applyFont="1" applyFill="1" applyBorder="1" applyAlignment="1">
      <alignment horizontal="center" vertical="center" wrapText="1" readingOrder="1"/>
    </xf>
    <xf numFmtId="0" fontId="19" fillId="8" borderId="18" xfId="0" applyFont="1" applyFill="1" applyBorder="1" applyAlignment="1">
      <alignment horizontal="center" vertical="center" wrapText="1" readingOrder="1"/>
    </xf>
    <xf numFmtId="0" fontId="19" fillId="8" borderId="0" xfId="0" applyFont="1" applyFill="1" applyAlignment="1">
      <alignment horizontal="center" vertical="center" wrapText="1" readingOrder="1"/>
    </xf>
    <xf numFmtId="9" fontId="20" fillId="0" borderId="20" xfId="0" applyNumberFormat="1" applyFont="1" applyBorder="1" applyAlignment="1">
      <alignment horizontal="center" vertical="center" wrapText="1" readingOrder="1"/>
    </xf>
    <xf numFmtId="0" fontId="22" fillId="0" borderId="0" xfId="0" applyFont="1" applyAlignment="1">
      <alignment horizontal="center" vertical="center" wrapText="1" readingOrder="1"/>
    </xf>
    <xf numFmtId="9" fontId="20" fillId="0" borderId="19" xfId="0" applyNumberFormat="1" applyFont="1" applyBorder="1" applyAlignment="1">
      <alignment horizontal="center" vertical="center" wrapText="1" readingOrder="1"/>
    </xf>
    <xf numFmtId="0" fontId="19" fillId="8" borderId="21" xfId="0" applyFont="1" applyFill="1" applyBorder="1" applyAlignment="1">
      <alignment horizontal="center" vertical="center" wrapText="1" readingOrder="1"/>
    </xf>
    <xf numFmtId="0" fontId="19" fillId="8" borderId="22" xfId="0" applyFont="1" applyFill="1" applyBorder="1" applyAlignment="1">
      <alignment horizontal="center" vertical="center" wrapText="1" readingOrder="1"/>
    </xf>
    <xf numFmtId="0" fontId="22" fillId="0" borderId="6" xfId="0" applyFont="1" applyBorder="1" applyAlignment="1">
      <alignment horizontal="center" vertical="center" wrapText="1" readingOrder="1"/>
    </xf>
    <xf numFmtId="0" fontId="22" fillId="0" borderId="7" xfId="0" applyFont="1" applyBorder="1" applyAlignment="1">
      <alignment horizontal="center" vertical="center" wrapText="1" readingOrder="1"/>
    </xf>
    <xf numFmtId="0" fontId="22" fillId="0" borderId="8" xfId="0" applyFont="1" applyBorder="1" applyAlignment="1">
      <alignment horizontal="center" vertical="center" wrapText="1" readingOrder="1"/>
    </xf>
    <xf numFmtId="0" fontId="22" fillId="0" borderId="10" xfId="0" applyFont="1" applyBorder="1" applyAlignment="1">
      <alignment horizontal="center" vertical="center" wrapText="1" readingOrder="1"/>
    </xf>
    <xf numFmtId="0" fontId="22" fillId="0" borderId="11" xfId="0" applyFont="1" applyBorder="1" applyAlignment="1">
      <alignment horizontal="center" vertical="center" wrapText="1" readingOrder="1"/>
    </xf>
    <xf numFmtId="10" fontId="7" fillId="9" borderId="0" xfId="3" applyNumberFormat="1" applyFont="1" applyFill="1" applyAlignment="1">
      <alignment horizontal="right"/>
    </xf>
    <xf numFmtId="10" fontId="7" fillId="9" borderId="0" xfId="0" applyNumberFormat="1" applyFont="1" applyFill="1" applyAlignment="1">
      <alignment horizontal="right"/>
    </xf>
    <xf numFmtId="10" fontId="7" fillId="0" borderId="0" xfId="0" applyNumberFormat="1" applyFont="1" applyAlignment="1">
      <alignment horizontal="center"/>
    </xf>
    <xf numFmtId="0" fontId="3" fillId="0" borderId="0" xfId="0" applyFont="1" applyAlignment="1">
      <alignment horizontal="left"/>
    </xf>
    <xf numFmtId="9" fontId="7" fillId="0" borderId="0" xfId="0" applyNumberFormat="1" applyFont="1" applyAlignment="1">
      <alignment horizontal="center"/>
    </xf>
    <xf numFmtId="168" fontId="0" fillId="5" borderId="4" xfId="3" applyNumberFormat="1" applyFont="1" applyFill="1" applyBorder="1"/>
    <xf numFmtId="168" fontId="0" fillId="5" borderId="9" xfId="3" applyNumberFormat="1" applyFont="1" applyFill="1" applyBorder="1"/>
    <xf numFmtId="168" fontId="0" fillId="5" borderId="3" xfId="3" applyNumberFormat="1" applyFont="1" applyFill="1" applyBorder="1"/>
    <xf numFmtId="0" fontId="3" fillId="0" borderId="0" xfId="3" applyNumberFormat="1" applyFont="1" applyFill="1"/>
    <xf numFmtId="164" fontId="7" fillId="0" borderId="0" xfId="1" applyNumberFormat="1" applyFont="1" applyFill="1" applyAlignment="1">
      <alignment horizontal="right" wrapText="1"/>
    </xf>
    <xf numFmtId="9" fontId="3" fillId="0" borderId="0" xfId="3" applyFont="1" applyFill="1" applyBorder="1"/>
    <xf numFmtId="10" fontId="0" fillId="4" borderId="8" xfId="3" applyNumberFormat="1" applyFont="1" applyFill="1" applyBorder="1"/>
    <xf numFmtId="10" fontId="3" fillId="9" borderId="0" xfId="0" applyNumberFormat="1" applyFont="1" applyFill="1"/>
    <xf numFmtId="0" fontId="3" fillId="0" borderId="6" xfId="0" applyFont="1" applyBorder="1"/>
    <xf numFmtId="0" fontId="3" fillId="0" borderId="8" xfId="0" applyFont="1" applyBorder="1"/>
    <xf numFmtId="0" fontId="3" fillId="0" borderId="10" xfId="0" applyFont="1" applyBorder="1"/>
    <xf numFmtId="0" fontId="5" fillId="0" borderId="13" xfId="0" applyFont="1" applyBorder="1"/>
    <xf numFmtId="0" fontId="5" fillId="0" borderId="14" xfId="0" applyFont="1" applyBorder="1"/>
    <xf numFmtId="0" fontId="5" fillId="0" borderId="15" xfId="0" applyFont="1" applyBorder="1"/>
    <xf numFmtId="10" fontId="7" fillId="4" borderId="0" xfId="0" applyNumberFormat="1" applyFont="1" applyFill="1" applyAlignment="1">
      <alignment horizontal="center"/>
    </xf>
    <xf numFmtId="10" fontId="7" fillId="4" borderId="9" xfId="0" applyNumberFormat="1" applyFont="1" applyFill="1" applyBorder="1" applyAlignment="1">
      <alignment horizontal="center"/>
    </xf>
    <xf numFmtId="10" fontId="7" fillId="7" borderId="0" xfId="0" applyNumberFormat="1" applyFont="1" applyFill="1" applyAlignment="1">
      <alignment horizontal="center"/>
    </xf>
    <xf numFmtId="10" fontId="7" fillId="7" borderId="11" xfId="0" applyNumberFormat="1" applyFont="1" applyFill="1" applyBorder="1" applyAlignment="1">
      <alignment horizontal="center"/>
    </xf>
    <xf numFmtId="10" fontId="7" fillId="4" borderId="11" xfId="0" applyNumberFormat="1" applyFont="1" applyFill="1" applyBorder="1" applyAlignment="1">
      <alignment horizontal="center"/>
    </xf>
    <xf numFmtId="10" fontId="7" fillId="4" borderId="3" xfId="0" applyNumberFormat="1" applyFont="1" applyFill="1" applyBorder="1" applyAlignment="1">
      <alignment horizontal="center"/>
    </xf>
    <xf numFmtId="0" fontId="11" fillId="0" borderId="6" xfId="0" applyFont="1" applyBorder="1"/>
    <xf numFmtId="0" fontId="10" fillId="0" borderId="7" xfId="0" applyFont="1" applyBorder="1" applyAlignment="1">
      <alignment horizontal="center"/>
    </xf>
    <xf numFmtId="0" fontId="10" fillId="0" borderId="4" xfId="0" applyFont="1" applyBorder="1"/>
    <xf numFmtId="0" fontId="18" fillId="10" borderId="0" xfId="0" applyFont="1" applyFill="1" applyProtection="1">
      <protection locked="0"/>
    </xf>
    <xf numFmtId="0" fontId="25" fillId="0" borderId="23" xfId="6" applyFont="1" applyBorder="1" applyAlignment="1">
      <alignment vertical="center"/>
    </xf>
    <xf numFmtId="0" fontId="25" fillId="0" borderId="23" xfId="6" applyFont="1" applyBorder="1" applyAlignment="1">
      <alignment vertical="center" wrapText="1"/>
    </xf>
    <xf numFmtId="0" fontId="0" fillId="3" borderId="23" xfId="0" applyFill="1" applyBorder="1"/>
    <xf numFmtId="0" fontId="26" fillId="0" borderId="0" xfId="6" applyFont="1" applyAlignment="1">
      <alignment horizontal="center" vertical="center"/>
    </xf>
    <xf numFmtId="0" fontId="25" fillId="0" borderId="0" xfId="6" applyFont="1" applyAlignment="1">
      <alignment vertical="center" wrapText="1"/>
    </xf>
    <xf numFmtId="0" fontId="0" fillId="0" borderId="23" xfId="0" applyBorder="1" applyAlignment="1">
      <alignment wrapText="1"/>
    </xf>
    <xf numFmtId="0" fontId="0" fillId="0" borderId="23" xfId="0" applyBorder="1" applyAlignment="1">
      <alignment horizontal="left" vertical="top" wrapText="1"/>
    </xf>
    <xf numFmtId="0" fontId="0" fillId="0" borderId="0" xfId="0" applyAlignment="1">
      <alignment horizontal="left" vertical="top" wrapText="1"/>
    </xf>
    <xf numFmtId="0" fontId="0" fillId="0" borderId="23" xfId="0" applyBorder="1" applyAlignment="1">
      <alignment vertical="top" wrapText="1"/>
    </xf>
    <xf numFmtId="0" fontId="0" fillId="4" borderId="23" xfId="0" applyFill="1" applyBorder="1"/>
    <xf numFmtId="0" fontId="0" fillId="9" borderId="23" xfId="0" applyFill="1" applyBorder="1"/>
    <xf numFmtId="0" fontId="0" fillId="12" borderId="23" xfId="0" applyFill="1" applyBorder="1"/>
    <xf numFmtId="164" fontId="3" fillId="6" borderId="3" xfId="1" applyNumberFormat="1" applyFont="1" applyFill="1" applyBorder="1" applyAlignment="1">
      <alignment horizontal="right" vertical="center" wrapText="1"/>
    </xf>
    <xf numFmtId="0" fontId="0" fillId="6" borderId="23" xfId="0" applyFill="1" applyBorder="1"/>
    <xf numFmtId="0" fontId="0" fillId="0" borderId="23" xfId="0" applyBorder="1"/>
    <xf numFmtId="10" fontId="22" fillId="12" borderId="7" xfId="0" applyNumberFormat="1" applyFont="1" applyFill="1" applyBorder="1" applyAlignment="1">
      <alignment horizontal="center" vertical="center" wrapText="1" readingOrder="1"/>
    </xf>
    <xf numFmtId="9" fontId="22" fillId="12" borderId="7" xfId="0" applyNumberFormat="1" applyFont="1" applyFill="1" applyBorder="1" applyAlignment="1">
      <alignment horizontal="center" vertical="center" wrapText="1" readingOrder="1"/>
    </xf>
    <xf numFmtId="9" fontId="22" fillId="12" borderId="4" xfId="0" applyNumberFormat="1" applyFont="1" applyFill="1" applyBorder="1" applyAlignment="1">
      <alignment horizontal="center" vertical="center" wrapText="1" readingOrder="1"/>
    </xf>
    <xf numFmtId="10" fontId="22" fillId="12" borderId="0" xfId="0" applyNumberFormat="1" applyFont="1" applyFill="1" applyAlignment="1">
      <alignment horizontal="center" vertical="center" wrapText="1" readingOrder="1"/>
    </xf>
    <xf numFmtId="9" fontId="22" fillId="12" borderId="0" xfId="0" applyNumberFormat="1" applyFont="1" applyFill="1" applyAlignment="1">
      <alignment horizontal="center" vertical="center" wrapText="1" readingOrder="1"/>
    </xf>
    <xf numFmtId="9" fontId="22" fillId="12" borderId="9" xfId="0" applyNumberFormat="1" applyFont="1" applyFill="1" applyBorder="1" applyAlignment="1">
      <alignment horizontal="center" vertical="center" wrapText="1" readingOrder="1"/>
    </xf>
    <xf numFmtId="10" fontId="22" fillId="12" borderId="11" xfId="0" applyNumberFormat="1" applyFont="1" applyFill="1" applyBorder="1" applyAlignment="1">
      <alignment horizontal="center" vertical="center" wrapText="1" readingOrder="1"/>
    </xf>
    <xf numFmtId="10" fontId="7" fillId="12" borderId="7" xfId="0" applyNumberFormat="1" applyFont="1" applyFill="1" applyBorder="1" applyAlignment="1">
      <alignment horizontal="center"/>
    </xf>
    <xf numFmtId="10" fontId="7" fillId="12" borderId="4" xfId="0" applyNumberFormat="1" applyFont="1" applyFill="1" applyBorder="1" applyAlignment="1">
      <alignment horizontal="center"/>
    </xf>
    <xf numFmtId="10" fontId="7" fillId="12" borderId="0" xfId="0" applyNumberFormat="1" applyFont="1" applyFill="1" applyAlignment="1">
      <alignment horizontal="center"/>
    </xf>
    <xf numFmtId="10" fontId="7" fillId="12" borderId="9" xfId="0" applyNumberFormat="1" applyFont="1" applyFill="1" applyBorder="1" applyAlignment="1">
      <alignment horizontal="center"/>
    </xf>
    <xf numFmtId="10" fontId="7" fillId="12" borderId="11" xfId="0" applyNumberFormat="1" applyFont="1" applyFill="1" applyBorder="1" applyAlignment="1">
      <alignment horizontal="center"/>
    </xf>
    <xf numFmtId="10" fontId="7" fillId="12" borderId="3" xfId="0" applyNumberFormat="1" applyFont="1" applyFill="1" applyBorder="1" applyAlignment="1">
      <alignment horizontal="center"/>
    </xf>
    <xf numFmtId="0" fontId="25" fillId="0" borderId="0" xfId="6" applyFont="1" applyAlignment="1">
      <alignment vertical="center"/>
    </xf>
    <xf numFmtId="9" fontId="0" fillId="0" borderId="0" xfId="3" applyFont="1" applyBorder="1"/>
    <xf numFmtId="10" fontId="0" fillId="4" borderId="0" xfId="3" applyNumberFormat="1" applyFont="1" applyFill="1" applyBorder="1"/>
    <xf numFmtId="0" fontId="0" fillId="4" borderId="0" xfId="3" applyNumberFormat="1" applyFont="1" applyFill="1" applyBorder="1"/>
    <xf numFmtId="10" fontId="0" fillId="0" borderId="0" xfId="3" applyNumberFormat="1" applyFont="1" applyFill="1" applyBorder="1"/>
    <xf numFmtId="171" fontId="10" fillId="11" borderId="23" xfId="0" applyNumberFormat="1" applyFont="1" applyFill="1" applyBorder="1" applyAlignment="1">
      <alignment horizontal="left" vertical="center"/>
    </xf>
    <xf numFmtId="0" fontId="27" fillId="11" borderId="23" xfId="0" applyFont="1" applyFill="1" applyBorder="1" applyAlignment="1">
      <alignment horizontal="left" vertical="center" indent="3"/>
    </xf>
    <xf numFmtId="0" fontId="25" fillId="0" borderId="0" xfId="0" applyFont="1"/>
    <xf numFmtId="0" fontId="29" fillId="11" borderId="23" xfId="5" applyFont="1" applyFill="1" applyBorder="1" applyAlignment="1" applyProtection="1">
      <alignment vertical="center"/>
    </xf>
    <xf numFmtId="0" fontId="3" fillId="0" borderId="0" xfId="0" applyFont="1" applyAlignment="1">
      <alignment wrapText="1"/>
    </xf>
    <xf numFmtId="9" fontId="3" fillId="3" borderId="0" xfId="0" applyNumberFormat="1" applyFont="1" applyFill="1"/>
    <xf numFmtId="164" fontId="7" fillId="3" borderId="0" xfId="1" applyNumberFormat="1" applyFont="1" applyFill="1" applyAlignment="1">
      <alignment horizontal="right"/>
    </xf>
    <xf numFmtId="164" fontId="3" fillId="7" borderId="0" xfId="0" applyNumberFormat="1" applyFont="1" applyFill="1"/>
    <xf numFmtId="167" fontId="3" fillId="6" borderId="0" xfId="0" applyNumberFormat="1" applyFont="1" applyFill="1" applyAlignment="1">
      <alignment horizontal="right"/>
    </xf>
    <xf numFmtId="167" fontId="3" fillId="4" borderId="0" xfId="0" applyNumberFormat="1" applyFont="1" applyFill="1" applyAlignment="1">
      <alignment horizontal="right"/>
    </xf>
    <xf numFmtId="0" fontId="0" fillId="7" borderId="23" xfId="0" applyFill="1" applyBorder="1"/>
    <xf numFmtId="0" fontId="30" fillId="0" borderId="0" xfId="0" applyFont="1"/>
    <xf numFmtId="172" fontId="3" fillId="0" borderId="3" xfId="1" applyNumberFormat="1" applyFont="1" applyFill="1" applyBorder="1" applyAlignment="1">
      <alignment horizontal="right" vertical="center" wrapText="1"/>
    </xf>
    <xf numFmtId="172" fontId="3" fillId="0" borderId="12" xfId="1" applyNumberFormat="1" applyFont="1" applyFill="1" applyBorder="1" applyAlignment="1">
      <alignment horizontal="right" vertical="center" wrapText="1"/>
    </xf>
    <xf numFmtId="172" fontId="3" fillId="0" borderId="3" xfId="1" applyNumberFormat="1" applyFont="1" applyBorder="1" applyAlignment="1">
      <alignment horizontal="right" vertical="center" wrapText="1"/>
    </xf>
    <xf numFmtId="0" fontId="5" fillId="0" borderId="15" xfId="0" applyFont="1" applyBorder="1" applyAlignment="1">
      <alignment wrapText="1"/>
    </xf>
    <xf numFmtId="164" fontId="4" fillId="4" borderId="0" xfId="1" applyNumberFormat="1" applyFont="1" applyFill="1" applyAlignment="1">
      <alignment horizontal="right"/>
    </xf>
    <xf numFmtId="0" fontId="24" fillId="0" borderId="0" xfId="5"/>
    <xf numFmtId="3" fontId="3" fillId="6" borderId="3" xfId="1" applyNumberFormat="1" applyFont="1" applyFill="1" applyBorder="1" applyAlignment="1">
      <alignment horizontal="right" vertical="center" wrapText="1"/>
    </xf>
    <xf numFmtId="10" fontId="0" fillId="9" borderId="0" xfId="3" applyNumberFormat="1" applyFont="1" applyFill="1" applyBorder="1" applyAlignment="1">
      <alignment horizontal="center"/>
    </xf>
    <xf numFmtId="10" fontId="0" fillId="9" borderId="11" xfId="0" applyNumberFormat="1" applyFill="1" applyBorder="1" applyAlignment="1">
      <alignment horizontal="center"/>
    </xf>
    <xf numFmtId="10" fontId="0" fillId="9" borderId="7" xfId="0" applyNumberFormat="1" applyFill="1" applyBorder="1" applyAlignment="1">
      <alignment horizontal="center"/>
    </xf>
    <xf numFmtId="10" fontId="6" fillId="12" borderId="9" xfId="0" applyNumberFormat="1" applyFont="1" applyFill="1" applyBorder="1" applyAlignment="1">
      <alignment horizontal="center" vertical="center"/>
    </xf>
    <xf numFmtId="10" fontId="6" fillId="12" borderId="3" xfId="0" applyNumberFormat="1" applyFont="1" applyFill="1" applyBorder="1" applyAlignment="1">
      <alignment horizontal="center" vertical="center"/>
    </xf>
    <xf numFmtId="14" fontId="25" fillId="0" borderId="23" xfId="6" applyNumberFormat="1" applyFont="1" applyBorder="1" applyAlignment="1">
      <alignment vertical="center"/>
    </xf>
    <xf numFmtId="0" fontId="19" fillId="8" borderId="16" xfId="0" applyFont="1" applyFill="1" applyBorder="1" applyAlignment="1">
      <alignment vertical="center" wrapText="1" readingOrder="1"/>
    </xf>
    <xf numFmtId="10" fontId="22" fillId="12" borderId="3" xfId="0" applyNumberFormat="1" applyFont="1" applyFill="1" applyBorder="1" applyAlignment="1">
      <alignment horizontal="center" vertical="center" wrapText="1" readingOrder="1"/>
    </xf>
    <xf numFmtId="10" fontId="22" fillId="12" borderId="9" xfId="0" applyNumberFormat="1" applyFont="1" applyFill="1" applyBorder="1" applyAlignment="1">
      <alignment horizontal="center" vertical="center" wrapText="1" readingOrder="1"/>
    </xf>
    <xf numFmtId="10" fontId="3" fillId="5" borderId="2" xfId="3" applyNumberFormat="1" applyFont="1" applyFill="1" applyBorder="1"/>
    <xf numFmtId="164" fontId="5" fillId="0" borderId="13" xfId="0" applyNumberFormat="1" applyFont="1" applyBorder="1"/>
    <xf numFmtId="0" fontId="5" fillId="0" borderId="14" xfId="0" applyFont="1" applyBorder="1" applyAlignment="1">
      <alignment wrapText="1"/>
    </xf>
    <xf numFmtId="0" fontId="5" fillId="0" borderId="12" xfId="0" applyFont="1" applyBorder="1" applyAlignment="1">
      <alignment wrapText="1"/>
    </xf>
    <xf numFmtId="0" fontId="25" fillId="0" borderId="23" xfId="0" applyFont="1" applyBorder="1" applyAlignment="1">
      <alignment vertical="center" wrapText="1"/>
    </xf>
    <xf numFmtId="165" fontId="3" fillId="0" borderId="0" xfId="3" applyNumberFormat="1" applyFont="1" applyFill="1" applyBorder="1"/>
    <xf numFmtId="10" fontId="3" fillId="3" borderId="0" xfId="0" applyNumberFormat="1" applyFont="1" applyFill="1"/>
    <xf numFmtId="0" fontId="10" fillId="0" borderId="15" xfId="0" applyFont="1" applyBorder="1" applyAlignment="1">
      <alignment horizontal="center"/>
    </xf>
    <xf numFmtId="0" fontId="10" fillId="0" borderId="12" xfId="0" applyFont="1" applyBorder="1" applyAlignment="1">
      <alignment horizontal="center"/>
    </xf>
    <xf numFmtId="0" fontId="5" fillId="0" borderId="0" xfId="0" applyFont="1" applyAlignment="1">
      <alignment horizontal="center" wrapText="1"/>
    </xf>
    <xf numFmtId="165" fontId="3" fillId="0" borderId="0" xfId="3" applyNumberFormat="1" applyFont="1" applyFill="1" applyAlignment="1">
      <alignment wrapText="1"/>
    </xf>
    <xf numFmtId="173" fontId="0" fillId="0" borderId="0" xfId="0" applyNumberFormat="1"/>
    <xf numFmtId="14" fontId="25" fillId="0" borderId="23" xfId="6" applyNumberFormat="1" applyFont="1" applyBorder="1" applyAlignment="1">
      <alignment vertical="center" wrapText="1"/>
    </xf>
    <xf numFmtId="2" fontId="3" fillId="0" borderId="0" xfId="3" applyNumberFormat="1" applyFont="1" applyFill="1" applyAlignment="1">
      <alignment wrapText="1"/>
    </xf>
    <xf numFmtId="10" fontId="3" fillId="9" borderId="14" xfId="0" applyNumberFormat="1" applyFont="1" applyFill="1" applyBorder="1" applyAlignment="1">
      <alignment horizontal="center"/>
    </xf>
    <xf numFmtId="10" fontId="3" fillId="9" borderId="15" xfId="0" applyNumberFormat="1" applyFont="1" applyFill="1" applyBorder="1" applyAlignment="1">
      <alignment horizontal="center"/>
    </xf>
    <xf numFmtId="10" fontId="0" fillId="4" borderId="0" xfId="3" applyNumberFormat="1" applyFont="1" applyFill="1" applyBorder="1" applyAlignment="1">
      <alignment horizontal="right" vertical="center" wrapText="1"/>
    </xf>
    <xf numFmtId="9" fontId="25" fillId="12" borderId="2" xfId="3" applyFont="1" applyFill="1" applyBorder="1" applyAlignment="1">
      <alignment horizontal="center"/>
    </xf>
    <xf numFmtId="9" fontId="25" fillId="12" borderId="12" xfId="0" applyNumberFormat="1" applyFont="1" applyFill="1" applyBorder="1" applyAlignment="1">
      <alignment horizontal="center"/>
    </xf>
    <xf numFmtId="0" fontId="0" fillId="0" borderId="12" xfId="0" applyBorder="1"/>
    <xf numFmtId="174" fontId="0" fillId="4" borderId="0" xfId="3" applyNumberFormat="1" applyFont="1" applyFill="1" applyBorder="1"/>
    <xf numFmtId="172" fontId="0" fillId="0" borderId="0" xfId="0" applyNumberFormat="1"/>
    <xf numFmtId="9" fontId="0" fillId="0" borderId="0" xfId="0" applyNumberFormat="1"/>
    <xf numFmtId="3" fontId="0" fillId="0" borderId="0" xfId="0" applyNumberFormat="1"/>
    <xf numFmtId="0" fontId="0" fillId="0" borderId="0" xfId="0" quotePrefix="1"/>
    <xf numFmtId="0" fontId="10" fillId="0" borderId="23" xfId="0" applyFont="1" applyBorder="1"/>
    <xf numFmtId="10" fontId="0" fillId="4" borderId="23" xfId="3" applyNumberFormat="1" applyFont="1" applyFill="1" applyBorder="1"/>
    <xf numFmtId="174" fontId="0" fillId="4" borderId="23" xfId="3" applyNumberFormat="1" applyFont="1" applyFill="1" applyBorder="1"/>
    <xf numFmtId="0" fontId="19" fillId="8" borderId="16" xfId="0" applyFont="1" applyFill="1" applyBorder="1" applyAlignment="1">
      <alignment horizontal="center" vertical="center" wrapText="1" readingOrder="1"/>
    </xf>
    <xf numFmtId="0" fontId="2" fillId="2" borderId="1" xfId="0" applyFont="1" applyFill="1" applyBorder="1" applyAlignment="1">
      <alignment horizontal="center" vertical="center" wrapText="1"/>
    </xf>
    <xf numFmtId="0" fontId="2" fillId="2" borderId="5" xfId="0" applyFont="1" applyFill="1" applyBorder="1" applyAlignment="1">
      <alignment horizontal="center" vertical="center" wrapText="1"/>
    </xf>
    <xf numFmtId="164" fontId="23" fillId="0" borderId="6" xfId="0" applyNumberFormat="1" applyFont="1" applyBorder="1" applyAlignment="1">
      <alignment horizontal="center"/>
    </xf>
    <xf numFmtId="164" fontId="23" fillId="0" borderId="7" xfId="0" applyNumberFormat="1" applyFont="1" applyBorder="1" applyAlignment="1">
      <alignment horizontal="center"/>
    </xf>
    <xf numFmtId="164" fontId="23" fillId="0" borderId="4" xfId="0" applyNumberFormat="1" applyFont="1" applyBorder="1" applyAlignment="1">
      <alignment horizontal="center"/>
    </xf>
    <xf numFmtId="164" fontId="23" fillId="0" borderId="10" xfId="0" applyNumberFormat="1" applyFont="1" applyBorder="1" applyAlignment="1">
      <alignment horizontal="center"/>
    </xf>
    <xf numFmtId="164" fontId="23" fillId="0" borderId="11" xfId="0" applyNumberFormat="1" applyFont="1" applyBorder="1" applyAlignment="1">
      <alignment horizontal="center"/>
    </xf>
    <xf numFmtId="164" fontId="23" fillId="0" borderId="3" xfId="0" applyNumberFormat="1" applyFont="1" applyBorder="1" applyAlignment="1">
      <alignment horizontal="center"/>
    </xf>
    <xf numFmtId="0" fontId="5" fillId="0" borderId="13" xfId="0" applyFont="1" applyBorder="1" applyAlignment="1">
      <alignment horizontal="center" wrapText="1"/>
    </xf>
    <xf numFmtId="0" fontId="5" fillId="0" borderId="14" xfId="0" applyFont="1" applyBorder="1" applyAlignment="1">
      <alignment horizontal="center" wrapText="1"/>
    </xf>
    <xf numFmtId="0" fontId="5" fillId="0" borderId="15" xfId="0" applyFont="1" applyBorder="1" applyAlignment="1">
      <alignment horizontal="center" wrapText="1"/>
    </xf>
    <xf numFmtId="9" fontId="0" fillId="4" borderId="0" xfId="3" applyFont="1" applyFill="1" applyBorder="1" applyAlignment="1">
      <alignment horizontal="center" wrapText="1"/>
    </xf>
    <xf numFmtId="0" fontId="10" fillId="0" borderId="0" xfId="0" applyFont="1" applyAlignment="1">
      <alignment horizontal="left"/>
    </xf>
  </cellXfs>
  <cellStyles count="10">
    <cellStyle name="Comma" xfId="1" builtinId="3"/>
    <cellStyle name="Comma 2" xfId="9" xr:uid="{4A0DC70F-5B2E-497E-B688-EFC53D9169A5}"/>
    <cellStyle name="Hyperlink" xfId="5" builtinId="8"/>
    <cellStyle name="Hyperlink 2 2" xfId="8" xr:uid="{142354C7-68D8-4600-ABAE-9F1FC5B0FB10}"/>
    <cellStyle name="Millares 11" xfId="7" xr:uid="{55773439-D3E5-4261-AF2C-73A0218AF913}"/>
    <cellStyle name="Normal" xfId="0" builtinId="0"/>
    <cellStyle name="Normal 14" xfId="6" xr:uid="{1480C5E1-6BA3-4496-917C-B6FE2C1621E6}"/>
    <cellStyle name="Normal 2" xfId="2" xr:uid="{B7145829-0A91-4DAF-AF6A-E3A72A457FEC}"/>
    <cellStyle name="Normal 2 2" xfId="4" xr:uid="{D1DB6195-1C1C-4BF6-A077-BF848F24F55C}"/>
    <cellStyle name="Percent" xfId="3" builtinId="5"/>
  </cellStyles>
  <dxfs count="6">
    <dxf>
      <fill>
        <patternFill>
          <bgColor theme="5"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9999"/>
        </patternFill>
      </fill>
      <border>
        <left style="thin">
          <color auto="1"/>
        </left>
        <right style="thin">
          <color auto="1"/>
        </right>
        <top style="thin">
          <color auto="1"/>
        </top>
        <bottom style="thin">
          <color auto="1"/>
        </bottom>
        <vertical/>
        <horizontal/>
      </border>
    </dxf>
  </dxfs>
  <tableStyles count="0" defaultTableStyle="TableStyleMedium2" defaultPivotStyle="PivotStyleMedium9"/>
  <colors>
    <mruColors>
      <color rgb="FF9C0006"/>
      <color rgb="FFFFC7CE"/>
      <color rgb="FFFF9999"/>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eb.actuaries.ie/sites/default/files/asp/ASP%20LA-8/ASP%20LA-8%20V1.18%20final.pdf"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47414-DE56-4FF9-89F1-D9DE153A5E74}">
  <dimension ref="B2:F16"/>
  <sheetViews>
    <sheetView topLeftCell="A7" workbookViewId="0">
      <selection activeCell="F17" sqref="F17"/>
    </sheetView>
  </sheetViews>
  <sheetFormatPr defaultRowHeight="15"/>
  <cols>
    <col min="2" max="2" width="7.85546875" bestFit="1" customWidth="1"/>
    <col min="3" max="3" width="10.42578125" bestFit="1" customWidth="1"/>
    <col min="4" max="4" width="15.140625" bestFit="1" customWidth="1"/>
    <col min="5" max="5" width="13.140625" bestFit="1" customWidth="1"/>
    <col min="6" max="6" width="45.7109375" bestFit="1" customWidth="1"/>
  </cols>
  <sheetData>
    <row r="2" spans="2:6">
      <c r="B2" s="147" t="s">
        <v>0</v>
      </c>
      <c r="C2" s="147" t="s">
        <v>1</v>
      </c>
      <c r="D2" s="147" t="s">
        <v>2</v>
      </c>
      <c r="E2" s="147" t="s">
        <v>3</v>
      </c>
      <c r="F2" s="147" t="s">
        <v>4</v>
      </c>
    </row>
    <row r="3" spans="2:6">
      <c r="B3" s="148" t="s">
        <v>5</v>
      </c>
      <c r="C3" s="205">
        <v>45807</v>
      </c>
      <c r="D3" s="148" t="s">
        <v>6</v>
      </c>
      <c r="E3" s="148"/>
      <c r="F3" s="149" t="s">
        <v>7</v>
      </c>
    </row>
    <row r="4" spans="2:6" ht="30">
      <c r="B4" s="148" t="s">
        <v>8</v>
      </c>
      <c r="C4" s="205">
        <v>45833</v>
      </c>
      <c r="D4" s="148" t="s">
        <v>9</v>
      </c>
      <c r="E4" s="148"/>
      <c r="F4" s="213" t="s">
        <v>10</v>
      </c>
    </row>
    <row r="5" spans="2:6" ht="30">
      <c r="B5" s="148" t="s">
        <v>11</v>
      </c>
      <c r="C5" s="205">
        <v>45838</v>
      </c>
      <c r="D5" s="148" t="s">
        <v>6</v>
      </c>
      <c r="E5" s="148"/>
      <c r="F5" s="149" t="s">
        <v>12</v>
      </c>
    </row>
    <row r="6" spans="2:6" ht="30">
      <c r="B6" s="148" t="s">
        <v>13</v>
      </c>
      <c r="C6" s="205">
        <v>45887</v>
      </c>
      <c r="D6" s="148" t="s">
        <v>9</v>
      </c>
      <c r="E6" s="148" t="s">
        <v>6</v>
      </c>
      <c r="F6" s="149" t="s">
        <v>14</v>
      </c>
    </row>
    <row r="7" spans="2:6" ht="45">
      <c r="B7" s="148" t="s">
        <v>15</v>
      </c>
      <c r="C7" s="205">
        <v>45926</v>
      </c>
      <c r="D7" s="148" t="s">
        <v>9</v>
      </c>
      <c r="E7" s="148" t="s">
        <v>6</v>
      </c>
      <c r="F7" s="149" t="s">
        <v>16</v>
      </c>
    </row>
    <row r="8" spans="2:6">
      <c r="B8" s="148" t="s">
        <v>17</v>
      </c>
      <c r="C8" s="205">
        <v>45947</v>
      </c>
      <c r="D8" s="148" t="s">
        <v>9</v>
      </c>
      <c r="E8" s="149"/>
      <c r="F8" s="149" t="s">
        <v>18</v>
      </c>
    </row>
    <row r="9" spans="2:6">
      <c r="B9" s="148" t="s">
        <v>19</v>
      </c>
      <c r="C9" s="221">
        <v>45953</v>
      </c>
      <c r="D9" s="148" t="s">
        <v>9</v>
      </c>
      <c r="E9" s="149"/>
      <c r="F9" s="149" t="s">
        <v>20</v>
      </c>
    </row>
    <row r="10" spans="2:6">
      <c r="B10" s="148" t="s">
        <v>21</v>
      </c>
      <c r="C10" s="221">
        <v>45954</v>
      </c>
      <c r="D10" s="148" t="s">
        <v>9</v>
      </c>
      <c r="E10" s="149"/>
      <c r="F10" s="149" t="s">
        <v>22</v>
      </c>
    </row>
    <row r="11" spans="2:6" ht="75">
      <c r="B11" s="148" t="s">
        <v>23</v>
      </c>
      <c r="C11" s="221">
        <v>46041</v>
      </c>
      <c r="D11" s="148" t="s">
        <v>9</v>
      </c>
      <c r="E11" s="149" t="s">
        <v>6</v>
      </c>
      <c r="F11" s="149" t="s">
        <v>24</v>
      </c>
    </row>
    <row r="12" spans="2:6" ht="30">
      <c r="B12" s="148" t="s">
        <v>25</v>
      </c>
      <c r="C12" s="221">
        <v>46070</v>
      </c>
      <c r="D12" s="148" t="s">
        <v>9</v>
      </c>
      <c r="E12" s="149" t="s">
        <v>6</v>
      </c>
      <c r="F12" s="149" t="s">
        <v>26</v>
      </c>
    </row>
    <row r="13" spans="2:6" ht="30">
      <c r="B13" s="148" t="s">
        <v>27</v>
      </c>
      <c r="C13" s="221">
        <v>46080</v>
      </c>
      <c r="D13" s="148" t="s">
        <v>9</v>
      </c>
      <c r="E13" s="149" t="s">
        <v>6</v>
      </c>
      <c r="F13" s="149" t="s">
        <v>28</v>
      </c>
    </row>
    <row r="14" spans="2:6" ht="30">
      <c r="B14" s="148" t="s">
        <v>29</v>
      </c>
      <c r="C14" s="221">
        <v>46080</v>
      </c>
      <c r="D14" s="148" t="s">
        <v>9</v>
      </c>
      <c r="E14" s="149" t="s">
        <v>6</v>
      </c>
      <c r="F14" s="149" t="s">
        <v>30</v>
      </c>
    </row>
    <row r="15" spans="2:6" ht="75">
      <c r="B15" s="148" t="s">
        <v>31</v>
      </c>
      <c r="C15" s="221">
        <v>46080</v>
      </c>
      <c r="D15" s="148" t="s">
        <v>9</v>
      </c>
      <c r="E15" s="149" t="s">
        <v>6</v>
      </c>
      <c r="F15" s="149" t="s">
        <v>32</v>
      </c>
    </row>
    <row r="16" spans="2:6">
      <c r="B16" s="148" t="s">
        <v>33</v>
      </c>
      <c r="C16" s="221">
        <v>46141</v>
      </c>
      <c r="D16" s="148" t="s">
        <v>9</v>
      </c>
      <c r="E16" s="149"/>
      <c r="F16" s="149" t="s">
        <v>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ABC6E-FDCA-4E52-9A4E-3F7BB8CCC1E6}">
  <dimension ref="A1:I22"/>
  <sheetViews>
    <sheetView topLeftCell="A12" workbookViewId="0">
      <selection activeCell="B4" sqref="B4"/>
    </sheetView>
  </sheetViews>
  <sheetFormatPr defaultColWidth="9.140625" defaultRowHeight="15"/>
  <cols>
    <col min="1" max="1" width="25.140625" customWidth="1"/>
    <col min="2" max="2" width="30.85546875" customWidth="1"/>
    <col min="3" max="3" width="85.140625" bestFit="1" customWidth="1"/>
    <col min="4" max="4" width="25.5703125" customWidth="1"/>
    <col min="5" max="5" width="8.85546875" bestFit="1" customWidth="1"/>
    <col min="6" max="6" width="45" customWidth="1"/>
  </cols>
  <sheetData>
    <row r="1" spans="1:3">
      <c r="A1" t="s">
        <v>35</v>
      </c>
    </row>
    <row r="3" spans="1:3">
      <c r="A3" s="147" t="s">
        <v>36</v>
      </c>
      <c r="B3" s="147" t="s">
        <v>36</v>
      </c>
      <c r="C3" s="147" t="s">
        <v>4</v>
      </c>
    </row>
    <row r="4" spans="1:3">
      <c r="B4" s="159"/>
      <c r="C4" s="148" t="s">
        <v>37</v>
      </c>
    </row>
    <row r="5" spans="1:3">
      <c r="B5" s="150"/>
      <c r="C5" s="148" t="s">
        <v>38</v>
      </c>
    </row>
    <row r="6" spans="1:3">
      <c r="B6" s="157"/>
      <c r="C6" s="148" t="s">
        <v>39</v>
      </c>
    </row>
    <row r="7" spans="1:3" ht="17.100000000000001" customHeight="1">
      <c r="B7" s="161"/>
      <c r="C7" s="176" t="s">
        <v>40</v>
      </c>
    </row>
    <row r="8" spans="1:3">
      <c r="B8" s="158"/>
      <c r="C8" s="149" t="s">
        <v>41</v>
      </c>
    </row>
    <row r="9" spans="1:3">
      <c r="B9" s="191"/>
      <c r="C9" s="149" t="s">
        <v>42</v>
      </c>
    </row>
    <row r="10" spans="1:3">
      <c r="B10" s="162"/>
      <c r="C10" s="149" t="s">
        <v>43</v>
      </c>
    </row>
    <row r="11" spans="1:3">
      <c r="B11" s="151"/>
      <c r="C11" s="152"/>
    </row>
    <row r="14" spans="1:3">
      <c r="A14" s="147" t="s">
        <v>44</v>
      </c>
      <c r="B14" s="147" t="s">
        <v>45</v>
      </c>
      <c r="C14" s="147" t="s">
        <v>4</v>
      </c>
    </row>
    <row r="15" spans="1:3">
      <c r="B15" s="181">
        <v>1</v>
      </c>
      <c r="C15" s="154" t="s">
        <v>46</v>
      </c>
    </row>
    <row r="16" spans="1:3">
      <c r="C16" s="155"/>
    </row>
    <row r="18" spans="1:9">
      <c r="A18" s="147" t="s">
        <v>47</v>
      </c>
      <c r="B18" s="147" t="s">
        <v>48</v>
      </c>
      <c r="C18" s="147" t="s">
        <v>4</v>
      </c>
      <c r="D18" s="147" t="s">
        <v>49</v>
      </c>
    </row>
    <row r="19" spans="1:9" ht="60">
      <c r="B19" s="182" t="s">
        <v>35</v>
      </c>
      <c r="C19" s="156" t="s">
        <v>50</v>
      </c>
      <c r="D19" s="184" t="str">
        <f>A1</f>
        <v>Overview</v>
      </c>
      <c r="I19" s="183"/>
    </row>
    <row r="20" spans="1:9" ht="75">
      <c r="B20" s="182" t="s">
        <v>51</v>
      </c>
      <c r="C20" s="156" t="s">
        <v>52</v>
      </c>
      <c r="D20" s="184" t="str">
        <f>B20</f>
        <v>Parameters</v>
      </c>
    </row>
    <row r="21" spans="1:9" ht="30">
      <c r="B21" s="182" t="s">
        <v>53</v>
      </c>
      <c r="C21" s="153" t="s">
        <v>54</v>
      </c>
      <c r="D21" s="184" t="str">
        <f>B21</f>
        <v>ARF Projection</v>
      </c>
    </row>
    <row r="22" spans="1:9" ht="23.1" customHeight="1">
      <c r="B22" s="182" t="s">
        <v>55</v>
      </c>
      <c r="C22" s="153" t="s">
        <v>56</v>
      </c>
      <c r="D22" s="184" t="str">
        <f>B22</f>
        <v>Inputs for PointOfIssue Doc</v>
      </c>
    </row>
  </sheetData>
  <hyperlinks>
    <hyperlink ref="D19" location="'Cover Page'!A1" display="'Cover Page'!A1" xr:uid="{A0F139CC-CABD-49DD-877F-4623334D8665}"/>
    <hyperlink ref="D20" location="Parameters!A1" display="Parameters!A1" xr:uid="{7856EA0C-2FD6-4A50-8AA7-3362266BF717}"/>
    <hyperlink ref="D21" location="'ARF Projections'!A1" display="'ARF Projections'!A1" xr:uid="{E38B2073-CE61-4F53-953D-438DE0D53FA4}"/>
    <hyperlink ref="D22" location="'Inputs for PointOfIssue Doc'!A1" display="'Inputs for PointOfIssue Doc'!A1" xr:uid="{E3855A38-F29B-4316-A9DF-1F70ED1CFBC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17A45-4EE9-41C4-9D50-3B734DD84D7D}">
  <sheetPr codeName="Sheet4"/>
  <dimension ref="A1:U79"/>
  <sheetViews>
    <sheetView topLeftCell="A32" zoomScaleNormal="100" workbookViewId="0">
      <selection activeCell="E55" sqref="E55"/>
    </sheetView>
  </sheetViews>
  <sheetFormatPr defaultRowHeight="15"/>
  <cols>
    <col min="3" max="3" width="48.140625" bestFit="1" customWidth="1"/>
    <col min="4" max="4" width="18.140625" style="19" bestFit="1" customWidth="1"/>
    <col min="5" max="5" width="20.140625" bestFit="1" customWidth="1"/>
    <col min="6" max="6" width="16.42578125" bestFit="1" customWidth="1"/>
    <col min="7" max="7" width="17.140625" customWidth="1"/>
    <col min="8" max="8" width="16" customWidth="1"/>
    <col min="9" max="9" width="19.42578125" customWidth="1"/>
    <col min="10" max="10" width="13.85546875" customWidth="1"/>
    <col min="11" max="14" width="17.140625" customWidth="1"/>
    <col min="15" max="15" width="16" customWidth="1"/>
    <col min="16" max="16" width="15.85546875" customWidth="1"/>
  </cols>
  <sheetData>
    <row r="1" spans="1:21">
      <c r="A1" t="s">
        <v>51</v>
      </c>
    </row>
    <row r="2" spans="1:21">
      <c r="C2" s="1"/>
      <c r="D2" s="15"/>
      <c r="E2" s="1"/>
      <c r="U2" s="111"/>
    </row>
    <row r="3" spans="1:21">
      <c r="C3" s="1"/>
      <c r="D3" s="15"/>
      <c r="E3" s="1"/>
    </row>
    <row r="4" spans="1:21" ht="15.75" thickBot="1">
      <c r="C4" s="2"/>
      <c r="D4" s="15"/>
      <c r="E4" s="1"/>
    </row>
    <row r="5" spans="1:21" ht="15.75" customHeight="1" thickBot="1">
      <c r="D5"/>
      <c r="E5" s="237" t="s">
        <v>57</v>
      </c>
      <c r="F5" s="237"/>
      <c r="I5" s="206" t="s">
        <v>58</v>
      </c>
      <c r="J5" s="206"/>
      <c r="K5" s="206"/>
      <c r="L5" s="206"/>
      <c r="M5" s="206"/>
      <c r="N5" s="206"/>
      <c r="O5" s="206"/>
      <c r="P5" s="206"/>
    </row>
    <row r="6" spans="1:21" ht="26.25" thickBot="1">
      <c r="C6" s="112" t="s">
        <v>59</v>
      </c>
      <c r="D6" s="113" t="s">
        <v>60</v>
      </c>
      <c r="E6" s="113" t="s">
        <v>61</v>
      </c>
      <c r="F6" s="113" t="s">
        <v>62</v>
      </c>
      <c r="G6" s="113" t="s">
        <v>63</v>
      </c>
      <c r="H6" s="106" t="s">
        <v>64</v>
      </c>
      <c r="I6" s="107">
        <v>1</v>
      </c>
      <c r="J6" s="107">
        <v>2</v>
      </c>
      <c r="K6" s="107">
        <v>3</v>
      </c>
      <c r="L6" s="108">
        <v>4</v>
      </c>
      <c r="M6" s="108">
        <v>5</v>
      </c>
      <c r="N6" s="108">
        <v>6</v>
      </c>
      <c r="O6" s="108">
        <v>7</v>
      </c>
      <c r="P6" s="108">
        <v>8</v>
      </c>
    </row>
    <row r="7" spans="1:21">
      <c r="C7" s="114" t="s">
        <v>65</v>
      </c>
      <c r="D7" s="115" t="s">
        <v>66</v>
      </c>
      <c r="E7" s="163">
        <v>0</v>
      </c>
      <c r="F7" s="163">
        <f t="shared" ref="F7:F25" si="0">E7+IF(special_deal_indicator = "Yes", special_deal_level, 0)</f>
        <v>0</v>
      </c>
      <c r="G7" s="163">
        <v>7.4999999999999997E-3</v>
      </c>
      <c r="H7" s="163">
        <v>1.0999999999999999E-2</v>
      </c>
      <c r="I7" s="164">
        <v>0</v>
      </c>
      <c r="J7" s="164">
        <v>0</v>
      </c>
      <c r="K7" s="164">
        <v>0</v>
      </c>
      <c r="L7" s="164">
        <v>0</v>
      </c>
      <c r="M7" s="164">
        <v>0</v>
      </c>
      <c r="N7" s="164">
        <v>0</v>
      </c>
      <c r="O7" s="164">
        <v>0</v>
      </c>
      <c r="P7" s="165">
        <v>0</v>
      </c>
    </row>
    <row r="8" spans="1:21">
      <c r="C8" s="116" t="s">
        <v>65</v>
      </c>
      <c r="D8" s="110" t="s">
        <v>67</v>
      </c>
      <c r="E8" s="166">
        <v>0.01</v>
      </c>
      <c r="F8" s="166">
        <f t="shared" si="0"/>
        <v>0.01</v>
      </c>
      <c r="G8" s="166">
        <v>6.0000000000000001E-3</v>
      </c>
      <c r="H8" s="166">
        <v>1.0999999999999999E-2</v>
      </c>
      <c r="I8" s="167">
        <v>0.02</v>
      </c>
      <c r="J8" s="167">
        <v>0.01</v>
      </c>
      <c r="K8" s="167">
        <v>0.01</v>
      </c>
      <c r="L8" s="167">
        <v>0</v>
      </c>
      <c r="M8" s="167">
        <v>0</v>
      </c>
      <c r="N8" s="167">
        <v>0</v>
      </c>
      <c r="O8" s="167">
        <v>0</v>
      </c>
      <c r="P8" s="168">
        <v>0</v>
      </c>
    </row>
    <row r="9" spans="1:21">
      <c r="C9" s="116" t="s">
        <v>65</v>
      </c>
      <c r="D9" s="110" t="s">
        <v>68</v>
      </c>
      <c r="E9" s="166">
        <v>0.02</v>
      </c>
      <c r="F9" s="166">
        <f t="shared" si="0"/>
        <v>0.02</v>
      </c>
      <c r="G9" s="166">
        <v>5.0000000000000001E-3</v>
      </c>
      <c r="H9" s="166">
        <v>1.0999999999999999E-2</v>
      </c>
      <c r="I9" s="167">
        <v>0.03</v>
      </c>
      <c r="J9" s="167">
        <v>0.03</v>
      </c>
      <c r="K9" s="167">
        <v>0.02</v>
      </c>
      <c r="L9" s="167">
        <v>0.02</v>
      </c>
      <c r="M9" s="167">
        <v>0.01</v>
      </c>
      <c r="N9" s="167">
        <v>0</v>
      </c>
      <c r="O9" s="167">
        <v>0</v>
      </c>
      <c r="P9" s="168">
        <v>0</v>
      </c>
    </row>
    <row r="10" spans="1:21">
      <c r="C10" s="116" t="s">
        <v>65</v>
      </c>
      <c r="D10" s="110" t="s">
        <v>69</v>
      </c>
      <c r="E10" s="166">
        <v>0.03</v>
      </c>
      <c r="F10" s="166">
        <f t="shared" si="0"/>
        <v>0.03</v>
      </c>
      <c r="G10" s="166">
        <v>3.5000000000000001E-3</v>
      </c>
      <c r="H10" s="166">
        <v>1.0999999999999999E-2</v>
      </c>
      <c r="I10" s="167">
        <v>0.04</v>
      </c>
      <c r="J10" s="167">
        <v>0.03</v>
      </c>
      <c r="K10" s="167">
        <v>0.03</v>
      </c>
      <c r="L10" s="167">
        <v>0.02</v>
      </c>
      <c r="M10" s="167">
        <v>0.01</v>
      </c>
      <c r="N10" s="167">
        <v>0</v>
      </c>
      <c r="O10" s="167">
        <v>0</v>
      </c>
      <c r="P10" s="168">
        <v>0</v>
      </c>
    </row>
    <row r="11" spans="1:21">
      <c r="C11" s="116" t="s">
        <v>65</v>
      </c>
      <c r="D11" s="110" t="s">
        <v>70</v>
      </c>
      <c r="E11" s="166">
        <v>0.04</v>
      </c>
      <c r="F11" s="166">
        <f t="shared" si="0"/>
        <v>0.04</v>
      </c>
      <c r="G11" s="166">
        <v>2.5000000000000001E-3</v>
      </c>
      <c r="H11" s="166">
        <v>1.0999999999999999E-2</v>
      </c>
      <c r="I11" s="166">
        <v>0.05</v>
      </c>
      <c r="J11" s="166">
        <v>0.04</v>
      </c>
      <c r="K11" s="166">
        <v>0.03</v>
      </c>
      <c r="L11" s="166">
        <v>0.02</v>
      </c>
      <c r="M11" s="166">
        <v>0.01</v>
      </c>
      <c r="N11" s="166">
        <v>0</v>
      </c>
      <c r="O11" s="166">
        <v>0</v>
      </c>
      <c r="P11" s="208">
        <v>0</v>
      </c>
    </row>
    <row r="12" spans="1:21">
      <c r="C12" s="116" t="s">
        <v>71</v>
      </c>
      <c r="D12" s="110" t="s">
        <v>72</v>
      </c>
      <c r="E12" s="166">
        <v>0</v>
      </c>
      <c r="F12" s="166">
        <f t="shared" si="0"/>
        <v>0</v>
      </c>
      <c r="G12" s="166">
        <v>5.0000000000000001E-3</v>
      </c>
      <c r="H12" s="166">
        <v>8.5000000000000006E-3</v>
      </c>
      <c r="I12" s="167">
        <v>0</v>
      </c>
      <c r="J12" s="167">
        <v>0</v>
      </c>
      <c r="K12" s="167">
        <v>0</v>
      </c>
      <c r="L12" s="167">
        <v>0</v>
      </c>
      <c r="M12" s="167">
        <v>0</v>
      </c>
      <c r="N12" s="167">
        <v>0</v>
      </c>
      <c r="O12" s="167">
        <v>0</v>
      </c>
      <c r="P12" s="168">
        <v>0</v>
      </c>
      <c r="Q12" s="111"/>
      <c r="R12" s="109"/>
      <c r="S12" s="109"/>
      <c r="T12" s="109"/>
      <c r="U12" s="109"/>
    </row>
    <row r="13" spans="1:21">
      <c r="C13" s="116" t="s">
        <v>71</v>
      </c>
      <c r="D13" s="110" t="s">
        <v>73</v>
      </c>
      <c r="E13" s="166">
        <v>0.01</v>
      </c>
      <c r="F13" s="166">
        <f t="shared" si="0"/>
        <v>0.01</v>
      </c>
      <c r="G13" s="166">
        <v>3.5000000000000001E-3</v>
      </c>
      <c r="H13" s="166">
        <v>8.5000000000000006E-3</v>
      </c>
      <c r="I13" s="167">
        <v>0.02</v>
      </c>
      <c r="J13" s="167">
        <v>0.01</v>
      </c>
      <c r="K13" s="167">
        <v>0.01</v>
      </c>
      <c r="L13" s="167">
        <v>0</v>
      </c>
      <c r="M13" s="167">
        <v>0</v>
      </c>
      <c r="N13" s="167">
        <v>0</v>
      </c>
      <c r="O13" s="167">
        <v>0</v>
      </c>
      <c r="P13" s="168">
        <v>0</v>
      </c>
      <c r="Q13" s="111"/>
      <c r="R13" s="109"/>
      <c r="S13" s="109"/>
      <c r="T13" s="109"/>
      <c r="U13" s="109"/>
    </row>
    <row r="14" spans="1:21">
      <c r="C14" s="116" t="s">
        <v>71</v>
      </c>
      <c r="D14" s="110" t="s">
        <v>74</v>
      </c>
      <c r="E14" s="166">
        <v>0.02</v>
      </c>
      <c r="F14" s="166">
        <f t="shared" si="0"/>
        <v>0.02</v>
      </c>
      <c r="G14" s="166">
        <v>2.5000000000000001E-3</v>
      </c>
      <c r="H14" s="166">
        <v>8.5000000000000006E-3</v>
      </c>
      <c r="I14" s="167">
        <v>0.03</v>
      </c>
      <c r="J14" s="167">
        <v>0.03</v>
      </c>
      <c r="K14" s="167">
        <v>0.02</v>
      </c>
      <c r="L14" s="167">
        <v>0.02</v>
      </c>
      <c r="M14" s="167">
        <v>0.01</v>
      </c>
      <c r="N14" s="167">
        <v>0</v>
      </c>
      <c r="O14" s="167">
        <v>0</v>
      </c>
      <c r="P14" s="168">
        <v>0</v>
      </c>
    </row>
    <row r="15" spans="1:21">
      <c r="C15" s="116" t="s">
        <v>71</v>
      </c>
      <c r="D15" s="110" t="s">
        <v>75</v>
      </c>
      <c r="E15" s="166">
        <v>0.03</v>
      </c>
      <c r="F15" s="166">
        <f t="shared" si="0"/>
        <v>0.03</v>
      </c>
      <c r="G15" s="166">
        <v>1E-3</v>
      </c>
      <c r="H15" s="166">
        <v>8.5000000000000006E-3</v>
      </c>
      <c r="I15" s="167">
        <v>0.04</v>
      </c>
      <c r="J15" s="167">
        <v>0.03</v>
      </c>
      <c r="K15" s="167">
        <v>0.03</v>
      </c>
      <c r="L15" s="167">
        <v>0.02</v>
      </c>
      <c r="M15" s="167">
        <v>0.01</v>
      </c>
      <c r="N15" s="167">
        <v>0</v>
      </c>
      <c r="O15" s="167">
        <v>0</v>
      </c>
      <c r="P15" s="168">
        <v>0</v>
      </c>
    </row>
    <row r="16" spans="1:21">
      <c r="C16" s="116" t="s">
        <v>71</v>
      </c>
      <c r="D16" s="110" t="s">
        <v>76</v>
      </c>
      <c r="E16" s="166">
        <v>0.04</v>
      </c>
      <c r="F16" s="166">
        <f t="shared" si="0"/>
        <v>0.04</v>
      </c>
      <c r="G16" s="166">
        <v>0</v>
      </c>
      <c r="H16" s="166">
        <v>8.5000000000000006E-3</v>
      </c>
      <c r="I16" s="166">
        <v>0.05</v>
      </c>
      <c r="J16" s="166">
        <v>0.04</v>
      </c>
      <c r="K16" s="166">
        <v>0.03</v>
      </c>
      <c r="L16" s="166">
        <v>0.02</v>
      </c>
      <c r="M16" s="166">
        <v>0.01</v>
      </c>
      <c r="N16" s="166">
        <v>0</v>
      </c>
      <c r="O16" s="166">
        <v>0</v>
      </c>
      <c r="P16" s="208">
        <v>0</v>
      </c>
    </row>
    <row r="17" spans="3:16">
      <c r="C17" s="116" t="s">
        <v>77</v>
      </c>
      <c r="D17" s="110" t="s">
        <v>78</v>
      </c>
      <c r="E17" s="166">
        <v>0</v>
      </c>
      <c r="F17" s="166">
        <f t="shared" si="0"/>
        <v>0</v>
      </c>
      <c r="G17" s="166">
        <v>2.5000000000000001E-3</v>
      </c>
      <c r="H17" s="166">
        <v>6.0000000000000001E-3</v>
      </c>
      <c r="I17" s="167">
        <v>0</v>
      </c>
      <c r="J17" s="167">
        <v>0</v>
      </c>
      <c r="K17" s="167">
        <v>0</v>
      </c>
      <c r="L17" s="167">
        <v>0</v>
      </c>
      <c r="M17" s="167">
        <v>0</v>
      </c>
      <c r="N17" s="167">
        <v>0</v>
      </c>
      <c r="O17" s="167">
        <v>0</v>
      </c>
      <c r="P17" s="168">
        <v>0</v>
      </c>
    </row>
    <row r="18" spans="3:16">
      <c r="C18" s="116" t="s">
        <v>77</v>
      </c>
      <c r="D18" s="110" t="s">
        <v>79</v>
      </c>
      <c r="E18" s="166">
        <v>0.01</v>
      </c>
      <c r="F18" s="166">
        <f t="shared" si="0"/>
        <v>0.01</v>
      </c>
      <c r="G18" s="166">
        <v>1.1999999999999999E-3</v>
      </c>
      <c r="H18" s="166">
        <v>6.0000000000000001E-3</v>
      </c>
      <c r="I18" s="167">
        <v>0.02</v>
      </c>
      <c r="J18" s="167">
        <v>0.01</v>
      </c>
      <c r="K18" s="167">
        <v>0.01</v>
      </c>
      <c r="L18" s="167">
        <v>0</v>
      </c>
      <c r="M18" s="167">
        <v>0</v>
      </c>
      <c r="N18" s="167">
        <v>0</v>
      </c>
      <c r="O18" s="167">
        <v>0</v>
      </c>
      <c r="P18" s="168">
        <v>0</v>
      </c>
    </row>
    <row r="19" spans="3:16">
      <c r="C19" s="116" t="s">
        <v>77</v>
      </c>
      <c r="D19" s="110" t="s">
        <v>80</v>
      </c>
      <c r="E19" s="166">
        <v>0.02</v>
      </c>
      <c r="F19" s="166">
        <f t="shared" si="0"/>
        <v>0.02</v>
      </c>
      <c r="G19" s="166">
        <v>0</v>
      </c>
      <c r="H19" s="166">
        <v>6.0000000000000001E-3</v>
      </c>
      <c r="I19" s="167">
        <v>0.03</v>
      </c>
      <c r="J19" s="167">
        <v>0.03</v>
      </c>
      <c r="K19" s="167">
        <v>0.02</v>
      </c>
      <c r="L19" s="167">
        <v>0.02</v>
      </c>
      <c r="M19" s="167">
        <v>0.01</v>
      </c>
      <c r="N19" s="167">
        <v>0</v>
      </c>
      <c r="O19" s="167">
        <v>0</v>
      </c>
      <c r="P19" s="168">
        <v>0</v>
      </c>
    </row>
    <row r="20" spans="3:16">
      <c r="C20" s="116" t="s">
        <v>81</v>
      </c>
      <c r="D20" s="110" t="s">
        <v>82</v>
      </c>
      <c r="E20" s="166">
        <v>0</v>
      </c>
      <c r="F20" s="166">
        <f t="shared" si="0"/>
        <v>0</v>
      </c>
      <c r="G20" s="166">
        <v>0</v>
      </c>
      <c r="H20" s="166">
        <v>3.5000000000000001E-3</v>
      </c>
      <c r="I20" s="167">
        <v>0</v>
      </c>
      <c r="J20" s="167">
        <v>0</v>
      </c>
      <c r="K20" s="167">
        <v>0</v>
      </c>
      <c r="L20" s="167">
        <v>0</v>
      </c>
      <c r="M20" s="167">
        <v>0</v>
      </c>
      <c r="N20" s="167">
        <v>0</v>
      </c>
      <c r="O20" s="167">
        <v>0</v>
      </c>
      <c r="P20" s="168">
        <v>0</v>
      </c>
    </row>
    <row r="21" spans="3:16">
      <c r="C21" s="116" t="s">
        <v>83</v>
      </c>
      <c r="D21" s="110" t="s">
        <v>84</v>
      </c>
      <c r="E21" s="166">
        <v>0</v>
      </c>
      <c r="F21" s="166">
        <f t="shared" si="0"/>
        <v>0</v>
      </c>
      <c r="G21" s="166">
        <v>0.01</v>
      </c>
      <c r="H21" s="166">
        <v>1.35E-2</v>
      </c>
      <c r="I21" s="167">
        <v>0</v>
      </c>
      <c r="J21" s="167">
        <v>0</v>
      </c>
      <c r="K21" s="167">
        <v>0</v>
      </c>
      <c r="L21" s="167">
        <v>0</v>
      </c>
      <c r="M21" s="167">
        <v>0</v>
      </c>
      <c r="N21" s="167">
        <v>0</v>
      </c>
      <c r="O21" s="167">
        <v>0</v>
      </c>
      <c r="P21" s="168">
        <v>0</v>
      </c>
    </row>
    <row r="22" spans="3:16">
      <c r="C22" s="116" t="s">
        <v>83</v>
      </c>
      <c r="D22" s="110" t="s">
        <v>85</v>
      </c>
      <c r="E22" s="166">
        <v>0.01</v>
      </c>
      <c r="F22" s="166">
        <f t="shared" si="0"/>
        <v>0.01</v>
      </c>
      <c r="G22" s="166">
        <v>8.5000000000000006E-3</v>
      </c>
      <c r="H22" s="166">
        <v>1.35E-2</v>
      </c>
      <c r="I22" s="167">
        <v>0.02</v>
      </c>
      <c r="J22" s="167">
        <v>0.01</v>
      </c>
      <c r="K22" s="167">
        <v>0.01</v>
      </c>
      <c r="L22" s="167">
        <v>0</v>
      </c>
      <c r="M22" s="167">
        <v>0</v>
      </c>
      <c r="N22" s="167">
        <v>0</v>
      </c>
      <c r="O22" s="167">
        <v>0</v>
      </c>
      <c r="P22" s="168">
        <v>0</v>
      </c>
    </row>
    <row r="23" spans="3:16">
      <c r="C23" s="116" t="s">
        <v>83</v>
      </c>
      <c r="D23" s="110" t="s">
        <v>86</v>
      </c>
      <c r="E23" s="166">
        <v>0.02</v>
      </c>
      <c r="F23" s="166">
        <f t="shared" si="0"/>
        <v>0.02</v>
      </c>
      <c r="G23" s="166">
        <v>7.4999999999999997E-3</v>
      </c>
      <c r="H23" s="166">
        <v>1.35E-2</v>
      </c>
      <c r="I23" s="167">
        <v>0.03</v>
      </c>
      <c r="J23" s="167">
        <v>0.03</v>
      </c>
      <c r="K23" s="167">
        <v>0.02</v>
      </c>
      <c r="L23" s="167">
        <v>0.02</v>
      </c>
      <c r="M23" s="167">
        <v>0.01</v>
      </c>
      <c r="N23" s="167">
        <v>0</v>
      </c>
      <c r="O23" s="167">
        <v>0</v>
      </c>
      <c r="P23" s="168">
        <v>0</v>
      </c>
    </row>
    <row r="24" spans="3:16">
      <c r="C24" s="116" t="s">
        <v>83</v>
      </c>
      <c r="D24" s="110" t="s">
        <v>87</v>
      </c>
      <c r="E24" s="166">
        <v>0.03</v>
      </c>
      <c r="F24" s="166">
        <f t="shared" si="0"/>
        <v>0.03</v>
      </c>
      <c r="G24" s="166">
        <v>6.0000000000000001E-3</v>
      </c>
      <c r="H24" s="166">
        <v>1.35E-2</v>
      </c>
      <c r="I24" s="167">
        <v>0.04</v>
      </c>
      <c r="J24" s="167">
        <v>0.03</v>
      </c>
      <c r="K24" s="167">
        <v>0.03</v>
      </c>
      <c r="L24" s="167">
        <v>0.02</v>
      </c>
      <c r="M24" s="167">
        <v>0.01</v>
      </c>
      <c r="N24" s="167">
        <v>0</v>
      </c>
      <c r="O24" s="167">
        <v>0</v>
      </c>
      <c r="P24" s="168">
        <v>0</v>
      </c>
    </row>
    <row r="25" spans="3:16" ht="15.75" thickBot="1">
      <c r="C25" s="117" t="s">
        <v>83</v>
      </c>
      <c r="D25" s="118" t="s">
        <v>88</v>
      </c>
      <c r="E25" s="169">
        <v>0.04</v>
      </c>
      <c r="F25" s="169">
        <f t="shared" si="0"/>
        <v>0.04</v>
      </c>
      <c r="G25" s="169">
        <v>5.0000000000000001E-3</v>
      </c>
      <c r="H25" s="169">
        <v>1.35E-2</v>
      </c>
      <c r="I25" s="169">
        <v>0.05</v>
      </c>
      <c r="J25" s="169">
        <v>0.04</v>
      </c>
      <c r="K25" s="169">
        <v>0.03</v>
      </c>
      <c r="L25" s="169">
        <v>0.02</v>
      </c>
      <c r="M25" s="169">
        <v>0.01</v>
      </c>
      <c r="N25" s="169">
        <v>0</v>
      </c>
      <c r="O25" s="169">
        <v>0</v>
      </c>
      <c r="P25" s="207">
        <v>0</v>
      </c>
    </row>
    <row r="26" spans="3:16">
      <c r="C26" s="122"/>
      <c r="D26" s="123"/>
      <c r="E26" s="121"/>
    </row>
    <row r="27" spans="3:16">
      <c r="C27" s="122"/>
      <c r="D27" s="123"/>
      <c r="E27" s="121"/>
    </row>
    <row r="28" spans="3:16">
      <c r="C28" s="2" t="s">
        <v>89</v>
      </c>
      <c r="D28" s="1"/>
      <c r="E28" s="1"/>
    </row>
    <row r="29" spans="3:16">
      <c r="C29" s="1" t="s">
        <v>90</v>
      </c>
      <c r="D29" s="131">
        <v>7.1999999999999995E-2</v>
      </c>
      <c r="E29" s="1" t="s">
        <v>91</v>
      </c>
      <c r="F29" s="198" t="s">
        <v>92</v>
      </c>
      <c r="G29" t="s">
        <v>93</v>
      </c>
    </row>
    <row r="30" spans="3:16">
      <c r="C30" s="1" t="s">
        <v>94</v>
      </c>
      <c r="D30" s="131">
        <v>7.1999999999999995E-2</v>
      </c>
      <c r="E30" s="1" t="s">
        <v>91</v>
      </c>
    </row>
    <row r="31" spans="3:16">
      <c r="C31" s="1" t="s">
        <v>95</v>
      </c>
      <c r="D31" s="131">
        <v>4.2500000000000003E-2</v>
      </c>
      <c r="E31" s="1" t="s">
        <v>91</v>
      </c>
      <c r="F31" s="21"/>
    </row>
    <row r="32" spans="3:16">
      <c r="C32" s="1" t="s">
        <v>96</v>
      </c>
      <c r="D32" s="131">
        <v>3.2000000000000001E-2</v>
      </c>
      <c r="E32" s="1" t="s">
        <v>91</v>
      </c>
    </row>
    <row r="34" spans="3:8" ht="15.75" thickBot="1"/>
    <row r="35" spans="3:8" ht="15.75" thickBot="1">
      <c r="C35" s="135" t="s">
        <v>97</v>
      </c>
      <c r="D35" s="136" t="s">
        <v>90</v>
      </c>
      <c r="E35" s="136" t="s">
        <v>94</v>
      </c>
      <c r="F35" s="136" t="s">
        <v>98</v>
      </c>
      <c r="G35" s="137" t="s">
        <v>96</v>
      </c>
    </row>
    <row r="36" spans="3:8" ht="15.75" thickBot="1">
      <c r="C36" s="135" t="s">
        <v>89</v>
      </c>
      <c r="D36" s="223">
        <f>D29</f>
        <v>7.1999999999999995E-2</v>
      </c>
      <c r="E36" s="223">
        <f>D30</f>
        <v>7.1999999999999995E-2</v>
      </c>
      <c r="F36" s="223">
        <f>D31</f>
        <v>4.2500000000000003E-2</v>
      </c>
      <c r="G36" s="224">
        <f>D32</f>
        <v>3.2000000000000001E-2</v>
      </c>
    </row>
    <row r="37" spans="3:8">
      <c r="C37" s="132" t="s">
        <v>99</v>
      </c>
      <c r="D37" s="170">
        <v>0.3</v>
      </c>
      <c r="E37" s="170">
        <v>0</v>
      </c>
      <c r="F37" s="170">
        <v>0.7</v>
      </c>
      <c r="G37" s="171">
        <v>0</v>
      </c>
      <c r="H37" s="26">
        <f>1-SUM(D37:G37)</f>
        <v>0</v>
      </c>
    </row>
    <row r="38" spans="3:8">
      <c r="C38" s="133" t="s">
        <v>100</v>
      </c>
      <c r="D38" s="172">
        <v>0.5</v>
      </c>
      <c r="E38" s="172">
        <v>0</v>
      </c>
      <c r="F38" s="172">
        <v>0.5</v>
      </c>
      <c r="G38" s="173">
        <v>0</v>
      </c>
      <c r="H38" s="26">
        <f>1-SUM(D38:G38)</f>
        <v>0</v>
      </c>
    </row>
    <row r="39" spans="3:8">
      <c r="C39" s="133" t="s">
        <v>101</v>
      </c>
      <c r="D39" s="172">
        <v>0.75</v>
      </c>
      <c r="E39" s="172">
        <v>0</v>
      </c>
      <c r="F39" s="172">
        <v>0.25</v>
      </c>
      <c r="G39" s="173">
        <v>0</v>
      </c>
      <c r="H39" s="26">
        <f>1-SUM(D39:G39)</f>
        <v>0</v>
      </c>
    </row>
    <row r="40" spans="3:8">
      <c r="C40" s="133" t="s">
        <v>102</v>
      </c>
      <c r="D40" s="172">
        <v>1</v>
      </c>
      <c r="E40" s="172">
        <v>0</v>
      </c>
      <c r="F40" s="172">
        <v>0</v>
      </c>
      <c r="G40" s="173">
        <v>0</v>
      </c>
      <c r="H40" s="26">
        <f t="shared" ref="H40:H49" si="1">1-SUM(D40:G40)</f>
        <v>0</v>
      </c>
    </row>
    <row r="41" spans="3:8">
      <c r="C41" s="133" t="s">
        <v>103</v>
      </c>
      <c r="D41" s="172">
        <v>0</v>
      </c>
      <c r="E41" s="172">
        <v>0</v>
      </c>
      <c r="F41" s="172">
        <v>1</v>
      </c>
      <c r="G41" s="173">
        <v>0</v>
      </c>
      <c r="H41" s="26">
        <f t="shared" si="1"/>
        <v>0</v>
      </c>
    </row>
    <row r="42" spans="3:8">
      <c r="C42" s="133" t="s">
        <v>104</v>
      </c>
      <c r="D42" s="172">
        <v>0</v>
      </c>
      <c r="E42" s="172">
        <v>0</v>
      </c>
      <c r="F42" s="172">
        <v>1</v>
      </c>
      <c r="G42" s="173">
        <v>0</v>
      </c>
      <c r="H42" s="26">
        <f t="shared" si="1"/>
        <v>0</v>
      </c>
    </row>
    <row r="43" spans="3:8">
      <c r="C43" s="133" t="s">
        <v>105</v>
      </c>
      <c r="D43" s="172">
        <v>0.75</v>
      </c>
      <c r="E43" s="172">
        <v>0</v>
      </c>
      <c r="F43" s="172">
        <v>0.25</v>
      </c>
      <c r="G43" s="173">
        <v>0</v>
      </c>
      <c r="H43" s="26">
        <f t="shared" si="1"/>
        <v>0</v>
      </c>
    </row>
    <row r="44" spans="3:8">
      <c r="C44" s="133" t="s">
        <v>106</v>
      </c>
      <c r="D44" s="172">
        <v>0.5</v>
      </c>
      <c r="E44" s="172">
        <v>0</v>
      </c>
      <c r="F44" s="172">
        <v>0.5</v>
      </c>
      <c r="G44" s="173">
        <v>0</v>
      </c>
      <c r="H44" s="26">
        <f t="shared" si="1"/>
        <v>0</v>
      </c>
    </row>
    <row r="45" spans="3:8">
      <c r="C45" s="133" t="s">
        <v>107</v>
      </c>
      <c r="D45" s="172">
        <v>0.15</v>
      </c>
      <c r="E45" s="172">
        <v>0</v>
      </c>
      <c r="F45" s="172">
        <v>0.85</v>
      </c>
      <c r="G45" s="173">
        <v>0</v>
      </c>
      <c r="H45" s="26">
        <f t="shared" si="1"/>
        <v>0</v>
      </c>
    </row>
    <row r="46" spans="3:8">
      <c r="C46" s="133" t="s">
        <v>108</v>
      </c>
      <c r="D46" s="172">
        <v>1</v>
      </c>
      <c r="E46" s="172">
        <v>0</v>
      </c>
      <c r="F46" s="172">
        <v>0</v>
      </c>
      <c r="G46" s="173">
        <v>0</v>
      </c>
      <c r="H46" s="26">
        <f t="shared" si="1"/>
        <v>0</v>
      </c>
    </row>
    <row r="47" spans="3:8">
      <c r="C47" s="133" t="s">
        <v>109</v>
      </c>
      <c r="D47" s="172">
        <v>1</v>
      </c>
      <c r="E47" s="172">
        <v>0</v>
      </c>
      <c r="F47" s="172">
        <v>0</v>
      </c>
      <c r="G47" s="173">
        <v>0</v>
      </c>
      <c r="H47" s="26">
        <f t="shared" si="1"/>
        <v>0</v>
      </c>
    </row>
    <row r="48" spans="3:8">
      <c r="C48" s="133" t="s">
        <v>110</v>
      </c>
      <c r="D48" s="172">
        <v>1</v>
      </c>
      <c r="E48" s="172">
        <v>0</v>
      </c>
      <c r="F48" s="172">
        <v>0</v>
      </c>
      <c r="G48" s="173">
        <v>0</v>
      </c>
      <c r="H48" s="26">
        <f t="shared" si="1"/>
        <v>0</v>
      </c>
    </row>
    <row r="49" spans="3:8" ht="15.75" thickBot="1">
      <c r="C49" s="134" t="s">
        <v>111</v>
      </c>
      <c r="D49" s="174">
        <v>0</v>
      </c>
      <c r="E49" s="174">
        <v>0</v>
      </c>
      <c r="F49" s="174">
        <v>0</v>
      </c>
      <c r="G49" s="175">
        <v>1</v>
      </c>
      <c r="H49" s="26">
        <f t="shared" si="1"/>
        <v>0</v>
      </c>
    </row>
    <row r="50" spans="3:8">
      <c r="C50" s="1"/>
      <c r="D50" s="121"/>
      <c r="E50" s="121"/>
      <c r="F50" s="121"/>
      <c r="G50" s="121"/>
      <c r="H50" s="26"/>
    </row>
    <row r="53" spans="3:8" ht="15.75" thickBot="1">
      <c r="F53" s="21"/>
    </row>
    <row r="54" spans="3:8" ht="27.75" thickBot="1">
      <c r="C54" s="135" t="s">
        <v>97</v>
      </c>
      <c r="D54" s="136" t="s">
        <v>112</v>
      </c>
      <c r="E54" s="136" t="s">
        <v>113</v>
      </c>
      <c r="F54" s="137" t="s">
        <v>114</v>
      </c>
      <c r="G54" s="196" t="s">
        <v>115</v>
      </c>
    </row>
    <row r="55" spans="3:8">
      <c r="C55" s="133" t="s">
        <v>99</v>
      </c>
      <c r="D55" s="172">
        <v>6.4999999999999997E-3</v>
      </c>
      <c r="E55" s="138">
        <f t="shared" ref="E55:E63" si="2">SUMPRODUCT($D$36:$G$36,D37:G37)</f>
        <v>5.1349999999999993E-2</v>
      </c>
      <c r="F55" s="139">
        <f>(1+E55)^(1/12)-1</f>
        <v>4.1816398110932074E-3</v>
      </c>
      <c r="G55" s="203">
        <v>2.5000000000000001E-3</v>
      </c>
      <c r="H55" t="s">
        <v>116</v>
      </c>
    </row>
    <row r="56" spans="3:8">
      <c r="C56" s="133" t="s">
        <v>100</v>
      </c>
      <c r="D56" s="172">
        <v>7.4999999999999997E-3</v>
      </c>
      <c r="E56" s="138">
        <f t="shared" si="2"/>
        <v>5.7249999999999995E-2</v>
      </c>
      <c r="F56" s="139">
        <f t="shared" ref="F56:F67" si="3">(1+E56)^(1/12)-1</f>
        <v>4.6500445051051997E-3</v>
      </c>
      <c r="G56" s="203">
        <v>2.5000000000000001E-3</v>
      </c>
    </row>
    <row r="57" spans="3:8">
      <c r="C57" s="133" t="s">
        <v>101</v>
      </c>
      <c r="D57" s="172">
        <v>8.5000000000000006E-3</v>
      </c>
      <c r="E57" s="138">
        <f t="shared" si="2"/>
        <v>6.4624999999999988E-2</v>
      </c>
      <c r="F57" s="139">
        <f t="shared" si="3"/>
        <v>5.232192399942992E-3</v>
      </c>
      <c r="G57" s="203">
        <v>2.5000000000000001E-3</v>
      </c>
    </row>
    <row r="58" spans="3:8">
      <c r="C58" s="133" t="s">
        <v>102</v>
      </c>
      <c r="D58" s="140"/>
      <c r="E58" s="138">
        <f t="shared" si="2"/>
        <v>7.1999999999999995E-2</v>
      </c>
      <c r="F58" s="139">
        <f t="shared" si="3"/>
        <v>5.8106552987937654E-3</v>
      </c>
      <c r="G58" s="203">
        <v>4.4999999999999997E-3</v>
      </c>
    </row>
    <row r="59" spans="3:8">
      <c r="C59" s="133" t="s">
        <v>103</v>
      </c>
      <c r="D59" s="140"/>
      <c r="E59" s="138">
        <f t="shared" si="2"/>
        <v>4.2500000000000003E-2</v>
      </c>
      <c r="F59" s="139">
        <f t="shared" si="3"/>
        <v>3.474495003497502E-3</v>
      </c>
      <c r="G59" s="203">
        <v>2.2000000000000001E-3</v>
      </c>
    </row>
    <row r="60" spans="3:8">
      <c r="C60" s="133" t="s">
        <v>104</v>
      </c>
      <c r="D60" s="140"/>
      <c r="E60" s="138">
        <f t="shared" si="2"/>
        <v>4.2500000000000003E-2</v>
      </c>
      <c r="F60" s="139">
        <f t="shared" si="3"/>
        <v>3.474495003497502E-3</v>
      </c>
      <c r="G60" s="203">
        <v>2.7000000000000001E-3</v>
      </c>
    </row>
    <row r="61" spans="3:8">
      <c r="C61" s="133" t="s">
        <v>105</v>
      </c>
      <c r="D61" s="140"/>
      <c r="E61" s="138">
        <f t="shared" si="2"/>
        <v>6.4624999999999988E-2</v>
      </c>
      <c r="F61" s="139">
        <f t="shared" si="3"/>
        <v>5.232192399942992E-3</v>
      </c>
      <c r="G61" s="203">
        <v>6.4999999999999997E-3</v>
      </c>
    </row>
    <row r="62" spans="3:8">
      <c r="C62" s="133" t="s">
        <v>106</v>
      </c>
      <c r="D62" s="140"/>
      <c r="E62" s="138">
        <f t="shared" si="2"/>
        <v>5.7249999999999995E-2</v>
      </c>
      <c r="F62" s="139">
        <f t="shared" si="3"/>
        <v>4.6500445051051997E-3</v>
      </c>
      <c r="G62" s="203">
        <v>5.8999999999999999E-3</v>
      </c>
    </row>
    <row r="63" spans="3:8">
      <c r="C63" s="133" t="s">
        <v>107</v>
      </c>
      <c r="D63" s="140"/>
      <c r="E63" s="138">
        <f t="shared" si="2"/>
        <v>4.6925000000000001E-2</v>
      </c>
      <c r="F63" s="139">
        <f t="shared" si="3"/>
        <v>3.8287523572662074E-3</v>
      </c>
      <c r="G63" s="203">
        <v>4.8999999999999998E-3</v>
      </c>
    </row>
    <row r="64" spans="3:8">
      <c r="C64" s="133" t="s">
        <v>108</v>
      </c>
      <c r="D64" s="140"/>
      <c r="E64" s="138">
        <f t="shared" ref="E64:E66" si="4">SUMPRODUCT($D$36:$G$36,D46:G46)</f>
        <v>7.1999999999999995E-2</v>
      </c>
      <c r="F64" s="139">
        <f t="shared" ref="F64:F66" si="5">(1+E64)^(1/12)-1</f>
        <v>5.8106552987937654E-3</v>
      </c>
      <c r="G64" s="203">
        <v>5.0000000000000001E-4</v>
      </c>
    </row>
    <row r="65" spans="3:7">
      <c r="C65" s="133" t="s">
        <v>109</v>
      </c>
      <c r="D65" s="140"/>
      <c r="E65" s="138">
        <f t="shared" si="4"/>
        <v>7.1999999999999995E-2</v>
      </c>
      <c r="F65" s="139">
        <f t="shared" si="5"/>
        <v>5.8106552987937654E-3</v>
      </c>
      <c r="G65" s="203">
        <v>1.5E-3</v>
      </c>
    </row>
    <row r="66" spans="3:7">
      <c r="C66" s="133" t="s">
        <v>110</v>
      </c>
      <c r="D66" s="140"/>
      <c r="E66" s="138">
        <f t="shared" si="4"/>
        <v>7.1999999999999995E-2</v>
      </c>
      <c r="F66" s="139">
        <f t="shared" si="5"/>
        <v>5.8106552987937654E-3</v>
      </c>
      <c r="G66" s="203">
        <v>8.9999999999999998E-4</v>
      </c>
    </row>
    <row r="67" spans="3:7" ht="15.75" thickBot="1">
      <c r="C67" s="134" t="s">
        <v>111</v>
      </c>
      <c r="D67" s="141"/>
      <c r="E67" s="142">
        <f>SUMPRODUCT($D$36:$G$36,D49:G49)</f>
        <v>3.2000000000000001E-2</v>
      </c>
      <c r="F67" s="143">
        <f t="shared" si="3"/>
        <v>2.6283369587845051E-3</v>
      </c>
      <c r="G67" s="204">
        <v>1.6000000000000001E-3</v>
      </c>
    </row>
    <row r="68" spans="3:7">
      <c r="C68" s="1"/>
      <c r="D68" s="121"/>
      <c r="E68" s="121"/>
      <c r="F68" s="121"/>
    </row>
    <row r="69" spans="3:7">
      <c r="C69" s="1"/>
      <c r="D69" s="121"/>
      <c r="E69" s="121"/>
      <c r="F69" s="121"/>
    </row>
    <row r="71" spans="3:7" ht="15.75" thickBot="1"/>
    <row r="72" spans="3:7" ht="15.75" thickBot="1">
      <c r="C72" s="144" t="s">
        <v>117</v>
      </c>
      <c r="D72" s="145" t="s">
        <v>118</v>
      </c>
      <c r="E72" s="146" t="s">
        <v>119</v>
      </c>
    </row>
    <row r="73" spans="3:7">
      <c r="C73" s="29" t="s">
        <v>120</v>
      </c>
      <c r="D73" s="202">
        <v>0.06</v>
      </c>
      <c r="E73" s="124">
        <f>+D73/12</f>
        <v>5.0000000000000001E-3</v>
      </c>
    </row>
    <row r="74" spans="3:7">
      <c r="C74" s="30" t="s">
        <v>121</v>
      </c>
      <c r="D74" s="200">
        <f>4%</f>
        <v>0.04</v>
      </c>
      <c r="E74" s="125">
        <f>+D74/12</f>
        <v>3.3333333333333335E-3</v>
      </c>
    </row>
    <row r="75" spans="3:7" ht="15.75" thickBot="1">
      <c r="C75" s="31" t="s">
        <v>122</v>
      </c>
      <c r="D75" s="201">
        <v>0.05</v>
      </c>
      <c r="E75" s="126">
        <f>+D75/12</f>
        <v>4.1666666666666666E-3</v>
      </c>
    </row>
    <row r="76" spans="3:7" ht="15.75" thickBot="1"/>
    <row r="77" spans="3:7" ht="15.75" thickBot="1">
      <c r="D77" s="217" t="s">
        <v>123</v>
      </c>
      <c r="E77" s="216" t="s">
        <v>124</v>
      </c>
    </row>
    <row r="78" spans="3:7" ht="15.75" thickBot="1">
      <c r="C78" s="228" t="s">
        <v>125</v>
      </c>
      <c r="D78" s="226">
        <v>0</v>
      </c>
      <c r="E78" s="227">
        <v>0.06</v>
      </c>
    </row>
    <row r="79" spans="3:7">
      <c r="D79"/>
    </row>
  </sheetData>
  <mergeCells count="1">
    <mergeCell ref="E5:F5"/>
  </mergeCells>
  <phoneticPr fontId="21" type="noConversion"/>
  <hyperlinks>
    <hyperlink ref="F29" r:id="rId1" display="https://web.actuaries.ie/sites/default/files/asp/ASP LA-8/ASP LA-8 V1.18 final.pdf" xr:uid="{65133ADC-91D8-4F75-9246-921BF453F7DE}"/>
  </hyperlinks>
  <pageMargins left="0.7" right="0.7" top="0.75" bottom="0.75" header="0.3" footer="0.3"/>
  <pageSetup paperSize="9" orientation="portrait" horizontalDpi="90" verticalDpi="9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87345-6DCE-4D7C-A155-508A5FBBE4F4}">
  <sheetPr codeName="Sheet1">
    <pageSetUpPr autoPageBreaks="0"/>
  </sheetPr>
  <dimension ref="A1:AV1290"/>
  <sheetViews>
    <sheetView tabSelected="1" topLeftCell="B20" zoomScaleNormal="100" workbookViewId="0">
      <selection activeCell="C73" sqref="C73"/>
    </sheetView>
  </sheetViews>
  <sheetFormatPr defaultColWidth="21.140625" defaultRowHeight="13.5"/>
  <cols>
    <col min="1" max="1" width="15" style="1" customWidth="1"/>
    <col min="2" max="2" width="37.42578125" style="1" bestFit="1" customWidth="1"/>
    <col min="3" max="3" width="26.140625" style="1" customWidth="1"/>
    <col min="4" max="6" width="21.140625" style="1"/>
    <col min="7" max="8" width="23.85546875" style="1" bestFit="1" customWidth="1"/>
    <col min="9" max="10" width="23.85546875" style="1" customWidth="1"/>
    <col min="11" max="13" width="21.140625" style="1"/>
    <col min="14" max="14" width="17.140625" style="1" customWidth="1"/>
    <col min="15" max="15" width="19.42578125" style="1" bestFit="1" customWidth="1"/>
    <col min="16" max="17" width="19.85546875" style="1" customWidth="1"/>
    <col min="18" max="18" width="19.85546875" style="1" bestFit="1" customWidth="1"/>
    <col min="19" max="19" width="16.5703125" style="1" bestFit="1" customWidth="1"/>
    <col min="20" max="20" width="22.140625" style="1" bestFit="1" customWidth="1"/>
    <col min="21" max="21" width="22.85546875" style="1" bestFit="1" customWidth="1"/>
    <col min="22" max="22" width="18.85546875" style="1" bestFit="1" customWidth="1"/>
    <col min="23" max="24" width="5.85546875" style="1" bestFit="1" customWidth="1"/>
    <col min="25" max="25" width="2.140625" style="1" bestFit="1" customWidth="1"/>
    <col min="26" max="31" width="3.140625" style="1" bestFit="1" customWidth="1"/>
    <col min="32" max="32" width="42.140625" style="1" bestFit="1" customWidth="1"/>
    <col min="33" max="33" width="14.85546875" style="1" bestFit="1" customWidth="1"/>
    <col min="34" max="16384" width="21.140625" style="1"/>
  </cols>
  <sheetData>
    <row r="1" spans="1:36">
      <c r="A1" s="1" t="s">
        <v>126</v>
      </c>
    </row>
    <row r="2" spans="1:36" ht="14.25" thickBot="1"/>
    <row r="3" spans="1:36">
      <c r="B3" s="238" t="s">
        <v>127</v>
      </c>
      <c r="C3" s="9" t="s">
        <v>65</v>
      </c>
      <c r="D3" s="11" t="s">
        <v>71</v>
      </c>
      <c r="E3" s="11" t="s">
        <v>77</v>
      </c>
      <c r="F3" s="11" t="s">
        <v>81</v>
      </c>
      <c r="G3" s="11" t="s">
        <v>128</v>
      </c>
      <c r="L3" s="9" t="s">
        <v>129</v>
      </c>
      <c r="M3" s="11" t="s">
        <v>129</v>
      </c>
    </row>
    <row r="4" spans="1:36" ht="51.75" thickBot="1">
      <c r="B4" s="239"/>
      <c r="C4" s="10" t="s">
        <v>130</v>
      </c>
      <c r="D4" s="12" t="s">
        <v>131</v>
      </c>
      <c r="E4" s="12" t="s">
        <v>132</v>
      </c>
      <c r="F4" s="12" t="s">
        <v>133</v>
      </c>
      <c r="G4" s="12" t="s">
        <v>134</v>
      </c>
      <c r="H4" s="4"/>
      <c r="I4" s="4"/>
      <c r="J4" s="4"/>
      <c r="L4" s="10" t="s">
        <v>135</v>
      </c>
      <c r="M4" s="12" t="s">
        <v>136</v>
      </c>
    </row>
    <row r="5" spans="1:36" ht="14.25" thickBot="1">
      <c r="B5" s="8">
        <v>1</v>
      </c>
      <c r="C5" s="13">
        <f t="shared" ref="C5:C16" si="0">+SUMPRODUCT($I$79:$I$678,$W$79:$W$678)</f>
        <v>100000</v>
      </c>
      <c r="D5" s="13">
        <f>SUMPRODUCT($M$79:$M$678,$W$79:$W$678)</f>
        <v>5853.5778488714068</v>
      </c>
      <c r="E5" s="199">
        <f>-SUMPRODUCT($N$79:$N$678,$W$79:$W$678)+VLOOKUP($B5*12,$C$78:$T$677,18,FALSE)-$J$79</f>
        <v>6385.4820705274697</v>
      </c>
      <c r="F5" s="13">
        <f>-SUMPRODUCT($R$79:$R$678,$W$79:$W$678)</f>
        <v>4023.5434918033757</v>
      </c>
      <c r="G5" s="160">
        <f>VLOOKUP(B5+1,$B$78:$N$677,10,FALSE)-VLOOKUP($B5*12,$C$78:$T$677,18,FALSE)</f>
        <v>95444.552286540493</v>
      </c>
      <c r="H5" s="24"/>
      <c r="I5" s="24"/>
      <c r="J5" s="24"/>
      <c r="L5" s="13">
        <f>C5</f>
        <v>100000</v>
      </c>
      <c r="M5" s="13">
        <f t="shared" ref="M5:M16" si="1">-SUMIF($B$79:$B$678,B5,$S$79:$S$678)</f>
        <v>4250.8720727430136</v>
      </c>
      <c r="N5" s="25">
        <f t="shared" ref="N5:N16" si="2">M5/G5</f>
        <v>4.4537608180938243E-2</v>
      </c>
    </row>
    <row r="6" spans="1:36" ht="14.25" thickBot="1">
      <c r="B6" s="8">
        <v>2</v>
      </c>
      <c r="C6" s="13">
        <f t="shared" si="0"/>
        <v>100000</v>
      </c>
      <c r="D6" s="13">
        <f>SUMPRODUCT($M$79:$M$678,$X$79:$X$678)</f>
        <v>11732.87793094502</v>
      </c>
      <c r="E6" s="160">
        <f>-SUMPRODUCT($N$79:$N$678,$X$79:$X$678)+VLOOKUP($B6*12,$C$78:$T$677,18,FALSE)-$J$79</f>
        <v>6765.1611598761765</v>
      </c>
      <c r="F6" s="13">
        <f>-SUMPRODUCT($R$79:$R$678,$X$79:$X$678)</f>
        <v>8127.5578534428178</v>
      </c>
      <c r="G6" s="160">
        <f>VLOOKUP(B6+1,$B$78:$N$677,10,FALSE)-VLOOKUP($B6*12,$C$78:$T$677,18,FALSE)</f>
        <v>96840.158917625929</v>
      </c>
      <c r="H6" s="24"/>
      <c r="I6" s="24"/>
      <c r="J6" s="24"/>
      <c r="L6" s="13">
        <v>0</v>
      </c>
      <c r="M6" s="13">
        <f t="shared" si="1"/>
        <v>251.96792555938518</v>
      </c>
      <c r="N6" s="25">
        <f t="shared" si="2"/>
        <v>2.6018950028129741E-3</v>
      </c>
    </row>
    <row r="7" spans="1:36" ht="14.25" thickBot="1">
      <c r="B7" s="8">
        <v>3</v>
      </c>
      <c r="C7" s="13">
        <f t="shared" si="0"/>
        <v>100000</v>
      </c>
      <c r="D7" s="13">
        <f>SUMPRODUCT($M$79:$M$678,$Y$79:$Y$678)</f>
        <v>17634.235357413516</v>
      </c>
      <c r="E7" s="160">
        <f>-SUMPRODUCT($N$79:$N$678,$Y$79:$Y$678)+VLOOKUP($B7*12,$C$78:$T$677,18,FALSE)-$J$79</f>
        <v>7139.873850270289</v>
      </c>
      <c r="F7" s="13">
        <f>-SUMPRODUCT($R$79:$R$678,$Y$79:$Y$678)</f>
        <v>12313.65250231505</v>
      </c>
      <c r="G7" s="160">
        <f>VLOOKUP(B7+1,$B$78:$N$677,10,FALSE)-VLOOKUP($B7*12,$C$78:$T$677,18,FALSE)</f>
        <v>98180.709004828066</v>
      </c>
      <c r="H7" s="24"/>
      <c r="I7" s="24"/>
      <c r="J7" s="24"/>
      <c r="L7" s="13">
        <v>0</v>
      </c>
      <c r="M7" s="13">
        <f t="shared" si="1"/>
        <v>252.90627837697778</v>
      </c>
      <c r="N7" s="25">
        <f t="shared" si="2"/>
        <v>2.5759263804515918E-3</v>
      </c>
    </row>
    <row r="8" spans="1:36" ht="14.25" thickBot="1">
      <c r="B8" s="8">
        <v>4</v>
      </c>
      <c r="C8" s="13">
        <f t="shared" si="0"/>
        <v>100000</v>
      </c>
      <c r="D8" s="13">
        <f>SUMPRODUCT($M$79:$M$678,$Z$79:$Z$678)</f>
        <v>23553.720732524682</v>
      </c>
      <c r="E8" s="160">
        <f>-SUMPRODUCT($N$79:$N$678,$Z$79:$Z$678)+VLOOKUP($B8*12,$C$78:$T$677,18,FALSE)-$J$79</f>
        <v>7510.5673327204513</v>
      </c>
      <c r="F8" s="13">
        <f>-SUMPRODUCT($R$79:$R$678,$Z$79:$Z$678)</f>
        <v>16583.469044164725</v>
      </c>
      <c r="G8" s="160">
        <f>VLOOKUP(B8+1,$B$78:$N$677,10,FALSE)-VLOOKUP($B8*12,$C$78:$T$677,18,FALSE)</f>
        <v>99459.684355639372</v>
      </c>
      <c r="H8" s="24"/>
      <c r="I8" s="24"/>
      <c r="J8" s="24"/>
      <c r="L8" s="13">
        <v>0</v>
      </c>
      <c r="M8" s="13">
        <f t="shared" si="1"/>
        <v>253.67577266538768</v>
      </c>
      <c r="N8" s="25">
        <f t="shared" si="2"/>
        <v>2.5505386861908361E-3</v>
      </c>
    </row>
    <row r="9" spans="1:36" ht="14.25" thickBot="1">
      <c r="B9" s="8">
        <v>5</v>
      </c>
      <c r="C9" s="13">
        <f t="shared" si="0"/>
        <v>100000</v>
      </c>
      <c r="D9" s="13">
        <f>SUMPRODUCT($M$79:$M$678,$AA$79:$AA$678)</f>
        <v>29487.126115409705</v>
      </c>
      <c r="E9" s="160">
        <f>-SUMPRODUCT($N$79:$N$678,$AA$79:$AA$678)+VLOOKUP($B9*12,$C$78:$T$677,18,FALSE)-$J$79</f>
        <v>7878.3077836141638</v>
      </c>
      <c r="F9" s="13">
        <f>-SUMPRODUCT($R$79:$R$678,$AA$79:$AA$678)</f>
        <v>20938.681916851401</v>
      </c>
      <c r="G9" s="160">
        <f>VLOOKUP(B9+1,$B$78:$N$677,10,FALSE)-VLOOKUP($B9*12,$C$78:$T$677,18,FALSE)</f>
        <v>100670.13641494401</v>
      </c>
      <c r="H9" s="24"/>
      <c r="I9" s="24"/>
      <c r="J9" s="24"/>
      <c r="L9" s="13">
        <v>0</v>
      </c>
      <c r="M9" s="13">
        <f t="shared" si="1"/>
        <v>254.26444717417911</v>
      </c>
      <c r="N9" s="25">
        <f t="shared" si="2"/>
        <v>2.5257187109208562E-3</v>
      </c>
      <c r="AJ9" s="2"/>
    </row>
    <row r="10" spans="1:36" ht="14.25" thickBot="1">
      <c r="B10" s="8">
        <v>10</v>
      </c>
      <c r="C10" s="13">
        <f t="shared" si="0"/>
        <v>100000</v>
      </c>
      <c r="D10" s="13">
        <f>SUMPRODUCT($M$79:$M$678,$AB$79:$AB$678)</f>
        <v>58745.716430778979</v>
      </c>
      <c r="E10" s="28">
        <f>-SUMPRODUCT($N$79:$N$678,$AB$79:$AB$678)-$J$79</f>
        <v>13669.696835135577</v>
      </c>
      <c r="F10" s="13">
        <f>-SUMPRODUCT($R$79:$R$678,$AB$79:$AB$678)</f>
        <v>47172.842746280767</v>
      </c>
      <c r="G10" s="28">
        <f t="shared" ref="G10:G16" si="3">VLOOKUP(B10+1,$B$78:$N$677,10,FALSE)</f>
        <v>97903.176849362499</v>
      </c>
      <c r="H10" s="24"/>
      <c r="I10" s="24"/>
      <c r="J10" s="24"/>
      <c r="L10" s="13">
        <v>0</v>
      </c>
      <c r="M10" s="13">
        <f t="shared" si="1"/>
        <v>246.41474878786451</v>
      </c>
      <c r="N10" s="25">
        <f t="shared" si="2"/>
        <v>2.516922910142206E-3</v>
      </c>
      <c r="AJ10" s="129"/>
    </row>
    <row r="11" spans="1:36" ht="14.25" thickBot="1">
      <c r="A11" s="7"/>
      <c r="B11" s="8">
        <v>15</v>
      </c>
      <c r="C11" s="13">
        <f t="shared" si="0"/>
        <v>100000</v>
      </c>
      <c r="D11" s="13">
        <f>SUMPRODUCT($M$79:$M$678,$AC$79:$AC$678)</f>
        <v>86308.35461358109</v>
      </c>
      <c r="E11" s="13">
        <f>-SUMPRODUCT($N$79:$N$678,$AC$79:$AC$678)-$J$79</f>
        <v>20083.320343828251</v>
      </c>
      <c r="F11" s="13">
        <f>-SUMPRODUCT($R$79:$R$678,$AC$79:$AC$678)</f>
        <v>76288.70963819162</v>
      </c>
      <c r="G11" s="13">
        <f t="shared" si="3"/>
        <v>89936.324631561045</v>
      </c>
      <c r="H11" s="24"/>
      <c r="I11" s="24"/>
      <c r="J11" s="24"/>
      <c r="L11" s="13">
        <v>0</v>
      </c>
      <c r="M11" s="13">
        <f t="shared" si="1"/>
        <v>227.6193983897771</v>
      </c>
      <c r="N11" s="25">
        <f t="shared" si="2"/>
        <v>2.5308950451584209E-3</v>
      </c>
      <c r="AJ11" s="129"/>
    </row>
    <row r="12" spans="1:36" ht="14.25" thickBot="1">
      <c r="A12" s="7"/>
      <c r="B12" s="8">
        <v>20</v>
      </c>
      <c r="C12" s="13">
        <f t="shared" si="0"/>
        <v>100000</v>
      </c>
      <c r="D12" s="13">
        <f>SUMPRODUCT($M$79:$M$678,$AD$79:$AD$678)</f>
        <v>110808.23436018176</v>
      </c>
      <c r="E12" s="13">
        <f>-SUMPRODUCT($N$79:$N$678,$AD$79:$AD$678)-$J$79</f>
        <v>25784.26245469577</v>
      </c>
      <c r="F12" s="13">
        <f>-SUMPRODUCT($R$79:$R$678,$AD$79:$AD$678)</f>
        <v>108434.97934207678</v>
      </c>
      <c r="G12" s="13">
        <f t="shared" si="3"/>
        <v>76588.992563409047</v>
      </c>
      <c r="H12" s="24"/>
      <c r="I12" s="24"/>
      <c r="J12" s="24"/>
      <c r="L12" s="13">
        <v>0</v>
      </c>
      <c r="M12" s="13">
        <f t="shared" si="1"/>
        <v>195.72757192586678</v>
      </c>
      <c r="N12" s="25">
        <f t="shared" si="2"/>
        <v>2.5555574681808396E-3</v>
      </c>
      <c r="AJ12" s="129"/>
    </row>
    <row r="13" spans="1:36" ht="14.25" thickBot="1">
      <c r="A13" s="7"/>
      <c r="B13" s="8">
        <v>25</v>
      </c>
      <c r="C13" s="13">
        <f t="shared" si="0"/>
        <v>100000</v>
      </c>
      <c r="D13" s="13">
        <f>SUMPRODUCT($M$79:$M$678,$AE$79:$AE$678)</f>
        <v>130439.75014916042</v>
      </c>
      <c r="E13" s="13">
        <f>-SUMPRODUCT($N$79:$N$678,$AE$79:$AE$678)-$J$79</f>
        <v>30352.372021726522</v>
      </c>
      <c r="F13" s="13">
        <f>-SUMPRODUCT($R$79:$R$678,$AE$79:$AE$678)</f>
        <v>143927.05861662619</v>
      </c>
      <c r="G13" s="13">
        <f t="shared" si="3"/>
        <v>56160.319510807611</v>
      </c>
      <c r="H13" s="24"/>
      <c r="I13" s="24"/>
      <c r="J13" s="24"/>
      <c r="L13" s="13">
        <v>0</v>
      </c>
      <c r="M13" s="13">
        <f t="shared" si="1"/>
        <v>146.58368713832493</v>
      </c>
      <c r="N13" s="25">
        <f t="shared" si="2"/>
        <v>2.6100935396230441E-3</v>
      </c>
      <c r="AJ13" s="129"/>
    </row>
    <row r="14" spans="1:36" ht="14.25" thickBot="1">
      <c r="B14" s="8">
        <v>30</v>
      </c>
      <c r="C14" s="13">
        <f t="shared" si="0"/>
        <v>100000</v>
      </c>
      <c r="D14" s="13">
        <f>SUMPRODUCT($M$79:$M$678,$AF$79:$AF$678)</f>
        <v>142836.66811308713</v>
      </c>
      <c r="E14" s="13">
        <f>-SUMPRODUCT($N$79:$N$678,$AF$79:$AF$678)-$J$79</f>
        <v>33237.043799567626</v>
      </c>
      <c r="F14" s="13">
        <f>-SUMPRODUCT($R$79:$R$678,$AF$79:$AF$678)</f>
        <v>183113.18200930872</v>
      </c>
      <c r="G14" s="13">
        <f t="shared" si="3"/>
        <v>26486.442304210581</v>
      </c>
      <c r="H14" s="24"/>
      <c r="I14" s="24"/>
      <c r="J14" s="24"/>
      <c r="L14" s="13">
        <v>0</v>
      </c>
      <c r="M14" s="13">
        <f t="shared" si="1"/>
        <v>74.899660275711895</v>
      </c>
      <c r="N14" s="25">
        <f t="shared" si="2"/>
        <v>2.8278490336848677E-3</v>
      </c>
      <c r="AJ14" s="129"/>
    </row>
    <row r="15" spans="1:36" ht="14.25" thickBot="1">
      <c r="B15" s="8">
        <v>35</v>
      </c>
      <c r="C15" s="13">
        <f t="shared" si="0"/>
        <v>100000</v>
      </c>
      <c r="D15" s="13">
        <f>SUMPRODUCT($M$79:$M$678,$AG$79:$AG$678)</f>
        <v>145597.88634046674</v>
      </c>
      <c r="E15" s="13">
        <f>-SUMPRODUCT($N$79:$N$678,$AG$79:$AG$678)-$J$79</f>
        <v>33879.559005053343</v>
      </c>
      <c r="F15" s="13">
        <f>-SUMPRODUCT($R$79:$R$678,$AG$79:$AG$678)</f>
        <v>211718.3273354132</v>
      </c>
      <c r="G15" s="13">
        <f t="shared" si="3"/>
        <v>0</v>
      </c>
      <c r="H15" s="24"/>
      <c r="I15" s="24"/>
      <c r="J15" s="24"/>
      <c r="L15" s="13">
        <v>0</v>
      </c>
      <c r="M15" s="13">
        <f t="shared" si="1"/>
        <v>0</v>
      </c>
      <c r="N15" s="25" t="e">
        <f t="shared" si="2"/>
        <v>#DIV/0!</v>
      </c>
      <c r="AJ15" s="129"/>
    </row>
    <row r="16" spans="1:36" ht="14.25" thickBot="1">
      <c r="B16" s="8">
        <v>40</v>
      </c>
      <c r="C16" s="13">
        <f t="shared" si="0"/>
        <v>100000</v>
      </c>
      <c r="D16" s="13">
        <f>SUMPRODUCT($M$79:$M$678,$AH$79:$AH$678)</f>
        <v>145597.88634046674</v>
      </c>
      <c r="E16" s="13">
        <f>-SUMPRODUCT($N$79:$N$678,$AH$79:$AH$678)-$J$79</f>
        <v>33879.559005053343</v>
      </c>
      <c r="F16" s="13">
        <f>-SUMPRODUCT($R$79:$R$678,$AH$79:$AH$678)</f>
        <v>211718.3273354132</v>
      </c>
      <c r="G16" s="13">
        <f t="shared" si="3"/>
        <v>0</v>
      </c>
      <c r="H16" s="24"/>
      <c r="I16" s="24"/>
      <c r="J16" s="24"/>
      <c r="L16" s="13">
        <v>0</v>
      </c>
      <c r="M16" s="13">
        <f t="shared" si="1"/>
        <v>0</v>
      </c>
      <c r="N16" s="25" t="e">
        <f t="shared" si="2"/>
        <v>#DIV/0!</v>
      </c>
      <c r="AJ16" s="129"/>
    </row>
    <row r="17" spans="1:36">
      <c r="AJ17" s="129"/>
    </row>
    <row r="18" spans="1:36" ht="14.25" thickBot="1">
      <c r="G18" s="4"/>
      <c r="AJ18" s="129"/>
    </row>
    <row r="19" spans="1:36">
      <c r="B19" s="238" t="s">
        <v>127</v>
      </c>
      <c r="C19" s="9" t="s">
        <v>65</v>
      </c>
      <c r="D19" s="11" t="s">
        <v>71</v>
      </c>
      <c r="E19" s="11" t="s">
        <v>77</v>
      </c>
      <c r="F19" s="11" t="s">
        <v>81</v>
      </c>
      <c r="G19" s="11" t="s">
        <v>128</v>
      </c>
      <c r="L19" s="9" t="s">
        <v>129</v>
      </c>
      <c r="M19" s="11" t="s">
        <v>129</v>
      </c>
    </row>
    <row r="20" spans="1:36" ht="51.75" thickBot="1">
      <c r="B20" s="239"/>
      <c r="C20" s="10" t="s">
        <v>130</v>
      </c>
      <c r="D20" s="12" t="s">
        <v>131</v>
      </c>
      <c r="E20" s="12" t="s">
        <v>132</v>
      </c>
      <c r="F20" s="12" t="s">
        <v>133</v>
      </c>
      <c r="G20" s="12" t="s">
        <v>134</v>
      </c>
      <c r="L20" s="10" t="s">
        <v>135</v>
      </c>
      <c r="M20" s="12" t="s">
        <v>136</v>
      </c>
    </row>
    <row r="21" spans="1:36" ht="14.25" thickBot="1">
      <c r="B21" s="8">
        <v>1</v>
      </c>
      <c r="C21" s="13">
        <f t="shared" ref="C21:C32" si="4">+SUMPRODUCT($I$691:$I$1290,$W$691:$W$1290)</f>
        <v>100000</v>
      </c>
      <c r="D21" s="13">
        <f>SUMPRODUCT($M$691:$M$1290,$W$691:$W$1290)</f>
        <v>3121.9746892992111</v>
      </c>
      <c r="E21" s="160">
        <f>-SUMPRODUCT($N$691:$N$1290,$W$691:$W$1290)+VLOOKUP($B21*12,$C$690:$T$1289,18,FALSE)-$J$691</f>
        <v>6232.7470435413643</v>
      </c>
      <c r="F21" s="13">
        <f>-SUMPRODUCT($R$691:$R$1290,$W$691:$W$1290)</f>
        <v>4000.4989862405532</v>
      </c>
      <c r="G21" s="160">
        <f>VLOOKUP(B21+1,$B$690:$N$1289,10,FALSE)-VLOOKUP($B21*12,$C$690:$T$1289,18,FALSE)</f>
        <v>92888.728659517365</v>
      </c>
      <c r="H21" s="24"/>
      <c r="I21" s="24"/>
      <c r="J21" s="24"/>
      <c r="L21" s="13">
        <f>C21</f>
        <v>100000</v>
      </c>
      <c r="M21" s="13">
        <f t="shared" ref="M21:M32" si="5">-SUMIF($B$691:$B$1290,B21,$S$691:$S$1290)</f>
        <v>4247.5134290499163</v>
      </c>
      <c r="N21" s="25">
        <f t="shared" ref="N21:N32" si="6">M21/G21</f>
        <v>4.5726898089208767E-2</v>
      </c>
    </row>
    <row r="22" spans="1:36" ht="14.25" thickBot="1">
      <c r="B22" s="8">
        <v>2</v>
      </c>
      <c r="C22" s="13">
        <f t="shared" si="4"/>
        <v>100000</v>
      </c>
      <c r="D22" s="13">
        <f>SUMPRODUCT($M$691:$M$1290,$X$691:$X$1290)</f>
        <v>6172.1125293978503</v>
      </c>
      <c r="E22" s="160">
        <f>-SUMPRODUCT($N$691:$N$1290,$X$691:$X$1290)+VLOOKUP($B22*12,$C$690:$T$1289,18,FALSE)-$J$691</f>
        <v>6474.1824688020897</v>
      </c>
      <c r="F22" s="13">
        <f>-SUMPRODUCT($R$691:$R$1290,$X$691:$X$1290)</f>
        <v>8081.0079522059168</v>
      </c>
      <c r="G22" s="160">
        <f>VLOOKUP(B22+1,$B$690:$N$1289,10,FALSE)-VLOOKUP($B22*12,$C$690:$T$1289,18,FALSE)</f>
        <v>91616.922108389888</v>
      </c>
      <c r="H22" s="24"/>
      <c r="I22" s="24"/>
      <c r="J22" s="24"/>
      <c r="L22" s="13">
        <v>0</v>
      </c>
      <c r="M22" s="13">
        <f t="shared" si="5"/>
        <v>241.80018460473991</v>
      </c>
      <c r="N22" s="25">
        <f t="shared" si="6"/>
        <v>2.6392524332859778E-3</v>
      </c>
    </row>
    <row r="23" spans="1:36" ht="14.25" thickBot="1">
      <c r="B23" s="8">
        <v>3</v>
      </c>
      <c r="C23" s="13">
        <f t="shared" si="4"/>
        <v>100000</v>
      </c>
      <c r="D23" s="13">
        <f>SUMPRODUCT($M$691:$M$1290,$Y$691:$Y$1290)</f>
        <v>9146.5447509080986</v>
      </c>
      <c r="E23" s="160">
        <f>-SUMPRODUCT($N$691:$N$1290,$Y$691:$Y$1290)+VLOOKUP($B23*12,$C$690:$T$1289,18,FALSE)-$J$691</f>
        <v>6726.1545701880514</v>
      </c>
      <c r="F23" s="13">
        <f>-SUMPRODUCT($R$691:$R$1290,$Y$691:$Y$1290)</f>
        <v>12243.12709749058</v>
      </c>
      <c r="G23" s="160">
        <f>VLOOKUP(B23+1,$B$690:$N$1289,10,FALSE)-VLOOKUP($B23*12,$C$690:$T$1289,18,FALSE)</f>
        <v>90177.263083229453</v>
      </c>
      <c r="H23" s="24"/>
      <c r="I23" s="24"/>
      <c r="J23" s="24"/>
      <c r="L23" s="13">
        <v>0</v>
      </c>
      <c r="M23" s="13">
        <f t="shared" si="5"/>
        <v>235.7795361916439</v>
      </c>
      <c r="N23" s="25">
        <f t="shared" si="6"/>
        <v>2.6146228897414004E-3</v>
      </c>
    </row>
    <row r="24" spans="1:36" ht="14.25" thickBot="1">
      <c r="B24" s="8">
        <v>4</v>
      </c>
      <c r="C24" s="13">
        <f t="shared" si="4"/>
        <v>100000</v>
      </c>
      <c r="D24" s="13">
        <f>SUMPRODUCT($M$691:$M$1290,$Z$691:$Z$1290)</f>
        <v>12041.281159734288</v>
      </c>
      <c r="E24" s="160">
        <f>-SUMPRODUCT($N$691:$N$1290,$Z$691:$Z$1290)+VLOOKUP($B24*12,$C$690:$T$1289,18,FALSE)-$J$691</f>
        <v>6990.6094967956142</v>
      </c>
      <c r="F24" s="13">
        <f>-SUMPRODUCT($R$691:$R$1290,$Z$691:$Z$1290)</f>
        <v>16488.488625680951</v>
      </c>
      <c r="G24" s="160">
        <f>VLOOKUP(B24+1,$B$690:$N$1289,10,FALSE)-VLOOKUP($B24*12,$C$690:$T$1289,18,FALSE)</f>
        <v>88562.183037257637</v>
      </c>
      <c r="H24" s="24"/>
      <c r="I24" s="24"/>
      <c r="J24" s="24"/>
      <c r="L24" s="13">
        <v>0</v>
      </c>
      <c r="M24" s="13">
        <f t="shared" si="5"/>
        <v>229.44183756853971</v>
      </c>
      <c r="N24" s="25">
        <f t="shared" si="6"/>
        <v>2.5907427944951941E-3</v>
      </c>
    </row>
    <row r="25" spans="1:36" ht="14.25" thickBot="1">
      <c r="B25" s="8">
        <v>5</v>
      </c>
      <c r="C25" s="13">
        <f t="shared" si="4"/>
        <v>100000</v>
      </c>
      <c r="D25" s="13">
        <f>SUMPRODUCT($M$691:$M$1290,$AA$691:$AA$1290)</f>
        <v>14852.206910751145</v>
      </c>
      <c r="E25" s="160">
        <f>-SUMPRODUCT($N$691:$N$1290,$AA$691:$AA$1290)+VLOOKUP($B25*12,$C$690:$T$1289,18,FALSE)-$J$691</f>
        <v>7269.5948968994771</v>
      </c>
      <c r="F25" s="13">
        <f>-SUMPRODUCT($R$691:$R$1290,$AA$691:$AA$1290)</f>
        <v>20818.757384435139</v>
      </c>
      <c r="G25" s="160">
        <f>VLOOKUP(B25+1,$B$690:$N$1289,10,FALSE)-VLOOKUP($B25*12,$C$690:$T$1289,18,FALSE)</f>
        <v>86763.854629416557</v>
      </c>
      <c r="H25" s="24"/>
      <c r="I25" s="24"/>
      <c r="J25" s="24"/>
      <c r="L25" s="13">
        <v>0</v>
      </c>
      <c r="M25" s="13">
        <f t="shared" si="5"/>
        <v>222.77718620927124</v>
      </c>
      <c r="N25" s="25">
        <f t="shared" si="6"/>
        <v>2.5676266592902213E-3</v>
      </c>
      <c r="AJ25" s="2"/>
    </row>
    <row r="26" spans="1:36" ht="14.25" thickBot="1">
      <c r="B26" s="8">
        <v>10</v>
      </c>
      <c r="C26" s="13">
        <f t="shared" si="4"/>
        <v>100000</v>
      </c>
      <c r="D26" s="13">
        <f>SUMPRODUCT($M$691:$M$1290,$AB$691:$AB$1290)</f>
        <v>27496.507322734727</v>
      </c>
      <c r="E26" s="28">
        <f>-SUMPRODUCT($N$691:$N$1290,$AB$691:$AB$1290)-$J$691</f>
        <v>11835.982398656593</v>
      </c>
      <c r="F26" s="13">
        <f>-SUMPRODUCT($R$691:$R$1290,$AB$691:$AB$1290)</f>
        <v>43804.34775906826</v>
      </c>
      <c r="G26" s="28">
        <f t="shared" ref="G26:G32" si="7">VLOOKUP(B26+1,$B$690:$N$1289,10,FALSE)</f>
        <v>71856.177165010042</v>
      </c>
      <c r="H26" s="24"/>
      <c r="I26" s="24"/>
      <c r="J26" s="24"/>
      <c r="L26" s="13">
        <v>0</v>
      </c>
      <c r="M26" s="13">
        <f t="shared" si="5"/>
        <v>184.18430723592002</v>
      </c>
      <c r="N26" s="25">
        <f t="shared" si="6"/>
        <v>2.5632355421992517E-3</v>
      </c>
      <c r="AJ26" s="129"/>
    </row>
    <row r="27" spans="1:36" ht="14.25" thickBot="1">
      <c r="A27" s="7"/>
      <c r="B27" s="8">
        <v>15</v>
      </c>
      <c r="C27" s="13">
        <f t="shared" si="4"/>
        <v>100000</v>
      </c>
      <c r="D27" s="13">
        <f>SUMPRODUCT($M$691:$M$1290,$AC$691:$AC$1290)</f>
        <v>37350.620331933715</v>
      </c>
      <c r="E27" s="13">
        <f>-SUMPRODUCT($N$691:$N$1290,$AC$691:$AC$1290)-$J$691</f>
        <v>16077.725059362343</v>
      </c>
      <c r="F27" s="13">
        <f>-SUMPRODUCT($R$691:$R$1290,$AC$691:$AC$1290)</f>
        <v>69182.296841919335</v>
      </c>
      <c r="G27" s="13">
        <f t="shared" si="7"/>
        <v>52090.598430652164</v>
      </c>
      <c r="H27" s="24"/>
      <c r="I27" s="24"/>
      <c r="J27" s="24"/>
      <c r="L27" s="13">
        <v>0</v>
      </c>
      <c r="M27" s="13">
        <f t="shared" si="5"/>
        <v>135.77346347157078</v>
      </c>
      <c r="N27" s="25">
        <f t="shared" si="6"/>
        <v>2.6064869201363658E-3</v>
      </c>
      <c r="AJ27" s="129"/>
    </row>
    <row r="28" spans="1:36" ht="14.25" thickBot="1">
      <c r="A28" s="7"/>
      <c r="B28" s="8">
        <v>20</v>
      </c>
      <c r="C28" s="13">
        <f t="shared" si="4"/>
        <v>100000</v>
      </c>
      <c r="D28" s="13">
        <f>SUMPRODUCT($M$691:$M$1290,$AD$691:$AD$1290)</f>
        <v>43738.562464096045</v>
      </c>
      <c r="E28" s="13">
        <f>-SUMPRODUCT($N$691:$N$1290,$AD$691:$AD$1290)-$J$691</f>
        <v>18827.440496035142</v>
      </c>
      <c r="F28" s="13">
        <f>-SUMPRODUCT($R$691:$R$1290,$AD$691:$AD$1290)</f>
        <v>97201.603248882253</v>
      </c>
      <c r="G28" s="13">
        <f t="shared" si="7"/>
        <v>27709.518719178715</v>
      </c>
      <c r="H28" s="24"/>
      <c r="I28" s="24"/>
      <c r="J28" s="24"/>
      <c r="L28" s="13">
        <v>0</v>
      </c>
      <c r="M28" s="13">
        <f t="shared" si="5"/>
        <v>75.978055000071478</v>
      </c>
      <c r="N28" s="25">
        <f t="shared" si="6"/>
        <v>2.7419478400209254E-3</v>
      </c>
      <c r="AJ28" s="129"/>
    </row>
    <row r="29" spans="1:36" ht="14.25" thickBot="1">
      <c r="A29" s="7"/>
      <c r="B29" s="8">
        <v>25</v>
      </c>
      <c r="C29" s="13">
        <f t="shared" si="4"/>
        <v>100000</v>
      </c>
      <c r="D29" s="13">
        <f>SUMPRODUCT($M$691:$M$1290,$AE$691:$AE$1290)</f>
        <v>45885.136328530571</v>
      </c>
      <c r="E29" s="13">
        <f>-SUMPRODUCT($N$691:$N$1290,$AE$691:$AE$1290)-$J$691</f>
        <v>19751.441867505921</v>
      </c>
      <c r="F29" s="13">
        <f>-SUMPRODUCT($R$691:$R$1290,$AE$691:$AE$1290)</f>
        <v>126133.69446102463</v>
      </c>
      <c r="G29" s="13">
        <f t="shared" si="7"/>
        <v>0</v>
      </c>
      <c r="H29" s="24"/>
      <c r="I29" s="24"/>
      <c r="J29" s="24"/>
      <c r="L29" s="13">
        <v>0</v>
      </c>
      <c r="M29" s="13">
        <f t="shared" si="5"/>
        <v>3.8098527812424652</v>
      </c>
      <c r="N29" s="25" t="e">
        <f t="shared" si="6"/>
        <v>#DIV/0!</v>
      </c>
      <c r="AJ29" s="129"/>
    </row>
    <row r="30" spans="1:36" ht="14.25" thickBot="1">
      <c r="B30" s="8">
        <v>30</v>
      </c>
      <c r="C30" s="13">
        <f t="shared" si="4"/>
        <v>100000</v>
      </c>
      <c r="D30" s="13">
        <f>SUMPRODUCT($M$691:$M$1290,$AF$691:$AF$1290)</f>
        <v>45885.136328530571</v>
      </c>
      <c r="E30" s="13">
        <f>-SUMPRODUCT($N$691:$N$1290,$AF$691:$AF$1290)-$J$691</f>
        <v>19751.441867505921</v>
      </c>
      <c r="F30" s="13">
        <f>-SUMPRODUCT($R$691:$R$1290,$AF$691:$AF$1290)</f>
        <v>126133.69446102463</v>
      </c>
      <c r="G30" s="13">
        <f t="shared" si="7"/>
        <v>0</v>
      </c>
      <c r="H30" s="24"/>
      <c r="I30" s="24"/>
      <c r="J30" s="24"/>
      <c r="L30" s="13">
        <v>0</v>
      </c>
      <c r="M30" s="13">
        <f t="shared" si="5"/>
        <v>0</v>
      </c>
      <c r="N30" s="25" t="e">
        <f t="shared" si="6"/>
        <v>#DIV/0!</v>
      </c>
      <c r="AJ30" s="129"/>
    </row>
    <row r="31" spans="1:36" ht="14.25" thickBot="1">
      <c r="B31" s="8">
        <v>35</v>
      </c>
      <c r="C31" s="13">
        <f t="shared" si="4"/>
        <v>100000</v>
      </c>
      <c r="D31" s="13">
        <f>SUMPRODUCT($M$691:$M$1290,$AG$691:$AG$1290)</f>
        <v>45885.136328530571</v>
      </c>
      <c r="E31" s="13">
        <f>-SUMPRODUCT($N$691:$N$1290,$AG$691:$AG$1290)-$J$691</f>
        <v>19751.441867505921</v>
      </c>
      <c r="F31" s="13">
        <f>-SUMPRODUCT($R$691:$R$1290,$AG$691:$AG$1290)</f>
        <v>126133.69446102463</v>
      </c>
      <c r="G31" s="13">
        <f t="shared" si="7"/>
        <v>0</v>
      </c>
      <c r="H31" s="24"/>
      <c r="I31" s="24"/>
      <c r="J31" s="24"/>
      <c r="L31" s="13">
        <v>0</v>
      </c>
      <c r="M31" s="13">
        <f t="shared" si="5"/>
        <v>0</v>
      </c>
      <c r="N31" s="25" t="e">
        <f t="shared" si="6"/>
        <v>#DIV/0!</v>
      </c>
      <c r="AJ31" s="129"/>
    </row>
    <row r="32" spans="1:36" ht="14.25" thickBot="1">
      <c r="B32" s="8">
        <v>40</v>
      </c>
      <c r="C32" s="13">
        <f t="shared" si="4"/>
        <v>100000</v>
      </c>
      <c r="D32" s="13">
        <f>SUMPRODUCT($M$691:$M$1290,$AH$691:$AH$1290)</f>
        <v>45885.136328530571</v>
      </c>
      <c r="E32" s="13">
        <f>-SUMPRODUCT($N$691:$N$1290,$AH$691:$AH$1290)-$J$691</f>
        <v>19751.441867505921</v>
      </c>
      <c r="F32" s="13">
        <f>-SUMPRODUCT($R$691:$R$1290,$AH$691:$AH$1290)</f>
        <v>126133.69446102463</v>
      </c>
      <c r="G32" s="13">
        <f t="shared" si="7"/>
        <v>0</v>
      </c>
      <c r="H32" s="24"/>
      <c r="I32" s="24"/>
      <c r="J32" s="24"/>
      <c r="L32" s="13">
        <v>0</v>
      </c>
      <c r="M32" s="13">
        <f t="shared" si="5"/>
        <v>0</v>
      </c>
      <c r="N32" s="25" t="e">
        <f t="shared" si="6"/>
        <v>#DIV/0!</v>
      </c>
      <c r="AJ32" s="129"/>
    </row>
    <row r="33" spans="2:36">
      <c r="G33" s="4"/>
      <c r="AJ33" s="129"/>
    </row>
    <row r="34" spans="2:36" ht="14.25" thickBot="1">
      <c r="G34" s="4"/>
      <c r="AJ34" s="129"/>
    </row>
    <row r="35" spans="2:36">
      <c r="G35" s="240" t="str">
        <f>IF(T39&lt;&gt;1,"Percentage Invested is not equal to 100%","")</f>
        <v/>
      </c>
      <c r="H35" s="241"/>
      <c r="I35" s="241"/>
      <c r="J35" s="241"/>
      <c r="K35" s="241"/>
      <c r="L35" s="241"/>
      <c r="M35" s="242"/>
      <c r="AJ35" s="129"/>
    </row>
    <row r="36" spans="2:36" ht="14.25" thickBot="1">
      <c r="B36" s="2"/>
      <c r="G36" s="243"/>
      <c r="H36" s="244"/>
      <c r="I36" s="244"/>
      <c r="J36" s="244"/>
      <c r="K36" s="244"/>
      <c r="L36" s="244"/>
      <c r="M36" s="245"/>
      <c r="AH36" s="1" t="str" cm="1">
        <f t="array" ref="AH36">IFERROR(INDEX($G$44:$S$44, SMALL(IF($G$44:$S$44&lt;&gt;"", COLUMN($G$44:$S$44)-COLUMN($G$44)+1), ROW(A11))), "")</f>
        <v/>
      </c>
      <c r="AI36" s="45" t="str">
        <f>IFERROR(HLOOKUP($AH36,$G$38:$S$39,2,FALSE),"")</f>
        <v/>
      </c>
      <c r="AJ36" s="45"/>
    </row>
    <row r="37" spans="2:36" ht="14.25" thickBot="1">
      <c r="G37" s="4"/>
      <c r="AF37" s="1" t="str" cm="1">
        <f t="array" ref="AF37">IFERROR(INDEX($G$44:$S$44, SMALL(IF($G$44:$S$44&lt;&gt;"", COLUMN($G$44:$S$44)-COLUMN($G$44)+1), ROW(A12))), "")</f>
        <v/>
      </c>
    </row>
    <row r="38" spans="2:36" ht="41.25" thickBot="1">
      <c r="B38" s="2" t="s">
        <v>137</v>
      </c>
      <c r="F38" s="210" t="s">
        <v>138</v>
      </c>
      <c r="G38" s="211" t="s">
        <v>99</v>
      </c>
      <c r="H38" s="211" t="s">
        <v>100</v>
      </c>
      <c r="I38" s="211" t="s">
        <v>101</v>
      </c>
      <c r="J38" s="211" t="s">
        <v>102</v>
      </c>
      <c r="K38" s="211" t="s">
        <v>103</v>
      </c>
      <c r="L38" s="211" t="s">
        <v>104</v>
      </c>
      <c r="M38" s="211" t="s">
        <v>105</v>
      </c>
      <c r="N38" s="211" t="s">
        <v>106</v>
      </c>
      <c r="O38" s="211" t="s">
        <v>107</v>
      </c>
      <c r="P38" s="211" t="s">
        <v>108</v>
      </c>
      <c r="Q38" s="211" t="s">
        <v>109</v>
      </c>
      <c r="R38" s="211" t="s">
        <v>110</v>
      </c>
      <c r="S38" s="212" t="s">
        <v>111</v>
      </c>
      <c r="T38" s="135" t="s">
        <v>118</v>
      </c>
      <c r="U38" s="137" t="s">
        <v>139</v>
      </c>
      <c r="AF38" s="135" t="s">
        <v>140</v>
      </c>
      <c r="AG38" s="137" t="s">
        <v>141</v>
      </c>
    </row>
    <row r="39" spans="2:36" ht="15">
      <c r="B39" s="1" t="s">
        <v>60</v>
      </c>
      <c r="C39" s="27" t="s">
        <v>70</v>
      </c>
      <c r="F39" s="35" t="s">
        <v>142</v>
      </c>
      <c r="G39" s="62"/>
      <c r="H39" s="62"/>
      <c r="I39" s="62">
        <v>1</v>
      </c>
      <c r="J39" s="62"/>
      <c r="K39" s="62"/>
      <c r="L39" s="62"/>
      <c r="M39" s="62"/>
      <c r="N39" s="62"/>
      <c r="O39" s="62"/>
      <c r="P39" s="62"/>
      <c r="Q39" s="62"/>
      <c r="R39" s="62"/>
      <c r="S39" s="63"/>
      <c r="T39" s="130">
        <f>SUM(G39:S39)</f>
        <v>1</v>
      </c>
      <c r="U39" s="46"/>
      <c r="AF39" s="67" t="str" cm="1">
        <f t="array" ref="AF39">IFERROR(INDEX($G$44:$S$44, SMALL(IF($G$44:$S$44&lt;&gt;"", COLUMN($G$44:$S$44)-COLUMN($G$44)+1), ROW(A1))), "")</f>
        <v>Strategy Select 75</v>
      </c>
      <c r="AG39" s="68">
        <f t="shared" ref="AG39:AG47" si="8">IFERROR(HLOOKUP($AF39,$G$38:$S$39,2,FALSE),"")</f>
        <v>1</v>
      </c>
    </row>
    <row r="40" spans="2:36">
      <c r="B40" s="1" t="s">
        <v>143</v>
      </c>
      <c r="C40" s="18">
        <v>51586</v>
      </c>
      <c r="F40" s="54" t="s">
        <v>144</v>
      </c>
      <c r="G40" s="60">
        <f t="shared" ref="G40:M40" si="9">VLOOKUP(G$38,Fund_Rates_Table,3,FALSE)</f>
        <v>5.1349999999999993E-2</v>
      </c>
      <c r="H40" s="60">
        <f t="shared" si="9"/>
        <v>5.7249999999999995E-2</v>
      </c>
      <c r="I40" s="60">
        <f t="shared" si="9"/>
        <v>6.4624999999999988E-2</v>
      </c>
      <c r="J40" s="60">
        <f t="shared" si="9"/>
        <v>7.1999999999999995E-2</v>
      </c>
      <c r="K40" s="60">
        <f t="shared" si="9"/>
        <v>4.2500000000000003E-2</v>
      </c>
      <c r="L40" s="60">
        <f t="shared" si="9"/>
        <v>4.2500000000000003E-2</v>
      </c>
      <c r="M40" s="60">
        <f t="shared" si="9"/>
        <v>6.4624999999999988E-2</v>
      </c>
      <c r="N40" s="60">
        <f t="shared" ref="N40:S40" si="10">VLOOKUP(N$38,Fund_Rates_Table,3,FALSE)</f>
        <v>5.7249999999999995E-2</v>
      </c>
      <c r="O40" s="60">
        <f t="shared" si="10"/>
        <v>4.6925000000000001E-2</v>
      </c>
      <c r="P40" s="60">
        <f t="shared" si="10"/>
        <v>7.1999999999999995E-2</v>
      </c>
      <c r="Q40" s="60">
        <f t="shared" si="10"/>
        <v>7.1999999999999995E-2</v>
      </c>
      <c r="R40" s="60">
        <f t="shared" si="10"/>
        <v>7.1999999999999995E-2</v>
      </c>
      <c r="S40" s="53">
        <f t="shared" si="10"/>
        <v>3.2000000000000001E-2</v>
      </c>
      <c r="T40" s="56">
        <f>MIN(SUMPRODUCT($G$39:$S$39,G40:S40))</f>
        <v>6.4624999999999988E-2</v>
      </c>
      <c r="U40" s="53">
        <f>(1+T40)^(1/12)-1</f>
        <v>5.232192399942992E-3</v>
      </c>
      <c r="AF40" s="57" t="str" cm="1">
        <f t="array" ref="AF40">IFERROR(INDEX($G$44:$S$44, SMALL(IF($G$44:$S$44&lt;&gt;"", COLUMN($G$44:$S$44)-COLUMN($G$44)+1), ROW(A2))), "")</f>
        <v/>
      </c>
      <c r="AG40" s="69" t="str">
        <f t="shared" si="8"/>
        <v/>
      </c>
    </row>
    <row r="41" spans="2:36">
      <c r="B41" s="1" t="s">
        <v>145</v>
      </c>
      <c r="C41" s="18">
        <v>27551</v>
      </c>
      <c r="F41" s="54" t="s">
        <v>146</v>
      </c>
      <c r="G41" s="60">
        <f t="shared" ref="G41:S41" si="11">VLOOKUP(G$38,Fund_Rates_Table,5,FALSE)</f>
        <v>2.5000000000000001E-3</v>
      </c>
      <c r="H41" s="60">
        <f t="shared" si="11"/>
        <v>2.5000000000000001E-3</v>
      </c>
      <c r="I41" s="60">
        <f t="shared" si="11"/>
        <v>2.5000000000000001E-3</v>
      </c>
      <c r="J41" s="60">
        <f t="shared" si="11"/>
        <v>4.4999999999999997E-3</v>
      </c>
      <c r="K41" s="60">
        <f t="shared" si="11"/>
        <v>2.2000000000000001E-3</v>
      </c>
      <c r="L41" s="60">
        <f t="shared" si="11"/>
        <v>2.7000000000000001E-3</v>
      </c>
      <c r="M41" s="60">
        <f t="shared" si="11"/>
        <v>6.4999999999999997E-3</v>
      </c>
      <c r="N41" s="60">
        <f t="shared" si="11"/>
        <v>5.8999999999999999E-3</v>
      </c>
      <c r="O41" s="60">
        <f t="shared" si="11"/>
        <v>4.8999999999999998E-3</v>
      </c>
      <c r="P41" s="60">
        <f t="shared" si="11"/>
        <v>5.0000000000000001E-4</v>
      </c>
      <c r="Q41" s="60">
        <f t="shared" si="11"/>
        <v>1.5E-3</v>
      </c>
      <c r="R41" s="60">
        <f t="shared" si="11"/>
        <v>8.9999999999999998E-4</v>
      </c>
      <c r="S41" s="60">
        <f t="shared" si="11"/>
        <v>1.6000000000000001E-3</v>
      </c>
      <c r="T41" s="56">
        <f>SUMPRODUCT($G$39:$S$39,G41:S41)</f>
        <v>2.5000000000000001E-3</v>
      </c>
      <c r="U41" s="53"/>
      <c r="AF41" s="57" t="str" cm="1">
        <f t="array" ref="AF41">IFERROR(INDEX($G$44:$S$44, SMALL(IF($G$44:$S$44&lt;&gt;"", COLUMN($G$44:$S$44)-COLUMN($G$44)+1), ROW(A3))), "")</f>
        <v/>
      </c>
      <c r="AG41" s="69" t="str">
        <f t="shared" si="8"/>
        <v/>
      </c>
    </row>
    <row r="42" spans="2:36">
      <c r="B42" s="1" t="s">
        <v>147</v>
      </c>
      <c r="C42" s="5">
        <v>100000</v>
      </c>
      <c r="F42" s="54" t="s">
        <v>148</v>
      </c>
      <c r="G42" s="48" t="s">
        <v>149</v>
      </c>
      <c r="H42" s="48" t="s">
        <v>149</v>
      </c>
      <c r="I42" s="48" t="s">
        <v>149</v>
      </c>
      <c r="J42" s="49"/>
      <c r="K42" s="49"/>
      <c r="L42" s="49"/>
      <c r="M42" s="49"/>
      <c r="N42" s="49"/>
      <c r="O42" s="49"/>
      <c r="P42" s="49"/>
      <c r="Q42" s="49"/>
      <c r="R42" s="49"/>
      <c r="S42" s="50"/>
      <c r="T42" s="57"/>
      <c r="U42" s="58"/>
      <c r="AF42" s="57" t="str" cm="1">
        <f t="array" ref="AF42">IFERROR(INDEX($G$44:$S$44, SMALL(IF($G$44:$S$44&lt;&gt;"", COLUMN($G$44:$S$44)-COLUMN($G$44)+1), ROW(A4))), "")</f>
        <v/>
      </c>
      <c r="AG42" s="69" t="str">
        <f t="shared" si="8"/>
        <v/>
      </c>
    </row>
    <row r="43" spans="2:36" ht="14.25" thickBot="1">
      <c r="B43" s="1" t="s">
        <v>150</v>
      </c>
      <c r="C43" s="105">
        <f>(C40-C41)/365.25</f>
        <v>65.804243668720048</v>
      </c>
      <c r="F43" s="39" t="s">
        <v>112</v>
      </c>
      <c r="G43" s="61">
        <f>IF(G42="yes",VLOOKUP(G$38,Fund_Rates_Table,2,FALSE),0)</f>
        <v>0</v>
      </c>
      <c r="H43" s="61">
        <f>IF(H42="yes",VLOOKUP(H$38,Fund_Rates_Table,2,FALSE),0)</f>
        <v>0</v>
      </c>
      <c r="I43" s="61">
        <f>IF(I42="yes",VLOOKUP(I$38,Fund_Rates_Table,2,FALSE),0)</f>
        <v>0</v>
      </c>
      <c r="J43" s="51"/>
      <c r="K43" s="51"/>
      <c r="L43" s="51"/>
      <c r="M43" s="51"/>
      <c r="N43" s="51"/>
      <c r="O43" s="51"/>
      <c r="P43" s="51"/>
      <c r="Q43" s="51"/>
      <c r="R43" s="51"/>
      <c r="S43" s="52"/>
      <c r="T43" s="59">
        <f>SUMPRODUCT($G$39:$S$39,G43:S43)</f>
        <v>0</v>
      </c>
      <c r="U43" s="55">
        <f>1-(1-T43)^(1/12)</f>
        <v>0</v>
      </c>
      <c r="AF43" s="57" t="str" cm="1">
        <f t="array" ref="AF43">IFERROR(INDEX($G$44:$S$44, SMALL(IF($G$44:$S$44&lt;&gt;"", COLUMN($G$44:$S$44)-COLUMN($G$44)+1), ROW(A5))), "")</f>
        <v/>
      </c>
      <c r="AG43" s="69" t="str">
        <f t="shared" si="8"/>
        <v/>
      </c>
    </row>
    <row r="44" spans="2:36" ht="14.25" thickBot="1">
      <c r="B44" s="1" t="s">
        <v>151</v>
      </c>
      <c r="C44" s="120">
        <v>0.06</v>
      </c>
      <c r="F44" s="64" t="s">
        <v>152</v>
      </c>
      <c r="G44" s="65" t="str">
        <f t="shared" ref="G44:R44" si="12">IF(G39="","",G38)</f>
        <v/>
      </c>
      <c r="H44" s="65" t="str">
        <f t="shared" si="12"/>
        <v/>
      </c>
      <c r="I44" s="65" t="str">
        <f t="shared" si="12"/>
        <v>Strategy Select 75</v>
      </c>
      <c r="J44" s="65" t="str">
        <f t="shared" si="12"/>
        <v/>
      </c>
      <c r="K44" s="65" t="str">
        <f t="shared" si="12"/>
        <v/>
      </c>
      <c r="L44" s="65" t="str">
        <f t="shared" si="12"/>
        <v/>
      </c>
      <c r="M44" s="65" t="str">
        <f t="shared" si="12"/>
        <v/>
      </c>
      <c r="N44" s="65" t="str">
        <f t="shared" si="12"/>
        <v/>
      </c>
      <c r="O44" s="65" t="str">
        <f t="shared" si="12"/>
        <v/>
      </c>
      <c r="P44" s="65" t="str">
        <f t="shared" si="12"/>
        <v/>
      </c>
      <c r="Q44" s="65" t="str">
        <f t="shared" si="12"/>
        <v/>
      </c>
      <c r="R44" s="65" t="str">
        <f t="shared" si="12"/>
        <v/>
      </c>
      <c r="S44" s="66" t="str">
        <f>IF(S39="","",S38)</f>
        <v/>
      </c>
      <c r="AF44" s="57" t="str" cm="1">
        <f t="array" ref="AF44">IFERROR(INDEX($G$44:$S$44, SMALL(IF($G$44:$S$44&lt;&gt;"", COLUMN($G$44:$S$44)-COLUMN($G$44)+1), ROW(A6))), "")</f>
        <v/>
      </c>
      <c r="AG44" s="69" t="str">
        <f t="shared" si="8"/>
        <v/>
      </c>
    </row>
    <row r="45" spans="2:36">
      <c r="B45" s="1" t="s">
        <v>153</v>
      </c>
      <c r="C45" s="120">
        <f>MIN(RateOfReturn_Max,C47)</f>
        <v>0.06</v>
      </c>
      <c r="D45" s="33">
        <f>(1+Growth_Rate_1)^(1/12)-1</f>
        <v>4.8675505653430484E-3</v>
      </c>
      <c r="AF45" s="57" t="str" cm="1">
        <f t="array" ref="AF45">IFERROR(INDEX($G$44:$S$44, SMALL(IF($G$44:$S$44&lt;&gt;"", COLUMN($G$44:$S$44)-COLUMN($G$44)+1), ROW(A7))), "")</f>
        <v/>
      </c>
      <c r="AG45" s="69" t="str">
        <f t="shared" si="8"/>
        <v/>
      </c>
    </row>
    <row r="46" spans="2:36">
      <c r="B46" s="1" t="s">
        <v>154</v>
      </c>
      <c r="C46" s="119">
        <f>Parameters!D32</f>
        <v>3.2000000000000001E-2</v>
      </c>
      <c r="D46" s="33">
        <f>(1+Growth_Rate_2)^(1/12)-1</f>
        <v>2.6283369587845051E-3</v>
      </c>
      <c r="I46" s="15"/>
      <c r="AF46" s="57" t="str" cm="1">
        <f t="array" ref="AF46">IFERROR(INDEX($G$44:$S$44, SMALL(IF($G$44:$S$44&lt;&gt;"", COLUMN($G$44:$S$44)-COLUMN($G$44)+1), ROW(A8))), "")</f>
        <v/>
      </c>
      <c r="AG46" s="69" t="str">
        <f t="shared" si="8"/>
        <v/>
      </c>
    </row>
    <row r="47" spans="2:36">
      <c r="B47" s="1" t="s">
        <v>144</v>
      </c>
      <c r="C47" s="33">
        <f>Weighted_RateOfReturn_Annual</f>
        <v>6.4624999999999988E-2</v>
      </c>
      <c r="D47" s="33">
        <f>(1+C47)^(1/12)-1</f>
        <v>5.232192399942992E-3</v>
      </c>
      <c r="AF47" s="57" t="str" cm="1">
        <f t="array" ref="AF47">IFERROR(INDEX($G$44:$S$44, SMALL(IF($G$44:$S$44&lt;&gt;"", COLUMN($G$44:$S$44)-COLUMN($G$44)+1), ROW(A9))), "")</f>
        <v/>
      </c>
      <c r="AG47" s="69" t="str">
        <f t="shared" si="8"/>
        <v/>
      </c>
    </row>
    <row r="48" spans="2:36">
      <c r="B48" s="1" t="s">
        <v>155</v>
      </c>
      <c r="C48" s="94" t="str">
        <f>IF(OR(G42="Yes",H42="Yes",I42="Yes"),"On","Off")</f>
        <v>Off</v>
      </c>
      <c r="AF48" s="57" t="str" cm="1">
        <f t="array" ref="AF48">IFERROR(INDEX($G$44:$S$44, SMALL(IF($G$44:$S$44&lt;&gt;"", COLUMN($G$44:$S$44)-COLUMN($G$44)+1), ROW(A10))), "")</f>
        <v/>
      </c>
      <c r="AG48" s="69" t="str">
        <f t="shared" ref="AG48:AG50" si="13">IFERROR(HLOOKUP($AF48,$G$38:$S$39,2,FALSE),"")</f>
        <v/>
      </c>
    </row>
    <row r="49" spans="2:43" ht="14.25" thickBot="1">
      <c r="B49" s="1" t="s">
        <v>156</v>
      </c>
      <c r="C49" s="27" t="s">
        <v>157</v>
      </c>
      <c r="AF49" s="57" t="str" cm="1">
        <f t="array" ref="AF49">IFERROR(INDEX($G$44:$S$44, SMALL(IF($G$44:$S$44&lt;&gt;"", COLUMN($G$44:$S$44)-COLUMN($G$44)+1), ROW(A11))), "")</f>
        <v/>
      </c>
      <c r="AG49" s="69" t="str">
        <f t="shared" si="13"/>
        <v/>
      </c>
    </row>
    <row r="50" spans="2:43" ht="12.75" customHeight="1" thickBot="1">
      <c r="B50" s="1" t="s">
        <v>158</v>
      </c>
      <c r="C50" s="76"/>
      <c r="E50" s="246" t="str">
        <f>IF(AND(Income_Type="Fixed Percent",Custom_Reg_Inc_Perc_annual=0),"Must input Customer Regular Income % if Regular Income Type = Fixed Percent","")</f>
        <v/>
      </c>
      <c r="F50" s="247"/>
      <c r="G50" s="247"/>
      <c r="H50" s="248"/>
      <c r="I50" s="218"/>
      <c r="J50" s="218"/>
      <c r="AF50" s="57" t="str" cm="1">
        <f t="array" ref="AF50">IFERROR(INDEX($G$44:$S$44, SMALL(IF($G$44:$S$44&lt;&gt;"", COLUMN($G$44:$S$44)-COLUMN($G$44)+1), ROW(A12))), "")</f>
        <v/>
      </c>
      <c r="AG50" s="69" t="str">
        <f t="shared" si="13"/>
        <v/>
      </c>
    </row>
    <row r="51" spans="2:43" ht="14.25" thickBot="1">
      <c r="B51" s="1" t="s">
        <v>159</v>
      </c>
      <c r="C51" s="22"/>
      <c r="F51" s="7"/>
      <c r="AF51" s="70" t="str" cm="1">
        <f t="array" ref="AF51">IFERROR(INDEX($G$44:$S$44, SMALL(IF($G$44:$S$44&lt;&gt;"", COLUMN($G$44:$S$44)-COLUMN($G$44)+1), ROW(A13))), "")</f>
        <v/>
      </c>
      <c r="AG51" s="71" t="str">
        <f>IFERROR(HLOOKUP($AF51,$G$38:$S$39,2,FALSE),"")</f>
        <v/>
      </c>
    </row>
    <row r="52" spans="2:43">
      <c r="B52" s="1" t="s">
        <v>160</v>
      </c>
      <c r="C52" s="92">
        <f>IF(AND(Income_Type="Fixed Percent",SinglePrem&gt;=2000000),MAX(Custom_Reg_Inc_Perc_annual,VLOOKUP("&gt;=2000000",Default_IncomeRate_table,2,FALSE)),
IF(AND(Income_Type="Fixed Percent",Current_Age&lt;71),MAX(Custom_Reg_Inc_Perc_annual,VLOOKUP("&lt;71",Default_IncomeRate_table,2,FALSE)),
IF(AND(Income_Type="Fixed Percent",Current_Age&gt;=71),MAX(Custom_Reg_Inc_Perc_annual,VLOOKUP("&gt;=71",Default_IncomeRate_table,2,FALSE)),
IF(AND(Income_Type="Default Percent",SinglePrem&gt;=2000000),VLOOKUP("&gt;=2000000",Default_IncomeRate_table,2,FALSE),
IF(AND(Income_Type="Default Percent",Current_Age&lt;71),VLOOKUP("&lt;71",Default_IncomeRate_table,2,FALSE),
IF(AND(Income_Type="Default Percent",Current_Age&gt;=71),VLOOKUP("&gt;=71",Default_IncomeRate_table,2,FALSE),""))))))</f>
        <v>0.04</v>
      </c>
      <c r="F52" s="7"/>
    </row>
    <row r="53" spans="2:43">
      <c r="B53" s="1" t="s">
        <v>161</v>
      </c>
      <c r="C53" s="93">
        <f>IF(OR(Income_Type="Default Percent",Income_Type="Fixed Percent"),Initial_income__Perc_used*SinglePrem,
IF($C$49="Monetary Amount (with Escalation)",$C$50,"error"))</f>
        <v>4000</v>
      </c>
      <c r="F53" s="7"/>
    </row>
    <row r="54" spans="2:43">
      <c r="B54" s="1" t="s">
        <v>162</v>
      </c>
      <c r="C54" s="22">
        <v>0.02</v>
      </c>
    </row>
    <row r="55" spans="2:43">
      <c r="B55" s="1" t="s">
        <v>163</v>
      </c>
      <c r="C55" s="187">
        <v>60</v>
      </c>
    </row>
    <row r="56" spans="2:43">
      <c r="B56" s="1" t="s">
        <v>164</v>
      </c>
      <c r="C56" s="16">
        <f>MAX(1,ROUND((C55-C43)*12,)+1)</f>
        <v>1</v>
      </c>
    </row>
    <row r="57" spans="2:43">
      <c r="F57" s="7"/>
    </row>
    <row r="58" spans="2:43">
      <c r="C58" s="128"/>
    </row>
    <row r="60" spans="2:43" ht="15">
      <c r="B60" s="1" t="s">
        <v>165</v>
      </c>
      <c r="C60" s="17">
        <f>T41</f>
        <v>2.5000000000000001E-3</v>
      </c>
      <c r="D60" s="17">
        <f>1-(1-C60)^(1/12)</f>
        <v>2.0857243058891584E-4</v>
      </c>
      <c r="J60"/>
    </row>
    <row r="61" spans="2:43">
      <c r="B61" s="1" t="s">
        <v>166</v>
      </c>
      <c r="C61" s="17">
        <f>VLOOKUP(Product_Code,Product_Parameters,5,FALSE)</f>
        <v>1.0999999999999999E-2</v>
      </c>
      <c r="D61" s="17">
        <f>1-(1-C61)^(1/12)</f>
        <v>9.2132093628904954E-4</v>
      </c>
      <c r="G61" s="15"/>
      <c r="P61" s="20"/>
      <c r="Q61" s="20"/>
    </row>
    <row r="62" spans="2:43">
      <c r="B62" s="1" t="s">
        <v>167</v>
      </c>
      <c r="C62" s="17">
        <f>Weighted_Guarantee_Charge</f>
        <v>0</v>
      </c>
      <c r="D62" s="17">
        <f>1-(1-C62)^(1/12)</f>
        <v>0</v>
      </c>
      <c r="P62" s="20"/>
      <c r="Q62" s="20"/>
    </row>
    <row r="63" spans="2:43" ht="27.75" thickBot="1">
      <c r="B63" s="185" t="s">
        <v>168</v>
      </c>
      <c r="C63" s="186">
        <v>1</v>
      </c>
    </row>
    <row r="64" spans="2:43" ht="14.25" thickBot="1">
      <c r="B64" s="1" t="s">
        <v>169</v>
      </c>
      <c r="C64" s="17">
        <f>VLOOKUP(Product_Code,Product_Parameters,3,FALSE)*Commission_Uplift_Factor</f>
        <v>0.04</v>
      </c>
      <c r="AM64" s="1" t="s">
        <v>170</v>
      </c>
      <c r="AN64" s="35" t="s">
        <v>171</v>
      </c>
      <c r="AO64" s="36">
        <f>IRR(AP79:AP678,0)</f>
        <v>4.8891443487417696E-3</v>
      </c>
      <c r="AP64" s="37">
        <f>IRR(AQ79:AQ678,0)</f>
        <v>3.7561698498291829E-3</v>
      </c>
      <c r="AQ64" s="38" t="s">
        <v>172</v>
      </c>
    </row>
    <row r="65" spans="1:48" ht="14.25" thickBot="1">
      <c r="B65" s="1" t="s">
        <v>173</v>
      </c>
      <c r="C65" s="17">
        <f>VLOOKUP(Product_Code,Product_Parameters,4,FALSE)</f>
        <v>2.5000000000000001E-3</v>
      </c>
      <c r="D65" s="17">
        <f>1-(1-C65)^(1/12)</f>
        <v>2.0857243058891584E-4</v>
      </c>
      <c r="AN65" s="39" t="s">
        <v>174</v>
      </c>
      <c r="AO65" s="40">
        <f>(1+AO64)^12-1</f>
        <v>6.027337472558969E-2</v>
      </c>
      <c r="AP65" s="41">
        <f>(1+AP64)^12-1</f>
        <v>4.6016977835501072E-2</v>
      </c>
      <c r="AQ65" s="209">
        <f>AO65-AP65</f>
        <v>1.4256396890088618E-2</v>
      </c>
    </row>
    <row r="66" spans="1:48">
      <c r="B66" s="1" t="s">
        <v>175</v>
      </c>
      <c r="C66" s="32">
        <v>0</v>
      </c>
      <c r="AO66" s="47"/>
      <c r="AP66" s="47"/>
      <c r="AQ66" s="214"/>
    </row>
    <row r="67" spans="1:48">
      <c r="B67" s="1" t="s">
        <v>176</v>
      </c>
      <c r="C67" s="197">
        <f>IFERROR(INDEX(B79:B677,MATCH(0,K80:K678,0)),"")</f>
        <v>34</v>
      </c>
      <c r="AO67" s="47"/>
      <c r="AP67" s="47"/>
      <c r="AQ67" s="214"/>
    </row>
    <row r="68" spans="1:48">
      <c r="B68" s="1" t="s">
        <v>177</v>
      </c>
      <c r="C68" s="186" t="s">
        <v>149</v>
      </c>
      <c r="AO68" s="47"/>
      <c r="AP68" s="47"/>
      <c r="AQ68" s="214"/>
    </row>
    <row r="69" spans="1:48">
      <c r="B69" s="1" t="s">
        <v>178</v>
      </c>
      <c r="C69" s="186">
        <v>0.01</v>
      </c>
      <c r="AO69" s="47"/>
      <c r="AP69" s="47"/>
      <c r="AQ69" s="214"/>
    </row>
    <row r="70" spans="1:48">
      <c r="AO70" s="47"/>
      <c r="AP70" s="47"/>
      <c r="AQ70" s="214"/>
    </row>
    <row r="71" spans="1:48" ht="14.25" thickBot="1">
      <c r="B71" s="1" t="s">
        <v>179</v>
      </c>
      <c r="C71" s="186" t="s">
        <v>149</v>
      </c>
      <c r="AO71" s="47"/>
      <c r="AP71" s="47"/>
      <c r="AQ71" s="214"/>
    </row>
    <row r="72" spans="1:48" ht="14.25" thickBot="1">
      <c r="B72" s="1" t="s">
        <v>180</v>
      </c>
      <c r="C72" s="215">
        <v>0</v>
      </c>
      <c r="E72" s="246" t="str">
        <f>IF(MOD(adj_upfront_commission/0.25%,1)=0,"","Please enter a value that is a multiple of 0.25%")</f>
        <v/>
      </c>
      <c r="F72" s="247"/>
      <c r="G72" s="247"/>
      <c r="H72" s="248"/>
      <c r="AO72" s="47"/>
      <c r="AP72" s="47"/>
      <c r="AQ72" s="214"/>
    </row>
    <row r="73" spans="1:48">
      <c r="AO73" s="47"/>
      <c r="AP73" s="47"/>
      <c r="AQ73" s="214"/>
    </row>
    <row r="74" spans="1:48">
      <c r="B74" s="1" t="s">
        <v>181</v>
      </c>
      <c r="C74" s="17" cm="1">
        <f t="array" ref="C74">_xlfn.IFS(Altered_Initial_Commission_Indicator = "No", upfront_commission,AND(Altered_Initial_Commission_Indicator = "Yes", E72 = ""), adj_upfront_commission, TRUE, NA())</f>
        <v>0.04</v>
      </c>
      <c r="AI74" s="20"/>
      <c r="AO74" s="47"/>
      <c r="AP74" s="47"/>
      <c r="AQ74" s="214"/>
    </row>
    <row r="75" spans="1:48">
      <c r="B75" s="1" t="s">
        <v>182</v>
      </c>
      <c r="C75" s="17">
        <f>1+(upfront_commission-new_upfront_commission)</f>
        <v>1</v>
      </c>
      <c r="AO75" s="47"/>
      <c r="AP75" s="47"/>
      <c r="AQ75" s="214"/>
    </row>
    <row r="76" spans="1:48">
      <c r="C76" s="73"/>
      <c r="AO76" s="47"/>
      <c r="AP76" s="47"/>
      <c r="AQ76" s="214"/>
    </row>
    <row r="77" spans="1:48">
      <c r="B77" s="2" t="s">
        <v>183</v>
      </c>
      <c r="G77" s="20"/>
      <c r="R77" s="20"/>
    </row>
    <row r="78" spans="1:48" s="3" customFormat="1">
      <c r="A78" s="3" t="s">
        <v>184</v>
      </c>
      <c r="B78" s="3" t="s">
        <v>185</v>
      </c>
      <c r="C78" s="3" t="s">
        <v>186</v>
      </c>
      <c r="D78" s="3" t="s">
        <v>187</v>
      </c>
      <c r="E78" s="3" t="s">
        <v>188</v>
      </c>
      <c r="G78" s="3" t="s">
        <v>189</v>
      </c>
      <c r="H78" s="3" t="s">
        <v>190</v>
      </c>
      <c r="I78" s="3" t="s">
        <v>191</v>
      </c>
      <c r="J78" s="3" t="s">
        <v>192</v>
      </c>
      <c r="K78" s="3" t="s">
        <v>193</v>
      </c>
      <c r="L78" s="3" t="s">
        <v>194</v>
      </c>
      <c r="M78" s="3" t="s">
        <v>195</v>
      </c>
      <c r="N78" s="3" t="s">
        <v>196</v>
      </c>
      <c r="O78" s="3" t="s">
        <v>197</v>
      </c>
      <c r="P78" s="3" t="s">
        <v>198</v>
      </c>
      <c r="Q78" s="3" t="s">
        <v>199</v>
      </c>
      <c r="R78" s="3" t="s">
        <v>200</v>
      </c>
      <c r="S78" s="3" t="s">
        <v>57</v>
      </c>
      <c r="T78" s="3" t="s">
        <v>58</v>
      </c>
      <c r="U78" s="3" t="s">
        <v>201</v>
      </c>
      <c r="V78" s="3" t="s">
        <v>202</v>
      </c>
      <c r="W78" s="3">
        <f>$B$5</f>
        <v>1</v>
      </c>
      <c r="X78" s="3">
        <f>$B$6</f>
        <v>2</v>
      </c>
      <c r="Y78" s="3">
        <f>$B$7</f>
        <v>3</v>
      </c>
      <c r="Z78" s="3">
        <f>$B$8</f>
        <v>4</v>
      </c>
      <c r="AA78" s="3">
        <f>$B$9</f>
        <v>5</v>
      </c>
      <c r="AB78" s="3">
        <f>$B$10</f>
        <v>10</v>
      </c>
      <c r="AC78" s="3">
        <f>$B$11</f>
        <v>15</v>
      </c>
      <c r="AD78" s="3">
        <v>20</v>
      </c>
      <c r="AE78" s="3">
        <v>25</v>
      </c>
      <c r="AF78" s="3">
        <v>30</v>
      </c>
      <c r="AG78" s="3">
        <v>35</v>
      </c>
      <c r="AH78" s="3">
        <v>40</v>
      </c>
      <c r="AI78" s="3" t="s">
        <v>203</v>
      </c>
      <c r="AK78" s="3" t="s">
        <v>204</v>
      </c>
      <c r="AL78" s="3" t="s">
        <v>205</v>
      </c>
      <c r="AM78" s="3" t="s">
        <v>206</v>
      </c>
      <c r="AN78" s="3" t="s">
        <v>207</v>
      </c>
      <c r="AO78" s="3" t="s">
        <v>208</v>
      </c>
      <c r="AP78" s="3" t="s">
        <v>209</v>
      </c>
      <c r="AQ78" s="3" t="s">
        <v>210</v>
      </c>
    </row>
    <row r="79" spans="1:48">
      <c r="A79" s="189">
        <f>$C$43</f>
        <v>65.804243668720048</v>
      </c>
      <c r="B79" s="49">
        <v>1</v>
      </c>
      <c r="C79" s="188">
        <v>1</v>
      </c>
      <c r="D79" s="14">
        <f t="shared" ref="D79:D142" si="14">Growth_Rate_1_Monthly</f>
        <v>4.8675505653430484E-3</v>
      </c>
      <c r="E79" s="16">
        <f t="shared" ref="E79:E142" si="15">IF(Gtee_Flag="on",1,0)</f>
        <v>0</v>
      </c>
      <c r="F79" s="127"/>
      <c r="G79" s="88">
        <f t="shared" ref="G79:G142" si="16">IF(ISERROR(VLOOKUP(Product_Code,Product_Parameters,B79+5,FALSE)),0,VLOOKUP(Product_Code,Product_Parameters,B79+5,FALSE))</f>
        <v>0.05</v>
      </c>
      <c r="H79" s="89">
        <f>IF(SinglePrem&gt;=2000000,VLOOKUP("&gt;=2000000",Default_IncomeRate_table,3,FALSE),
IF($A79&lt;71,VLOOKUP("&lt;71",Default_IncomeRate_table,3,FALSE),
IF($A79&gt;=71,VLOOKUP("&gt;=71",Default_IncomeRate_table,3,FALSE),"")))</f>
        <v>3.3333333333333335E-3</v>
      </c>
      <c r="I79" s="6">
        <f>SinglePrem</f>
        <v>100000</v>
      </c>
      <c r="J79" s="6">
        <f>I79*(new_allocation_rate-1)</f>
        <v>0</v>
      </c>
      <c r="L79" s="6">
        <f>I79+J79</f>
        <v>100000</v>
      </c>
      <c r="M79" s="6">
        <f t="shared" ref="M79:M142" si="17">(K79+L79)*D79</f>
        <v>486.75505653430486</v>
      </c>
      <c r="N79" s="6">
        <f>-(($K79+(L79)+M79/2)*(External_Fund_Charge_Monthly+Fund_Charge_Monthly+Gtee_Charge_Monthly*$E79))</f>
        <v>-113.26432734263275</v>
      </c>
      <c r="O79" s="90">
        <f t="shared" ref="O79:O142" si="18">IF(C79&gt;=Regular_Income_Start_Month,
MIN(Regular_Income_Amount/12*(1+Income_Escalation_Rate_Annual)^($B79-1),AJ79),0)</f>
        <v>333.33333333333331</v>
      </c>
      <c r="P79" s="91">
        <f t="shared" ref="P79:P142" si="19">MAX(IF(C79&gt;=Regular_Income_Start_Month,
MIN(IF(Income_Type="Fixed Percent",$C$51,0)/12*(K79+L79+M79+N79),AJ79),0),0)</f>
        <v>0</v>
      </c>
      <c r="Q79" s="6">
        <f t="shared" ref="Q79:Q142" si="20">MAX(IF(C79&gt;=Regular_Income_Start_Month,
MIN(H79*(K79+L79+M79+N79),AJ79),0),0)</f>
        <v>334.57830243063893</v>
      </c>
      <c r="R79" s="86">
        <f>-MAX(O79:Q79)</f>
        <v>-334.57830243063893</v>
      </c>
      <c r="S79" s="6">
        <f t="shared" ref="S79:S142" si="21">-(($K79+I79+M79/2+N79/2+R79/2)*(Ongoing_Commission_Monthly)+(I79)*new_upfront_commission)</f>
        <v>-4020.8613010886065</v>
      </c>
      <c r="T79" s="83">
        <f>SUM(K79:N79,R79)*$G79</f>
        <v>5001.9456213380518</v>
      </c>
      <c r="V79" s="34">
        <f>L79*D79</f>
        <v>486.75505653430486</v>
      </c>
      <c r="W79" s="1">
        <f t="shared" ref="W79:AH88" si="22">IF($B79&lt;=W$78,1,0)</f>
        <v>1</v>
      </c>
      <c r="X79" s="1">
        <f t="shared" si="22"/>
        <v>1</v>
      </c>
      <c r="Y79" s="1">
        <f t="shared" si="22"/>
        <v>1</v>
      </c>
      <c r="Z79" s="1">
        <f t="shared" si="22"/>
        <v>1</v>
      </c>
      <c r="AA79" s="1">
        <f t="shared" si="22"/>
        <v>1</v>
      </c>
      <c r="AB79" s="1">
        <f t="shared" si="22"/>
        <v>1</v>
      </c>
      <c r="AC79" s="1">
        <f t="shared" si="22"/>
        <v>1</v>
      </c>
      <c r="AD79" s="1">
        <f t="shared" si="22"/>
        <v>1</v>
      </c>
      <c r="AE79" s="1">
        <f t="shared" si="22"/>
        <v>1</v>
      </c>
      <c r="AF79" s="1">
        <f t="shared" si="22"/>
        <v>1</v>
      </c>
      <c r="AG79" s="1">
        <f t="shared" si="22"/>
        <v>1</v>
      </c>
      <c r="AH79" s="1">
        <f t="shared" si="22"/>
        <v>1</v>
      </c>
      <c r="AI79" s="44">
        <f>SUM(K79:N79,R79)</f>
        <v>100038.91242676103</v>
      </c>
      <c r="AJ79" s="44">
        <f t="shared" ref="AJ79:AJ142" si="23">MAX(0,SUM(K79:N79)-$C$66)</f>
        <v>100373.49072919168</v>
      </c>
      <c r="AK79" s="44"/>
      <c r="AL79" s="4">
        <f t="shared" ref="AL79:AL142" si="24">C79</f>
        <v>1</v>
      </c>
      <c r="AM79" s="34">
        <f>I79+K79</f>
        <v>100000</v>
      </c>
      <c r="AN79" s="82">
        <f t="shared" ref="AN79:AN142" si="25">IF(AND(B79=Fund_Zero_Year,K80=0,K79&gt;0),-U79,IF(AND(B79+1=Fund_Zero_Year,K80=0,K79&gt;0),-U79,0))</f>
        <v>0</v>
      </c>
      <c r="AO79" s="48">
        <f>0</f>
        <v>0</v>
      </c>
      <c r="AP79" s="91">
        <f>$R79+AN79+AM79</f>
        <v>99665.421697569356</v>
      </c>
      <c r="AQ79" s="91">
        <f>$R79+AO79+AM79</f>
        <v>99665.421697569356</v>
      </c>
      <c r="AV79" s="85"/>
    </row>
    <row r="80" spans="1:48">
      <c r="A80" s="190">
        <f t="shared" ref="A80:A143" si="26">$C$43+C79/12</f>
        <v>65.887577002053376</v>
      </c>
      <c r="B80" s="82">
        <f t="shared" ref="B80:B143" si="27">INT((C80-1)/12)+1</f>
        <v>1</v>
      </c>
      <c r="C80" s="83">
        <f t="shared" ref="C80:C143" si="28">C79+1</f>
        <v>2</v>
      </c>
      <c r="D80" s="14">
        <f t="shared" si="14"/>
        <v>4.8675505653430484E-3</v>
      </c>
      <c r="E80" s="16">
        <f t="shared" si="15"/>
        <v>0</v>
      </c>
      <c r="F80" s="127"/>
      <c r="G80" s="88">
        <f t="shared" si="16"/>
        <v>0.05</v>
      </c>
      <c r="H80" s="89">
        <f t="shared" ref="H80:H143" si="29">IF((K79+L79+M79+N79+R79)&gt;=2000000,VLOOKUP("&gt;=2000000",Default_IncomeRate_table,3,FALSE),
IF($A80&lt;71,VLOOKUP("&lt;71",Default_IncomeRate_table,3,FALSE),
IF($A80&gt;=71,VLOOKUP("&gt;=71",Default_IncomeRate_table,3,FALSE),"")))</f>
        <v>3.3333333333333335E-3</v>
      </c>
      <c r="I80" s="219"/>
      <c r="J80" s="219"/>
      <c r="K80" s="6">
        <f>SUM(K79:M79,N79,R79)</f>
        <v>100038.91242676103</v>
      </c>
      <c r="M80" s="6">
        <f t="shared" si="17"/>
        <v>486.94446473918435</v>
      </c>
      <c r="N80" s="6">
        <f t="shared" ref="N80:N143" si="30">-(($K80+(L80)+M80/2)*(External_Fund_Charge_Monthly+Fund_Charge_Monthly+Gtee_Charge_Monthly*$E80))+MIN(J80,0)</f>
        <v>-113.30840124105632</v>
      </c>
      <c r="O80" s="90">
        <f t="shared" si="18"/>
        <v>333.33333333333331</v>
      </c>
      <c r="P80" s="91">
        <f t="shared" si="19"/>
        <v>0</v>
      </c>
      <c r="Q80" s="6">
        <f t="shared" si="20"/>
        <v>334.70849496753056</v>
      </c>
      <c r="R80" s="86">
        <f t="shared" ref="R80:R90" si="31">-MAX(O80:Q80)</f>
        <v>-334.70849496753056</v>
      </c>
      <c r="S80" s="6">
        <f t="shared" si="21"/>
        <v>-20.869418727113917</v>
      </c>
      <c r="T80" s="83">
        <f t="shared" ref="T80:T143" si="32">SUM(K80:N80,R80)*$G80</f>
        <v>5003.8919997645817</v>
      </c>
      <c r="U80" s="34">
        <f>SUM(I79,R79,V79)</f>
        <v>100152.17675410367</v>
      </c>
      <c r="V80" s="91">
        <f t="shared" ref="V80:V143" si="33">U80*D80</f>
        <v>487.49578457977424</v>
      </c>
      <c r="W80" s="1">
        <f t="shared" si="22"/>
        <v>1</v>
      </c>
      <c r="X80" s="1">
        <f t="shared" si="22"/>
        <v>1</v>
      </c>
      <c r="Y80" s="1">
        <f t="shared" si="22"/>
        <v>1</v>
      </c>
      <c r="Z80" s="1">
        <f t="shared" si="22"/>
        <v>1</v>
      </c>
      <c r="AA80" s="1">
        <f t="shared" si="22"/>
        <v>1</v>
      </c>
      <c r="AB80" s="1">
        <f t="shared" si="22"/>
        <v>1</v>
      </c>
      <c r="AC80" s="1">
        <f t="shared" si="22"/>
        <v>1</v>
      </c>
      <c r="AD80" s="1">
        <f t="shared" si="22"/>
        <v>1</v>
      </c>
      <c r="AE80" s="1">
        <f t="shared" si="22"/>
        <v>1</v>
      </c>
      <c r="AF80" s="1">
        <f t="shared" si="22"/>
        <v>1</v>
      </c>
      <c r="AG80" s="1">
        <f t="shared" si="22"/>
        <v>1</v>
      </c>
      <c r="AH80" s="1">
        <f t="shared" si="22"/>
        <v>1</v>
      </c>
      <c r="AI80" s="44">
        <f t="shared" ref="AI80:AI143" si="34">SUM(K80:N80,R80)</f>
        <v>100077.83999529162</v>
      </c>
      <c r="AJ80" s="44">
        <f t="shared" si="23"/>
        <v>100412.54849025916</v>
      </c>
      <c r="AK80" s="44"/>
      <c r="AL80" s="4">
        <f t="shared" si="24"/>
        <v>2</v>
      </c>
      <c r="AM80" s="82">
        <f t="shared" ref="AM80:AM143" si="35">I80</f>
        <v>0</v>
      </c>
      <c r="AN80" s="82">
        <f t="shared" si="25"/>
        <v>0</v>
      </c>
      <c r="AO80" s="48">
        <f>0</f>
        <v>0</v>
      </c>
      <c r="AP80" s="91">
        <f t="shared" ref="AP80:AP143" si="36">$R80+AN80+AM80</f>
        <v>-334.70849496753056</v>
      </c>
      <c r="AQ80" s="91">
        <f t="shared" ref="AQ80:AQ143" si="37">$R80+AO80+AM80</f>
        <v>-334.70849496753056</v>
      </c>
      <c r="AV80" s="85"/>
    </row>
    <row r="81" spans="1:48">
      <c r="A81" s="190">
        <f t="shared" si="26"/>
        <v>65.970910335386719</v>
      </c>
      <c r="B81" s="82">
        <f t="shared" si="27"/>
        <v>1</v>
      </c>
      <c r="C81" s="83">
        <f t="shared" si="28"/>
        <v>3</v>
      </c>
      <c r="D81" s="14">
        <f t="shared" si="14"/>
        <v>4.8675505653430484E-3</v>
      </c>
      <c r="E81" s="16">
        <f t="shared" si="15"/>
        <v>0</v>
      </c>
      <c r="F81" s="127"/>
      <c r="G81" s="88">
        <f t="shared" si="16"/>
        <v>0.05</v>
      </c>
      <c r="H81" s="89">
        <f t="shared" si="29"/>
        <v>3.3333333333333335E-3</v>
      </c>
      <c r="I81" s="219"/>
      <c r="J81" s="219"/>
      <c r="K81" s="6">
        <f t="shared" ref="K81:K144" si="38">SUM(K80:M80,N80,R80)</f>
        <v>100077.83999529162</v>
      </c>
      <c r="M81" s="6">
        <f t="shared" si="17"/>
        <v>487.13394664739286</v>
      </c>
      <c r="N81" s="6">
        <f t="shared" si="30"/>
        <v>-113.35249228970335</v>
      </c>
      <c r="O81" s="90">
        <f t="shared" si="18"/>
        <v>333.33333333333331</v>
      </c>
      <c r="P81" s="91">
        <f t="shared" si="19"/>
        <v>0</v>
      </c>
      <c r="Q81" s="6">
        <f t="shared" si="20"/>
        <v>334.83873816549772</v>
      </c>
      <c r="R81" s="86">
        <f t="shared" si="31"/>
        <v>-334.83873816549772</v>
      </c>
      <c r="S81" s="6">
        <f t="shared" si="21"/>
        <v>-20.877539524391558</v>
      </c>
      <c r="T81" s="83">
        <f t="shared" si="32"/>
        <v>5005.8391355741905</v>
      </c>
      <c r="U81" s="91">
        <f t="shared" ref="U81:U144" si="39">IF(K81=0,0,SUM(U80,R80,V80))</f>
        <v>100304.96404371591</v>
      </c>
      <c r="V81" s="91">
        <f t="shared" si="33"/>
        <v>488.23948443770354</v>
      </c>
      <c r="W81" s="1">
        <f t="shared" si="22"/>
        <v>1</v>
      </c>
      <c r="X81" s="1">
        <f t="shared" si="22"/>
        <v>1</v>
      </c>
      <c r="Y81" s="1">
        <f t="shared" si="22"/>
        <v>1</v>
      </c>
      <c r="Z81" s="1">
        <f t="shared" si="22"/>
        <v>1</v>
      </c>
      <c r="AA81" s="1">
        <f t="shared" si="22"/>
        <v>1</v>
      </c>
      <c r="AB81" s="1">
        <f t="shared" si="22"/>
        <v>1</v>
      </c>
      <c r="AC81" s="1">
        <f t="shared" si="22"/>
        <v>1</v>
      </c>
      <c r="AD81" s="1">
        <f t="shared" si="22"/>
        <v>1</v>
      </c>
      <c r="AE81" s="1">
        <f t="shared" si="22"/>
        <v>1</v>
      </c>
      <c r="AF81" s="1">
        <f t="shared" si="22"/>
        <v>1</v>
      </c>
      <c r="AG81" s="1">
        <f t="shared" si="22"/>
        <v>1</v>
      </c>
      <c r="AH81" s="1">
        <f t="shared" si="22"/>
        <v>1</v>
      </c>
      <c r="AI81" s="44">
        <f t="shared" si="34"/>
        <v>100116.7827114838</v>
      </c>
      <c r="AJ81" s="44">
        <f t="shared" si="23"/>
        <v>100451.6214496493</v>
      </c>
      <c r="AK81" s="44"/>
      <c r="AL81" s="4">
        <f t="shared" si="24"/>
        <v>3</v>
      </c>
      <c r="AM81" s="82">
        <f t="shared" si="35"/>
        <v>0</v>
      </c>
      <c r="AN81" s="82">
        <f t="shared" si="25"/>
        <v>0</v>
      </c>
      <c r="AO81" s="48">
        <f>0</f>
        <v>0</v>
      </c>
      <c r="AP81" s="91">
        <f t="shared" si="36"/>
        <v>-334.83873816549772</v>
      </c>
      <c r="AQ81" s="91">
        <f t="shared" si="37"/>
        <v>-334.83873816549772</v>
      </c>
      <c r="AV81" s="85"/>
    </row>
    <row r="82" spans="1:48">
      <c r="A82" s="190">
        <f t="shared" si="26"/>
        <v>66.054243668720048</v>
      </c>
      <c r="B82" s="82">
        <f t="shared" si="27"/>
        <v>1</v>
      </c>
      <c r="C82" s="83">
        <f t="shared" si="28"/>
        <v>4</v>
      </c>
      <c r="D82" s="14">
        <f t="shared" si="14"/>
        <v>4.8675505653430484E-3</v>
      </c>
      <c r="E82" s="16">
        <f t="shared" si="15"/>
        <v>0</v>
      </c>
      <c r="F82" s="127"/>
      <c r="G82" s="88">
        <f t="shared" si="16"/>
        <v>0.05</v>
      </c>
      <c r="H82" s="89">
        <f t="shared" si="29"/>
        <v>3.3333333333333335E-3</v>
      </c>
      <c r="I82" s="219"/>
      <c r="J82" s="219"/>
      <c r="K82" s="6">
        <f t="shared" si="38"/>
        <v>100116.7827114838</v>
      </c>
      <c r="M82" s="6">
        <f t="shared" si="17"/>
        <v>487.3235022876101</v>
      </c>
      <c r="N82" s="6">
        <f t="shared" si="30"/>
        <v>-113.39660049524737</v>
      </c>
      <c r="O82" s="90">
        <f t="shared" si="18"/>
        <v>333.33333333333331</v>
      </c>
      <c r="P82" s="91">
        <f t="shared" si="19"/>
        <v>0</v>
      </c>
      <c r="Q82" s="6">
        <f t="shared" si="20"/>
        <v>334.96903204425388</v>
      </c>
      <c r="R82" s="86">
        <f t="shared" si="31"/>
        <v>-334.96903204425388</v>
      </c>
      <c r="S82" s="6">
        <f t="shared" si="21"/>
        <v>-20.885663481668491</v>
      </c>
      <c r="T82" s="83">
        <f t="shared" si="32"/>
        <v>5007.7870290615947</v>
      </c>
      <c r="U82" s="91">
        <f t="shared" si="39"/>
        <v>100458.3647899881</v>
      </c>
      <c r="V82" s="91">
        <f t="shared" si="33"/>
        <v>488.98617032694477</v>
      </c>
      <c r="W82" s="1">
        <f t="shared" si="22"/>
        <v>1</v>
      </c>
      <c r="X82" s="1">
        <f t="shared" si="22"/>
        <v>1</v>
      </c>
      <c r="Y82" s="1">
        <f t="shared" si="22"/>
        <v>1</v>
      </c>
      <c r="Z82" s="1">
        <f t="shared" si="22"/>
        <v>1</v>
      </c>
      <c r="AA82" s="1">
        <f t="shared" si="22"/>
        <v>1</v>
      </c>
      <c r="AB82" s="1">
        <f t="shared" si="22"/>
        <v>1</v>
      </c>
      <c r="AC82" s="1">
        <f t="shared" si="22"/>
        <v>1</v>
      </c>
      <c r="AD82" s="1">
        <f t="shared" si="22"/>
        <v>1</v>
      </c>
      <c r="AE82" s="1">
        <f t="shared" si="22"/>
        <v>1</v>
      </c>
      <c r="AF82" s="1">
        <f t="shared" si="22"/>
        <v>1</v>
      </c>
      <c r="AG82" s="1">
        <f t="shared" si="22"/>
        <v>1</v>
      </c>
      <c r="AH82" s="1">
        <f t="shared" si="22"/>
        <v>1</v>
      </c>
      <c r="AI82" s="44">
        <f t="shared" si="34"/>
        <v>100155.74058123189</v>
      </c>
      <c r="AJ82" s="44">
        <f t="shared" si="23"/>
        <v>100490.70961327615</v>
      </c>
      <c r="AK82" s="44"/>
      <c r="AL82" s="4">
        <f t="shared" si="24"/>
        <v>4</v>
      </c>
      <c r="AM82" s="82">
        <f t="shared" si="35"/>
        <v>0</v>
      </c>
      <c r="AN82" s="82">
        <f t="shared" si="25"/>
        <v>0</v>
      </c>
      <c r="AO82" s="48">
        <f>0</f>
        <v>0</v>
      </c>
      <c r="AP82" s="91">
        <f t="shared" si="36"/>
        <v>-334.96903204425388</v>
      </c>
      <c r="AQ82" s="91">
        <f t="shared" si="37"/>
        <v>-334.96903204425388</v>
      </c>
      <c r="AV82" s="85"/>
    </row>
    <row r="83" spans="1:48">
      <c r="A83" s="190">
        <f t="shared" si="26"/>
        <v>66.137577002053376</v>
      </c>
      <c r="B83" s="82">
        <f t="shared" si="27"/>
        <v>1</v>
      </c>
      <c r="C83" s="83">
        <f t="shared" si="28"/>
        <v>5</v>
      </c>
      <c r="D83" s="14">
        <f t="shared" si="14"/>
        <v>4.8675505653430484E-3</v>
      </c>
      <c r="E83" s="16">
        <f t="shared" si="15"/>
        <v>0</v>
      </c>
      <c r="F83" s="127"/>
      <c r="G83" s="88">
        <f t="shared" si="16"/>
        <v>0.05</v>
      </c>
      <c r="H83" s="89">
        <f t="shared" si="29"/>
        <v>3.3333333333333335E-3</v>
      </c>
      <c r="I83" s="219"/>
      <c r="J83" s="219"/>
      <c r="K83" s="6">
        <f t="shared" si="38"/>
        <v>100155.74058123189</v>
      </c>
      <c r="M83" s="6">
        <f t="shared" si="17"/>
        <v>487.51313168852698</v>
      </c>
      <c r="N83" s="6">
        <f t="shared" si="30"/>
        <v>-113.44072586436455</v>
      </c>
      <c r="O83" s="90">
        <f t="shared" si="18"/>
        <v>333.33333333333331</v>
      </c>
      <c r="P83" s="91">
        <f t="shared" si="19"/>
        <v>0</v>
      </c>
      <c r="Q83" s="6">
        <f t="shared" si="20"/>
        <v>335.09937662352019</v>
      </c>
      <c r="R83" s="86">
        <f t="shared" si="31"/>
        <v>-335.09937662352019</v>
      </c>
      <c r="S83" s="6">
        <f t="shared" si="21"/>
        <v>-20.893790600174345</v>
      </c>
      <c r="T83" s="83">
        <f t="shared" si="32"/>
        <v>5009.7356805216268</v>
      </c>
      <c r="U83" s="91">
        <f t="shared" si="39"/>
        <v>100612.38192827078</v>
      </c>
      <c r="V83" s="91">
        <f t="shared" si="33"/>
        <v>489.73585653546519</v>
      </c>
      <c r="W83" s="1">
        <f t="shared" si="22"/>
        <v>1</v>
      </c>
      <c r="X83" s="1">
        <f t="shared" si="22"/>
        <v>1</v>
      </c>
      <c r="Y83" s="1">
        <f t="shared" si="22"/>
        <v>1</v>
      </c>
      <c r="Z83" s="1">
        <f t="shared" si="22"/>
        <v>1</v>
      </c>
      <c r="AA83" s="1">
        <f t="shared" si="22"/>
        <v>1</v>
      </c>
      <c r="AB83" s="1">
        <f t="shared" si="22"/>
        <v>1</v>
      </c>
      <c r="AC83" s="1">
        <f t="shared" si="22"/>
        <v>1</v>
      </c>
      <c r="AD83" s="1">
        <f t="shared" si="22"/>
        <v>1</v>
      </c>
      <c r="AE83" s="1">
        <f t="shared" si="22"/>
        <v>1</v>
      </c>
      <c r="AF83" s="1">
        <f t="shared" si="22"/>
        <v>1</v>
      </c>
      <c r="AG83" s="1">
        <f t="shared" si="22"/>
        <v>1</v>
      </c>
      <c r="AH83" s="1">
        <f t="shared" si="22"/>
        <v>1</v>
      </c>
      <c r="AI83" s="44">
        <f t="shared" si="34"/>
        <v>100194.71361043253</v>
      </c>
      <c r="AJ83" s="44">
        <f t="shared" si="23"/>
        <v>100529.81298705605</v>
      </c>
      <c r="AK83" s="44"/>
      <c r="AL83" s="4">
        <f t="shared" si="24"/>
        <v>5</v>
      </c>
      <c r="AM83" s="82">
        <f t="shared" si="35"/>
        <v>0</v>
      </c>
      <c r="AN83" s="82">
        <f t="shared" si="25"/>
        <v>0</v>
      </c>
      <c r="AO83" s="48">
        <f>0</f>
        <v>0</v>
      </c>
      <c r="AP83" s="91">
        <f t="shared" si="36"/>
        <v>-335.09937662352019</v>
      </c>
      <c r="AQ83" s="91">
        <f t="shared" si="37"/>
        <v>-335.09937662352019</v>
      </c>
      <c r="AV83" s="85"/>
    </row>
    <row r="84" spans="1:48">
      <c r="A84" s="190">
        <f t="shared" si="26"/>
        <v>66.220910335386719</v>
      </c>
      <c r="B84" s="82">
        <f t="shared" si="27"/>
        <v>1</v>
      </c>
      <c r="C84" s="83">
        <f t="shared" si="28"/>
        <v>6</v>
      </c>
      <c r="D84" s="14">
        <f t="shared" si="14"/>
        <v>4.8675505653430484E-3</v>
      </c>
      <c r="E84" s="16">
        <f t="shared" si="15"/>
        <v>0</v>
      </c>
      <c r="F84" s="127"/>
      <c r="G84" s="88">
        <f t="shared" si="16"/>
        <v>0.05</v>
      </c>
      <c r="H84" s="89">
        <f t="shared" si="29"/>
        <v>3.3333333333333335E-3</v>
      </c>
      <c r="I84" s="219"/>
      <c r="J84" s="219"/>
      <c r="K84" s="6">
        <f t="shared" si="38"/>
        <v>100194.71361043253</v>
      </c>
      <c r="M84" s="6">
        <f t="shared" si="17"/>
        <v>487.70283487884569</v>
      </c>
      <c r="N84" s="6">
        <f t="shared" si="30"/>
        <v>-113.48486840373371</v>
      </c>
      <c r="O84" s="90">
        <f t="shared" si="18"/>
        <v>333.33333333333331</v>
      </c>
      <c r="P84" s="91">
        <f t="shared" si="19"/>
        <v>0</v>
      </c>
      <c r="Q84" s="6">
        <f t="shared" si="20"/>
        <v>335.22977192302551</v>
      </c>
      <c r="R84" s="86">
        <f t="shared" si="31"/>
        <v>-335.22977192302551</v>
      </c>
      <c r="S84" s="6">
        <f t="shared" si="21"/>
        <v>-20.901920881139244</v>
      </c>
      <c r="T84" s="83">
        <f t="shared" si="32"/>
        <v>5011.6850902492315</v>
      </c>
      <c r="U84" s="91">
        <f t="shared" si="39"/>
        <v>100767.01840818273</v>
      </c>
      <c r="V84" s="91">
        <f t="shared" si="33"/>
        <v>490.48855742068321</v>
      </c>
      <c r="W84" s="1">
        <f t="shared" si="22"/>
        <v>1</v>
      </c>
      <c r="X84" s="1">
        <f t="shared" si="22"/>
        <v>1</v>
      </c>
      <c r="Y84" s="1">
        <f t="shared" si="22"/>
        <v>1</v>
      </c>
      <c r="Z84" s="1">
        <f t="shared" si="22"/>
        <v>1</v>
      </c>
      <c r="AA84" s="1">
        <f t="shared" si="22"/>
        <v>1</v>
      </c>
      <c r="AB84" s="1">
        <f t="shared" si="22"/>
        <v>1</v>
      </c>
      <c r="AC84" s="1">
        <f t="shared" si="22"/>
        <v>1</v>
      </c>
      <c r="AD84" s="1">
        <f t="shared" si="22"/>
        <v>1</v>
      </c>
      <c r="AE84" s="1">
        <f t="shared" si="22"/>
        <v>1</v>
      </c>
      <c r="AF84" s="1">
        <f t="shared" si="22"/>
        <v>1</v>
      </c>
      <c r="AG84" s="1">
        <f t="shared" si="22"/>
        <v>1</v>
      </c>
      <c r="AH84" s="1">
        <f t="shared" si="22"/>
        <v>1</v>
      </c>
      <c r="AI84" s="44">
        <f t="shared" si="34"/>
        <v>100233.70180498462</v>
      </c>
      <c r="AJ84" s="44">
        <f t="shared" si="23"/>
        <v>100568.93157690765</v>
      </c>
      <c r="AK84" s="44"/>
      <c r="AL84" s="4">
        <f t="shared" si="24"/>
        <v>6</v>
      </c>
      <c r="AM84" s="82">
        <f t="shared" si="35"/>
        <v>0</v>
      </c>
      <c r="AN84" s="82">
        <f t="shared" si="25"/>
        <v>0</v>
      </c>
      <c r="AO84" s="48">
        <f>0</f>
        <v>0</v>
      </c>
      <c r="AP84" s="91">
        <f t="shared" si="36"/>
        <v>-335.22977192302551</v>
      </c>
      <c r="AQ84" s="91">
        <f t="shared" si="37"/>
        <v>-335.22977192302551</v>
      </c>
      <c r="AV84" s="85"/>
    </row>
    <row r="85" spans="1:48">
      <c r="A85" s="190">
        <f t="shared" si="26"/>
        <v>66.304243668720048</v>
      </c>
      <c r="B85" s="82">
        <f t="shared" si="27"/>
        <v>1</v>
      </c>
      <c r="C85" s="83">
        <f t="shared" si="28"/>
        <v>7</v>
      </c>
      <c r="D85" s="14">
        <f t="shared" si="14"/>
        <v>4.8675505653430484E-3</v>
      </c>
      <c r="E85" s="16">
        <f t="shared" si="15"/>
        <v>0</v>
      </c>
      <c r="F85" s="127"/>
      <c r="G85" s="88">
        <f t="shared" si="16"/>
        <v>0.05</v>
      </c>
      <c r="H85" s="89">
        <f t="shared" si="29"/>
        <v>3.3333333333333335E-3</v>
      </c>
      <c r="I85" s="219"/>
      <c r="J85" s="219"/>
      <c r="K85" s="6">
        <f t="shared" si="38"/>
        <v>100233.70180498462</v>
      </c>
      <c r="M85" s="6">
        <f t="shared" si="17"/>
        <v>487.89261188727943</v>
      </c>
      <c r="N85" s="6">
        <f t="shared" si="30"/>
        <v>-113.52902812003617</v>
      </c>
      <c r="O85" s="90">
        <f t="shared" si="18"/>
        <v>333.33333333333331</v>
      </c>
      <c r="P85" s="91">
        <f t="shared" si="19"/>
        <v>0</v>
      </c>
      <c r="Q85" s="6">
        <f t="shared" si="20"/>
        <v>335.36021796250623</v>
      </c>
      <c r="R85" s="86">
        <f t="shared" si="31"/>
        <v>-335.36021796250623</v>
      </c>
      <c r="S85" s="6">
        <f t="shared" si="21"/>
        <v>-20.910054325793762</v>
      </c>
      <c r="T85" s="83">
        <f t="shared" si="32"/>
        <v>5013.6352585394679</v>
      </c>
      <c r="U85" s="91">
        <f t="shared" si="39"/>
        <v>100922.27719368039</v>
      </c>
      <c r="V85" s="91">
        <f t="shared" si="33"/>
        <v>491.24428740980682</v>
      </c>
      <c r="W85" s="1">
        <f t="shared" si="22"/>
        <v>1</v>
      </c>
      <c r="X85" s="1">
        <f t="shared" si="22"/>
        <v>1</v>
      </c>
      <c r="Y85" s="1">
        <f t="shared" si="22"/>
        <v>1</v>
      </c>
      <c r="Z85" s="1">
        <f t="shared" si="22"/>
        <v>1</v>
      </c>
      <c r="AA85" s="1">
        <f t="shared" si="22"/>
        <v>1</v>
      </c>
      <c r="AB85" s="1">
        <f t="shared" si="22"/>
        <v>1</v>
      </c>
      <c r="AC85" s="1">
        <f t="shared" si="22"/>
        <v>1</v>
      </c>
      <c r="AD85" s="1">
        <f t="shared" si="22"/>
        <v>1</v>
      </c>
      <c r="AE85" s="1">
        <f t="shared" si="22"/>
        <v>1</v>
      </c>
      <c r="AF85" s="1">
        <f t="shared" si="22"/>
        <v>1</v>
      </c>
      <c r="AG85" s="1">
        <f t="shared" si="22"/>
        <v>1</v>
      </c>
      <c r="AH85" s="1">
        <f t="shared" si="22"/>
        <v>1</v>
      </c>
      <c r="AI85" s="44">
        <f t="shared" si="34"/>
        <v>100272.70517078936</v>
      </c>
      <c r="AJ85" s="44">
        <f t="shared" si="23"/>
        <v>100608.06538875186</v>
      </c>
      <c r="AK85" s="44"/>
      <c r="AL85" s="4">
        <f t="shared" si="24"/>
        <v>7</v>
      </c>
      <c r="AM85" s="82">
        <f t="shared" si="35"/>
        <v>0</v>
      </c>
      <c r="AN85" s="82">
        <f t="shared" si="25"/>
        <v>0</v>
      </c>
      <c r="AO85" s="48">
        <f>0</f>
        <v>0</v>
      </c>
      <c r="AP85" s="91">
        <f t="shared" si="36"/>
        <v>-335.36021796250623</v>
      </c>
      <c r="AQ85" s="91">
        <f t="shared" si="37"/>
        <v>-335.36021796250623</v>
      </c>
      <c r="AV85" s="85"/>
    </row>
    <row r="86" spans="1:48">
      <c r="A86" s="190">
        <f t="shared" si="26"/>
        <v>66.387577002053376</v>
      </c>
      <c r="B86" s="82">
        <f t="shared" si="27"/>
        <v>1</v>
      </c>
      <c r="C86" s="83">
        <f t="shared" si="28"/>
        <v>8</v>
      </c>
      <c r="D86" s="14">
        <f t="shared" si="14"/>
        <v>4.8675505653430484E-3</v>
      </c>
      <c r="E86" s="16">
        <f t="shared" si="15"/>
        <v>0</v>
      </c>
      <c r="F86" s="127"/>
      <c r="G86" s="88">
        <f t="shared" si="16"/>
        <v>0.05</v>
      </c>
      <c r="H86" s="89">
        <f t="shared" si="29"/>
        <v>3.3333333333333335E-3</v>
      </c>
      <c r="I86" s="219"/>
      <c r="J86" s="219"/>
      <c r="K86" s="6">
        <f t="shared" si="38"/>
        <v>100272.70517078936</v>
      </c>
      <c r="M86" s="6">
        <f t="shared" si="17"/>
        <v>488.08246274255254</v>
      </c>
      <c r="N86" s="6">
        <f t="shared" si="30"/>
        <v>-113.57320501995588</v>
      </c>
      <c r="O86" s="90">
        <f t="shared" si="18"/>
        <v>333.33333333333331</v>
      </c>
      <c r="P86" s="91">
        <f t="shared" si="19"/>
        <v>0</v>
      </c>
      <c r="Q86" s="6">
        <f t="shared" si="20"/>
        <v>335.4907147617065</v>
      </c>
      <c r="R86" s="86">
        <f t="shared" si="31"/>
        <v>-335.4907147617065</v>
      </c>
      <c r="S86" s="6">
        <f t="shared" si="21"/>
        <v>-20.91819093536898</v>
      </c>
      <c r="T86" s="83">
        <f t="shared" si="32"/>
        <v>5015.5861856875126</v>
      </c>
      <c r="U86" s="91">
        <f t="shared" si="39"/>
        <v>101078.16126312769</v>
      </c>
      <c r="V86" s="91">
        <f t="shared" si="33"/>
        <v>492.00306100017303</v>
      </c>
      <c r="W86" s="1">
        <f t="shared" si="22"/>
        <v>1</v>
      </c>
      <c r="X86" s="1">
        <f t="shared" si="22"/>
        <v>1</v>
      </c>
      <c r="Y86" s="1">
        <f t="shared" si="22"/>
        <v>1</v>
      </c>
      <c r="Z86" s="1">
        <f t="shared" si="22"/>
        <v>1</v>
      </c>
      <c r="AA86" s="1">
        <f t="shared" si="22"/>
        <v>1</v>
      </c>
      <c r="AB86" s="1">
        <f t="shared" si="22"/>
        <v>1</v>
      </c>
      <c r="AC86" s="1">
        <f t="shared" si="22"/>
        <v>1</v>
      </c>
      <c r="AD86" s="1">
        <f t="shared" si="22"/>
        <v>1</v>
      </c>
      <c r="AE86" s="1">
        <f t="shared" si="22"/>
        <v>1</v>
      </c>
      <c r="AF86" s="1">
        <f t="shared" si="22"/>
        <v>1</v>
      </c>
      <c r="AG86" s="1">
        <f t="shared" si="22"/>
        <v>1</v>
      </c>
      <c r="AH86" s="1">
        <f t="shared" si="22"/>
        <v>1</v>
      </c>
      <c r="AI86" s="44">
        <f t="shared" si="34"/>
        <v>100311.72371375024</v>
      </c>
      <c r="AJ86" s="44">
        <f t="shared" si="23"/>
        <v>100647.21442851194</v>
      </c>
      <c r="AK86" s="44"/>
      <c r="AL86" s="4">
        <f t="shared" si="24"/>
        <v>8</v>
      </c>
      <c r="AM86" s="82">
        <f t="shared" si="35"/>
        <v>0</v>
      </c>
      <c r="AN86" s="82">
        <f t="shared" si="25"/>
        <v>0</v>
      </c>
      <c r="AO86" s="48">
        <f>0</f>
        <v>0</v>
      </c>
      <c r="AP86" s="91">
        <f t="shared" si="36"/>
        <v>-335.4907147617065</v>
      </c>
      <c r="AQ86" s="91">
        <f t="shared" si="37"/>
        <v>-335.4907147617065</v>
      </c>
      <c r="AV86" s="85"/>
    </row>
    <row r="87" spans="1:48">
      <c r="A87" s="190">
        <f t="shared" si="26"/>
        <v>66.470910335386719</v>
      </c>
      <c r="B87" s="82">
        <f t="shared" si="27"/>
        <v>1</v>
      </c>
      <c r="C87" s="83">
        <f t="shared" si="28"/>
        <v>9</v>
      </c>
      <c r="D87" s="14">
        <f t="shared" si="14"/>
        <v>4.8675505653430484E-3</v>
      </c>
      <c r="E87" s="16">
        <f t="shared" si="15"/>
        <v>0</v>
      </c>
      <c r="F87" s="127"/>
      <c r="G87" s="88">
        <f t="shared" si="16"/>
        <v>0.05</v>
      </c>
      <c r="H87" s="89">
        <f t="shared" si="29"/>
        <v>3.3333333333333335E-3</v>
      </c>
      <c r="I87" s="219"/>
      <c r="J87" s="219"/>
      <c r="K87" s="6">
        <f t="shared" si="38"/>
        <v>100311.72371375024</v>
      </c>
      <c r="M87" s="6">
        <f t="shared" si="17"/>
        <v>488.27238747340067</v>
      </c>
      <c r="N87" s="6">
        <f t="shared" si="30"/>
        <v>-113.61739911017943</v>
      </c>
      <c r="O87" s="90">
        <f t="shared" si="18"/>
        <v>333.33333333333331</v>
      </c>
      <c r="P87" s="91">
        <f t="shared" si="19"/>
        <v>0</v>
      </c>
      <c r="Q87" s="6">
        <f t="shared" si="20"/>
        <v>335.62126234037822</v>
      </c>
      <c r="R87" s="86">
        <f t="shared" si="31"/>
        <v>-335.62126234037822</v>
      </c>
      <c r="S87" s="6">
        <f t="shared" si="21"/>
        <v>-20.92633071109644</v>
      </c>
      <c r="T87" s="83">
        <f t="shared" si="32"/>
        <v>5017.5378719886539</v>
      </c>
      <c r="U87" s="91">
        <f t="shared" si="39"/>
        <v>101234.67360936616</v>
      </c>
      <c r="V87" s="91">
        <f t="shared" si="33"/>
        <v>492.76489275958926</v>
      </c>
      <c r="W87" s="1">
        <f t="shared" si="22"/>
        <v>1</v>
      </c>
      <c r="X87" s="1">
        <f t="shared" si="22"/>
        <v>1</v>
      </c>
      <c r="Y87" s="1">
        <f t="shared" si="22"/>
        <v>1</v>
      </c>
      <c r="Z87" s="1">
        <f t="shared" si="22"/>
        <v>1</v>
      </c>
      <c r="AA87" s="1">
        <f t="shared" si="22"/>
        <v>1</v>
      </c>
      <c r="AB87" s="1">
        <f t="shared" si="22"/>
        <v>1</v>
      </c>
      <c r="AC87" s="1">
        <f t="shared" si="22"/>
        <v>1</v>
      </c>
      <c r="AD87" s="1">
        <f t="shared" si="22"/>
        <v>1</v>
      </c>
      <c r="AE87" s="1">
        <f t="shared" si="22"/>
        <v>1</v>
      </c>
      <c r="AF87" s="1">
        <f t="shared" si="22"/>
        <v>1</v>
      </c>
      <c r="AG87" s="1">
        <f t="shared" si="22"/>
        <v>1</v>
      </c>
      <c r="AH87" s="1">
        <f t="shared" si="22"/>
        <v>1</v>
      </c>
      <c r="AI87" s="44">
        <f t="shared" si="34"/>
        <v>100350.75743977308</v>
      </c>
      <c r="AJ87" s="44">
        <f t="shared" si="23"/>
        <v>100686.37870211346</v>
      </c>
      <c r="AK87" s="44"/>
      <c r="AL87" s="4">
        <f t="shared" si="24"/>
        <v>9</v>
      </c>
      <c r="AM87" s="82">
        <f t="shared" si="35"/>
        <v>0</v>
      </c>
      <c r="AN87" s="82">
        <f t="shared" si="25"/>
        <v>0</v>
      </c>
      <c r="AO87" s="48">
        <f>0</f>
        <v>0</v>
      </c>
      <c r="AP87" s="91">
        <f t="shared" si="36"/>
        <v>-335.62126234037822</v>
      </c>
      <c r="AQ87" s="91">
        <f t="shared" si="37"/>
        <v>-335.62126234037822</v>
      </c>
      <c r="AV87" s="85"/>
    </row>
    <row r="88" spans="1:48">
      <c r="A88" s="190">
        <f t="shared" si="26"/>
        <v>66.554243668720048</v>
      </c>
      <c r="B88" s="82">
        <f t="shared" si="27"/>
        <v>1</v>
      </c>
      <c r="C88" s="83">
        <f t="shared" si="28"/>
        <v>10</v>
      </c>
      <c r="D88" s="14">
        <f t="shared" si="14"/>
        <v>4.8675505653430484E-3</v>
      </c>
      <c r="E88" s="16">
        <f t="shared" si="15"/>
        <v>0</v>
      </c>
      <c r="F88" s="127"/>
      <c r="G88" s="88">
        <f t="shared" si="16"/>
        <v>0.05</v>
      </c>
      <c r="H88" s="89">
        <f t="shared" si="29"/>
        <v>3.3333333333333335E-3</v>
      </c>
      <c r="I88" s="219"/>
      <c r="J88" s="219"/>
      <c r="K88" s="6">
        <f t="shared" si="38"/>
        <v>100350.75743977308</v>
      </c>
      <c r="M88" s="6">
        <f t="shared" si="17"/>
        <v>488.46238610857057</v>
      </c>
      <c r="N88" s="6">
        <f t="shared" si="30"/>
        <v>-113.66161039739596</v>
      </c>
      <c r="O88" s="90">
        <f t="shared" si="18"/>
        <v>333.33333333333331</v>
      </c>
      <c r="P88" s="91">
        <f t="shared" si="19"/>
        <v>0</v>
      </c>
      <c r="Q88" s="6">
        <f t="shared" si="20"/>
        <v>335.75186071828085</v>
      </c>
      <c r="R88" s="86">
        <f t="shared" si="31"/>
        <v>-335.75186071828085</v>
      </c>
      <c r="S88" s="6">
        <f t="shared" si="21"/>
        <v>-20.934473654208162</v>
      </c>
      <c r="T88" s="83">
        <f t="shared" si="32"/>
        <v>5019.4903177382985</v>
      </c>
      <c r="U88" s="91">
        <f t="shared" si="39"/>
        <v>101391.81723978536</v>
      </c>
      <c r="V88" s="91">
        <f t="shared" si="33"/>
        <v>493.52979732667626</v>
      </c>
      <c r="W88" s="1">
        <f t="shared" si="22"/>
        <v>1</v>
      </c>
      <c r="X88" s="1">
        <f t="shared" si="22"/>
        <v>1</v>
      </c>
      <c r="Y88" s="1">
        <f t="shared" si="22"/>
        <v>1</v>
      </c>
      <c r="Z88" s="1">
        <f t="shared" si="22"/>
        <v>1</v>
      </c>
      <c r="AA88" s="1">
        <f t="shared" si="22"/>
        <v>1</v>
      </c>
      <c r="AB88" s="1">
        <f t="shared" si="22"/>
        <v>1</v>
      </c>
      <c r="AC88" s="1">
        <f t="shared" si="22"/>
        <v>1</v>
      </c>
      <c r="AD88" s="1">
        <f t="shared" si="22"/>
        <v>1</v>
      </c>
      <c r="AE88" s="1">
        <f t="shared" si="22"/>
        <v>1</v>
      </c>
      <c r="AF88" s="1">
        <f t="shared" si="22"/>
        <v>1</v>
      </c>
      <c r="AG88" s="1">
        <f t="shared" si="22"/>
        <v>1</v>
      </c>
      <c r="AH88" s="1">
        <f t="shared" si="22"/>
        <v>1</v>
      </c>
      <c r="AI88" s="44">
        <f t="shared" si="34"/>
        <v>100389.80635476597</v>
      </c>
      <c r="AJ88" s="44">
        <f t="shared" si="23"/>
        <v>100725.55821548426</v>
      </c>
      <c r="AK88" s="44"/>
      <c r="AL88" s="4">
        <f t="shared" si="24"/>
        <v>10</v>
      </c>
      <c r="AM88" s="82">
        <f t="shared" si="35"/>
        <v>0</v>
      </c>
      <c r="AN88" s="82">
        <f t="shared" si="25"/>
        <v>0</v>
      </c>
      <c r="AO88" s="48">
        <f>0</f>
        <v>0</v>
      </c>
      <c r="AP88" s="91">
        <f t="shared" si="36"/>
        <v>-335.75186071828085</v>
      </c>
      <c r="AQ88" s="91">
        <f t="shared" si="37"/>
        <v>-335.75186071828085</v>
      </c>
      <c r="AV88" s="85"/>
    </row>
    <row r="89" spans="1:48">
      <c r="A89" s="190">
        <f t="shared" si="26"/>
        <v>66.637577002053376</v>
      </c>
      <c r="B89" s="82">
        <f t="shared" si="27"/>
        <v>1</v>
      </c>
      <c r="C89" s="83">
        <f t="shared" si="28"/>
        <v>11</v>
      </c>
      <c r="D89" s="14">
        <f t="shared" si="14"/>
        <v>4.8675505653430484E-3</v>
      </c>
      <c r="E89" s="16">
        <f t="shared" si="15"/>
        <v>0</v>
      </c>
      <c r="F89" s="127"/>
      <c r="G89" s="88">
        <f t="shared" si="16"/>
        <v>0.05</v>
      </c>
      <c r="H89" s="89">
        <f t="shared" si="29"/>
        <v>3.3333333333333335E-3</v>
      </c>
      <c r="I89" s="219"/>
      <c r="J89" s="219"/>
      <c r="K89" s="6">
        <f t="shared" si="38"/>
        <v>100389.80635476597</v>
      </c>
      <c r="M89" s="6">
        <f t="shared" si="17"/>
        <v>488.65245867682023</v>
      </c>
      <c r="N89" s="6">
        <f t="shared" si="30"/>
        <v>-113.70583888829725</v>
      </c>
      <c r="O89" s="90">
        <f t="shared" si="18"/>
        <v>333.33333333333331</v>
      </c>
      <c r="P89" s="91">
        <f t="shared" si="19"/>
        <v>0</v>
      </c>
      <c r="Q89" s="6">
        <f t="shared" si="20"/>
        <v>335.88250991518163</v>
      </c>
      <c r="R89" s="86">
        <f t="shared" si="31"/>
        <v>-335.88250991518163</v>
      </c>
      <c r="S89" s="6">
        <f t="shared" si="21"/>
        <v>-20.942619765936662</v>
      </c>
      <c r="T89" s="83">
        <f t="shared" si="32"/>
        <v>5021.4435232319656</v>
      </c>
      <c r="U89" s="91">
        <f t="shared" si="39"/>
        <v>101549.59517639375</v>
      </c>
      <c r="V89" s="91">
        <f t="shared" si="33"/>
        <v>494.2977894112131</v>
      </c>
      <c r="W89" s="1">
        <f t="shared" ref="W89:AH98" si="40">IF($B89&lt;=W$78,1,0)</f>
        <v>1</v>
      </c>
      <c r="X89" s="1">
        <f t="shared" si="40"/>
        <v>1</v>
      </c>
      <c r="Y89" s="1">
        <f t="shared" si="40"/>
        <v>1</v>
      </c>
      <c r="Z89" s="1">
        <f t="shared" si="40"/>
        <v>1</v>
      </c>
      <c r="AA89" s="1">
        <f t="shared" si="40"/>
        <v>1</v>
      </c>
      <c r="AB89" s="1">
        <f t="shared" si="40"/>
        <v>1</v>
      </c>
      <c r="AC89" s="1">
        <f t="shared" si="40"/>
        <v>1</v>
      </c>
      <c r="AD89" s="1">
        <f t="shared" si="40"/>
        <v>1</v>
      </c>
      <c r="AE89" s="1">
        <f t="shared" si="40"/>
        <v>1</v>
      </c>
      <c r="AF89" s="1">
        <f t="shared" si="40"/>
        <v>1</v>
      </c>
      <c r="AG89" s="1">
        <f t="shared" si="40"/>
        <v>1</v>
      </c>
      <c r="AH89" s="1">
        <f t="shared" si="40"/>
        <v>1</v>
      </c>
      <c r="AI89" s="44">
        <f t="shared" si="34"/>
        <v>100428.8704646393</v>
      </c>
      <c r="AJ89" s="44">
        <f t="shared" si="23"/>
        <v>100764.75297455449</v>
      </c>
      <c r="AK89" s="44"/>
      <c r="AL89" s="4">
        <f t="shared" si="24"/>
        <v>11</v>
      </c>
      <c r="AM89" s="82">
        <f t="shared" si="35"/>
        <v>0</v>
      </c>
      <c r="AN89" s="82">
        <f t="shared" si="25"/>
        <v>0</v>
      </c>
      <c r="AO89" s="48">
        <f>0</f>
        <v>0</v>
      </c>
      <c r="AP89" s="91">
        <f t="shared" si="36"/>
        <v>-335.88250991518163</v>
      </c>
      <c r="AQ89" s="91">
        <f t="shared" si="37"/>
        <v>-335.88250991518163</v>
      </c>
      <c r="AV89" s="85"/>
    </row>
    <row r="90" spans="1:48">
      <c r="A90" s="190">
        <f t="shared" si="26"/>
        <v>66.720910335386719</v>
      </c>
      <c r="B90" s="82">
        <f t="shared" si="27"/>
        <v>1</v>
      </c>
      <c r="C90" s="83">
        <f t="shared" si="28"/>
        <v>12</v>
      </c>
      <c r="D90" s="14">
        <f t="shared" si="14"/>
        <v>4.8675505653430484E-3</v>
      </c>
      <c r="E90" s="16">
        <f t="shared" si="15"/>
        <v>0</v>
      </c>
      <c r="F90" s="127"/>
      <c r="G90" s="88">
        <f t="shared" si="16"/>
        <v>0.05</v>
      </c>
      <c r="H90" s="89">
        <f t="shared" si="29"/>
        <v>3.3333333333333335E-3</v>
      </c>
      <c r="I90" s="219"/>
      <c r="J90" s="219"/>
      <c r="K90" s="6">
        <f t="shared" si="38"/>
        <v>100428.8704646393</v>
      </c>
      <c r="M90" s="6">
        <f t="shared" si="17"/>
        <v>488.84260520691879</v>
      </c>
      <c r="N90" s="6">
        <f t="shared" si="30"/>
        <v>-113.75008458957767</v>
      </c>
      <c r="O90" s="90">
        <f t="shared" si="18"/>
        <v>333.33333333333331</v>
      </c>
      <c r="P90" s="91">
        <f t="shared" si="19"/>
        <v>0</v>
      </c>
      <c r="Q90" s="6">
        <f t="shared" si="20"/>
        <v>336.01320995085547</v>
      </c>
      <c r="R90" s="86">
        <f t="shared" si="31"/>
        <v>-336.01320995085547</v>
      </c>
      <c r="S90" s="6">
        <f t="shared" si="21"/>
        <v>-20.950769047514925</v>
      </c>
      <c r="T90" s="83">
        <f t="shared" si="32"/>
        <v>5023.3974887652894</v>
      </c>
      <c r="U90" s="91">
        <f t="shared" si="39"/>
        <v>101708.01045588977</v>
      </c>
      <c r="V90" s="91">
        <f t="shared" si="33"/>
        <v>495.06888379448293</v>
      </c>
      <c r="W90" s="1">
        <f t="shared" si="40"/>
        <v>1</v>
      </c>
      <c r="X90" s="1">
        <f t="shared" si="40"/>
        <v>1</v>
      </c>
      <c r="Y90" s="1">
        <f t="shared" si="40"/>
        <v>1</v>
      </c>
      <c r="Z90" s="1">
        <f t="shared" si="40"/>
        <v>1</v>
      </c>
      <c r="AA90" s="1">
        <f t="shared" si="40"/>
        <v>1</v>
      </c>
      <c r="AB90" s="1">
        <f t="shared" si="40"/>
        <v>1</v>
      </c>
      <c r="AC90" s="1">
        <f t="shared" si="40"/>
        <v>1</v>
      </c>
      <c r="AD90" s="1">
        <f t="shared" si="40"/>
        <v>1</v>
      </c>
      <c r="AE90" s="1">
        <f t="shared" si="40"/>
        <v>1</v>
      </c>
      <c r="AF90" s="1">
        <f t="shared" si="40"/>
        <v>1</v>
      </c>
      <c r="AG90" s="1">
        <f t="shared" si="40"/>
        <v>1</v>
      </c>
      <c r="AH90" s="1">
        <f t="shared" si="40"/>
        <v>1</v>
      </c>
      <c r="AI90" s="44">
        <f t="shared" si="34"/>
        <v>100467.94977530578</v>
      </c>
      <c r="AJ90" s="44">
        <f t="shared" si="23"/>
        <v>100803.96298525663</v>
      </c>
      <c r="AK90" s="44"/>
      <c r="AL90" s="4">
        <f t="shared" si="24"/>
        <v>12</v>
      </c>
      <c r="AM90" s="82">
        <f t="shared" si="35"/>
        <v>0</v>
      </c>
      <c r="AN90" s="82">
        <f t="shared" si="25"/>
        <v>0</v>
      </c>
      <c r="AO90" s="48">
        <f>0</f>
        <v>0</v>
      </c>
      <c r="AP90" s="91">
        <f t="shared" si="36"/>
        <v>-336.01320995085547</v>
      </c>
      <c r="AQ90" s="91">
        <f t="shared" si="37"/>
        <v>-336.01320995085547</v>
      </c>
      <c r="AV90" s="85"/>
    </row>
    <row r="91" spans="1:48">
      <c r="A91" s="190">
        <f t="shared" si="26"/>
        <v>66.804243668720048</v>
      </c>
      <c r="B91" s="82">
        <f t="shared" si="27"/>
        <v>2</v>
      </c>
      <c r="C91" s="83">
        <f t="shared" si="28"/>
        <v>13</v>
      </c>
      <c r="D91" s="14">
        <f t="shared" si="14"/>
        <v>4.8675505653430484E-3</v>
      </c>
      <c r="E91" s="16">
        <f t="shared" si="15"/>
        <v>0</v>
      </c>
      <c r="F91" s="127"/>
      <c r="G91" s="88">
        <f t="shared" si="16"/>
        <v>0.04</v>
      </c>
      <c r="H91" s="89">
        <f t="shared" si="29"/>
        <v>3.3333333333333335E-3</v>
      </c>
      <c r="I91" s="219"/>
      <c r="J91" s="219"/>
      <c r="K91" s="6">
        <f t="shared" si="38"/>
        <v>100467.94977530578</v>
      </c>
      <c r="M91" s="6">
        <f t="shared" si="17"/>
        <v>489.03282572764664</v>
      </c>
      <c r="N91" s="6">
        <f t="shared" si="30"/>
        <v>-113.79434750793421</v>
      </c>
      <c r="O91" s="90">
        <f t="shared" si="18"/>
        <v>340</v>
      </c>
      <c r="P91" s="91">
        <f t="shared" si="19"/>
        <v>0</v>
      </c>
      <c r="Q91" s="6">
        <f t="shared" si="20"/>
        <v>336.14396084508496</v>
      </c>
      <c r="R91" s="87">
        <f>-MIN(MAX(O91,P91,Q91,-R79*1.02),AJ91)</f>
        <v>-341.26986847925173</v>
      </c>
      <c r="S91" s="6">
        <f t="shared" si="21"/>
        <v>-20.958386938669296</v>
      </c>
      <c r="T91" s="83">
        <f t="shared" si="32"/>
        <v>4020.0767354018494</v>
      </c>
      <c r="U91" s="91">
        <f t="shared" si="39"/>
        <v>101867.0661297334</v>
      </c>
      <c r="V91" s="91">
        <f t="shared" si="33"/>
        <v>495.84309532962152</v>
      </c>
      <c r="W91" s="1">
        <f t="shared" si="40"/>
        <v>0</v>
      </c>
      <c r="X91" s="1">
        <f t="shared" si="40"/>
        <v>1</v>
      </c>
      <c r="Y91" s="1">
        <f t="shared" si="40"/>
        <v>1</v>
      </c>
      <c r="Z91" s="1">
        <f t="shared" si="40"/>
        <v>1</v>
      </c>
      <c r="AA91" s="1">
        <f t="shared" si="40"/>
        <v>1</v>
      </c>
      <c r="AB91" s="1">
        <f t="shared" si="40"/>
        <v>1</v>
      </c>
      <c r="AC91" s="1">
        <f t="shared" si="40"/>
        <v>1</v>
      </c>
      <c r="AD91" s="1">
        <f t="shared" si="40"/>
        <v>1</v>
      </c>
      <c r="AE91" s="1">
        <f t="shared" si="40"/>
        <v>1</v>
      </c>
      <c r="AF91" s="1">
        <f t="shared" si="40"/>
        <v>1</v>
      </c>
      <c r="AG91" s="1">
        <f t="shared" si="40"/>
        <v>1</v>
      </c>
      <c r="AH91" s="1">
        <f t="shared" si="40"/>
        <v>1</v>
      </c>
      <c r="AI91" s="44">
        <f t="shared" si="34"/>
        <v>100501.91838504623</v>
      </c>
      <c r="AJ91" s="44">
        <f t="shared" si="23"/>
        <v>100843.18825352548</v>
      </c>
      <c r="AK91" s="44" t="str">
        <f>IF(R91=0,0,IF(R91&gt;R79,"Y","N"))</f>
        <v>N</v>
      </c>
      <c r="AL91" s="4">
        <f t="shared" si="24"/>
        <v>13</v>
      </c>
      <c r="AM91" s="82">
        <f t="shared" si="35"/>
        <v>0</v>
      </c>
      <c r="AN91" s="82">
        <f t="shared" si="25"/>
        <v>0</v>
      </c>
      <c r="AO91" s="48">
        <f>0</f>
        <v>0</v>
      </c>
      <c r="AP91" s="91">
        <f t="shared" si="36"/>
        <v>-341.26986847925173</v>
      </c>
      <c r="AQ91" s="91">
        <f t="shared" si="37"/>
        <v>-341.26986847925173</v>
      </c>
      <c r="AV91" s="84"/>
    </row>
    <row r="92" spans="1:48">
      <c r="A92" s="190">
        <f t="shared" si="26"/>
        <v>66.887577002053376</v>
      </c>
      <c r="B92" s="82">
        <f t="shared" si="27"/>
        <v>2</v>
      </c>
      <c r="C92" s="83">
        <f t="shared" si="28"/>
        <v>14</v>
      </c>
      <c r="D92" s="14">
        <f t="shared" si="14"/>
        <v>4.8675505653430484E-3</v>
      </c>
      <c r="E92" s="16">
        <f t="shared" si="15"/>
        <v>0</v>
      </c>
      <c r="F92" s="127"/>
      <c r="G92" s="88">
        <f t="shared" si="16"/>
        <v>0.04</v>
      </c>
      <c r="H92" s="89">
        <f t="shared" si="29"/>
        <v>3.3333333333333335E-3</v>
      </c>
      <c r="I92" s="219"/>
      <c r="J92" s="219"/>
      <c r="K92" s="6">
        <f t="shared" si="38"/>
        <v>100501.91838504623</v>
      </c>
      <c r="M92" s="6">
        <f t="shared" si="17"/>
        <v>489.19816965319268</v>
      </c>
      <c r="N92" s="6">
        <f t="shared" si="30"/>
        <v>-113.83282182526436</v>
      </c>
      <c r="O92" s="90">
        <f t="shared" si="18"/>
        <v>340</v>
      </c>
      <c r="P92" s="91">
        <f t="shared" si="19"/>
        <v>0</v>
      </c>
      <c r="Q92" s="6">
        <f t="shared" si="20"/>
        <v>336.25761244291391</v>
      </c>
      <c r="R92" s="87">
        <f t="shared" ref="R92:R155" si="41">-MIN(MAX(O92,P92,Q92,-R80*1.02),AJ92)</f>
        <v>-341.4026648668812</v>
      </c>
      <c r="S92" s="6">
        <f t="shared" si="21"/>
        <v>-20.965471236085193</v>
      </c>
      <c r="T92" s="83">
        <f t="shared" si="32"/>
        <v>4021.4352427202912</v>
      </c>
      <c r="U92" s="91">
        <f t="shared" si="39"/>
        <v>102021.63935658376</v>
      </c>
      <c r="V92" s="91">
        <f t="shared" si="33"/>
        <v>496.59548832736391</v>
      </c>
      <c r="W92" s="1">
        <f t="shared" si="40"/>
        <v>0</v>
      </c>
      <c r="X92" s="1">
        <f t="shared" si="40"/>
        <v>1</v>
      </c>
      <c r="Y92" s="1">
        <f t="shared" si="40"/>
        <v>1</v>
      </c>
      <c r="Z92" s="1">
        <f t="shared" si="40"/>
        <v>1</v>
      </c>
      <c r="AA92" s="1">
        <f t="shared" si="40"/>
        <v>1</v>
      </c>
      <c r="AB92" s="1">
        <f t="shared" si="40"/>
        <v>1</v>
      </c>
      <c r="AC92" s="1">
        <f t="shared" si="40"/>
        <v>1</v>
      </c>
      <c r="AD92" s="1">
        <f t="shared" si="40"/>
        <v>1</v>
      </c>
      <c r="AE92" s="1">
        <f t="shared" si="40"/>
        <v>1</v>
      </c>
      <c r="AF92" s="1">
        <f t="shared" si="40"/>
        <v>1</v>
      </c>
      <c r="AG92" s="1">
        <f t="shared" si="40"/>
        <v>1</v>
      </c>
      <c r="AH92" s="1">
        <f t="shared" si="40"/>
        <v>1</v>
      </c>
      <c r="AI92" s="44">
        <f t="shared" si="34"/>
        <v>100535.88106800728</v>
      </c>
      <c r="AJ92" s="44">
        <f t="shared" si="23"/>
        <v>100877.28373287416</v>
      </c>
      <c r="AK92" s="44" t="str">
        <f t="shared" ref="AK92:AK155" si="42">IF(R92=0,0,IF(R92&gt;R80,"Y","N"))</f>
        <v>N</v>
      </c>
      <c r="AL92" s="4">
        <f t="shared" si="24"/>
        <v>14</v>
      </c>
      <c r="AM92" s="82">
        <f t="shared" si="35"/>
        <v>0</v>
      </c>
      <c r="AN92" s="82">
        <f t="shared" si="25"/>
        <v>0</v>
      </c>
      <c r="AO92" s="48">
        <f>0</f>
        <v>0</v>
      </c>
      <c r="AP92" s="91">
        <f t="shared" si="36"/>
        <v>-341.4026648668812</v>
      </c>
      <c r="AQ92" s="91">
        <f t="shared" si="37"/>
        <v>-341.4026648668812</v>
      </c>
      <c r="AV92" s="84"/>
    </row>
    <row r="93" spans="1:48">
      <c r="A93" s="190">
        <f t="shared" si="26"/>
        <v>66.970910335386719</v>
      </c>
      <c r="B93" s="82">
        <f t="shared" si="27"/>
        <v>2</v>
      </c>
      <c r="C93" s="83">
        <f t="shared" si="28"/>
        <v>15</v>
      </c>
      <c r="D93" s="14">
        <f t="shared" si="14"/>
        <v>4.8675505653430484E-3</v>
      </c>
      <c r="E93" s="16">
        <f t="shared" si="15"/>
        <v>0</v>
      </c>
      <c r="F93" s="127"/>
      <c r="G93" s="88">
        <f t="shared" si="16"/>
        <v>0.04</v>
      </c>
      <c r="H93" s="89">
        <f t="shared" si="29"/>
        <v>3.3333333333333335E-3</v>
      </c>
      <c r="I93" s="219"/>
      <c r="J93" s="219"/>
      <c r="K93" s="6">
        <f t="shared" si="38"/>
        <v>100535.88106800728</v>
      </c>
      <c r="M93" s="6">
        <f t="shared" si="17"/>
        <v>489.36348472984031</v>
      </c>
      <c r="N93" s="6">
        <f t="shared" si="30"/>
        <v>-113.87128942966771</v>
      </c>
      <c r="O93" s="90">
        <f t="shared" si="18"/>
        <v>340</v>
      </c>
      <c r="P93" s="91">
        <f t="shared" si="19"/>
        <v>0</v>
      </c>
      <c r="Q93" s="6">
        <f t="shared" si="20"/>
        <v>336.37124421102487</v>
      </c>
      <c r="R93" s="87">
        <f t="shared" si="41"/>
        <v>-341.53551292880769</v>
      </c>
      <c r="S93" s="6">
        <f t="shared" si="21"/>
        <v>-20.972554289640911</v>
      </c>
      <c r="T93" s="83">
        <f t="shared" si="32"/>
        <v>4022.7935100151458</v>
      </c>
      <c r="U93" s="91">
        <f t="shared" si="39"/>
        <v>102176.83218004425</v>
      </c>
      <c r="V93" s="91">
        <f t="shared" si="33"/>
        <v>497.35089724293618</v>
      </c>
      <c r="W93" s="1">
        <f t="shared" si="40"/>
        <v>0</v>
      </c>
      <c r="X93" s="1">
        <f t="shared" si="40"/>
        <v>1</v>
      </c>
      <c r="Y93" s="1">
        <f t="shared" si="40"/>
        <v>1</v>
      </c>
      <c r="Z93" s="1">
        <f t="shared" si="40"/>
        <v>1</v>
      </c>
      <c r="AA93" s="1">
        <f t="shared" si="40"/>
        <v>1</v>
      </c>
      <c r="AB93" s="1">
        <f t="shared" si="40"/>
        <v>1</v>
      </c>
      <c r="AC93" s="1">
        <f t="shared" si="40"/>
        <v>1</v>
      </c>
      <c r="AD93" s="1">
        <f t="shared" si="40"/>
        <v>1</v>
      </c>
      <c r="AE93" s="1">
        <f t="shared" si="40"/>
        <v>1</v>
      </c>
      <c r="AF93" s="1">
        <f t="shared" si="40"/>
        <v>1</v>
      </c>
      <c r="AG93" s="1">
        <f t="shared" si="40"/>
        <v>1</v>
      </c>
      <c r="AH93" s="1">
        <f t="shared" si="40"/>
        <v>1</v>
      </c>
      <c r="AI93" s="44">
        <f t="shared" si="34"/>
        <v>100569.83775037865</v>
      </c>
      <c r="AJ93" s="44">
        <f t="shared" si="23"/>
        <v>100911.37326330745</v>
      </c>
      <c r="AK93" s="44" t="str">
        <f t="shared" si="42"/>
        <v>N</v>
      </c>
      <c r="AL93" s="4">
        <f t="shared" si="24"/>
        <v>15</v>
      </c>
      <c r="AM93" s="82">
        <f t="shared" si="35"/>
        <v>0</v>
      </c>
      <c r="AN93" s="82">
        <f t="shared" si="25"/>
        <v>0</v>
      </c>
      <c r="AO93" s="48">
        <f>0</f>
        <v>0</v>
      </c>
      <c r="AP93" s="91">
        <f t="shared" si="36"/>
        <v>-341.53551292880769</v>
      </c>
      <c r="AQ93" s="91">
        <f t="shared" si="37"/>
        <v>-341.53551292880769</v>
      </c>
      <c r="AV93" s="84"/>
    </row>
    <row r="94" spans="1:48">
      <c r="A94" s="190">
        <f t="shared" si="26"/>
        <v>67.054243668720048</v>
      </c>
      <c r="B94" s="82">
        <f t="shared" si="27"/>
        <v>2</v>
      </c>
      <c r="C94" s="83">
        <f t="shared" si="28"/>
        <v>16</v>
      </c>
      <c r="D94" s="14">
        <f t="shared" si="14"/>
        <v>4.8675505653430484E-3</v>
      </c>
      <c r="E94" s="16">
        <f t="shared" si="15"/>
        <v>0</v>
      </c>
      <c r="F94" s="127"/>
      <c r="G94" s="88">
        <f t="shared" si="16"/>
        <v>0.04</v>
      </c>
      <c r="H94" s="89">
        <f t="shared" si="29"/>
        <v>3.3333333333333335E-3</v>
      </c>
      <c r="I94" s="219"/>
      <c r="J94" s="219"/>
      <c r="K94" s="6">
        <f t="shared" si="38"/>
        <v>100569.83775037865</v>
      </c>
      <c r="M94" s="6">
        <f t="shared" si="17"/>
        <v>489.52877059831422</v>
      </c>
      <c r="N94" s="6">
        <f t="shared" si="30"/>
        <v>-113.90975023754352</v>
      </c>
      <c r="O94" s="90">
        <f t="shared" si="18"/>
        <v>340</v>
      </c>
      <c r="P94" s="91">
        <f t="shared" si="19"/>
        <v>0</v>
      </c>
      <c r="Q94" s="6">
        <f t="shared" si="20"/>
        <v>336.4848559024648</v>
      </c>
      <c r="R94" s="87">
        <f t="shared" si="41"/>
        <v>-341.66841268513895</v>
      </c>
      <c r="S94" s="6">
        <f t="shared" si="21"/>
        <v>-20.979636083910819</v>
      </c>
      <c r="T94" s="83">
        <f t="shared" si="32"/>
        <v>4024.1515343221722</v>
      </c>
      <c r="U94" s="91">
        <f t="shared" si="39"/>
        <v>102332.64756435838</v>
      </c>
      <c r="V94" s="91">
        <f t="shared" si="33"/>
        <v>498.1093365049436</v>
      </c>
      <c r="W94" s="1">
        <f t="shared" si="40"/>
        <v>0</v>
      </c>
      <c r="X94" s="1">
        <f t="shared" si="40"/>
        <v>1</v>
      </c>
      <c r="Y94" s="1">
        <f t="shared" si="40"/>
        <v>1</v>
      </c>
      <c r="Z94" s="1">
        <f t="shared" si="40"/>
        <v>1</v>
      </c>
      <c r="AA94" s="1">
        <f t="shared" si="40"/>
        <v>1</v>
      </c>
      <c r="AB94" s="1">
        <f t="shared" si="40"/>
        <v>1</v>
      </c>
      <c r="AC94" s="1">
        <f t="shared" si="40"/>
        <v>1</v>
      </c>
      <c r="AD94" s="1">
        <f t="shared" si="40"/>
        <v>1</v>
      </c>
      <c r="AE94" s="1">
        <f t="shared" si="40"/>
        <v>1</v>
      </c>
      <c r="AF94" s="1">
        <f t="shared" si="40"/>
        <v>1</v>
      </c>
      <c r="AG94" s="1">
        <f t="shared" si="40"/>
        <v>1</v>
      </c>
      <c r="AH94" s="1">
        <f t="shared" si="40"/>
        <v>1</v>
      </c>
      <c r="AI94" s="44">
        <f t="shared" si="34"/>
        <v>100603.7883580543</v>
      </c>
      <c r="AJ94" s="44">
        <f t="shared" si="23"/>
        <v>100945.45677073943</v>
      </c>
      <c r="AK94" s="44" t="str">
        <f t="shared" si="42"/>
        <v>N</v>
      </c>
      <c r="AL94" s="4">
        <f t="shared" si="24"/>
        <v>16</v>
      </c>
      <c r="AM94" s="82">
        <f t="shared" si="35"/>
        <v>0</v>
      </c>
      <c r="AN94" s="82">
        <f t="shared" si="25"/>
        <v>0</v>
      </c>
      <c r="AO94" s="48">
        <f>0</f>
        <v>0</v>
      </c>
      <c r="AP94" s="91">
        <f t="shared" si="36"/>
        <v>-341.66841268513895</v>
      </c>
      <c r="AQ94" s="91">
        <f t="shared" si="37"/>
        <v>-341.66841268513895</v>
      </c>
      <c r="AV94" s="84"/>
    </row>
    <row r="95" spans="1:48">
      <c r="A95" s="190">
        <f t="shared" si="26"/>
        <v>67.137577002053376</v>
      </c>
      <c r="B95" s="82">
        <f t="shared" si="27"/>
        <v>2</v>
      </c>
      <c r="C95" s="83">
        <f t="shared" si="28"/>
        <v>17</v>
      </c>
      <c r="D95" s="14">
        <f t="shared" si="14"/>
        <v>4.8675505653430484E-3</v>
      </c>
      <c r="E95" s="16">
        <f t="shared" si="15"/>
        <v>0</v>
      </c>
      <c r="F95" s="127"/>
      <c r="G95" s="88">
        <f t="shared" si="16"/>
        <v>0.04</v>
      </c>
      <c r="H95" s="89">
        <f t="shared" si="29"/>
        <v>3.3333333333333335E-3</v>
      </c>
      <c r="I95" s="219"/>
      <c r="J95" s="219"/>
      <c r="K95" s="6">
        <f t="shared" si="38"/>
        <v>100603.7883580543</v>
      </c>
      <c r="M95" s="6">
        <f t="shared" si="17"/>
        <v>489.69402689789962</v>
      </c>
      <c r="N95" s="6">
        <f t="shared" si="30"/>
        <v>-113.94820416495607</v>
      </c>
      <c r="O95" s="90">
        <f t="shared" si="18"/>
        <v>340</v>
      </c>
      <c r="P95" s="91">
        <f t="shared" si="19"/>
        <v>0</v>
      </c>
      <c r="Q95" s="6">
        <f t="shared" si="20"/>
        <v>336.59844726929077</v>
      </c>
      <c r="R95" s="87">
        <f t="shared" si="41"/>
        <v>-341.8013641559906</v>
      </c>
      <c r="S95" s="6">
        <f t="shared" si="21"/>
        <v>-20.986716603407469</v>
      </c>
      <c r="T95" s="83">
        <f t="shared" si="32"/>
        <v>4025.5093126652496</v>
      </c>
      <c r="U95" s="91">
        <f t="shared" si="39"/>
        <v>102489.0884881782</v>
      </c>
      <c r="V95" s="91">
        <f t="shared" si="33"/>
        <v>498.8708206121255</v>
      </c>
      <c r="W95" s="1">
        <f t="shared" si="40"/>
        <v>0</v>
      </c>
      <c r="X95" s="1">
        <f t="shared" si="40"/>
        <v>1</v>
      </c>
      <c r="Y95" s="1">
        <f t="shared" si="40"/>
        <v>1</v>
      </c>
      <c r="Z95" s="1">
        <f t="shared" si="40"/>
        <v>1</v>
      </c>
      <c r="AA95" s="1">
        <f t="shared" si="40"/>
        <v>1</v>
      </c>
      <c r="AB95" s="1">
        <f t="shared" si="40"/>
        <v>1</v>
      </c>
      <c r="AC95" s="1">
        <f t="shared" si="40"/>
        <v>1</v>
      </c>
      <c r="AD95" s="1">
        <f t="shared" si="40"/>
        <v>1</v>
      </c>
      <c r="AE95" s="1">
        <f t="shared" si="40"/>
        <v>1</v>
      </c>
      <c r="AF95" s="1">
        <f t="shared" si="40"/>
        <v>1</v>
      </c>
      <c r="AG95" s="1">
        <f t="shared" si="40"/>
        <v>1</v>
      </c>
      <c r="AH95" s="1">
        <f t="shared" si="40"/>
        <v>1</v>
      </c>
      <c r="AI95" s="44">
        <f t="shared" si="34"/>
        <v>100637.73281663124</v>
      </c>
      <c r="AJ95" s="44">
        <f t="shared" si="23"/>
        <v>100979.53418078723</v>
      </c>
      <c r="AK95" s="44" t="str">
        <f t="shared" si="42"/>
        <v>N</v>
      </c>
      <c r="AL95" s="4">
        <f t="shared" si="24"/>
        <v>17</v>
      </c>
      <c r="AM95" s="82">
        <f t="shared" si="35"/>
        <v>0</v>
      </c>
      <c r="AN95" s="82">
        <f t="shared" si="25"/>
        <v>0</v>
      </c>
      <c r="AO95" s="48">
        <f>0</f>
        <v>0</v>
      </c>
      <c r="AP95" s="91">
        <f t="shared" si="36"/>
        <v>-341.8013641559906</v>
      </c>
      <c r="AQ95" s="91">
        <f t="shared" si="37"/>
        <v>-341.8013641559906</v>
      </c>
      <c r="AV95" s="84"/>
    </row>
    <row r="96" spans="1:48">
      <c r="A96" s="190">
        <f t="shared" si="26"/>
        <v>67.220910335386719</v>
      </c>
      <c r="B96" s="82">
        <f t="shared" si="27"/>
        <v>2</v>
      </c>
      <c r="C96" s="83">
        <f t="shared" si="28"/>
        <v>18</v>
      </c>
      <c r="D96" s="14">
        <f t="shared" si="14"/>
        <v>4.8675505653430484E-3</v>
      </c>
      <c r="E96" s="16">
        <f t="shared" si="15"/>
        <v>0</v>
      </c>
      <c r="F96" s="127"/>
      <c r="G96" s="88">
        <f t="shared" si="16"/>
        <v>0.04</v>
      </c>
      <c r="H96" s="89">
        <f t="shared" si="29"/>
        <v>3.3333333333333335E-3</v>
      </c>
      <c r="I96" s="219"/>
      <c r="J96" s="219"/>
      <c r="K96" s="6">
        <f t="shared" si="38"/>
        <v>100637.73281663124</v>
      </c>
      <c r="M96" s="6">
        <f t="shared" si="17"/>
        <v>489.85925326643604</v>
      </c>
      <c r="N96" s="6">
        <f t="shared" si="30"/>
        <v>-113.98665112763335</v>
      </c>
      <c r="O96" s="90">
        <f t="shared" si="18"/>
        <v>340</v>
      </c>
      <c r="P96" s="91">
        <f t="shared" si="19"/>
        <v>0</v>
      </c>
      <c r="Q96" s="6">
        <f t="shared" si="20"/>
        <v>336.71201806256681</v>
      </c>
      <c r="R96" s="87">
        <f t="shared" si="41"/>
        <v>-341.93436736148601</v>
      </c>
      <c r="S96" s="6">
        <f t="shared" si="21"/>
        <v>-20.99379583258138</v>
      </c>
      <c r="T96" s="83">
        <f t="shared" si="32"/>
        <v>4026.8668420563417</v>
      </c>
      <c r="U96" s="91">
        <f t="shared" si="39"/>
        <v>102646.15794463432</v>
      </c>
      <c r="V96" s="91">
        <f t="shared" si="33"/>
        <v>499.63536413369667</v>
      </c>
      <c r="W96" s="1">
        <f t="shared" si="40"/>
        <v>0</v>
      </c>
      <c r="X96" s="1">
        <f t="shared" si="40"/>
        <v>1</v>
      </c>
      <c r="Y96" s="1">
        <f t="shared" si="40"/>
        <v>1</v>
      </c>
      <c r="Z96" s="1">
        <f t="shared" si="40"/>
        <v>1</v>
      </c>
      <c r="AA96" s="1">
        <f t="shared" si="40"/>
        <v>1</v>
      </c>
      <c r="AB96" s="1">
        <f t="shared" si="40"/>
        <v>1</v>
      </c>
      <c r="AC96" s="1">
        <f t="shared" si="40"/>
        <v>1</v>
      </c>
      <c r="AD96" s="1">
        <f t="shared" si="40"/>
        <v>1</v>
      </c>
      <c r="AE96" s="1">
        <f t="shared" si="40"/>
        <v>1</v>
      </c>
      <c r="AF96" s="1">
        <f t="shared" si="40"/>
        <v>1</v>
      </c>
      <c r="AG96" s="1">
        <f t="shared" si="40"/>
        <v>1</v>
      </c>
      <c r="AH96" s="1">
        <f t="shared" si="40"/>
        <v>1</v>
      </c>
      <c r="AI96" s="44">
        <f t="shared" si="34"/>
        <v>100671.67105140854</v>
      </c>
      <c r="AJ96" s="44">
        <f t="shared" si="23"/>
        <v>101013.60541877004</v>
      </c>
      <c r="AK96" s="44" t="str">
        <f t="shared" si="42"/>
        <v>N</v>
      </c>
      <c r="AL96" s="4">
        <f t="shared" si="24"/>
        <v>18</v>
      </c>
      <c r="AM96" s="82">
        <f t="shared" si="35"/>
        <v>0</v>
      </c>
      <c r="AN96" s="82">
        <f t="shared" si="25"/>
        <v>0</v>
      </c>
      <c r="AO96" s="48">
        <f>0</f>
        <v>0</v>
      </c>
      <c r="AP96" s="91">
        <f t="shared" si="36"/>
        <v>-341.93436736148601</v>
      </c>
      <c r="AQ96" s="91">
        <f t="shared" si="37"/>
        <v>-341.93436736148601</v>
      </c>
      <c r="AV96" s="84"/>
    </row>
    <row r="97" spans="1:48">
      <c r="A97" s="190">
        <f t="shared" si="26"/>
        <v>67.304243668720048</v>
      </c>
      <c r="B97" s="82">
        <f t="shared" si="27"/>
        <v>2</v>
      </c>
      <c r="C97" s="83">
        <f t="shared" si="28"/>
        <v>19</v>
      </c>
      <c r="D97" s="14">
        <f t="shared" si="14"/>
        <v>4.8675505653430484E-3</v>
      </c>
      <c r="E97" s="16">
        <f t="shared" si="15"/>
        <v>0</v>
      </c>
      <c r="F97" s="127"/>
      <c r="G97" s="88">
        <f t="shared" si="16"/>
        <v>0.04</v>
      </c>
      <c r="H97" s="89">
        <f t="shared" si="29"/>
        <v>3.3333333333333335E-3</v>
      </c>
      <c r="I97" s="219"/>
      <c r="J97" s="219"/>
      <c r="K97" s="6">
        <f t="shared" si="38"/>
        <v>100671.67105140854</v>
      </c>
      <c r="M97" s="6">
        <f t="shared" si="17"/>
        <v>490.02444934031303</v>
      </c>
      <c r="N97" s="6">
        <f t="shared" si="30"/>
        <v>-114.02509104096582</v>
      </c>
      <c r="O97" s="90">
        <f t="shared" si="18"/>
        <v>340</v>
      </c>
      <c r="P97" s="91">
        <f t="shared" si="19"/>
        <v>0</v>
      </c>
      <c r="Q97" s="6">
        <f t="shared" si="20"/>
        <v>336.82556803235968</v>
      </c>
      <c r="R97" s="87">
        <f t="shared" si="41"/>
        <v>-342.06742232175634</v>
      </c>
      <c r="S97" s="6">
        <f t="shared" si="21"/>
        <v>-21.000873755820791</v>
      </c>
      <c r="T97" s="83">
        <f t="shared" si="32"/>
        <v>4028.2241194954458</v>
      </c>
      <c r="U97" s="91">
        <f t="shared" si="39"/>
        <v>102803.85894140652</v>
      </c>
      <c r="V97" s="91">
        <f t="shared" si="33"/>
        <v>500.40298170969032</v>
      </c>
      <c r="W97" s="1">
        <f t="shared" si="40"/>
        <v>0</v>
      </c>
      <c r="X97" s="1">
        <f t="shared" si="40"/>
        <v>1</v>
      </c>
      <c r="Y97" s="1">
        <f t="shared" si="40"/>
        <v>1</v>
      </c>
      <c r="Z97" s="1">
        <f t="shared" si="40"/>
        <v>1</v>
      </c>
      <c r="AA97" s="1">
        <f t="shared" si="40"/>
        <v>1</v>
      </c>
      <c r="AB97" s="1">
        <f t="shared" si="40"/>
        <v>1</v>
      </c>
      <c r="AC97" s="1">
        <f t="shared" si="40"/>
        <v>1</v>
      </c>
      <c r="AD97" s="1">
        <f t="shared" si="40"/>
        <v>1</v>
      </c>
      <c r="AE97" s="1">
        <f t="shared" si="40"/>
        <v>1</v>
      </c>
      <c r="AF97" s="1">
        <f t="shared" si="40"/>
        <v>1</v>
      </c>
      <c r="AG97" s="1">
        <f t="shared" si="40"/>
        <v>1</v>
      </c>
      <c r="AH97" s="1">
        <f t="shared" si="40"/>
        <v>1</v>
      </c>
      <c r="AI97" s="44">
        <f t="shared" si="34"/>
        <v>100705.60298738614</v>
      </c>
      <c r="AJ97" s="44">
        <f t="shared" si="23"/>
        <v>101047.67040970789</v>
      </c>
      <c r="AK97" s="44" t="str">
        <f t="shared" si="42"/>
        <v>N</v>
      </c>
      <c r="AL97" s="4">
        <f t="shared" si="24"/>
        <v>19</v>
      </c>
      <c r="AM97" s="82">
        <f t="shared" si="35"/>
        <v>0</v>
      </c>
      <c r="AN97" s="82">
        <f t="shared" si="25"/>
        <v>0</v>
      </c>
      <c r="AO97" s="48">
        <f>0</f>
        <v>0</v>
      </c>
      <c r="AP97" s="91">
        <f t="shared" si="36"/>
        <v>-342.06742232175634</v>
      </c>
      <c r="AQ97" s="91">
        <f t="shared" si="37"/>
        <v>-342.06742232175634</v>
      </c>
      <c r="AV97" s="84"/>
    </row>
    <row r="98" spans="1:48">
      <c r="A98" s="190">
        <f t="shared" si="26"/>
        <v>67.387577002053376</v>
      </c>
      <c r="B98" s="82">
        <f t="shared" si="27"/>
        <v>2</v>
      </c>
      <c r="C98" s="83">
        <f t="shared" si="28"/>
        <v>20</v>
      </c>
      <c r="D98" s="14">
        <f t="shared" si="14"/>
        <v>4.8675505653430484E-3</v>
      </c>
      <c r="E98" s="16">
        <f t="shared" si="15"/>
        <v>0</v>
      </c>
      <c r="F98" s="127"/>
      <c r="G98" s="88">
        <f t="shared" si="16"/>
        <v>0.04</v>
      </c>
      <c r="H98" s="89">
        <f t="shared" si="29"/>
        <v>3.3333333333333335E-3</v>
      </c>
      <c r="I98" s="219"/>
      <c r="J98" s="219"/>
      <c r="K98" s="6">
        <f t="shared" si="38"/>
        <v>100705.60298738614</v>
      </c>
      <c r="M98" s="6">
        <f t="shared" si="17"/>
        <v>490.189614754464</v>
      </c>
      <c r="N98" s="6">
        <f t="shared" si="30"/>
        <v>-114.06352382000519</v>
      </c>
      <c r="O98" s="90">
        <f t="shared" si="18"/>
        <v>340</v>
      </c>
      <c r="P98" s="91">
        <f t="shared" si="19"/>
        <v>0</v>
      </c>
      <c r="Q98" s="6">
        <f t="shared" si="20"/>
        <v>336.93909692773536</v>
      </c>
      <c r="R98" s="87">
        <f t="shared" si="41"/>
        <v>-342.20052905694064</v>
      </c>
      <c r="S98" s="6">
        <f t="shared" si="21"/>
        <v>-21.007950357451453</v>
      </c>
      <c r="T98" s="83">
        <f t="shared" si="32"/>
        <v>4029.5811419705465</v>
      </c>
      <c r="U98" s="91">
        <f t="shared" si="39"/>
        <v>102962.19450079446</v>
      </c>
      <c r="V98" s="91">
        <f t="shared" si="33"/>
        <v>501.17368805130297</v>
      </c>
      <c r="W98" s="1">
        <f t="shared" si="40"/>
        <v>0</v>
      </c>
      <c r="X98" s="1">
        <f t="shared" si="40"/>
        <v>1</v>
      </c>
      <c r="Y98" s="1">
        <f t="shared" si="40"/>
        <v>1</v>
      </c>
      <c r="Z98" s="1">
        <f t="shared" si="40"/>
        <v>1</v>
      </c>
      <c r="AA98" s="1">
        <f t="shared" si="40"/>
        <v>1</v>
      </c>
      <c r="AB98" s="1">
        <f t="shared" si="40"/>
        <v>1</v>
      </c>
      <c r="AC98" s="1">
        <f t="shared" si="40"/>
        <v>1</v>
      </c>
      <c r="AD98" s="1">
        <f t="shared" si="40"/>
        <v>1</v>
      </c>
      <c r="AE98" s="1">
        <f t="shared" si="40"/>
        <v>1</v>
      </c>
      <c r="AF98" s="1">
        <f t="shared" si="40"/>
        <v>1</v>
      </c>
      <c r="AG98" s="1">
        <f t="shared" si="40"/>
        <v>1</v>
      </c>
      <c r="AH98" s="1">
        <f t="shared" si="40"/>
        <v>1</v>
      </c>
      <c r="AI98" s="44">
        <f t="shared" si="34"/>
        <v>100739.52854926366</v>
      </c>
      <c r="AJ98" s="44">
        <f t="shared" si="23"/>
        <v>101081.7290783206</v>
      </c>
      <c r="AK98" s="44" t="str">
        <f t="shared" si="42"/>
        <v>N</v>
      </c>
      <c r="AL98" s="4">
        <f t="shared" si="24"/>
        <v>20</v>
      </c>
      <c r="AM98" s="82">
        <f t="shared" si="35"/>
        <v>0</v>
      </c>
      <c r="AN98" s="82">
        <f t="shared" si="25"/>
        <v>0</v>
      </c>
      <c r="AO98" s="48">
        <f>0</f>
        <v>0</v>
      </c>
      <c r="AP98" s="91">
        <f t="shared" si="36"/>
        <v>-342.20052905694064</v>
      </c>
      <c r="AQ98" s="91">
        <f t="shared" si="37"/>
        <v>-342.20052905694064</v>
      </c>
      <c r="AV98" s="84"/>
    </row>
    <row r="99" spans="1:48">
      <c r="A99" s="190">
        <f t="shared" si="26"/>
        <v>67.470910335386719</v>
      </c>
      <c r="B99" s="82">
        <f t="shared" si="27"/>
        <v>2</v>
      </c>
      <c r="C99" s="83">
        <f t="shared" si="28"/>
        <v>21</v>
      </c>
      <c r="D99" s="14">
        <f t="shared" si="14"/>
        <v>4.8675505653430484E-3</v>
      </c>
      <c r="E99" s="16">
        <f t="shared" si="15"/>
        <v>0</v>
      </c>
      <c r="F99" s="127"/>
      <c r="G99" s="88">
        <f t="shared" si="16"/>
        <v>0.04</v>
      </c>
      <c r="H99" s="89">
        <f t="shared" si="29"/>
        <v>3.3333333333333335E-3</v>
      </c>
      <c r="I99" s="219"/>
      <c r="J99" s="219"/>
      <c r="K99" s="6">
        <f t="shared" si="38"/>
        <v>100739.52854926366</v>
      </c>
      <c r="M99" s="6">
        <f t="shared" si="17"/>
        <v>490.3547491423605</v>
      </c>
      <c r="N99" s="6">
        <f t="shared" si="30"/>
        <v>-114.10194937946297</v>
      </c>
      <c r="O99" s="90">
        <f t="shared" si="18"/>
        <v>340</v>
      </c>
      <c r="P99" s="91">
        <f t="shared" si="19"/>
        <v>0</v>
      </c>
      <c r="Q99" s="6">
        <f t="shared" si="20"/>
        <v>337.05260449675524</v>
      </c>
      <c r="R99" s="87">
        <f t="shared" si="41"/>
        <v>-342.33368758718581</v>
      </c>
      <c r="S99" s="6">
        <f t="shared" si="21"/>
        <v>-21.015025621736356</v>
      </c>
      <c r="T99" s="83">
        <f t="shared" si="32"/>
        <v>4030.9379064575751</v>
      </c>
      <c r="U99" s="91">
        <f t="shared" si="39"/>
        <v>103121.16765978883</v>
      </c>
      <c r="V99" s="91">
        <f t="shared" si="33"/>
        <v>501.94749794124039</v>
      </c>
      <c r="W99" s="1">
        <f t="shared" ref="W99:AH108" si="43">IF($B99&lt;=W$78,1,0)</f>
        <v>0</v>
      </c>
      <c r="X99" s="1">
        <f t="shared" si="43"/>
        <v>1</v>
      </c>
      <c r="Y99" s="1">
        <f t="shared" si="43"/>
        <v>1</v>
      </c>
      <c r="Z99" s="1">
        <f t="shared" si="43"/>
        <v>1</v>
      </c>
      <c r="AA99" s="1">
        <f t="shared" si="43"/>
        <v>1</v>
      </c>
      <c r="AB99" s="1">
        <f t="shared" si="43"/>
        <v>1</v>
      </c>
      <c r="AC99" s="1">
        <f t="shared" si="43"/>
        <v>1</v>
      </c>
      <c r="AD99" s="1">
        <f t="shared" si="43"/>
        <v>1</v>
      </c>
      <c r="AE99" s="1">
        <f t="shared" si="43"/>
        <v>1</v>
      </c>
      <c r="AF99" s="1">
        <f t="shared" si="43"/>
        <v>1</v>
      </c>
      <c r="AG99" s="1">
        <f t="shared" si="43"/>
        <v>1</v>
      </c>
      <c r="AH99" s="1">
        <f t="shared" si="43"/>
        <v>1</v>
      </c>
      <c r="AI99" s="44">
        <f t="shared" si="34"/>
        <v>100773.44766143938</v>
      </c>
      <c r="AJ99" s="44">
        <f t="shared" si="23"/>
        <v>101115.78134902657</v>
      </c>
      <c r="AK99" s="44" t="str">
        <f t="shared" si="42"/>
        <v>N</v>
      </c>
      <c r="AL99" s="4">
        <f t="shared" si="24"/>
        <v>21</v>
      </c>
      <c r="AM99" s="82">
        <f t="shared" si="35"/>
        <v>0</v>
      </c>
      <c r="AN99" s="82">
        <f t="shared" si="25"/>
        <v>0</v>
      </c>
      <c r="AO99" s="48">
        <f>0</f>
        <v>0</v>
      </c>
      <c r="AP99" s="91">
        <f t="shared" si="36"/>
        <v>-342.33368758718581</v>
      </c>
      <c r="AQ99" s="91">
        <f t="shared" si="37"/>
        <v>-342.33368758718581</v>
      </c>
      <c r="AV99" s="84"/>
    </row>
    <row r="100" spans="1:48">
      <c r="A100" s="190">
        <f t="shared" si="26"/>
        <v>67.554243668720048</v>
      </c>
      <c r="B100" s="82">
        <f t="shared" si="27"/>
        <v>2</v>
      </c>
      <c r="C100" s="83">
        <f t="shared" si="28"/>
        <v>22</v>
      </c>
      <c r="D100" s="14">
        <f t="shared" si="14"/>
        <v>4.8675505653430484E-3</v>
      </c>
      <c r="E100" s="16">
        <f t="shared" si="15"/>
        <v>0</v>
      </c>
      <c r="F100" s="127"/>
      <c r="G100" s="88">
        <f t="shared" si="16"/>
        <v>0.04</v>
      </c>
      <c r="H100" s="89">
        <f t="shared" si="29"/>
        <v>3.3333333333333335E-3</v>
      </c>
      <c r="I100" s="219"/>
      <c r="J100" s="219"/>
      <c r="K100" s="6">
        <f t="shared" si="38"/>
        <v>100773.44766143938</v>
      </c>
      <c r="M100" s="6">
        <f t="shared" si="17"/>
        <v>490.51985213600733</v>
      </c>
      <c r="N100" s="6">
        <f t="shared" si="30"/>
        <v>-114.14036763370937</v>
      </c>
      <c r="O100" s="90">
        <f t="shared" si="18"/>
        <v>340</v>
      </c>
      <c r="P100" s="91">
        <f t="shared" si="19"/>
        <v>0</v>
      </c>
      <c r="Q100" s="6">
        <f t="shared" si="20"/>
        <v>337.16609048647229</v>
      </c>
      <c r="R100" s="87">
        <f t="shared" si="41"/>
        <v>-342.46689793264648</v>
      </c>
      <c r="S100" s="6">
        <f t="shared" si="21"/>
        <v>-21.022099532875501</v>
      </c>
      <c r="T100" s="83">
        <f t="shared" si="32"/>
        <v>4032.2944099203614</v>
      </c>
      <c r="U100" s="91">
        <f t="shared" si="39"/>
        <v>103280.78147014287</v>
      </c>
      <c r="V100" s="91">
        <f t="shared" si="33"/>
        <v>502.72442623406579</v>
      </c>
      <c r="W100" s="1">
        <f t="shared" si="43"/>
        <v>0</v>
      </c>
      <c r="X100" s="1">
        <f t="shared" si="43"/>
        <v>1</v>
      </c>
      <c r="Y100" s="1">
        <f t="shared" si="43"/>
        <v>1</v>
      </c>
      <c r="Z100" s="1">
        <f t="shared" si="43"/>
        <v>1</v>
      </c>
      <c r="AA100" s="1">
        <f t="shared" si="43"/>
        <v>1</v>
      </c>
      <c r="AB100" s="1">
        <f t="shared" si="43"/>
        <v>1</v>
      </c>
      <c r="AC100" s="1">
        <f t="shared" si="43"/>
        <v>1</v>
      </c>
      <c r="AD100" s="1">
        <f t="shared" si="43"/>
        <v>1</v>
      </c>
      <c r="AE100" s="1">
        <f t="shared" si="43"/>
        <v>1</v>
      </c>
      <c r="AF100" s="1">
        <f t="shared" si="43"/>
        <v>1</v>
      </c>
      <c r="AG100" s="1">
        <f t="shared" si="43"/>
        <v>1</v>
      </c>
      <c r="AH100" s="1">
        <f t="shared" si="43"/>
        <v>1</v>
      </c>
      <c r="AI100" s="44">
        <f t="shared" si="34"/>
        <v>100807.36024800903</v>
      </c>
      <c r="AJ100" s="44">
        <f t="shared" si="23"/>
        <v>101149.82714594169</v>
      </c>
      <c r="AK100" s="44" t="str">
        <f t="shared" si="42"/>
        <v>N</v>
      </c>
      <c r="AL100" s="4">
        <f t="shared" si="24"/>
        <v>22</v>
      </c>
      <c r="AM100" s="82">
        <f t="shared" si="35"/>
        <v>0</v>
      </c>
      <c r="AN100" s="82">
        <f t="shared" si="25"/>
        <v>0</v>
      </c>
      <c r="AO100" s="48">
        <f>0</f>
        <v>0</v>
      </c>
      <c r="AP100" s="91">
        <f t="shared" si="36"/>
        <v>-342.46689793264648</v>
      </c>
      <c r="AQ100" s="91">
        <f t="shared" si="37"/>
        <v>-342.46689793264648</v>
      </c>
      <c r="AV100" s="84"/>
    </row>
    <row r="101" spans="1:48">
      <c r="A101" s="190">
        <f t="shared" si="26"/>
        <v>67.637577002053376</v>
      </c>
      <c r="B101" s="82">
        <f t="shared" si="27"/>
        <v>2</v>
      </c>
      <c r="C101" s="83">
        <f t="shared" si="28"/>
        <v>23</v>
      </c>
      <c r="D101" s="14">
        <f t="shared" si="14"/>
        <v>4.8675505653430484E-3</v>
      </c>
      <c r="E101" s="16">
        <f t="shared" si="15"/>
        <v>0</v>
      </c>
      <c r="F101" s="127"/>
      <c r="G101" s="88">
        <f t="shared" si="16"/>
        <v>0.04</v>
      </c>
      <c r="H101" s="89">
        <f t="shared" si="29"/>
        <v>3.3333333333333335E-3</v>
      </c>
      <c r="I101" s="219"/>
      <c r="J101" s="219"/>
      <c r="K101" s="6">
        <f t="shared" si="38"/>
        <v>100807.36024800903</v>
      </c>
      <c r="M101" s="6">
        <f t="shared" si="17"/>
        <v>490.6849233659367</v>
      </c>
      <c r="N101" s="6">
        <f t="shared" si="30"/>
        <v>-114.178778496772</v>
      </c>
      <c r="O101" s="90">
        <f t="shared" si="18"/>
        <v>340</v>
      </c>
      <c r="P101" s="91">
        <f t="shared" si="19"/>
        <v>0</v>
      </c>
      <c r="Q101" s="6">
        <f t="shared" si="20"/>
        <v>337.27955464292734</v>
      </c>
      <c r="R101" s="87">
        <f t="shared" si="41"/>
        <v>-342.60016011348529</v>
      </c>
      <c r="S101" s="6">
        <f t="shared" si="21"/>
        <v>-21.0291720750057</v>
      </c>
      <c r="T101" s="83">
        <f t="shared" si="32"/>
        <v>4033.6506493105881</v>
      </c>
      <c r="U101" s="91">
        <f t="shared" si="39"/>
        <v>103441.03899844429</v>
      </c>
      <c r="V101" s="91">
        <f t="shared" si="33"/>
        <v>503.50448785654982</v>
      </c>
      <c r="W101" s="1">
        <f t="shared" si="43"/>
        <v>0</v>
      </c>
      <c r="X101" s="1">
        <f t="shared" si="43"/>
        <v>1</v>
      </c>
      <c r="Y101" s="1">
        <f t="shared" si="43"/>
        <v>1</v>
      </c>
      <c r="Z101" s="1">
        <f t="shared" si="43"/>
        <v>1</v>
      </c>
      <c r="AA101" s="1">
        <f t="shared" si="43"/>
        <v>1</v>
      </c>
      <c r="AB101" s="1">
        <f t="shared" si="43"/>
        <v>1</v>
      </c>
      <c r="AC101" s="1">
        <f t="shared" si="43"/>
        <v>1</v>
      </c>
      <c r="AD101" s="1">
        <f t="shared" si="43"/>
        <v>1</v>
      </c>
      <c r="AE101" s="1">
        <f t="shared" si="43"/>
        <v>1</v>
      </c>
      <c r="AF101" s="1">
        <f t="shared" si="43"/>
        <v>1</v>
      </c>
      <c r="AG101" s="1">
        <f t="shared" si="43"/>
        <v>1</v>
      </c>
      <c r="AH101" s="1">
        <f t="shared" si="43"/>
        <v>1</v>
      </c>
      <c r="AI101" s="44">
        <f t="shared" si="34"/>
        <v>100841.2662327647</v>
      </c>
      <c r="AJ101" s="44">
        <f t="shared" si="23"/>
        <v>101183.86639287819</v>
      </c>
      <c r="AK101" s="44" t="str">
        <f t="shared" si="42"/>
        <v>N</v>
      </c>
      <c r="AL101" s="4">
        <f t="shared" si="24"/>
        <v>23</v>
      </c>
      <c r="AM101" s="82">
        <f t="shared" si="35"/>
        <v>0</v>
      </c>
      <c r="AN101" s="82">
        <f t="shared" si="25"/>
        <v>0</v>
      </c>
      <c r="AO101" s="48">
        <f>0</f>
        <v>0</v>
      </c>
      <c r="AP101" s="91">
        <f t="shared" si="36"/>
        <v>-342.60016011348529</v>
      </c>
      <c r="AQ101" s="91">
        <f t="shared" si="37"/>
        <v>-342.60016011348529</v>
      </c>
      <c r="AV101" s="84"/>
    </row>
    <row r="102" spans="1:48">
      <c r="A102" s="190">
        <f t="shared" si="26"/>
        <v>67.720910335386719</v>
      </c>
      <c r="B102" s="82">
        <f t="shared" si="27"/>
        <v>2</v>
      </c>
      <c r="C102" s="83">
        <f t="shared" si="28"/>
        <v>24</v>
      </c>
      <c r="D102" s="14">
        <f t="shared" si="14"/>
        <v>4.8675505653430484E-3</v>
      </c>
      <c r="E102" s="16">
        <f t="shared" si="15"/>
        <v>0</v>
      </c>
      <c r="F102" s="127"/>
      <c r="G102" s="88">
        <f t="shared" si="16"/>
        <v>0.04</v>
      </c>
      <c r="H102" s="89">
        <f t="shared" si="29"/>
        <v>3.3333333333333335E-3</v>
      </c>
      <c r="I102" s="219"/>
      <c r="J102" s="219"/>
      <c r="K102" s="6">
        <f t="shared" si="38"/>
        <v>100841.2662327647</v>
      </c>
      <c r="M102" s="6">
        <f t="shared" si="17"/>
        <v>490.84996246120267</v>
      </c>
      <c r="N102" s="6">
        <f t="shared" si="30"/>
        <v>-114.2171818823344</v>
      </c>
      <c r="O102" s="90">
        <f t="shared" si="18"/>
        <v>340</v>
      </c>
      <c r="P102" s="91">
        <f t="shared" si="19"/>
        <v>0</v>
      </c>
      <c r="Q102" s="6">
        <f t="shared" si="20"/>
        <v>337.3929967111452</v>
      </c>
      <c r="R102" s="87">
        <f t="shared" si="41"/>
        <v>-342.73347414987256</v>
      </c>
      <c r="S102" s="6">
        <f t="shared" si="21"/>
        <v>-21.036243232200288</v>
      </c>
      <c r="T102" s="83">
        <f t="shared" si="32"/>
        <v>4035.0066215677475</v>
      </c>
      <c r="U102" s="91">
        <f t="shared" si="39"/>
        <v>103601.94332618735</v>
      </c>
      <c r="V102" s="91">
        <f t="shared" si="33"/>
        <v>504.28769780802168</v>
      </c>
      <c r="W102" s="1">
        <f t="shared" si="43"/>
        <v>0</v>
      </c>
      <c r="X102" s="1">
        <f t="shared" si="43"/>
        <v>1</v>
      </c>
      <c r="Y102" s="1">
        <f t="shared" si="43"/>
        <v>1</v>
      </c>
      <c r="Z102" s="1">
        <f t="shared" si="43"/>
        <v>1</v>
      </c>
      <c r="AA102" s="1">
        <f t="shared" si="43"/>
        <v>1</v>
      </c>
      <c r="AB102" s="1">
        <f t="shared" si="43"/>
        <v>1</v>
      </c>
      <c r="AC102" s="1">
        <f t="shared" si="43"/>
        <v>1</v>
      </c>
      <c r="AD102" s="1">
        <f t="shared" si="43"/>
        <v>1</v>
      </c>
      <c r="AE102" s="1">
        <f t="shared" si="43"/>
        <v>1</v>
      </c>
      <c r="AF102" s="1">
        <f t="shared" si="43"/>
        <v>1</v>
      </c>
      <c r="AG102" s="1">
        <f t="shared" si="43"/>
        <v>1</v>
      </c>
      <c r="AH102" s="1">
        <f t="shared" si="43"/>
        <v>1</v>
      </c>
      <c r="AI102" s="44">
        <f t="shared" si="34"/>
        <v>100875.16553919368</v>
      </c>
      <c r="AJ102" s="44">
        <f t="shared" si="23"/>
        <v>101217.89901334356</v>
      </c>
      <c r="AK102" s="44" t="str">
        <f t="shared" si="42"/>
        <v>N</v>
      </c>
      <c r="AL102" s="4">
        <f t="shared" si="24"/>
        <v>24</v>
      </c>
      <c r="AM102" s="82">
        <f t="shared" si="35"/>
        <v>0</v>
      </c>
      <c r="AN102" s="82">
        <f t="shared" si="25"/>
        <v>0</v>
      </c>
      <c r="AO102" s="48">
        <f>0</f>
        <v>0</v>
      </c>
      <c r="AP102" s="91">
        <f t="shared" si="36"/>
        <v>-342.73347414987256</v>
      </c>
      <c r="AQ102" s="91">
        <f t="shared" si="37"/>
        <v>-342.73347414987256</v>
      </c>
      <c r="AV102" s="84"/>
    </row>
    <row r="103" spans="1:48">
      <c r="A103" s="190">
        <f t="shared" si="26"/>
        <v>67.804243668720048</v>
      </c>
      <c r="B103" s="82">
        <f t="shared" si="27"/>
        <v>3</v>
      </c>
      <c r="C103" s="83">
        <f t="shared" si="28"/>
        <v>25</v>
      </c>
      <c r="D103" s="14">
        <f t="shared" si="14"/>
        <v>4.8675505653430484E-3</v>
      </c>
      <c r="E103" s="16">
        <f t="shared" si="15"/>
        <v>0</v>
      </c>
      <c r="F103" s="127"/>
      <c r="G103" s="88">
        <f t="shared" si="16"/>
        <v>0.03</v>
      </c>
      <c r="H103" s="89">
        <f t="shared" si="29"/>
        <v>3.3333333333333335E-3</v>
      </c>
      <c r="I103" s="219"/>
      <c r="J103" s="219"/>
      <c r="K103" s="6">
        <f t="shared" si="38"/>
        <v>100875.16553919368</v>
      </c>
      <c r="M103" s="6">
        <f t="shared" si="17"/>
        <v>491.01496904937579</v>
      </c>
      <c r="N103" s="6">
        <f t="shared" si="30"/>
        <v>-114.25557770373499</v>
      </c>
      <c r="O103" s="90">
        <f t="shared" si="18"/>
        <v>346.79999999999995</v>
      </c>
      <c r="P103" s="91">
        <f t="shared" si="19"/>
        <v>0</v>
      </c>
      <c r="Q103" s="6">
        <f t="shared" si="20"/>
        <v>337.50641643513109</v>
      </c>
      <c r="R103" s="87">
        <f t="shared" si="41"/>
        <v>-348.09526584883679</v>
      </c>
      <c r="S103" s="6">
        <f t="shared" si="21"/>
        <v>-21.042767735731658</v>
      </c>
      <c r="T103" s="83">
        <f t="shared" si="32"/>
        <v>3027.1148899407144</v>
      </c>
      <c r="U103" s="91">
        <f t="shared" si="39"/>
        <v>103763.49754984549</v>
      </c>
      <c r="V103" s="91">
        <f t="shared" si="33"/>
        <v>505.07407116072244</v>
      </c>
      <c r="W103" s="1">
        <f t="shared" si="43"/>
        <v>0</v>
      </c>
      <c r="X103" s="1">
        <f t="shared" si="43"/>
        <v>0</v>
      </c>
      <c r="Y103" s="1">
        <f t="shared" si="43"/>
        <v>1</v>
      </c>
      <c r="Z103" s="1">
        <f t="shared" si="43"/>
        <v>1</v>
      </c>
      <c r="AA103" s="1">
        <f t="shared" si="43"/>
        <v>1</v>
      </c>
      <c r="AB103" s="1">
        <f t="shared" si="43"/>
        <v>1</v>
      </c>
      <c r="AC103" s="1">
        <f t="shared" si="43"/>
        <v>1</v>
      </c>
      <c r="AD103" s="1">
        <f t="shared" si="43"/>
        <v>1</v>
      </c>
      <c r="AE103" s="1">
        <f t="shared" si="43"/>
        <v>1</v>
      </c>
      <c r="AF103" s="1">
        <f t="shared" si="43"/>
        <v>1</v>
      </c>
      <c r="AG103" s="1">
        <f t="shared" si="43"/>
        <v>1</v>
      </c>
      <c r="AH103" s="1">
        <f t="shared" si="43"/>
        <v>1</v>
      </c>
      <c r="AI103" s="44">
        <f t="shared" si="34"/>
        <v>100903.82966469048</v>
      </c>
      <c r="AJ103" s="44">
        <f t="shared" si="23"/>
        <v>101251.92493053932</v>
      </c>
      <c r="AK103" s="44" t="str">
        <f t="shared" si="42"/>
        <v>N</v>
      </c>
      <c r="AL103" s="4">
        <f t="shared" si="24"/>
        <v>25</v>
      </c>
      <c r="AM103" s="82">
        <f t="shared" si="35"/>
        <v>0</v>
      </c>
      <c r="AN103" s="82">
        <f t="shared" si="25"/>
        <v>0</v>
      </c>
      <c r="AO103" s="48">
        <f>0</f>
        <v>0</v>
      </c>
      <c r="AP103" s="91">
        <f t="shared" si="36"/>
        <v>-348.09526584883679</v>
      </c>
      <c r="AQ103" s="91">
        <f t="shared" si="37"/>
        <v>-348.09526584883679</v>
      </c>
      <c r="AV103" s="84"/>
    </row>
    <row r="104" spans="1:48">
      <c r="A104" s="190">
        <f t="shared" si="26"/>
        <v>67.887577002053376</v>
      </c>
      <c r="B104" s="82">
        <f t="shared" si="27"/>
        <v>3</v>
      </c>
      <c r="C104" s="83">
        <f t="shared" si="28"/>
        <v>26</v>
      </c>
      <c r="D104" s="14">
        <f t="shared" si="14"/>
        <v>4.8675505653430484E-3</v>
      </c>
      <c r="E104" s="16">
        <f t="shared" si="15"/>
        <v>0</v>
      </c>
      <c r="F104" s="127"/>
      <c r="G104" s="88">
        <f t="shared" si="16"/>
        <v>0.03</v>
      </c>
      <c r="H104" s="89">
        <f t="shared" si="29"/>
        <v>3.3333333333333335E-3</v>
      </c>
      <c r="I104" s="219"/>
      <c r="J104" s="219"/>
      <c r="K104" s="6">
        <f t="shared" si="38"/>
        <v>100903.82966469048</v>
      </c>
      <c r="M104" s="6">
        <f t="shared" si="17"/>
        <v>491.15449312964279</v>
      </c>
      <c r="N104" s="6">
        <f t="shared" si="30"/>
        <v>-114.28804393266759</v>
      </c>
      <c r="O104" s="90">
        <f t="shared" si="18"/>
        <v>346.79999999999995</v>
      </c>
      <c r="P104" s="91">
        <f t="shared" si="19"/>
        <v>0</v>
      </c>
      <c r="Q104" s="6">
        <f t="shared" si="20"/>
        <v>337.60232037962487</v>
      </c>
      <c r="R104" s="87">
        <f t="shared" si="41"/>
        <v>-348.23071816421884</v>
      </c>
      <c r="S104" s="6">
        <f t="shared" si="21"/>
        <v>-21.048743320906038</v>
      </c>
      <c r="T104" s="83">
        <f t="shared" si="32"/>
        <v>3027.9739618716967</v>
      </c>
      <c r="U104" s="91">
        <f t="shared" si="39"/>
        <v>103920.47635515737</v>
      </c>
      <c r="V104" s="91">
        <f t="shared" si="33"/>
        <v>505.83817343326518</v>
      </c>
      <c r="W104" s="1">
        <f t="shared" si="43"/>
        <v>0</v>
      </c>
      <c r="X104" s="1">
        <f t="shared" si="43"/>
        <v>0</v>
      </c>
      <c r="Y104" s="1">
        <f t="shared" si="43"/>
        <v>1</v>
      </c>
      <c r="Z104" s="1">
        <f t="shared" si="43"/>
        <v>1</v>
      </c>
      <c r="AA104" s="1">
        <f t="shared" si="43"/>
        <v>1</v>
      </c>
      <c r="AB104" s="1">
        <f t="shared" si="43"/>
        <v>1</v>
      </c>
      <c r="AC104" s="1">
        <f t="shared" si="43"/>
        <v>1</v>
      </c>
      <c r="AD104" s="1">
        <f t="shared" si="43"/>
        <v>1</v>
      </c>
      <c r="AE104" s="1">
        <f t="shared" si="43"/>
        <v>1</v>
      </c>
      <c r="AF104" s="1">
        <f t="shared" si="43"/>
        <v>1</v>
      </c>
      <c r="AG104" s="1">
        <f t="shared" si="43"/>
        <v>1</v>
      </c>
      <c r="AH104" s="1">
        <f t="shared" si="43"/>
        <v>1</v>
      </c>
      <c r="AI104" s="44">
        <f t="shared" si="34"/>
        <v>100932.46539572322</v>
      </c>
      <c r="AJ104" s="44">
        <f t="shared" si="23"/>
        <v>101280.69611388745</v>
      </c>
      <c r="AK104" s="44" t="str">
        <f t="shared" si="42"/>
        <v>N</v>
      </c>
      <c r="AL104" s="4">
        <f t="shared" si="24"/>
        <v>26</v>
      </c>
      <c r="AM104" s="82">
        <f t="shared" si="35"/>
        <v>0</v>
      </c>
      <c r="AN104" s="82">
        <f t="shared" si="25"/>
        <v>0</v>
      </c>
      <c r="AO104" s="48">
        <f>0</f>
        <v>0</v>
      </c>
      <c r="AP104" s="91">
        <f t="shared" si="36"/>
        <v>-348.23071816421884</v>
      </c>
      <c r="AQ104" s="91">
        <f t="shared" si="37"/>
        <v>-348.23071816421884</v>
      </c>
      <c r="AV104" s="84"/>
    </row>
    <row r="105" spans="1:48">
      <c r="A105" s="190">
        <f t="shared" si="26"/>
        <v>67.970910335386719</v>
      </c>
      <c r="B105" s="82">
        <f t="shared" si="27"/>
        <v>3</v>
      </c>
      <c r="C105" s="83">
        <f t="shared" si="28"/>
        <v>27</v>
      </c>
      <c r="D105" s="14">
        <f t="shared" si="14"/>
        <v>4.8675505653430484E-3</v>
      </c>
      <c r="E105" s="16">
        <f t="shared" si="15"/>
        <v>0</v>
      </c>
      <c r="F105" s="127"/>
      <c r="G105" s="88">
        <f t="shared" si="16"/>
        <v>0.03</v>
      </c>
      <c r="H105" s="89">
        <f t="shared" si="29"/>
        <v>3.3333333333333335E-3</v>
      </c>
      <c r="I105" s="219"/>
      <c r="J105" s="219"/>
      <c r="K105" s="6">
        <f t="shared" si="38"/>
        <v>100932.46539572322</v>
      </c>
      <c r="M105" s="6">
        <f t="shared" si="17"/>
        <v>491.29387899842027</v>
      </c>
      <c r="N105" s="6">
        <f t="shared" si="30"/>
        <v>-114.32047800080149</v>
      </c>
      <c r="O105" s="90">
        <f t="shared" si="18"/>
        <v>346.79999999999995</v>
      </c>
      <c r="P105" s="91">
        <f t="shared" si="19"/>
        <v>0</v>
      </c>
      <c r="Q105" s="6">
        <f t="shared" si="20"/>
        <v>337.69812932240285</v>
      </c>
      <c r="R105" s="87">
        <f t="shared" si="41"/>
        <v>-348.36622318738387</v>
      </c>
      <c r="S105" s="6">
        <f t="shared" si="21"/>
        <v>-21.054712967221718</v>
      </c>
      <c r="T105" s="83">
        <f t="shared" si="32"/>
        <v>3028.8321772060035</v>
      </c>
      <c r="U105" s="91">
        <f t="shared" si="39"/>
        <v>104078.08381042641</v>
      </c>
      <c r="V105" s="91">
        <f t="shared" si="33"/>
        <v>506.60533569126227</v>
      </c>
      <c r="W105" s="1">
        <f t="shared" si="43"/>
        <v>0</v>
      </c>
      <c r="X105" s="1">
        <f t="shared" si="43"/>
        <v>0</v>
      </c>
      <c r="Y105" s="1">
        <f t="shared" si="43"/>
        <v>1</v>
      </c>
      <c r="Z105" s="1">
        <f t="shared" si="43"/>
        <v>1</v>
      </c>
      <c r="AA105" s="1">
        <f t="shared" si="43"/>
        <v>1</v>
      </c>
      <c r="AB105" s="1">
        <f t="shared" si="43"/>
        <v>1</v>
      </c>
      <c r="AC105" s="1">
        <f t="shared" si="43"/>
        <v>1</v>
      </c>
      <c r="AD105" s="1">
        <f t="shared" si="43"/>
        <v>1</v>
      </c>
      <c r="AE105" s="1">
        <f t="shared" si="43"/>
        <v>1</v>
      </c>
      <c r="AF105" s="1">
        <f t="shared" si="43"/>
        <v>1</v>
      </c>
      <c r="AG105" s="1">
        <f t="shared" si="43"/>
        <v>1</v>
      </c>
      <c r="AH105" s="1">
        <f t="shared" si="43"/>
        <v>1</v>
      </c>
      <c r="AI105" s="44">
        <f t="shared" si="34"/>
        <v>100961.07257353346</v>
      </c>
      <c r="AJ105" s="44">
        <f t="shared" si="23"/>
        <v>101309.43879672085</v>
      </c>
      <c r="AK105" s="44" t="str">
        <f t="shared" si="42"/>
        <v>N</v>
      </c>
      <c r="AL105" s="4">
        <f t="shared" si="24"/>
        <v>27</v>
      </c>
      <c r="AM105" s="82">
        <f t="shared" si="35"/>
        <v>0</v>
      </c>
      <c r="AN105" s="82">
        <f t="shared" si="25"/>
        <v>0</v>
      </c>
      <c r="AO105" s="48">
        <f>0</f>
        <v>0</v>
      </c>
      <c r="AP105" s="91">
        <f t="shared" si="36"/>
        <v>-348.36622318738387</v>
      </c>
      <c r="AQ105" s="91">
        <f t="shared" si="37"/>
        <v>-348.36622318738387</v>
      </c>
      <c r="AV105" s="84"/>
    </row>
    <row r="106" spans="1:48">
      <c r="A106" s="190">
        <f t="shared" si="26"/>
        <v>68.054243668720048</v>
      </c>
      <c r="B106" s="82">
        <f t="shared" si="27"/>
        <v>3</v>
      </c>
      <c r="C106" s="83">
        <f t="shared" si="28"/>
        <v>28</v>
      </c>
      <c r="D106" s="14">
        <f t="shared" si="14"/>
        <v>4.8675505653430484E-3</v>
      </c>
      <c r="E106" s="16">
        <f t="shared" si="15"/>
        <v>0</v>
      </c>
      <c r="F106" s="127"/>
      <c r="G106" s="88">
        <f t="shared" si="16"/>
        <v>0.03</v>
      </c>
      <c r="H106" s="89">
        <f t="shared" si="29"/>
        <v>3.3333333333333335E-3</v>
      </c>
      <c r="I106" s="219"/>
      <c r="J106" s="219"/>
      <c r="K106" s="6">
        <f t="shared" si="38"/>
        <v>100961.07257353346</v>
      </c>
      <c r="M106" s="6">
        <f t="shared" si="17"/>
        <v>491.43312588294333</v>
      </c>
      <c r="N106" s="6">
        <f t="shared" si="30"/>
        <v>-114.35287972831993</v>
      </c>
      <c r="O106" s="90">
        <f t="shared" si="18"/>
        <v>346.79999999999995</v>
      </c>
      <c r="P106" s="91">
        <f t="shared" si="19"/>
        <v>0</v>
      </c>
      <c r="Q106" s="6">
        <f t="shared" si="20"/>
        <v>337.79384273229363</v>
      </c>
      <c r="R106" s="87">
        <f t="shared" si="41"/>
        <v>-348.5017809388417</v>
      </c>
      <c r="S106" s="6">
        <f t="shared" si="21"/>
        <v>-21.060676641502077</v>
      </c>
      <c r="T106" s="83">
        <f t="shared" si="32"/>
        <v>3029.6895311624771</v>
      </c>
      <c r="U106" s="91">
        <f t="shared" si="39"/>
        <v>104236.32292293028</v>
      </c>
      <c r="V106" s="91">
        <f t="shared" si="33"/>
        <v>507.37557257278985</v>
      </c>
      <c r="W106" s="1">
        <f t="shared" si="43"/>
        <v>0</v>
      </c>
      <c r="X106" s="1">
        <f t="shared" si="43"/>
        <v>0</v>
      </c>
      <c r="Y106" s="1">
        <f t="shared" si="43"/>
        <v>1</v>
      </c>
      <c r="Z106" s="1">
        <f t="shared" si="43"/>
        <v>1</v>
      </c>
      <c r="AA106" s="1">
        <f t="shared" si="43"/>
        <v>1</v>
      </c>
      <c r="AB106" s="1">
        <f t="shared" si="43"/>
        <v>1</v>
      </c>
      <c r="AC106" s="1">
        <f t="shared" si="43"/>
        <v>1</v>
      </c>
      <c r="AD106" s="1">
        <f t="shared" si="43"/>
        <v>1</v>
      </c>
      <c r="AE106" s="1">
        <f t="shared" si="43"/>
        <v>1</v>
      </c>
      <c r="AF106" s="1">
        <f t="shared" si="43"/>
        <v>1</v>
      </c>
      <c r="AG106" s="1">
        <f t="shared" si="43"/>
        <v>1</v>
      </c>
      <c r="AH106" s="1">
        <f t="shared" si="43"/>
        <v>1</v>
      </c>
      <c r="AI106" s="44">
        <f t="shared" si="34"/>
        <v>100989.65103874925</v>
      </c>
      <c r="AJ106" s="44">
        <f t="shared" si="23"/>
        <v>101338.15281968808</v>
      </c>
      <c r="AK106" s="44" t="str">
        <f t="shared" si="42"/>
        <v>N</v>
      </c>
      <c r="AL106" s="4">
        <f t="shared" si="24"/>
        <v>28</v>
      </c>
      <c r="AM106" s="82">
        <f t="shared" si="35"/>
        <v>0</v>
      </c>
      <c r="AN106" s="82">
        <f t="shared" si="25"/>
        <v>0</v>
      </c>
      <c r="AO106" s="48">
        <f>0</f>
        <v>0</v>
      </c>
      <c r="AP106" s="91">
        <f t="shared" si="36"/>
        <v>-348.5017809388417</v>
      </c>
      <c r="AQ106" s="91">
        <f t="shared" si="37"/>
        <v>-348.5017809388417</v>
      </c>
      <c r="AV106" s="84"/>
    </row>
    <row r="107" spans="1:48">
      <c r="A107" s="190">
        <f t="shared" si="26"/>
        <v>68.137577002053376</v>
      </c>
      <c r="B107" s="82">
        <f t="shared" si="27"/>
        <v>3</v>
      </c>
      <c r="C107" s="83">
        <f t="shared" si="28"/>
        <v>29</v>
      </c>
      <c r="D107" s="14">
        <f t="shared" si="14"/>
        <v>4.8675505653430484E-3</v>
      </c>
      <c r="E107" s="16">
        <f t="shared" si="15"/>
        <v>0</v>
      </c>
      <c r="F107" s="127"/>
      <c r="G107" s="88">
        <f t="shared" si="16"/>
        <v>0.03</v>
      </c>
      <c r="H107" s="89">
        <f t="shared" si="29"/>
        <v>3.3333333333333335E-3</v>
      </c>
      <c r="I107" s="219"/>
      <c r="J107" s="219"/>
      <c r="K107" s="6">
        <f t="shared" si="38"/>
        <v>100989.65103874925</v>
      </c>
      <c r="M107" s="6">
        <f t="shared" si="17"/>
        <v>491.57223300746108</v>
      </c>
      <c r="N107" s="6">
        <f t="shared" si="30"/>
        <v>-114.38524893471146</v>
      </c>
      <c r="O107" s="90">
        <f t="shared" si="18"/>
        <v>346.79999999999995</v>
      </c>
      <c r="P107" s="91">
        <f t="shared" si="19"/>
        <v>0</v>
      </c>
      <c r="Q107" s="6">
        <f t="shared" si="20"/>
        <v>337.88946007607336</v>
      </c>
      <c r="R107" s="87">
        <f t="shared" si="41"/>
        <v>-348.63739143911039</v>
      </c>
      <c r="S107" s="6">
        <f t="shared" si="21"/>
        <v>-21.066634310442321</v>
      </c>
      <c r="T107" s="83">
        <f t="shared" si="32"/>
        <v>3030.5460189414866</v>
      </c>
      <c r="U107" s="91">
        <f t="shared" si="39"/>
        <v>104395.19671456424</v>
      </c>
      <c r="V107" s="91">
        <f t="shared" si="33"/>
        <v>508.14889878707595</v>
      </c>
      <c r="W107" s="1">
        <f t="shared" si="43"/>
        <v>0</v>
      </c>
      <c r="X107" s="1">
        <f t="shared" si="43"/>
        <v>0</v>
      </c>
      <c r="Y107" s="1">
        <f t="shared" si="43"/>
        <v>1</v>
      </c>
      <c r="Z107" s="1">
        <f t="shared" si="43"/>
        <v>1</v>
      </c>
      <c r="AA107" s="1">
        <f t="shared" si="43"/>
        <v>1</v>
      </c>
      <c r="AB107" s="1">
        <f t="shared" si="43"/>
        <v>1</v>
      </c>
      <c r="AC107" s="1">
        <f t="shared" si="43"/>
        <v>1</v>
      </c>
      <c r="AD107" s="1">
        <f t="shared" si="43"/>
        <v>1</v>
      </c>
      <c r="AE107" s="1">
        <f t="shared" si="43"/>
        <v>1</v>
      </c>
      <c r="AF107" s="1">
        <f t="shared" si="43"/>
        <v>1</v>
      </c>
      <c r="AG107" s="1">
        <f t="shared" si="43"/>
        <v>1</v>
      </c>
      <c r="AH107" s="1">
        <f t="shared" si="43"/>
        <v>1</v>
      </c>
      <c r="AI107" s="44">
        <f t="shared" si="34"/>
        <v>101018.20063138289</v>
      </c>
      <c r="AJ107" s="44">
        <f t="shared" si="23"/>
        <v>101366.838022822</v>
      </c>
      <c r="AK107" s="44" t="str">
        <f t="shared" si="42"/>
        <v>N</v>
      </c>
      <c r="AL107" s="4">
        <f t="shared" si="24"/>
        <v>29</v>
      </c>
      <c r="AM107" s="82">
        <f t="shared" si="35"/>
        <v>0</v>
      </c>
      <c r="AN107" s="82">
        <f t="shared" si="25"/>
        <v>0</v>
      </c>
      <c r="AO107" s="48">
        <f>0</f>
        <v>0</v>
      </c>
      <c r="AP107" s="91">
        <f t="shared" si="36"/>
        <v>-348.63739143911039</v>
      </c>
      <c r="AQ107" s="91">
        <f t="shared" si="37"/>
        <v>-348.63739143911039</v>
      </c>
      <c r="AV107" s="84"/>
    </row>
    <row r="108" spans="1:48">
      <c r="A108" s="190">
        <f t="shared" si="26"/>
        <v>68.220910335386719</v>
      </c>
      <c r="B108" s="82">
        <f t="shared" si="27"/>
        <v>3</v>
      </c>
      <c r="C108" s="83">
        <f t="shared" si="28"/>
        <v>30</v>
      </c>
      <c r="D108" s="14">
        <f t="shared" si="14"/>
        <v>4.8675505653430484E-3</v>
      </c>
      <c r="E108" s="16">
        <f t="shared" si="15"/>
        <v>0</v>
      </c>
      <c r="F108" s="127"/>
      <c r="G108" s="88">
        <f t="shared" si="16"/>
        <v>0.03</v>
      </c>
      <c r="H108" s="89">
        <f t="shared" si="29"/>
        <v>3.3333333333333335E-3</v>
      </c>
      <c r="I108" s="219"/>
      <c r="J108" s="219"/>
      <c r="K108" s="6">
        <f t="shared" si="38"/>
        <v>101018.20063138289</v>
      </c>
      <c r="M108" s="6">
        <f t="shared" si="17"/>
        <v>491.71119959322527</v>
      </c>
      <c r="N108" s="6">
        <f t="shared" si="30"/>
        <v>-114.41758543876702</v>
      </c>
      <c r="O108" s="90">
        <f t="shared" si="18"/>
        <v>346.79999999999995</v>
      </c>
      <c r="P108" s="91">
        <f t="shared" si="19"/>
        <v>0</v>
      </c>
      <c r="Q108" s="6">
        <f t="shared" si="20"/>
        <v>337.98498081845781</v>
      </c>
      <c r="R108" s="87">
        <f t="shared" si="41"/>
        <v>-348.77305470871573</v>
      </c>
      <c r="S108" s="6">
        <f t="shared" si="21"/>
        <v>-21.07258594060896</v>
      </c>
      <c r="T108" s="83">
        <f t="shared" si="32"/>
        <v>3031.4016357248588</v>
      </c>
      <c r="U108" s="91">
        <f t="shared" si="39"/>
        <v>104554.70822191219</v>
      </c>
      <c r="V108" s="91">
        <f t="shared" si="33"/>
        <v>508.92532911484619</v>
      </c>
      <c r="W108" s="1">
        <f t="shared" si="43"/>
        <v>0</v>
      </c>
      <c r="X108" s="1">
        <f t="shared" si="43"/>
        <v>0</v>
      </c>
      <c r="Y108" s="1">
        <f t="shared" si="43"/>
        <v>1</v>
      </c>
      <c r="Z108" s="1">
        <f t="shared" si="43"/>
        <v>1</v>
      </c>
      <c r="AA108" s="1">
        <f t="shared" si="43"/>
        <v>1</v>
      </c>
      <c r="AB108" s="1">
        <f t="shared" si="43"/>
        <v>1</v>
      </c>
      <c r="AC108" s="1">
        <f t="shared" si="43"/>
        <v>1</v>
      </c>
      <c r="AD108" s="1">
        <f t="shared" si="43"/>
        <v>1</v>
      </c>
      <c r="AE108" s="1">
        <f t="shared" si="43"/>
        <v>1</v>
      </c>
      <c r="AF108" s="1">
        <f t="shared" si="43"/>
        <v>1</v>
      </c>
      <c r="AG108" s="1">
        <f t="shared" si="43"/>
        <v>1</v>
      </c>
      <c r="AH108" s="1">
        <f t="shared" si="43"/>
        <v>1</v>
      </c>
      <c r="AI108" s="44">
        <f t="shared" si="34"/>
        <v>101046.72119082863</v>
      </c>
      <c r="AJ108" s="44">
        <f t="shared" si="23"/>
        <v>101395.49424553734</v>
      </c>
      <c r="AK108" s="44" t="str">
        <f t="shared" si="42"/>
        <v>N</v>
      </c>
      <c r="AL108" s="4">
        <f t="shared" si="24"/>
        <v>30</v>
      </c>
      <c r="AM108" s="82">
        <f t="shared" si="35"/>
        <v>0</v>
      </c>
      <c r="AN108" s="82">
        <f t="shared" si="25"/>
        <v>0</v>
      </c>
      <c r="AO108" s="48">
        <f>0</f>
        <v>0</v>
      </c>
      <c r="AP108" s="91">
        <f t="shared" si="36"/>
        <v>-348.77305470871573</v>
      </c>
      <c r="AQ108" s="91">
        <f t="shared" si="37"/>
        <v>-348.77305470871573</v>
      </c>
      <c r="AV108" s="84"/>
    </row>
    <row r="109" spans="1:48">
      <c r="A109" s="190">
        <f t="shared" si="26"/>
        <v>68.304243668720048</v>
      </c>
      <c r="B109" s="82">
        <f t="shared" si="27"/>
        <v>3</v>
      </c>
      <c r="C109" s="83">
        <f t="shared" si="28"/>
        <v>31</v>
      </c>
      <c r="D109" s="14">
        <f t="shared" si="14"/>
        <v>4.8675505653430484E-3</v>
      </c>
      <c r="E109" s="16">
        <f t="shared" si="15"/>
        <v>0</v>
      </c>
      <c r="F109" s="127"/>
      <c r="G109" s="88">
        <f t="shared" si="16"/>
        <v>0.03</v>
      </c>
      <c r="H109" s="89">
        <f t="shared" si="29"/>
        <v>3.3333333333333335E-3</v>
      </c>
      <c r="I109" s="219"/>
      <c r="J109" s="219"/>
      <c r="K109" s="6">
        <f t="shared" si="38"/>
        <v>101046.72119082863</v>
      </c>
      <c r="M109" s="6">
        <f t="shared" si="17"/>
        <v>491.85002485847929</v>
      </c>
      <c r="N109" s="6">
        <f t="shared" si="30"/>
        <v>-114.4498890585776</v>
      </c>
      <c r="O109" s="90">
        <f t="shared" si="18"/>
        <v>346.79999999999995</v>
      </c>
      <c r="P109" s="91">
        <f t="shared" si="19"/>
        <v>0</v>
      </c>
      <c r="Q109" s="6">
        <f t="shared" si="20"/>
        <v>338.08040442209511</v>
      </c>
      <c r="R109" s="87">
        <f t="shared" si="41"/>
        <v>-348.90877076819146</v>
      </c>
      <c r="S109" s="6">
        <f t="shared" si="21"/>
        <v>-21.078531498439364</v>
      </c>
      <c r="T109" s="83">
        <f t="shared" si="32"/>
        <v>3032.2563766758099</v>
      </c>
      <c r="U109" s="91">
        <f t="shared" si="39"/>
        <v>104714.86049631833</v>
      </c>
      <c r="V109" s="91">
        <f t="shared" si="33"/>
        <v>509.70487840867276</v>
      </c>
      <c r="W109" s="1">
        <f t="shared" ref="W109:AH118" si="44">IF($B109&lt;=W$78,1,0)</f>
        <v>0</v>
      </c>
      <c r="X109" s="1">
        <f t="shared" si="44"/>
        <v>0</v>
      </c>
      <c r="Y109" s="1">
        <f t="shared" si="44"/>
        <v>1</v>
      </c>
      <c r="Z109" s="1">
        <f t="shared" si="44"/>
        <v>1</v>
      </c>
      <c r="AA109" s="1">
        <f t="shared" si="44"/>
        <v>1</v>
      </c>
      <c r="AB109" s="1">
        <f t="shared" si="44"/>
        <v>1</v>
      </c>
      <c r="AC109" s="1">
        <f t="shared" si="44"/>
        <v>1</v>
      </c>
      <c r="AD109" s="1">
        <f t="shared" si="44"/>
        <v>1</v>
      </c>
      <c r="AE109" s="1">
        <f t="shared" si="44"/>
        <v>1</v>
      </c>
      <c r="AF109" s="1">
        <f t="shared" si="44"/>
        <v>1</v>
      </c>
      <c r="AG109" s="1">
        <f t="shared" si="44"/>
        <v>1</v>
      </c>
      <c r="AH109" s="1">
        <f t="shared" si="44"/>
        <v>1</v>
      </c>
      <c r="AI109" s="44">
        <f t="shared" si="34"/>
        <v>101075.21255586033</v>
      </c>
      <c r="AJ109" s="44">
        <f t="shared" si="23"/>
        <v>101424.12132662852</v>
      </c>
      <c r="AK109" s="44" t="str">
        <f t="shared" si="42"/>
        <v>N</v>
      </c>
      <c r="AL109" s="4">
        <f t="shared" si="24"/>
        <v>31</v>
      </c>
      <c r="AM109" s="82">
        <f t="shared" si="35"/>
        <v>0</v>
      </c>
      <c r="AN109" s="82">
        <f t="shared" si="25"/>
        <v>0</v>
      </c>
      <c r="AO109" s="48">
        <f>0</f>
        <v>0</v>
      </c>
      <c r="AP109" s="91">
        <f t="shared" si="36"/>
        <v>-348.90877076819146</v>
      </c>
      <c r="AQ109" s="91">
        <f t="shared" si="37"/>
        <v>-348.90877076819146</v>
      </c>
      <c r="AV109" s="84"/>
    </row>
    <row r="110" spans="1:48">
      <c r="A110" s="190">
        <f t="shared" si="26"/>
        <v>68.387577002053376</v>
      </c>
      <c r="B110" s="82">
        <f t="shared" si="27"/>
        <v>3</v>
      </c>
      <c r="C110" s="83">
        <f t="shared" si="28"/>
        <v>32</v>
      </c>
      <c r="D110" s="14">
        <f t="shared" si="14"/>
        <v>4.8675505653430484E-3</v>
      </c>
      <c r="E110" s="16">
        <f t="shared" si="15"/>
        <v>0</v>
      </c>
      <c r="F110" s="127"/>
      <c r="G110" s="88">
        <f t="shared" si="16"/>
        <v>0.03</v>
      </c>
      <c r="H110" s="89">
        <f t="shared" si="29"/>
        <v>3.3333333333333335E-3</v>
      </c>
      <c r="I110" s="219"/>
      <c r="J110" s="219"/>
      <c r="K110" s="6">
        <f t="shared" si="38"/>
        <v>101075.21255586033</v>
      </c>
      <c r="M110" s="6">
        <f t="shared" si="17"/>
        <v>491.98870801844674</v>
      </c>
      <c r="N110" s="6">
        <f t="shared" si="30"/>
        <v>-114.48215961153147</v>
      </c>
      <c r="O110" s="90">
        <f t="shared" si="18"/>
        <v>346.79999999999995</v>
      </c>
      <c r="P110" s="91">
        <f t="shared" si="19"/>
        <v>0</v>
      </c>
      <c r="Q110" s="6">
        <f t="shared" si="20"/>
        <v>338.17573034755748</v>
      </c>
      <c r="R110" s="87">
        <f t="shared" si="41"/>
        <v>-349.04453963807947</v>
      </c>
      <c r="S110" s="6">
        <f t="shared" si="21"/>
        <v>-21.084470950241272</v>
      </c>
      <c r="T110" s="83">
        <f t="shared" si="32"/>
        <v>3033.1102369388746</v>
      </c>
      <c r="U110" s="91">
        <f t="shared" si="39"/>
        <v>104875.65660395881</v>
      </c>
      <c r="V110" s="91">
        <f t="shared" si="33"/>
        <v>510.48756159332311</v>
      </c>
      <c r="W110" s="1">
        <f t="shared" si="44"/>
        <v>0</v>
      </c>
      <c r="X110" s="1">
        <f t="shared" si="44"/>
        <v>0</v>
      </c>
      <c r="Y110" s="1">
        <f t="shared" si="44"/>
        <v>1</v>
      </c>
      <c r="Z110" s="1">
        <f t="shared" si="44"/>
        <v>1</v>
      </c>
      <c r="AA110" s="1">
        <f t="shared" si="44"/>
        <v>1</v>
      </c>
      <c r="AB110" s="1">
        <f t="shared" si="44"/>
        <v>1</v>
      </c>
      <c r="AC110" s="1">
        <f t="shared" si="44"/>
        <v>1</v>
      </c>
      <c r="AD110" s="1">
        <f t="shared" si="44"/>
        <v>1</v>
      </c>
      <c r="AE110" s="1">
        <f t="shared" si="44"/>
        <v>1</v>
      </c>
      <c r="AF110" s="1">
        <f t="shared" si="44"/>
        <v>1</v>
      </c>
      <c r="AG110" s="1">
        <f t="shared" si="44"/>
        <v>1</v>
      </c>
      <c r="AH110" s="1">
        <f t="shared" si="44"/>
        <v>1</v>
      </c>
      <c r="AI110" s="44">
        <f t="shared" si="34"/>
        <v>101103.67456462915</v>
      </c>
      <c r="AJ110" s="44">
        <f t="shared" si="23"/>
        <v>101452.71910426723</v>
      </c>
      <c r="AK110" s="44" t="str">
        <f t="shared" si="42"/>
        <v>N</v>
      </c>
      <c r="AL110" s="4">
        <f t="shared" si="24"/>
        <v>32</v>
      </c>
      <c r="AM110" s="82">
        <f t="shared" si="35"/>
        <v>0</v>
      </c>
      <c r="AN110" s="82">
        <f t="shared" si="25"/>
        <v>0</v>
      </c>
      <c r="AO110" s="48">
        <f>0</f>
        <v>0</v>
      </c>
      <c r="AP110" s="91">
        <f t="shared" si="36"/>
        <v>-349.04453963807947</v>
      </c>
      <c r="AQ110" s="91">
        <f t="shared" si="37"/>
        <v>-349.04453963807947</v>
      </c>
      <c r="AV110" s="84"/>
    </row>
    <row r="111" spans="1:48">
      <c r="A111" s="190">
        <f t="shared" si="26"/>
        <v>68.470910335386719</v>
      </c>
      <c r="B111" s="82">
        <f t="shared" si="27"/>
        <v>3</v>
      </c>
      <c r="C111" s="83">
        <f t="shared" si="28"/>
        <v>33</v>
      </c>
      <c r="D111" s="14">
        <f t="shared" si="14"/>
        <v>4.8675505653430484E-3</v>
      </c>
      <c r="E111" s="16">
        <f t="shared" si="15"/>
        <v>0</v>
      </c>
      <c r="F111" s="127"/>
      <c r="G111" s="88">
        <f t="shared" si="16"/>
        <v>0.03</v>
      </c>
      <c r="H111" s="89">
        <f t="shared" si="29"/>
        <v>3.3333333333333335E-3</v>
      </c>
      <c r="I111" s="219"/>
      <c r="J111" s="219"/>
      <c r="K111" s="6">
        <f t="shared" si="38"/>
        <v>101103.67456462915</v>
      </c>
      <c r="M111" s="6">
        <f t="shared" si="17"/>
        <v>492.12724828532021</v>
      </c>
      <c r="N111" s="6">
        <f t="shared" si="30"/>
        <v>-114.51439691431169</v>
      </c>
      <c r="O111" s="90">
        <f t="shared" si="18"/>
        <v>346.79999999999995</v>
      </c>
      <c r="P111" s="91">
        <f t="shared" si="19"/>
        <v>0</v>
      </c>
      <c r="Q111" s="6">
        <f t="shared" si="20"/>
        <v>338.27095805333391</v>
      </c>
      <c r="R111" s="87">
        <f t="shared" si="41"/>
        <v>-349.18036133892952</v>
      </c>
      <c r="S111" s="6">
        <f t="shared" si="21"/>
        <v>-21.090404262192294</v>
      </c>
      <c r="T111" s="83">
        <f t="shared" si="32"/>
        <v>3033.963211639837</v>
      </c>
      <c r="U111" s="91">
        <f t="shared" si="39"/>
        <v>105037.09962591405</v>
      </c>
      <c r="V111" s="91">
        <f t="shared" si="33"/>
        <v>511.27339366611204</v>
      </c>
      <c r="W111" s="1">
        <f t="shared" si="44"/>
        <v>0</v>
      </c>
      <c r="X111" s="1">
        <f t="shared" si="44"/>
        <v>0</v>
      </c>
      <c r="Y111" s="1">
        <f t="shared" si="44"/>
        <v>1</v>
      </c>
      <c r="Z111" s="1">
        <f t="shared" si="44"/>
        <v>1</v>
      </c>
      <c r="AA111" s="1">
        <f t="shared" si="44"/>
        <v>1</v>
      </c>
      <c r="AB111" s="1">
        <f t="shared" si="44"/>
        <v>1</v>
      </c>
      <c r="AC111" s="1">
        <f t="shared" si="44"/>
        <v>1</v>
      </c>
      <c r="AD111" s="1">
        <f t="shared" si="44"/>
        <v>1</v>
      </c>
      <c r="AE111" s="1">
        <f t="shared" si="44"/>
        <v>1</v>
      </c>
      <c r="AF111" s="1">
        <f t="shared" si="44"/>
        <v>1</v>
      </c>
      <c r="AG111" s="1">
        <f t="shared" si="44"/>
        <v>1</v>
      </c>
      <c r="AH111" s="1">
        <f t="shared" si="44"/>
        <v>1</v>
      </c>
      <c r="AI111" s="44">
        <f t="shared" si="34"/>
        <v>101132.10705466123</v>
      </c>
      <c r="AJ111" s="44">
        <f t="shared" si="23"/>
        <v>101481.28741600017</v>
      </c>
      <c r="AK111" s="44" t="str">
        <f t="shared" si="42"/>
        <v>N</v>
      </c>
      <c r="AL111" s="4">
        <f t="shared" si="24"/>
        <v>33</v>
      </c>
      <c r="AM111" s="82">
        <f t="shared" si="35"/>
        <v>0</v>
      </c>
      <c r="AN111" s="82">
        <f t="shared" si="25"/>
        <v>0</v>
      </c>
      <c r="AO111" s="48">
        <f>0</f>
        <v>0</v>
      </c>
      <c r="AP111" s="91">
        <f t="shared" si="36"/>
        <v>-349.18036133892952</v>
      </c>
      <c r="AQ111" s="91">
        <f t="shared" si="37"/>
        <v>-349.18036133892952</v>
      </c>
      <c r="AV111" s="84"/>
    </row>
    <row r="112" spans="1:48">
      <c r="A112" s="190">
        <f t="shared" si="26"/>
        <v>68.554243668720048</v>
      </c>
      <c r="B112" s="82">
        <f t="shared" si="27"/>
        <v>3</v>
      </c>
      <c r="C112" s="83">
        <f t="shared" si="28"/>
        <v>34</v>
      </c>
      <c r="D112" s="14">
        <f t="shared" si="14"/>
        <v>4.8675505653430484E-3</v>
      </c>
      <c r="E112" s="16">
        <f t="shared" si="15"/>
        <v>0</v>
      </c>
      <c r="F112" s="127"/>
      <c r="G112" s="88">
        <f t="shared" si="16"/>
        <v>0.03</v>
      </c>
      <c r="H112" s="89">
        <f t="shared" si="29"/>
        <v>3.3333333333333335E-3</v>
      </c>
      <c r="I112" s="219"/>
      <c r="J112" s="219"/>
      <c r="K112" s="6">
        <f t="shared" si="38"/>
        <v>101132.10705466123</v>
      </c>
      <c r="M112" s="6">
        <f t="shared" si="17"/>
        <v>492.26564486824998</v>
      </c>
      <c r="N112" s="6">
        <f t="shared" si="30"/>
        <v>-114.54660078289328</v>
      </c>
      <c r="O112" s="90">
        <f t="shared" si="18"/>
        <v>346.79999999999995</v>
      </c>
      <c r="P112" s="91">
        <f t="shared" si="19"/>
        <v>0</v>
      </c>
      <c r="Q112" s="6">
        <f t="shared" si="20"/>
        <v>338.366086995822</v>
      </c>
      <c r="R112" s="87">
        <f t="shared" si="41"/>
        <v>-349.31623589129941</v>
      </c>
      <c r="S112" s="6">
        <f t="shared" si="21"/>
        <v>-21.096331400339427</v>
      </c>
      <c r="T112" s="83">
        <f t="shared" si="32"/>
        <v>3034.8152958856585</v>
      </c>
      <c r="U112" s="91">
        <f t="shared" si="39"/>
        <v>105199.19265824123</v>
      </c>
      <c r="V112" s="91">
        <f t="shared" si="33"/>
        <v>512.06238969725439</v>
      </c>
      <c r="W112" s="1">
        <f t="shared" si="44"/>
        <v>0</v>
      </c>
      <c r="X112" s="1">
        <f t="shared" si="44"/>
        <v>0</v>
      </c>
      <c r="Y112" s="1">
        <f t="shared" si="44"/>
        <v>1</v>
      </c>
      <c r="Z112" s="1">
        <f t="shared" si="44"/>
        <v>1</v>
      </c>
      <c r="AA112" s="1">
        <f t="shared" si="44"/>
        <v>1</v>
      </c>
      <c r="AB112" s="1">
        <f t="shared" si="44"/>
        <v>1</v>
      </c>
      <c r="AC112" s="1">
        <f t="shared" si="44"/>
        <v>1</v>
      </c>
      <c r="AD112" s="1">
        <f t="shared" si="44"/>
        <v>1</v>
      </c>
      <c r="AE112" s="1">
        <f t="shared" si="44"/>
        <v>1</v>
      </c>
      <c r="AF112" s="1">
        <f t="shared" si="44"/>
        <v>1</v>
      </c>
      <c r="AG112" s="1">
        <f t="shared" si="44"/>
        <v>1</v>
      </c>
      <c r="AH112" s="1">
        <f t="shared" si="44"/>
        <v>1</v>
      </c>
      <c r="AI112" s="44">
        <f t="shared" si="34"/>
        <v>101160.5098628553</v>
      </c>
      <c r="AJ112" s="44">
        <f t="shared" si="23"/>
        <v>101509.82609874659</v>
      </c>
      <c r="AK112" s="44" t="str">
        <f t="shared" si="42"/>
        <v>N</v>
      </c>
      <c r="AL112" s="4">
        <f t="shared" si="24"/>
        <v>34</v>
      </c>
      <c r="AM112" s="82">
        <f t="shared" si="35"/>
        <v>0</v>
      </c>
      <c r="AN112" s="82">
        <f t="shared" si="25"/>
        <v>0</v>
      </c>
      <c r="AO112" s="48">
        <f>0</f>
        <v>0</v>
      </c>
      <c r="AP112" s="91">
        <f t="shared" si="36"/>
        <v>-349.31623589129941</v>
      </c>
      <c r="AQ112" s="91">
        <f t="shared" si="37"/>
        <v>-349.31623589129941</v>
      </c>
      <c r="AV112" s="84"/>
    </row>
    <row r="113" spans="1:48">
      <c r="A113" s="190">
        <f t="shared" si="26"/>
        <v>68.637577002053376</v>
      </c>
      <c r="B113" s="82">
        <f t="shared" si="27"/>
        <v>3</v>
      </c>
      <c r="C113" s="83">
        <f t="shared" si="28"/>
        <v>35</v>
      </c>
      <c r="D113" s="14">
        <f t="shared" si="14"/>
        <v>4.8675505653430484E-3</v>
      </c>
      <c r="E113" s="16">
        <f t="shared" si="15"/>
        <v>0</v>
      </c>
      <c r="F113" s="127"/>
      <c r="G113" s="88">
        <f t="shared" si="16"/>
        <v>0.03</v>
      </c>
      <c r="H113" s="89">
        <f t="shared" si="29"/>
        <v>3.3333333333333335E-3</v>
      </c>
      <c r="I113" s="219"/>
      <c r="J113" s="219"/>
      <c r="K113" s="6">
        <f t="shared" si="38"/>
        <v>101160.5098628553</v>
      </c>
      <c r="M113" s="6">
        <f t="shared" si="17"/>
        <v>492.40389697333234</v>
      </c>
      <c r="N113" s="6">
        <f t="shared" si="30"/>
        <v>-114.5787710325407</v>
      </c>
      <c r="O113" s="90">
        <f t="shared" si="18"/>
        <v>346.79999999999995</v>
      </c>
      <c r="P113" s="91">
        <f t="shared" si="19"/>
        <v>0</v>
      </c>
      <c r="Q113" s="6">
        <f t="shared" si="20"/>
        <v>338.46111662932032</v>
      </c>
      <c r="R113" s="87">
        <f t="shared" si="41"/>
        <v>-349.452163315755</v>
      </c>
      <c r="S113" s="6">
        <f t="shared" si="21"/>
        <v>-21.102252330598578</v>
      </c>
      <c r="T113" s="83">
        <f t="shared" si="32"/>
        <v>3035.6664847644101</v>
      </c>
      <c r="U113" s="91">
        <f t="shared" si="39"/>
        <v>105361.93881204718</v>
      </c>
      <c r="V113" s="91">
        <f t="shared" si="33"/>
        <v>512.85456483021994</v>
      </c>
      <c r="W113" s="1">
        <f t="shared" si="44"/>
        <v>0</v>
      </c>
      <c r="X113" s="1">
        <f t="shared" si="44"/>
        <v>0</v>
      </c>
      <c r="Y113" s="1">
        <f t="shared" si="44"/>
        <v>1</v>
      </c>
      <c r="Z113" s="1">
        <f t="shared" si="44"/>
        <v>1</v>
      </c>
      <c r="AA113" s="1">
        <f t="shared" si="44"/>
        <v>1</v>
      </c>
      <c r="AB113" s="1">
        <f t="shared" si="44"/>
        <v>1</v>
      </c>
      <c r="AC113" s="1">
        <f t="shared" si="44"/>
        <v>1</v>
      </c>
      <c r="AD113" s="1">
        <f t="shared" si="44"/>
        <v>1</v>
      </c>
      <c r="AE113" s="1">
        <f t="shared" si="44"/>
        <v>1</v>
      </c>
      <c r="AF113" s="1">
        <f t="shared" si="44"/>
        <v>1</v>
      </c>
      <c r="AG113" s="1">
        <f t="shared" si="44"/>
        <v>1</v>
      </c>
      <c r="AH113" s="1">
        <f t="shared" si="44"/>
        <v>1</v>
      </c>
      <c r="AI113" s="44">
        <f t="shared" si="34"/>
        <v>101188.88282548034</v>
      </c>
      <c r="AJ113" s="44">
        <f t="shared" si="23"/>
        <v>101538.33498879609</v>
      </c>
      <c r="AK113" s="44" t="str">
        <f t="shared" si="42"/>
        <v>N</v>
      </c>
      <c r="AL113" s="4">
        <f t="shared" si="24"/>
        <v>35</v>
      </c>
      <c r="AM113" s="82">
        <f t="shared" si="35"/>
        <v>0</v>
      </c>
      <c r="AN113" s="82">
        <f t="shared" si="25"/>
        <v>0</v>
      </c>
      <c r="AO113" s="48">
        <f>0</f>
        <v>0</v>
      </c>
      <c r="AP113" s="91">
        <f t="shared" si="36"/>
        <v>-349.452163315755</v>
      </c>
      <c r="AQ113" s="91">
        <f t="shared" si="37"/>
        <v>-349.452163315755</v>
      </c>
      <c r="AV113" s="84"/>
    </row>
    <row r="114" spans="1:48">
      <c r="A114" s="190">
        <f t="shared" si="26"/>
        <v>68.720910335386719</v>
      </c>
      <c r="B114" s="82">
        <f t="shared" si="27"/>
        <v>3</v>
      </c>
      <c r="C114" s="83">
        <f t="shared" si="28"/>
        <v>36</v>
      </c>
      <c r="D114" s="14">
        <f t="shared" si="14"/>
        <v>4.8675505653430484E-3</v>
      </c>
      <c r="E114" s="16">
        <f t="shared" si="15"/>
        <v>0</v>
      </c>
      <c r="F114" s="127"/>
      <c r="G114" s="88">
        <f t="shared" si="16"/>
        <v>0.03</v>
      </c>
      <c r="H114" s="89">
        <f t="shared" si="29"/>
        <v>3.3333333333333335E-3</v>
      </c>
      <c r="I114" s="219"/>
      <c r="J114" s="219"/>
      <c r="K114" s="6">
        <f t="shared" si="38"/>
        <v>101188.88282548034</v>
      </c>
      <c r="M114" s="6">
        <f t="shared" si="17"/>
        <v>492.54200380359828</v>
      </c>
      <c r="N114" s="6">
        <f t="shared" si="30"/>
        <v>-114.61090747780514</v>
      </c>
      <c r="O114" s="90">
        <f t="shared" si="18"/>
        <v>346.79999999999995</v>
      </c>
      <c r="P114" s="91">
        <f t="shared" si="19"/>
        <v>0</v>
      </c>
      <c r="Q114" s="6">
        <f t="shared" si="20"/>
        <v>338.55604640602041</v>
      </c>
      <c r="R114" s="87">
        <f t="shared" si="41"/>
        <v>-349.58814363287001</v>
      </c>
      <c r="S114" s="6">
        <f t="shared" si="21"/>
        <v>-21.108167018754052</v>
      </c>
      <c r="T114" s="83">
        <f t="shared" si="32"/>
        <v>3036.5167733451976</v>
      </c>
      <c r="U114" s="91">
        <f t="shared" si="39"/>
        <v>105525.34121356165</v>
      </c>
      <c r="V114" s="91">
        <f t="shared" si="33"/>
        <v>513.64993428209016</v>
      </c>
      <c r="W114" s="1">
        <f t="shared" si="44"/>
        <v>0</v>
      </c>
      <c r="X114" s="1">
        <f t="shared" si="44"/>
        <v>0</v>
      </c>
      <c r="Y114" s="1">
        <f t="shared" si="44"/>
        <v>1</v>
      </c>
      <c r="Z114" s="1">
        <f t="shared" si="44"/>
        <v>1</v>
      </c>
      <c r="AA114" s="1">
        <f t="shared" si="44"/>
        <v>1</v>
      </c>
      <c r="AB114" s="1">
        <f t="shared" si="44"/>
        <v>1</v>
      </c>
      <c r="AC114" s="1">
        <f t="shared" si="44"/>
        <v>1</v>
      </c>
      <c r="AD114" s="1">
        <f t="shared" si="44"/>
        <v>1</v>
      </c>
      <c r="AE114" s="1">
        <f t="shared" si="44"/>
        <v>1</v>
      </c>
      <c r="AF114" s="1">
        <f t="shared" si="44"/>
        <v>1</v>
      </c>
      <c r="AG114" s="1">
        <f t="shared" si="44"/>
        <v>1</v>
      </c>
      <c r="AH114" s="1">
        <f t="shared" si="44"/>
        <v>1</v>
      </c>
      <c r="AI114" s="44">
        <f t="shared" si="34"/>
        <v>101217.22577817326</v>
      </c>
      <c r="AJ114" s="44">
        <f t="shared" si="23"/>
        <v>101566.81392180613</v>
      </c>
      <c r="AK114" s="44" t="str">
        <f t="shared" si="42"/>
        <v>N</v>
      </c>
      <c r="AL114" s="4">
        <f t="shared" si="24"/>
        <v>36</v>
      </c>
      <c r="AM114" s="82">
        <f t="shared" si="35"/>
        <v>0</v>
      </c>
      <c r="AN114" s="82">
        <f t="shared" si="25"/>
        <v>0</v>
      </c>
      <c r="AO114" s="48">
        <f>0</f>
        <v>0</v>
      </c>
      <c r="AP114" s="91">
        <f t="shared" si="36"/>
        <v>-349.58814363287001</v>
      </c>
      <c r="AQ114" s="91">
        <f t="shared" si="37"/>
        <v>-349.58814363287001</v>
      </c>
      <c r="AV114" s="84"/>
    </row>
    <row r="115" spans="1:48">
      <c r="A115" s="190">
        <f t="shared" si="26"/>
        <v>68.804243668720048</v>
      </c>
      <c r="B115" s="82">
        <f t="shared" si="27"/>
        <v>4</v>
      </c>
      <c r="C115" s="83">
        <f t="shared" si="28"/>
        <v>37</v>
      </c>
      <c r="D115" s="14">
        <f t="shared" si="14"/>
        <v>4.8675505653430484E-3</v>
      </c>
      <c r="E115" s="16">
        <f t="shared" si="15"/>
        <v>0</v>
      </c>
      <c r="F115" s="127"/>
      <c r="G115" s="88">
        <f t="shared" si="16"/>
        <v>0.02</v>
      </c>
      <c r="H115" s="89">
        <f t="shared" si="29"/>
        <v>3.3333333333333335E-3</v>
      </c>
      <c r="I115" s="219"/>
      <c r="J115" s="219"/>
      <c r="K115" s="6">
        <f t="shared" si="38"/>
        <v>101217.22577817326</v>
      </c>
      <c r="M115" s="6">
        <f t="shared" si="17"/>
        <v>492.67996455900226</v>
      </c>
      <c r="N115" s="6">
        <f t="shared" si="30"/>
        <v>-114.64300993252182</v>
      </c>
      <c r="O115" s="90">
        <f t="shared" si="18"/>
        <v>353.73599999999993</v>
      </c>
      <c r="P115" s="91">
        <f t="shared" si="19"/>
        <v>0</v>
      </c>
      <c r="Q115" s="6">
        <f t="shared" si="20"/>
        <v>338.65087577599917</v>
      </c>
      <c r="R115" s="87">
        <f t="shared" si="41"/>
        <v>-355.05717116581354</v>
      </c>
      <c r="S115" s="6">
        <f t="shared" si="21"/>
        <v>-21.113519272666064</v>
      </c>
      <c r="T115" s="83">
        <f t="shared" si="32"/>
        <v>2024.8041112326787</v>
      </c>
      <c r="U115" s="91">
        <f t="shared" si="39"/>
        <v>105689.40300421088</v>
      </c>
      <c r="V115" s="91">
        <f t="shared" si="33"/>
        <v>514.44851334391592</v>
      </c>
      <c r="W115" s="1">
        <f t="shared" si="44"/>
        <v>0</v>
      </c>
      <c r="X115" s="1">
        <f t="shared" si="44"/>
        <v>0</v>
      </c>
      <c r="Y115" s="1">
        <f t="shared" si="44"/>
        <v>0</v>
      </c>
      <c r="Z115" s="1">
        <f t="shared" si="44"/>
        <v>1</v>
      </c>
      <c r="AA115" s="1">
        <f t="shared" si="44"/>
        <v>1</v>
      </c>
      <c r="AB115" s="1">
        <f t="shared" si="44"/>
        <v>1</v>
      </c>
      <c r="AC115" s="1">
        <f t="shared" si="44"/>
        <v>1</v>
      </c>
      <c r="AD115" s="1">
        <f t="shared" si="44"/>
        <v>1</v>
      </c>
      <c r="AE115" s="1">
        <f t="shared" si="44"/>
        <v>1</v>
      </c>
      <c r="AF115" s="1">
        <f t="shared" si="44"/>
        <v>1</v>
      </c>
      <c r="AG115" s="1">
        <f t="shared" si="44"/>
        <v>1</v>
      </c>
      <c r="AH115" s="1">
        <f t="shared" si="44"/>
        <v>1</v>
      </c>
      <c r="AI115" s="44">
        <f t="shared" si="34"/>
        <v>101240.20556163393</v>
      </c>
      <c r="AJ115" s="44">
        <f t="shared" si="23"/>
        <v>101595.26273279975</v>
      </c>
      <c r="AK115" s="44" t="str">
        <f t="shared" si="42"/>
        <v>N</v>
      </c>
      <c r="AL115" s="4">
        <f t="shared" si="24"/>
        <v>37</v>
      </c>
      <c r="AM115" s="82">
        <f t="shared" si="35"/>
        <v>0</v>
      </c>
      <c r="AN115" s="82">
        <f t="shared" si="25"/>
        <v>0</v>
      </c>
      <c r="AO115" s="48">
        <f>0</f>
        <v>0</v>
      </c>
      <c r="AP115" s="91">
        <f t="shared" si="36"/>
        <v>-355.05717116581354</v>
      </c>
      <c r="AQ115" s="91">
        <f t="shared" si="37"/>
        <v>-355.05717116581354</v>
      </c>
      <c r="AV115" s="84"/>
    </row>
    <row r="116" spans="1:48">
      <c r="A116" s="190">
        <f t="shared" si="26"/>
        <v>68.887577002053376</v>
      </c>
      <c r="B116" s="82">
        <f t="shared" si="27"/>
        <v>4</v>
      </c>
      <c r="C116" s="83">
        <f t="shared" si="28"/>
        <v>38</v>
      </c>
      <c r="D116" s="14">
        <f t="shared" si="14"/>
        <v>4.8675505653430484E-3</v>
      </c>
      <c r="E116" s="16">
        <f t="shared" si="15"/>
        <v>0</v>
      </c>
      <c r="F116" s="127"/>
      <c r="G116" s="88">
        <f t="shared" si="16"/>
        <v>0.02</v>
      </c>
      <c r="H116" s="89">
        <f t="shared" si="29"/>
        <v>3.3333333333333335E-3</v>
      </c>
      <c r="I116" s="219"/>
      <c r="J116" s="219"/>
      <c r="K116" s="6">
        <f t="shared" si="38"/>
        <v>101240.20556163393</v>
      </c>
      <c r="M116" s="6">
        <f t="shared" si="17"/>
        <v>492.79181981697769</v>
      </c>
      <c r="N116" s="6">
        <f t="shared" si="30"/>
        <v>-114.66903782968335</v>
      </c>
      <c r="O116" s="90">
        <f t="shared" si="18"/>
        <v>353.73599999999993</v>
      </c>
      <c r="P116" s="91">
        <f t="shared" si="19"/>
        <v>0</v>
      </c>
      <c r="Q116" s="6">
        <f t="shared" si="20"/>
        <v>338.72776114540414</v>
      </c>
      <c r="R116" s="87">
        <f t="shared" si="41"/>
        <v>-355.19533252750324</v>
      </c>
      <c r="S116" s="6">
        <f t="shared" si="21"/>
        <v>-21.118306764241982</v>
      </c>
      <c r="T116" s="83">
        <f t="shared" si="32"/>
        <v>2025.2626602218745</v>
      </c>
      <c r="U116" s="91">
        <f t="shared" si="39"/>
        <v>105848.79434638898</v>
      </c>
      <c r="V116" s="91">
        <f t="shared" si="33"/>
        <v>515.2243587616457</v>
      </c>
      <c r="W116" s="1">
        <f t="shared" si="44"/>
        <v>0</v>
      </c>
      <c r="X116" s="1">
        <f t="shared" si="44"/>
        <v>0</v>
      </c>
      <c r="Y116" s="1">
        <f t="shared" si="44"/>
        <v>0</v>
      </c>
      <c r="Z116" s="1">
        <f t="shared" si="44"/>
        <v>1</v>
      </c>
      <c r="AA116" s="1">
        <f t="shared" si="44"/>
        <v>1</v>
      </c>
      <c r="AB116" s="1">
        <f t="shared" si="44"/>
        <v>1</v>
      </c>
      <c r="AC116" s="1">
        <f t="shared" si="44"/>
        <v>1</v>
      </c>
      <c r="AD116" s="1">
        <f t="shared" si="44"/>
        <v>1</v>
      </c>
      <c r="AE116" s="1">
        <f t="shared" si="44"/>
        <v>1</v>
      </c>
      <c r="AF116" s="1">
        <f t="shared" si="44"/>
        <v>1</v>
      </c>
      <c r="AG116" s="1">
        <f t="shared" si="44"/>
        <v>1</v>
      </c>
      <c r="AH116" s="1">
        <f t="shared" si="44"/>
        <v>1</v>
      </c>
      <c r="AI116" s="44">
        <f t="shared" si="34"/>
        <v>101263.13301109373</v>
      </c>
      <c r="AJ116" s="44">
        <f t="shared" si="23"/>
        <v>101618.32834362124</v>
      </c>
      <c r="AK116" s="44" t="str">
        <f t="shared" si="42"/>
        <v>N</v>
      </c>
      <c r="AL116" s="4">
        <f t="shared" si="24"/>
        <v>38</v>
      </c>
      <c r="AM116" s="82">
        <f t="shared" si="35"/>
        <v>0</v>
      </c>
      <c r="AN116" s="82">
        <f t="shared" si="25"/>
        <v>0</v>
      </c>
      <c r="AO116" s="48">
        <f>0</f>
        <v>0</v>
      </c>
      <c r="AP116" s="91">
        <f t="shared" si="36"/>
        <v>-355.19533252750324</v>
      </c>
      <c r="AQ116" s="91">
        <f t="shared" si="37"/>
        <v>-355.19533252750324</v>
      </c>
      <c r="AV116" s="84"/>
    </row>
    <row r="117" spans="1:48">
      <c r="A117" s="190">
        <f t="shared" si="26"/>
        <v>68.970910335386719</v>
      </c>
      <c r="B117" s="82">
        <f t="shared" si="27"/>
        <v>4</v>
      </c>
      <c r="C117" s="83">
        <f t="shared" si="28"/>
        <v>39</v>
      </c>
      <c r="D117" s="14">
        <f t="shared" si="14"/>
        <v>4.8675505653430484E-3</v>
      </c>
      <c r="E117" s="16">
        <f t="shared" si="15"/>
        <v>0</v>
      </c>
      <c r="F117" s="127"/>
      <c r="G117" s="88">
        <f t="shared" si="16"/>
        <v>0.02</v>
      </c>
      <c r="H117" s="89">
        <f t="shared" si="29"/>
        <v>3.3333333333333335E-3</v>
      </c>
      <c r="I117" s="219"/>
      <c r="J117" s="219"/>
      <c r="K117" s="6">
        <f t="shared" si="38"/>
        <v>101263.13301109373</v>
      </c>
      <c r="M117" s="6">
        <f t="shared" si="17"/>
        <v>492.90342033655759</v>
      </c>
      <c r="N117" s="6">
        <f t="shared" si="30"/>
        <v>-114.69500645109079</v>
      </c>
      <c r="O117" s="90">
        <f t="shared" si="18"/>
        <v>353.73599999999993</v>
      </c>
      <c r="P117" s="91">
        <f t="shared" si="19"/>
        <v>0</v>
      </c>
      <c r="Q117" s="6">
        <f t="shared" si="20"/>
        <v>338.80447141659732</v>
      </c>
      <c r="R117" s="87">
        <f t="shared" si="41"/>
        <v>-355.33354765113154</v>
      </c>
      <c r="S117" s="6">
        <f t="shared" si="21"/>
        <v>-21.123083314397441</v>
      </c>
      <c r="T117" s="83">
        <f t="shared" si="32"/>
        <v>2025.7201575465615</v>
      </c>
      <c r="U117" s="91">
        <f t="shared" si="39"/>
        <v>106008.82337262311</v>
      </c>
      <c r="V117" s="91">
        <f t="shared" si="33"/>
        <v>516.00330813876303</v>
      </c>
      <c r="W117" s="1">
        <f t="shared" si="44"/>
        <v>0</v>
      </c>
      <c r="X117" s="1">
        <f t="shared" si="44"/>
        <v>0</v>
      </c>
      <c r="Y117" s="1">
        <f t="shared" si="44"/>
        <v>0</v>
      </c>
      <c r="Z117" s="1">
        <f t="shared" si="44"/>
        <v>1</v>
      </c>
      <c r="AA117" s="1">
        <f t="shared" si="44"/>
        <v>1</v>
      </c>
      <c r="AB117" s="1">
        <f t="shared" si="44"/>
        <v>1</v>
      </c>
      <c r="AC117" s="1">
        <f t="shared" si="44"/>
        <v>1</v>
      </c>
      <c r="AD117" s="1">
        <f t="shared" si="44"/>
        <v>1</v>
      </c>
      <c r="AE117" s="1">
        <f t="shared" si="44"/>
        <v>1</v>
      </c>
      <c r="AF117" s="1">
        <f t="shared" si="44"/>
        <v>1</v>
      </c>
      <c r="AG117" s="1">
        <f t="shared" si="44"/>
        <v>1</v>
      </c>
      <c r="AH117" s="1">
        <f t="shared" si="44"/>
        <v>1</v>
      </c>
      <c r="AI117" s="44">
        <f t="shared" si="34"/>
        <v>101286.00787732807</v>
      </c>
      <c r="AJ117" s="44">
        <f t="shared" si="23"/>
        <v>101641.3414249792</v>
      </c>
      <c r="AK117" s="44" t="str">
        <f t="shared" si="42"/>
        <v>N</v>
      </c>
      <c r="AL117" s="4">
        <f t="shared" si="24"/>
        <v>39</v>
      </c>
      <c r="AM117" s="82">
        <f t="shared" si="35"/>
        <v>0</v>
      </c>
      <c r="AN117" s="82">
        <f t="shared" si="25"/>
        <v>0</v>
      </c>
      <c r="AO117" s="48">
        <f>0</f>
        <v>0</v>
      </c>
      <c r="AP117" s="91">
        <f t="shared" si="36"/>
        <v>-355.33354765113154</v>
      </c>
      <c r="AQ117" s="91">
        <f t="shared" si="37"/>
        <v>-355.33354765113154</v>
      </c>
      <c r="AV117" s="84"/>
    </row>
    <row r="118" spans="1:48">
      <c r="A118" s="190">
        <f t="shared" si="26"/>
        <v>69.054243668720048</v>
      </c>
      <c r="B118" s="82">
        <f t="shared" si="27"/>
        <v>4</v>
      </c>
      <c r="C118" s="83">
        <f t="shared" si="28"/>
        <v>40</v>
      </c>
      <c r="D118" s="14">
        <f t="shared" si="14"/>
        <v>4.8675505653430484E-3</v>
      </c>
      <c r="E118" s="16">
        <f t="shared" si="15"/>
        <v>0</v>
      </c>
      <c r="F118" s="127"/>
      <c r="G118" s="88">
        <f t="shared" si="16"/>
        <v>0.02</v>
      </c>
      <c r="H118" s="89">
        <f t="shared" si="29"/>
        <v>3.3333333333333335E-3</v>
      </c>
      <c r="I118" s="219"/>
      <c r="J118" s="219"/>
      <c r="K118" s="6">
        <f t="shared" si="38"/>
        <v>101286.00787732807</v>
      </c>
      <c r="M118" s="6">
        <f t="shared" si="17"/>
        <v>493.01476490462869</v>
      </c>
      <c r="N118" s="6">
        <f t="shared" si="30"/>
        <v>-114.72091551446165</v>
      </c>
      <c r="O118" s="90">
        <f t="shared" si="18"/>
        <v>353.73599999999993</v>
      </c>
      <c r="P118" s="91">
        <f t="shared" si="19"/>
        <v>0</v>
      </c>
      <c r="Q118" s="6">
        <f t="shared" si="20"/>
        <v>338.88100575572747</v>
      </c>
      <c r="R118" s="87">
        <f t="shared" si="41"/>
        <v>-355.47181655761852</v>
      </c>
      <c r="S118" s="6">
        <f t="shared" si="21"/>
        <v>-21.127848871051825</v>
      </c>
      <c r="T118" s="83">
        <f t="shared" si="32"/>
        <v>2026.1765982032123</v>
      </c>
      <c r="U118" s="91">
        <f t="shared" si="39"/>
        <v>106169.49313311075</v>
      </c>
      <c r="V118" s="91">
        <f t="shared" si="33"/>
        <v>516.78537632225812</v>
      </c>
      <c r="W118" s="1">
        <f t="shared" si="44"/>
        <v>0</v>
      </c>
      <c r="X118" s="1">
        <f t="shared" si="44"/>
        <v>0</v>
      </c>
      <c r="Y118" s="1">
        <f t="shared" si="44"/>
        <v>0</v>
      </c>
      <c r="Z118" s="1">
        <f t="shared" si="44"/>
        <v>1</v>
      </c>
      <c r="AA118" s="1">
        <f t="shared" si="44"/>
        <v>1</v>
      </c>
      <c r="AB118" s="1">
        <f t="shared" si="44"/>
        <v>1</v>
      </c>
      <c r="AC118" s="1">
        <f t="shared" si="44"/>
        <v>1</v>
      </c>
      <c r="AD118" s="1">
        <f t="shared" si="44"/>
        <v>1</v>
      </c>
      <c r="AE118" s="1">
        <f t="shared" si="44"/>
        <v>1</v>
      </c>
      <c r="AF118" s="1">
        <f t="shared" si="44"/>
        <v>1</v>
      </c>
      <c r="AG118" s="1">
        <f t="shared" si="44"/>
        <v>1</v>
      </c>
      <c r="AH118" s="1">
        <f t="shared" si="44"/>
        <v>1</v>
      </c>
      <c r="AI118" s="44">
        <f t="shared" si="34"/>
        <v>101308.82991016061</v>
      </c>
      <c r="AJ118" s="44">
        <f t="shared" si="23"/>
        <v>101664.30172671823</v>
      </c>
      <c r="AK118" s="44" t="str">
        <f t="shared" si="42"/>
        <v>N</v>
      </c>
      <c r="AL118" s="4">
        <f t="shared" si="24"/>
        <v>40</v>
      </c>
      <c r="AM118" s="82">
        <f t="shared" si="35"/>
        <v>0</v>
      </c>
      <c r="AN118" s="82">
        <f t="shared" si="25"/>
        <v>0</v>
      </c>
      <c r="AO118" s="48">
        <f>0</f>
        <v>0</v>
      </c>
      <c r="AP118" s="91">
        <f t="shared" si="36"/>
        <v>-355.47181655761852</v>
      </c>
      <c r="AQ118" s="91">
        <f t="shared" si="37"/>
        <v>-355.47181655761852</v>
      </c>
      <c r="AV118" s="84"/>
    </row>
    <row r="119" spans="1:48">
      <c r="A119" s="190">
        <f t="shared" si="26"/>
        <v>69.137577002053376</v>
      </c>
      <c r="B119" s="82">
        <f t="shared" si="27"/>
        <v>4</v>
      </c>
      <c r="C119" s="83">
        <f t="shared" si="28"/>
        <v>41</v>
      </c>
      <c r="D119" s="14">
        <f t="shared" si="14"/>
        <v>4.8675505653430484E-3</v>
      </c>
      <c r="E119" s="16">
        <f t="shared" si="15"/>
        <v>0</v>
      </c>
      <c r="F119" s="127"/>
      <c r="G119" s="88">
        <f t="shared" si="16"/>
        <v>0.02</v>
      </c>
      <c r="H119" s="89">
        <f t="shared" si="29"/>
        <v>3.3333333333333335E-3</v>
      </c>
      <c r="I119" s="219"/>
      <c r="J119" s="219"/>
      <c r="K119" s="6">
        <f t="shared" si="38"/>
        <v>101308.82991016061</v>
      </c>
      <c r="M119" s="6">
        <f t="shared" si="17"/>
        <v>493.12585230344501</v>
      </c>
      <c r="N119" s="6">
        <f t="shared" si="30"/>
        <v>-114.74676473643534</v>
      </c>
      <c r="O119" s="90">
        <f t="shared" si="18"/>
        <v>353.73599999999993</v>
      </c>
      <c r="P119" s="91">
        <f t="shared" si="19"/>
        <v>0</v>
      </c>
      <c r="Q119" s="6">
        <f t="shared" si="20"/>
        <v>338.95736332575876</v>
      </c>
      <c r="R119" s="87">
        <f t="shared" si="41"/>
        <v>-355.61013926789258</v>
      </c>
      <c r="S119" s="6">
        <f t="shared" si="21"/>
        <v>-21.132603381925605</v>
      </c>
      <c r="T119" s="83">
        <f t="shared" si="32"/>
        <v>2026.6319771691944</v>
      </c>
      <c r="U119" s="91">
        <f t="shared" si="39"/>
        <v>106330.80669287538</v>
      </c>
      <c r="V119" s="91">
        <f t="shared" si="33"/>
        <v>517.57057823128798</v>
      </c>
      <c r="W119" s="1">
        <f t="shared" ref="W119:AH128" si="45">IF($B119&lt;=W$78,1,0)</f>
        <v>0</v>
      </c>
      <c r="X119" s="1">
        <f t="shared" si="45"/>
        <v>0</v>
      </c>
      <c r="Y119" s="1">
        <f t="shared" si="45"/>
        <v>0</v>
      </c>
      <c r="Z119" s="1">
        <f t="shared" si="45"/>
        <v>1</v>
      </c>
      <c r="AA119" s="1">
        <f t="shared" si="45"/>
        <v>1</v>
      </c>
      <c r="AB119" s="1">
        <f t="shared" si="45"/>
        <v>1</v>
      </c>
      <c r="AC119" s="1">
        <f t="shared" si="45"/>
        <v>1</v>
      </c>
      <c r="AD119" s="1">
        <f t="shared" si="45"/>
        <v>1</v>
      </c>
      <c r="AE119" s="1">
        <f t="shared" si="45"/>
        <v>1</v>
      </c>
      <c r="AF119" s="1">
        <f t="shared" si="45"/>
        <v>1</v>
      </c>
      <c r="AG119" s="1">
        <f t="shared" si="45"/>
        <v>1</v>
      </c>
      <c r="AH119" s="1">
        <f t="shared" si="45"/>
        <v>1</v>
      </c>
      <c r="AI119" s="44">
        <f t="shared" si="34"/>
        <v>101331.59885845972</v>
      </c>
      <c r="AJ119" s="44">
        <f t="shared" si="23"/>
        <v>101687.20899772762</v>
      </c>
      <c r="AK119" s="44" t="str">
        <f t="shared" si="42"/>
        <v>N</v>
      </c>
      <c r="AL119" s="4">
        <f t="shared" si="24"/>
        <v>41</v>
      </c>
      <c r="AM119" s="82">
        <f t="shared" si="35"/>
        <v>0</v>
      </c>
      <c r="AN119" s="82">
        <f t="shared" si="25"/>
        <v>0</v>
      </c>
      <c r="AO119" s="48">
        <f>0</f>
        <v>0</v>
      </c>
      <c r="AP119" s="91">
        <f t="shared" si="36"/>
        <v>-355.61013926789258</v>
      </c>
      <c r="AQ119" s="91">
        <f t="shared" si="37"/>
        <v>-355.61013926789258</v>
      </c>
      <c r="AV119" s="84"/>
    </row>
    <row r="120" spans="1:48">
      <c r="A120" s="190">
        <f t="shared" si="26"/>
        <v>69.220910335386719</v>
      </c>
      <c r="B120" s="82">
        <f t="shared" si="27"/>
        <v>4</v>
      </c>
      <c r="C120" s="83">
        <f t="shared" si="28"/>
        <v>42</v>
      </c>
      <c r="D120" s="14">
        <f t="shared" si="14"/>
        <v>4.8675505653430484E-3</v>
      </c>
      <c r="E120" s="16">
        <f t="shared" si="15"/>
        <v>0</v>
      </c>
      <c r="F120" s="127"/>
      <c r="G120" s="88">
        <f t="shared" si="16"/>
        <v>0.02</v>
      </c>
      <c r="H120" s="89">
        <f t="shared" si="29"/>
        <v>3.3333333333333335E-3</v>
      </c>
      <c r="I120" s="219"/>
      <c r="J120" s="219"/>
      <c r="K120" s="6">
        <f t="shared" si="38"/>
        <v>101331.59885845972</v>
      </c>
      <c r="M120" s="6">
        <f t="shared" si="17"/>
        <v>493.23668131061061</v>
      </c>
      <c r="N120" s="6">
        <f t="shared" si="30"/>
        <v>-114.77255383256933</v>
      </c>
      <c r="O120" s="90">
        <f t="shared" si="18"/>
        <v>353.73599999999993</v>
      </c>
      <c r="P120" s="91">
        <f t="shared" si="19"/>
        <v>0</v>
      </c>
      <c r="Q120" s="6">
        <f t="shared" si="20"/>
        <v>339.03354328645918</v>
      </c>
      <c r="R120" s="87">
        <f t="shared" si="41"/>
        <v>-355.74851580289004</v>
      </c>
      <c r="S120" s="6">
        <f t="shared" si="21"/>
        <v>-21.137346794539653</v>
      </c>
      <c r="T120" s="83">
        <f t="shared" si="32"/>
        <v>2027.0862894026973</v>
      </c>
      <c r="U120" s="91">
        <f t="shared" si="39"/>
        <v>106492.76713183877</v>
      </c>
      <c r="V120" s="91">
        <f t="shared" si="33"/>
        <v>518.35892885752742</v>
      </c>
      <c r="W120" s="1">
        <f t="shared" si="45"/>
        <v>0</v>
      </c>
      <c r="X120" s="1">
        <f t="shared" si="45"/>
        <v>0</v>
      </c>
      <c r="Y120" s="1">
        <f t="shared" si="45"/>
        <v>0</v>
      </c>
      <c r="Z120" s="1">
        <f t="shared" si="45"/>
        <v>1</v>
      </c>
      <c r="AA120" s="1">
        <f t="shared" si="45"/>
        <v>1</v>
      </c>
      <c r="AB120" s="1">
        <f t="shared" si="45"/>
        <v>1</v>
      </c>
      <c r="AC120" s="1">
        <f t="shared" si="45"/>
        <v>1</v>
      </c>
      <c r="AD120" s="1">
        <f t="shared" si="45"/>
        <v>1</v>
      </c>
      <c r="AE120" s="1">
        <f t="shared" si="45"/>
        <v>1</v>
      </c>
      <c r="AF120" s="1">
        <f t="shared" si="45"/>
        <v>1</v>
      </c>
      <c r="AG120" s="1">
        <f t="shared" si="45"/>
        <v>1</v>
      </c>
      <c r="AH120" s="1">
        <f t="shared" si="45"/>
        <v>1</v>
      </c>
      <c r="AI120" s="44">
        <f t="shared" si="34"/>
        <v>101354.31447013486</v>
      </c>
      <c r="AJ120" s="44">
        <f t="shared" si="23"/>
        <v>101710.06298593775</v>
      </c>
      <c r="AK120" s="44" t="str">
        <f t="shared" si="42"/>
        <v>N</v>
      </c>
      <c r="AL120" s="4">
        <f t="shared" si="24"/>
        <v>42</v>
      </c>
      <c r="AM120" s="82">
        <f t="shared" si="35"/>
        <v>0</v>
      </c>
      <c r="AN120" s="82">
        <f t="shared" si="25"/>
        <v>0</v>
      </c>
      <c r="AO120" s="48">
        <f>0</f>
        <v>0</v>
      </c>
      <c r="AP120" s="91">
        <f t="shared" si="36"/>
        <v>-355.74851580289004</v>
      </c>
      <c r="AQ120" s="91">
        <f t="shared" si="37"/>
        <v>-355.74851580289004</v>
      </c>
      <c r="AV120" s="84"/>
    </row>
    <row r="121" spans="1:48">
      <c r="A121" s="190">
        <f t="shared" si="26"/>
        <v>69.304243668720048</v>
      </c>
      <c r="B121" s="82">
        <f t="shared" si="27"/>
        <v>4</v>
      </c>
      <c r="C121" s="83">
        <f t="shared" si="28"/>
        <v>43</v>
      </c>
      <c r="D121" s="14">
        <f t="shared" si="14"/>
        <v>4.8675505653430484E-3</v>
      </c>
      <c r="E121" s="16">
        <f t="shared" si="15"/>
        <v>0</v>
      </c>
      <c r="F121" s="127"/>
      <c r="G121" s="88">
        <f t="shared" si="16"/>
        <v>0.02</v>
      </c>
      <c r="H121" s="89">
        <f t="shared" si="29"/>
        <v>3.3333333333333335E-3</v>
      </c>
      <c r="I121" s="219"/>
      <c r="J121" s="219"/>
      <c r="K121" s="6">
        <f t="shared" si="38"/>
        <v>101354.31447013486</v>
      </c>
      <c r="M121" s="6">
        <f t="shared" si="17"/>
        <v>493.3472506990621</v>
      </c>
      <c r="N121" s="6">
        <f t="shared" si="30"/>
        <v>-114.79828251733494</v>
      </c>
      <c r="O121" s="90">
        <f t="shared" si="18"/>
        <v>353.73599999999993</v>
      </c>
      <c r="P121" s="91">
        <f t="shared" si="19"/>
        <v>0</v>
      </c>
      <c r="Q121" s="6">
        <f t="shared" si="20"/>
        <v>339.10954479438868</v>
      </c>
      <c r="R121" s="87">
        <f t="shared" si="41"/>
        <v>-355.88694618355527</v>
      </c>
      <c r="S121" s="6">
        <f t="shared" si="21"/>
        <v>-21.142079056214463</v>
      </c>
      <c r="T121" s="83">
        <f t="shared" si="32"/>
        <v>2027.5395298426608</v>
      </c>
      <c r="U121" s="91">
        <f t="shared" si="39"/>
        <v>106655.37754489342</v>
      </c>
      <c r="V121" s="91">
        <f t="shared" si="33"/>
        <v>519.1504432655222</v>
      </c>
      <c r="W121" s="1">
        <f t="shared" si="45"/>
        <v>0</v>
      </c>
      <c r="X121" s="1">
        <f t="shared" si="45"/>
        <v>0</v>
      </c>
      <c r="Y121" s="1">
        <f t="shared" si="45"/>
        <v>0</v>
      </c>
      <c r="Z121" s="1">
        <f t="shared" si="45"/>
        <v>1</v>
      </c>
      <c r="AA121" s="1">
        <f t="shared" si="45"/>
        <v>1</v>
      </c>
      <c r="AB121" s="1">
        <f t="shared" si="45"/>
        <v>1</v>
      </c>
      <c r="AC121" s="1">
        <f t="shared" si="45"/>
        <v>1</v>
      </c>
      <c r="AD121" s="1">
        <f t="shared" si="45"/>
        <v>1</v>
      </c>
      <c r="AE121" s="1">
        <f t="shared" si="45"/>
        <v>1</v>
      </c>
      <c r="AF121" s="1">
        <f t="shared" si="45"/>
        <v>1</v>
      </c>
      <c r="AG121" s="1">
        <f t="shared" si="45"/>
        <v>1</v>
      </c>
      <c r="AH121" s="1">
        <f t="shared" si="45"/>
        <v>1</v>
      </c>
      <c r="AI121" s="44">
        <f t="shared" si="34"/>
        <v>101376.97649213304</v>
      </c>
      <c r="AJ121" s="44">
        <f t="shared" si="23"/>
        <v>101732.86343831659</v>
      </c>
      <c r="AK121" s="44" t="str">
        <f t="shared" si="42"/>
        <v>N</v>
      </c>
      <c r="AL121" s="4">
        <f t="shared" si="24"/>
        <v>43</v>
      </c>
      <c r="AM121" s="82">
        <f t="shared" si="35"/>
        <v>0</v>
      </c>
      <c r="AN121" s="82">
        <f t="shared" si="25"/>
        <v>0</v>
      </c>
      <c r="AO121" s="48">
        <f>0</f>
        <v>0</v>
      </c>
      <c r="AP121" s="91">
        <f t="shared" si="36"/>
        <v>-355.88694618355527</v>
      </c>
      <c r="AQ121" s="91">
        <f t="shared" si="37"/>
        <v>-355.88694618355527</v>
      </c>
      <c r="AV121" s="84"/>
    </row>
    <row r="122" spans="1:48">
      <c r="A122" s="190">
        <f t="shared" si="26"/>
        <v>69.387577002053376</v>
      </c>
      <c r="B122" s="82">
        <f t="shared" si="27"/>
        <v>4</v>
      </c>
      <c r="C122" s="83">
        <f t="shared" si="28"/>
        <v>44</v>
      </c>
      <c r="D122" s="14">
        <f t="shared" si="14"/>
        <v>4.8675505653430484E-3</v>
      </c>
      <c r="E122" s="16">
        <f t="shared" si="15"/>
        <v>0</v>
      </c>
      <c r="F122" s="127"/>
      <c r="G122" s="88">
        <f t="shared" si="16"/>
        <v>0.02</v>
      </c>
      <c r="H122" s="89">
        <f t="shared" si="29"/>
        <v>3.3333333333333335E-3</v>
      </c>
      <c r="I122" s="219"/>
      <c r="J122" s="219"/>
      <c r="K122" s="6">
        <f t="shared" si="38"/>
        <v>101376.97649213304</v>
      </c>
      <c r="M122" s="6">
        <f t="shared" si="17"/>
        <v>493.4575592370511</v>
      </c>
      <c r="N122" s="6">
        <f t="shared" si="30"/>
        <v>-114.82395050411341</v>
      </c>
      <c r="O122" s="90">
        <f t="shared" si="18"/>
        <v>353.73599999999993</v>
      </c>
      <c r="P122" s="91">
        <f t="shared" si="19"/>
        <v>0</v>
      </c>
      <c r="Q122" s="6">
        <f t="shared" si="20"/>
        <v>339.18536700288661</v>
      </c>
      <c r="R122" s="87">
        <f t="shared" si="41"/>
        <v>-356.02543043084108</v>
      </c>
      <c r="S122" s="6">
        <f t="shared" si="21"/>
        <v>-21.146800114069396</v>
      </c>
      <c r="T122" s="83">
        <f t="shared" si="32"/>
        <v>2027.9916934087025</v>
      </c>
      <c r="U122" s="91">
        <f t="shared" si="39"/>
        <v>106818.64104197538</v>
      </c>
      <c r="V122" s="91">
        <f t="shared" si="33"/>
        <v>519.94513659304346</v>
      </c>
      <c r="W122" s="1">
        <f t="shared" si="45"/>
        <v>0</v>
      </c>
      <c r="X122" s="1">
        <f t="shared" si="45"/>
        <v>0</v>
      </c>
      <c r="Y122" s="1">
        <f t="shared" si="45"/>
        <v>0</v>
      </c>
      <c r="Z122" s="1">
        <f t="shared" si="45"/>
        <v>1</v>
      </c>
      <c r="AA122" s="1">
        <f t="shared" si="45"/>
        <v>1</v>
      </c>
      <c r="AB122" s="1">
        <f t="shared" si="45"/>
        <v>1</v>
      </c>
      <c r="AC122" s="1">
        <f t="shared" si="45"/>
        <v>1</v>
      </c>
      <c r="AD122" s="1">
        <f t="shared" si="45"/>
        <v>1</v>
      </c>
      <c r="AE122" s="1">
        <f t="shared" si="45"/>
        <v>1</v>
      </c>
      <c r="AF122" s="1">
        <f t="shared" si="45"/>
        <v>1</v>
      </c>
      <c r="AG122" s="1">
        <f t="shared" si="45"/>
        <v>1</v>
      </c>
      <c r="AH122" s="1">
        <f t="shared" si="45"/>
        <v>1</v>
      </c>
      <c r="AI122" s="44">
        <f t="shared" si="34"/>
        <v>101399.58467043513</v>
      </c>
      <c r="AJ122" s="44">
        <f t="shared" si="23"/>
        <v>101755.61010086598</v>
      </c>
      <c r="AK122" s="44" t="str">
        <f t="shared" si="42"/>
        <v>N</v>
      </c>
      <c r="AL122" s="4">
        <f t="shared" si="24"/>
        <v>44</v>
      </c>
      <c r="AM122" s="82">
        <f t="shared" si="35"/>
        <v>0</v>
      </c>
      <c r="AN122" s="82">
        <f t="shared" si="25"/>
        <v>0</v>
      </c>
      <c r="AO122" s="48">
        <f>0</f>
        <v>0</v>
      </c>
      <c r="AP122" s="91">
        <f t="shared" si="36"/>
        <v>-356.02543043084108</v>
      </c>
      <c r="AQ122" s="91">
        <f t="shared" si="37"/>
        <v>-356.02543043084108</v>
      </c>
      <c r="AV122" s="84"/>
    </row>
    <row r="123" spans="1:48">
      <c r="A123" s="190">
        <f t="shared" si="26"/>
        <v>69.470910335386719</v>
      </c>
      <c r="B123" s="82">
        <f t="shared" si="27"/>
        <v>4</v>
      </c>
      <c r="C123" s="83">
        <f t="shared" si="28"/>
        <v>45</v>
      </c>
      <c r="D123" s="14">
        <f t="shared" si="14"/>
        <v>4.8675505653430484E-3</v>
      </c>
      <c r="E123" s="16">
        <f t="shared" si="15"/>
        <v>0</v>
      </c>
      <c r="F123" s="127"/>
      <c r="G123" s="88">
        <f t="shared" si="16"/>
        <v>0.02</v>
      </c>
      <c r="H123" s="89">
        <f t="shared" si="29"/>
        <v>3.3333333333333335E-3</v>
      </c>
      <c r="I123" s="219"/>
      <c r="J123" s="219"/>
      <c r="K123" s="6">
        <f t="shared" si="38"/>
        <v>101399.58467043513</v>
      </c>
      <c r="M123" s="6">
        <f t="shared" si="17"/>
        <v>493.56760568812683</v>
      </c>
      <c r="N123" s="6">
        <f t="shared" si="30"/>
        <v>-114.8495575051917</v>
      </c>
      <c r="O123" s="90">
        <f t="shared" si="18"/>
        <v>353.73599999999993</v>
      </c>
      <c r="P123" s="91">
        <f t="shared" si="19"/>
        <v>0</v>
      </c>
      <c r="Q123" s="6">
        <f t="shared" si="20"/>
        <v>339.26100906206023</v>
      </c>
      <c r="R123" s="87">
        <f t="shared" si="41"/>
        <v>-356.1639685657081</v>
      </c>
      <c r="S123" s="6">
        <f t="shared" si="21"/>
        <v>-21.151509915021954</v>
      </c>
      <c r="T123" s="83">
        <f t="shared" si="32"/>
        <v>2028.4427750010468</v>
      </c>
      <c r="U123" s="91">
        <f t="shared" si="39"/>
        <v>106982.56074813758</v>
      </c>
      <c r="V123" s="91">
        <f t="shared" si="33"/>
        <v>520.74302405144408</v>
      </c>
      <c r="W123" s="1">
        <f t="shared" si="45"/>
        <v>0</v>
      </c>
      <c r="X123" s="1">
        <f t="shared" si="45"/>
        <v>0</v>
      </c>
      <c r="Y123" s="1">
        <f t="shared" si="45"/>
        <v>0</v>
      </c>
      <c r="Z123" s="1">
        <f t="shared" si="45"/>
        <v>1</v>
      </c>
      <c r="AA123" s="1">
        <f t="shared" si="45"/>
        <v>1</v>
      </c>
      <c r="AB123" s="1">
        <f t="shared" si="45"/>
        <v>1</v>
      </c>
      <c r="AC123" s="1">
        <f t="shared" si="45"/>
        <v>1</v>
      </c>
      <c r="AD123" s="1">
        <f t="shared" si="45"/>
        <v>1</v>
      </c>
      <c r="AE123" s="1">
        <f t="shared" si="45"/>
        <v>1</v>
      </c>
      <c r="AF123" s="1">
        <f t="shared" si="45"/>
        <v>1</v>
      </c>
      <c r="AG123" s="1">
        <f t="shared" si="45"/>
        <v>1</v>
      </c>
      <c r="AH123" s="1">
        <f t="shared" si="45"/>
        <v>1</v>
      </c>
      <c r="AI123" s="44">
        <f t="shared" si="34"/>
        <v>101422.13875005234</v>
      </c>
      <c r="AJ123" s="44">
        <f t="shared" si="23"/>
        <v>101778.30271861806</v>
      </c>
      <c r="AK123" s="44" t="str">
        <f t="shared" si="42"/>
        <v>N</v>
      </c>
      <c r="AL123" s="4">
        <f t="shared" si="24"/>
        <v>45</v>
      </c>
      <c r="AM123" s="82">
        <f t="shared" si="35"/>
        <v>0</v>
      </c>
      <c r="AN123" s="82">
        <f t="shared" si="25"/>
        <v>0</v>
      </c>
      <c r="AO123" s="48">
        <f>0</f>
        <v>0</v>
      </c>
      <c r="AP123" s="91">
        <f t="shared" si="36"/>
        <v>-356.1639685657081</v>
      </c>
      <c r="AQ123" s="91">
        <f t="shared" si="37"/>
        <v>-356.1639685657081</v>
      </c>
      <c r="AV123" s="84"/>
    </row>
    <row r="124" spans="1:48">
      <c r="A124" s="190">
        <f t="shared" si="26"/>
        <v>69.554243668720048</v>
      </c>
      <c r="B124" s="82">
        <f t="shared" si="27"/>
        <v>4</v>
      </c>
      <c r="C124" s="83">
        <f t="shared" si="28"/>
        <v>46</v>
      </c>
      <c r="D124" s="14">
        <f t="shared" si="14"/>
        <v>4.8675505653430484E-3</v>
      </c>
      <c r="E124" s="16">
        <f t="shared" si="15"/>
        <v>0</v>
      </c>
      <c r="F124" s="127"/>
      <c r="G124" s="88">
        <f t="shared" si="16"/>
        <v>0.02</v>
      </c>
      <c r="H124" s="89">
        <f t="shared" si="29"/>
        <v>3.3333333333333335E-3</v>
      </c>
      <c r="I124" s="219"/>
      <c r="J124" s="219"/>
      <c r="K124" s="6">
        <f t="shared" si="38"/>
        <v>101422.13875005234</v>
      </c>
      <c r="M124" s="6">
        <f t="shared" si="17"/>
        <v>493.67738881111836</v>
      </c>
      <c r="N124" s="6">
        <f t="shared" si="30"/>
        <v>-114.87510323175844</v>
      </c>
      <c r="O124" s="90">
        <f t="shared" si="18"/>
        <v>353.73599999999993</v>
      </c>
      <c r="P124" s="91">
        <f t="shared" si="19"/>
        <v>0</v>
      </c>
      <c r="Q124" s="6">
        <f t="shared" si="20"/>
        <v>339.33647011877241</v>
      </c>
      <c r="R124" s="87">
        <f t="shared" si="41"/>
        <v>-356.30256060912541</v>
      </c>
      <c r="S124" s="6">
        <f t="shared" si="21"/>
        <v>-21.156208405786995</v>
      </c>
      <c r="T124" s="83">
        <f t="shared" si="32"/>
        <v>2028.8927695004518</v>
      </c>
      <c r="U124" s="91">
        <f t="shared" si="39"/>
        <v>107147.13980362331</v>
      </c>
      <c r="V124" s="91">
        <f t="shared" si="33"/>
        <v>521.54412092601729</v>
      </c>
      <c r="W124" s="1">
        <f t="shared" si="45"/>
        <v>0</v>
      </c>
      <c r="X124" s="1">
        <f t="shared" si="45"/>
        <v>0</v>
      </c>
      <c r="Y124" s="1">
        <f t="shared" si="45"/>
        <v>0</v>
      </c>
      <c r="Z124" s="1">
        <f t="shared" si="45"/>
        <v>1</v>
      </c>
      <c r="AA124" s="1">
        <f t="shared" si="45"/>
        <v>1</v>
      </c>
      <c r="AB124" s="1">
        <f t="shared" si="45"/>
        <v>1</v>
      </c>
      <c r="AC124" s="1">
        <f t="shared" si="45"/>
        <v>1</v>
      </c>
      <c r="AD124" s="1">
        <f t="shared" si="45"/>
        <v>1</v>
      </c>
      <c r="AE124" s="1">
        <f t="shared" si="45"/>
        <v>1</v>
      </c>
      <c r="AF124" s="1">
        <f t="shared" si="45"/>
        <v>1</v>
      </c>
      <c r="AG124" s="1">
        <f t="shared" si="45"/>
        <v>1</v>
      </c>
      <c r="AH124" s="1">
        <f t="shared" si="45"/>
        <v>1</v>
      </c>
      <c r="AI124" s="44">
        <f t="shared" si="34"/>
        <v>101444.63847502258</v>
      </c>
      <c r="AJ124" s="44">
        <f t="shared" si="23"/>
        <v>101800.94103563171</v>
      </c>
      <c r="AK124" s="44" t="str">
        <f t="shared" si="42"/>
        <v>N</v>
      </c>
      <c r="AL124" s="4">
        <f t="shared" si="24"/>
        <v>46</v>
      </c>
      <c r="AM124" s="82">
        <f t="shared" si="35"/>
        <v>0</v>
      </c>
      <c r="AN124" s="82">
        <f t="shared" si="25"/>
        <v>0</v>
      </c>
      <c r="AO124" s="48">
        <f>0</f>
        <v>0</v>
      </c>
      <c r="AP124" s="91">
        <f t="shared" si="36"/>
        <v>-356.30256060912541</v>
      </c>
      <c r="AQ124" s="91">
        <f t="shared" si="37"/>
        <v>-356.30256060912541</v>
      </c>
      <c r="AV124" s="84"/>
    </row>
    <row r="125" spans="1:48">
      <c r="A125" s="190">
        <f t="shared" si="26"/>
        <v>69.637577002053376</v>
      </c>
      <c r="B125" s="82">
        <f t="shared" si="27"/>
        <v>4</v>
      </c>
      <c r="C125" s="83">
        <f t="shared" si="28"/>
        <v>47</v>
      </c>
      <c r="D125" s="14">
        <f t="shared" si="14"/>
        <v>4.8675505653430484E-3</v>
      </c>
      <c r="E125" s="16">
        <f t="shared" si="15"/>
        <v>0</v>
      </c>
      <c r="F125" s="127"/>
      <c r="G125" s="88">
        <f t="shared" si="16"/>
        <v>0.02</v>
      </c>
      <c r="H125" s="89">
        <f t="shared" si="29"/>
        <v>3.3333333333333335E-3</v>
      </c>
      <c r="I125" s="219"/>
      <c r="J125" s="219"/>
      <c r="K125" s="6">
        <f t="shared" si="38"/>
        <v>101444.63847502258</v>
      </c>
      <c r="M125" s="6">
        <f t="shared" si="17"/>
        <v>493.78690736011737</v>
      </c>
      <c r="N125" s="6">
        <f t="shared" si="30"/>
        <v>-114.90058739389994</v>
      </c>
      <c r="O125" s="90">
        <f t="shared" si="18"/>
        <v>353.73599999999993</v>
      </c>
      <c r="P125" s="91">
        <f t="shared" si="19"/>
        <v>0</v>
      </c>
      <c r="Q125" s="6">
        <f t="shared" si="20"/>
        <v>339.41174931662937</v>
      </c>
      <c r="R125" s="87">
        <f t="shared" si="41"/>
        <v>-356.44120658207009</v>
      </c>
      <c r="S125" s="6">
        <f t="shared" si="21"/>
        <v>-21.160895532875994</v>
      </c>
      <c r="T125" s="83">
        <f t="shared" si="32"/>
        <v>2029.3416717681348</v>
      </c>
      <c r="U125" s="91">
        <f t="shared" si="39"/>
        <v>107312.38136394021</v>
      </c>
      <c r="V125" s="91">
        <f t="shared" si="33"/>
        <v>522.34844257635598</v>
      </c>
      <c r="W125" s="1">
        <f t="shared" si="45"/>
        <v>0</v>
      </c>
      <c r="X125" s="1">
        <f t="shared" si="45"/>
        <v>0</v>
      </c>
      <c r="Y125" s="1">
        <f t="shared" si="45"/>
        <v>0</v>
      </c>
      <c r="Z125" s="1">
        <f t="shared" si="45"/>
        <v>1</v>
      </c>
      <c r="AA125" s="1">
        <f t="shared" si="45"/>
        <v>1</v>
      </c>
      <c r="AB125" s="1">
        <f t="shared" si="45"/>
        <v>1</v>
      </c>
      <c r="AC125" s="1">
        <f t="shared" si="45"/>
        <v>1</v>
      </c>
      <c r="AD125" s="1">
        <f t="shared" si="45"/>
        <v>1</v>
      </c>
      <c r="AE125" s="1">
        <f t="shared" si="45"/>
        <v>1</v>
      </c>
      <c r="AF125" s="1">
        <f t="shared" si="45"/>
        <v>1</v>
      </c>
      <c r="AG125" s="1">
        <f t="shared" si="45"/>
        <v>1</v>
      </c>
      <c r="AH125" s="1">
        <f t="shared" si="45"/>
        <v>1</v>
      </c>
      <c r="AI125" s="44">
        <f t="shared" si="34"/>
        <v>101467.08358840673</v>
      </c>
      <c r="AJ125" s="44">
        <f t="shared" si="23"/>
        <v>101823.5247949888</v>
      </c>
      <c r="AK125" s="44" t="str">
        <f t="shared" si="42"/>
        <v>N</v>
      </c>
      <c r="AL125" s="4">
        <f t="shared" si="24"/>
        <v>47</v>
      </c>
      <c r="AM125" s="82">
        <f t="shared" si="35"/>
        <v>0</v>
      </c>
      <c r="AN125" s="82">
        <f t="shared" si="25"/>
        <v>0</v>
      </c>
      <c r="AO125" s="48">
        <f>0</f>
        <v>0</v>
      </c>
      <c r="AP125" s="91">
        <f t="shared" si="36"/>
        <v>-356.44120658207009</v>
      </c>
      <c r="AQ125" s="91">
        <f t="shared" si="37"/>
        <v>-356.44120658207009</v>
      </c>
      <c r="AV125" s="84"/>
    </row>
    <row r="126" spans="1:48">
      <c r="A126" s="190">
        <f t="shared" si="26"/>
        <v>69.720910335386719</v>
      </c>
      <c r="B126" s="82">
        <f t="shared" si="27"/>
        <v>4</v>
      </c>
      <c r="C126" s="83">
        <f t="shared" si="28"/>
        <v>48</v>
      </c>
      <c r="D126" s="14">
        <f t="shared" si="14"/>
        <v>4.8675505653430484E-3</v>
      </c>
      <c r="E126" s="16">
        <f t="shared" si="15"/>
        <v>0</v>
      </c>
      <c r="F126" s="127"/>
      <c r="G126" s="88">
        <f t="shared" si="16"/>
        <v>0.02</v>
      </c>
      <c r="H126" s="89">
        <f t="shared" si="29"/>
        <v>3.3333333333333335E-3</v>
      </c>
      <c r="I126" s="219"/>
      <c r="J126" s="219"/>
      <c r="K126" s="6">
        <f t="shared" si="38"/>
        <v>101467.08358840673</v>
      </c>
      <c r="M126" s="6">
        <f t="shared" si="17"/>
        <v>493.89616008445955</v>
      </c>
      <c r="N126" s="6">
        <f t="shared" si="30"/>
        <v>-114.9260097005958</v>
      </c>
      <c r="O126" s="90">
        <f t="shared" si="18"/>
        <v>353.73599999999993</v>
      </c>
      <c r="P126" s="91">
        <f t="shared" si="19"/>
        <v>0</v>
      </c>
      <c r="Q126" s="6">
        <f t="shared" si="20"/>
        <v>339.48684579596869</v>
      </c>
      <c r="R126" s="87">
        <f t="shared" si="41"/>
        <v>-356.57990650552745</v>
      </c>
      <c r="S126" s="6">
        <f t="shared" si="21"/>
        <v>-21.165571242596275</v>
      </c>
      <c r="T126" s="83">
        <f t="shared" si="32"/>
        <v>2029.7894766457016</v>
      </c>
      <c r="U126" s="91">
        <f t="shared" si="39"/>
        <v>107478.2885999345</v>
      </c>
      <c r="V126" s="91">
        <f t="shared" si="33"/>
        <v>523.15600443671451</v>
      </c>
      <c r="W126" s="1">
        <f t="shared" si="45"/>
        <v>0</v>
      </c>
      <c r="X126" s="1">
        <f t="shared" si="45"/>
        <v>0</v>
      </c>
      <c r="Y126" s="1">
        <f t="shared" si="45"/>
        <v>0</v>
      </c>
      <c r="Z126" s="1">
        <f t="shared" si="45"/>
        <v>1</v>
      </c>
      <c r="AA126" s="1">
        <f t="shared" si="45"/>
        <v>1</v>
      </c>
      <c r="AB126" s="1">
        <f t="shared" si="45"/>
        <v>1</v>
      </c>
      <c r="AC126" s="1">
        <f t="shared" si="45"/>
        <v>1</v>
      </c>
      <c r="AD126" s="1">
        <f t="shared" si="45"/>
        <v>1</v>
      </c>
      <c r="AE126" s="1">
        <f t="shared" si="45"/>
        <v>1</v>
      </c>
      <c r="AF126" s="1">
        <f t="shared" si="45"/>
        <v>1</v>
      </c>
      <c r="AG126" s="1">
        <f t="shared" si="45"/>
        <v>1</v>
      </c>
      <c r="AH126" s="1">
        <f t="shared" si="45"/>
        <v>1</v>
      </c>
      <c r="AI126" s="44">
        <f t="shared" si="34"/>
        <v>101489.47383228508</v>
      </c>
      <c r="AJ126" s="44">
        <f t="shared" si="23"/>
        <v>101846.05373879061</v>
      </c>
      <c r="AK126" s="44" t="str">
        <f t="shared" si="42"/>
        <v>N</v>
      </c>
      <c r="AL126" s="4">
        <f t="shared" si="24"/>
        <v>48</v>
      </c>
      <c r="AM126" s="82">
        <f t="shared" si="35"/>
        <v>0</v>
      </c>
      <c r="AN126" s="82">
        <f t="shared" si="25"/>
        <v>0</v>
      </c>
      <c r="AO126" s="48">
        <f>0</f>
        <v>0</v>
      </c>
      <c r="AP126" s="91">
        <f t="shared" si="36"/>
        <v>-356.57990650552745</v>
      </c>
      <c r="AQ126" s="91">
        <f t="shared" si="37"/>
        <v>-356.57990650552745</v>
      </c>
      <c r="AV126" s="84"/>
    </row>
    <row r="127" spans="1:48">
      <c r="A127" s="190">
        <f t="shared" si="26"/>
        <v>69.804243668720048</v>
      </c>
      <c r="B127" s="82">
        <f t="shared" si="27"/>
        <v>5</v>
      </c>
      <c r="C127" s="83">
        <f t="shared" si="28"/>
        <v>49</v>
      </c>
      <c r="D127" s="14">
        <f t="shared" si="14"/>
        <v>4.8675505653430484E-3</v>
      </c>
      <c r="E127" s="16">
        <f t="shared" si="15"/>
        <v>0</v>
      </c>
      <c r="F127" s="127"/>
      <c r="G127" s="88">
        <f t="shared" si="16"/>
        <v>0.01</v>
      </c>
      <c r="H127" s="89">
        <f t="shared" si="29"/>
        <v>3.3333333333333335E-3</v>
      </c>
      <c r="I127" s="219"/>
      <c r="J127" s="219"/>
      <c r="K127" s="6">
        <f t="shared" si="38"/>
        <v>101489.47383228508</v>
      </c>
      <c r="M127" s="6">
        <f t="shared" si="17"/>
        <v>494.00514572870776</v>
      </c>
      <c r="N127" s="6">
        <f t="shared" si="30"/>
        <v>-114.95136985971497</v>
      </c>
      <c r="O127" s="90">
        <f t="shared" si="18"/>
        <v>360.81071999999995</v>
      </c>
      <c r="P127" s="91">
        <f t="shared" si="19"/>
        <v>0</v>
      </c>
      <c r="Q127" s="6">
        <f t="shared" si="20"/>
        <v>339.56175869384691</v>
      </c>
      <c r="R127" s="87">
        <f t="shared" si="41"/>
        <v>-362.15831458912982</v>
      </c>
      <c r="S127" s="6">
        <f t="shared" si="21"/>
        <v>-21.1696682001024</v>
      </c>
      <c r="T127" s="83">
        <f t="shared" si="32"/>
        <v>1015.0636929356493</v>
      </c>
      <c r="U127" s="91">
        <f t="shared" si="39"/>
        <v>107644.86469786569</v>
      </c>
      <c r="V127" s="91">
        <f t="shared" si="33"/>
        <v>523.96682201637213</v>
      </c>
      <c r="W127" s="1">
        <f t="shared" si="45"/>
        <v>0</v>
      </c>
      <c r="X127" s="1">
        <f t="shared" si="45"/>
        <v>0</v>
      </c>
      <c r="Y127" s="1">
        <f t="shared" si="45"/>
        <v>0</v>
      </c>
      <c r="Z127" s="1">
        <f t="shared" si="45"/>
        <v>0</v>
      </c>
      <c r="AA127" s="1">
        <f t="shared" si="45"/>
        <v>1</v>
      </c>
      <c r="AB127" s="1">
        <f t="shared" si="45"/>
        <v>1</v>
      </c>
      <c r="AC127" s="1">
        <f t="shared" si="45"/>
        <v>1</v>
      </c>
      <c r="AD127" s="1">
        <f t="shared" si="45"/>
        <v>1</v>
      </c>
      <c r="AE127" s="1">
        <f t="shared" si="45"/>
        <v>1</v>
      </c>
      <c r="AF127" s="1">
        <f t="shared" si="45"/>
        <v>1</v>
      </c>
      <c r="AG127" s="1">
        <f t="shared" si="45"/>
        <v>1</v>
      </c>
      <c r="AH127" s="1">
        <f t="shared" si="45"/>
        <v>1</v>
      </c>
      <c r="AI127" s="44">
        <f t="shared" si="34"/>
        <v>101506.36929356493</v>
      </c>
      <c r="AJ127" s="44">
        <f t="shared" si="23"/>
        <v>101868.52760815407</v>
      </c>
      <c r="AK127" s="44" t="str">
        <f t="shared" si="42"/>
        <v>N</v>
      </c>
      <c r="AL127" s="4">
        <f t="shared" si="24"/>
        <v>49</v>
      </c>
      <c r="AM127" s="82">
        <f t="shared" si="35"/>
        <v>0</v>
      </c>
      <c r="AN127" s="82">
        <f t="shared" si="25"/>
        <v>0</v>
      </c>
      <c r="AO127" s="48">
        <f>0</f>
        <v>0</v>
      </c>
      <c r="AP127" s="91">
        <f t="shared" si="36"/>
        <v>-362.15831458912982</v>
      </c>
      <c r="AQ127" s="91">
        <f t="shared" si="37"/>
        <v>-362.15831458912982</v>
      </c>
      <c r="AV127" s="84"/>
    </row>
    <row r="128" spans="1:48">
      <c r="A128" s="190">
        <f t="shared" si="26"/>
        <v>69.887577002053376</v>
      </c>
      <c r="B128" s="82">
        <f t="shared" si="27"/>
        <v>5</v>
      </c>
      <c r="C128" s="83">
        <f t="shared" si="28"/>
        <v>50</v>
      </c>
      <c r="D128" s="14">
        <f t="shared" si="14"/>
        <v>4.8675505653430484E-3</v>
      </c>
      <c r="E128" s="16">
        <f t="shared" si="15"/>
        <v>0</v>
      </c>
      <c r="F128" s="127"/>
      <c r="G128" s="88">
        <f t="shared" si="16"/>
        <v>0.01</v>
      </c>
      <c r="H128" s="89">
        <f t="shared" si="29"/>
        <v>3.3333333333333335E-3</v>
      </c>
      <c r="I128" s="219"/>
      <c r="J128" s="219"/>
      <c r="K128" s="6">
        <f t="shared" si="38"/>
        <v>101506.36929356493</v>
      </c>
      <c r="M128" s="6">
        <f t="shared" si="17"/>
        <v>494.08738524081224</v>
      </c>
      <c r="N128" s="6">
        <f t="shared" si="30"/>
        <v>-114.97050639028504</v>
      </c>
      <c r="O128" s="90">
        <f t="shared" si="18"/>
        <v>360.81071999999995</v>
      </c>
      <c r="P128" s="91">
        <f t="shared" si="19"/>
        <v>0</v>
      </c>
      <c r="Q128" s="6">
        <f t="shared" si="20"/>
        <v>339.61828724138491</v>
      </c>
      <c r="R128" s="87">
        <f t="shared" si="41"/>
        <v>-362.29923917805331</v>
      </c>
      <c r="S128" s="6">
        <f t="shared" si="21"/>
        <v>-21.173184011806558</v>
      </c>
      <c r="T128" s="83">
        <f t="shared" si="32"/>
        <v>1015.2318693323741</v>
      </c>
      <c r="U128" s="91">
        <f t="shared" si="39"/>
        <v>107806.67320529293</v>
      </c>
      <c r="V128" s="91">
        <f t="shared" si="33"/>
        <v>524.75443310817684</v>
      </c>
      <c r="W128" s="1">
        <f t="shared" si="45"/>
        <v>0</v>
      </c>
      <c r="X128" s="1">
        <f t="shared" si="45"/>
        <v>0</v>
      </c>
      <c r="Y128" s="1">
        <f t="shared" si="45"/>
        <v>0</v>
      </c>
      <c r="Z128" s="1">
        <f t="shared" si="45"/>
        <v>0</v>
      </c>
      <c r="AA128" s="1">
        <f t="shared" si="45"/>
        <v>1</v>
      </c>
      <c r="AB128" s="1">
        <f t="shared" si="45"/>
        <v>1</v>
      </c>
      <c r="AC128" s="1">
        <f t="shared" si="45"/>
        <v>1</v>
      </c>
      <c r="AD128" s="1">
        <f t="shared" si="45"/>
        <v>1</v>
      </c>
      <c r="AE128" s="1">
        <f t="shared" si="45"/>
        <v>1</v>
      </c>
      <c r="AF128" s="1">
        <f t="shared" si="45"/>
        <v>1</v>
      </c>
      <c r="AG128" s="1">
        <f t="shared" si="45"/>
        <v>1</v>
      </c>
      <c r="AH128" s="1">
        <f t="shared" si="45"/>
        <v>1</v>
      </c>
      <c r="AI128" s="44">
        <f t="shared" si="34"/>
        <v>101523.1869332374</v>
      </c>
      <c r="AJ128" s="44">
        <f t="shared" si="23"/>
        <v>101885.48617241546</v>
      </c>
      <c r="AK128" s="44" t="str">
        <f t="shared" si="42"/>
        <v>N</v>
      </c>
      <c r="AL128" s="4">
        <f t="shared" si="24"/>
        <v>50</v>
      </c>
      <c r="AM128" s="82">
        <f t="shared" si="35"/>
        <v>0</v>
      </c>
      <c r="AN128" s="82">
        <f t="shared" si="25"/>
        <v>0</v>
      </c>
      <c r="AO128" s="48">
        <f>0</f>
        <v>0</v>
      </c>
      <c r="AP128" s="91">
        <f t="shared" si="36"/>
        <v>-362.29923917805331</v>
      </c>
      <c r="AQ128" s="91">
        <f t="shared" si="37"/>
        <v>-362.29923917805331</v>
      </c>
      <c r="AV128" s="84"/>
    </row>
    <row r="129" spans="1:48">
      <c r="A129" s="190">
        <f t="shared" si="26"/>
        <v>69.970910335386719</v>
      </c>
      <c r="B129" s="82">
        <f t="shared" si="27"/>
        <v>5</v>
      </c>
      <c r="C129" s="83">
        <f t="shared" si="28"/>
        <v>51</v>
      </c>
      <c r="D129" s="14">
        <f t="shared" si="14"/>
        <v>4.8675505653430484E-3</v>
      </c>
      <c r="E129" s="16">
        <f t="shared" si="15"/>
        <v>0</v>
      </c>
      <c r="F129" s="127"/>
      <c r="G129" s="88">
        <f t="shared" si="16"/>
        <v>0.01</v>
      </c>
      <c r="H129" s="89">
        <f t="shared" si="29"/>
        <v>3.3333333333333335E-3</v>
      </c>
      <c r="I129" s="219"/>
      <c r="J129" s="219"/>
      <c r="K129" s="6">
        <f t="shared" si="38"/>
        <v>101523.1869332374</v>
      </c>
      <c r="M129" s="6">
        <f t="shared" si="17"/>
        <v>494.16924595230773</v>
      </c>
      <c r="N129" s="6">
        <f t="shared" si="30"/>
        <v>-114.98955477673496</v>
      </c>
      <c r="O129" s="90">
        <f t="shared" si="18"/>
        <v>360.81071999999995</v>
      </c>
      <c r="P129" s="91">
        <f t="shared" si="19"/>
        <v>0</v>
      </c>
      <c r="Q129" s="6">
        <f t="shared" si="20"/>
        <v>339.67455541470991</v>
      </c>
      <c r="R129" s="87">
        <f t="shared" si="41"/>
        <v>-362.44021860415415</v>
      </c>
      <c r="S129" s="6">
        <f t="shared" si="21"/>
        <v>-21.176683556038686</v>
      </c>
      <c r="T129" s="83">
        <f t="shared" si="32"/>
        <v>1015.3992640580882</v>
      </c>
      <c r="U129" s="91">
        <f t="shared" si="39"/>
        <v>107969.12839922305</v>
      </c>
      <c r="V129" s="91">
        <f t="shared" si="33"/>
        <v>525.54519197923435</v>
      </c>
      <c r="W129" s="1">
        <f t="shared" ref="W129:AH138" si="46">IF($B129&lt;=W$78,1,0)</f>
        <v>0</v>
      </c>
      <c r="X129" s="1">
        <f t="shared" si="46"/>
        <v>0</v>
      </c>
      <c r="Y129" s="1">
        <f t="shared" si="46"/>
        <v>0</v>
      </c>
      <c r="Z129" s="1">
        <f t="shared" si="46"/>
        <v>0</v>
      </c>
      <c r="AA129" s="1">
        <f t="shared" si="46"/>
        <v>1</v>
      </c>
      <c r="AB129" s="1">
        <f t="shared" si="46"/>
        <v>1</v>
      </c>
      <c r="AC129" s="1">
        <f t="shared" si="46"/>
        <v>1</v>
      </c>
      <c r="AD129" s="1">
        <f t="shared" si="46"/>
        <v>1</v>
      </c>
      <c r="AE129" s="1">
        <f t="shared" si="46"/>
        <v>1</v>
      </c>
      <c r="AF129" s="1">
        <f t="shared" si="46"/>
        <v>1</v>
      </c>
      <c r="AG129" s="1">
        <f t="shared" si="46"/>
        <v>1</v>
      </c>
      <c r="AH129" s="1">
        <f t="shared" si="46"/>
        <v>1</v>
      </c>
      <c r="AI129" s="44">
        <f t="shared" si="34"/>
        <v>101539.92640580882</v>
      </c>
      <c r="AJ129" s="44">
        <f t="shared" si="23"/>
        <v>101902.36662441297</v>
      </c>
      <c r="AK129" s="44" t="str">
        <f t="shared" si="42"/>
        <v>N</v>
      </c>
      <c r="AL129" s="4">
        <f t="shared" si="24"/>
        <v>51</v>
      </c>
      <c r="AM129" s="82">
        <f t="shared" si="35"/>
        <v>0</v>
      </c>
      <c r="AN129" s="82">
        <f t="shared" si="25"/>
        <v>0</v>
      </c>
      <c r="AO129" s="48">
        <f>0</f>
        <v>0</v>
      </c>
      <c r="AP129" s="91">
        <f t="shared" si="36"/>
        <v>-362.44021860415415</v>
      </c>
      <c r="AQ129" s="91">
        <f t="shared" si="37"/>
        <v>-362.44021860415415</v>
      </c>
      <c r="AV129" s="84"/>
    </row>
    <row r="130" spans="1:48">
      <c r="A130" s="190">
        <f t="shared" si="26"/>
        <v>70.054243668720048</v>
      </c>
      <c r="B130" s="82">
        <f t="shared" si="27"/>
        <v>5</v>
      </c>
      <c r="C130" s="83">
        <f t="shared" si="28"/>
        <v>52</v>
      </c>
      <c r="D130" s="14">
        <f t="shared" si="14"/>
        <v>4.8675505653430484E-3</v>
      </c>
      <c r="E130" s="16">
        <f t="shared" si="15"/>
        <v>0</v>
      </c>
      <c r="F130" s="127"/>
      <c r="G130" s="88">
        <f t="shared" si="16"/>
        <v>0.01</v>
      </c>
      <c r="H130" s="89">
        <f t="shared" si="29"/>
        <v>3.3333333333333335E-3</v>
      </c>
      <c r="I130" s="219"/>
      <c r="J130" s="219"/>
      <c r="K130" s="6">
        <f t="shared" si="38"/>
        <v>101539.92640580882</v>
      </c>
      <c r="M130" s="6">
        <f t="shared" si="17"/>
        <v>494.25072618148624</v>
      </c>
      <c r="N130" s="6">
        <f t="shared" si="30"/>
        <v>-115.00851462774368</v>
      </c>
      <c r="O130" s="90">
        <f t="shared" si="18"/>
        <v>360.81071999999995</v>
      </c>
      <c r="P130" s="91">
        <f t="shared" si="19"/>
        <v>0</v>
      </c>
      <c r="Q130" s="6">
        <f t="shared" si="20"/>
        <v>339.73056205787526</v>
      </c>
      <c r="R130" s="87">
        <f t="shared" si="41"/>
        <v>-362.5812528887709</v>
      </c>
      <c r="S130" s="6">
        <f t="shared" si="21"/>
        <v>-21.180166760601526</v>
      </c>
      <c r="T130" s="83">
        <f t="shared" si="32"/>
        <v>1015.5658736447378</v>
      </c>
      <c r="U130" s="91">
        <f t="shared" si="39"/>
        <v>108132.23337259813</v>
      </c>
      <c r="V130" s="91">
        <f t="shared" si="33"/>
        <v>526.33911368459644</v>
      </c>
      <c r="W130" s="1">
        <f t="shared" si="46"/>
        <v>0</v>
      </c>
      <c r="X130" s="1">
        <f t="shared" si="46"/>
        <v>0</v>
      </c>
      <c r="Y130" s="1">
        <f t="shared" si="46"/>
        <v>0</v>
      </c>
      <c r="Z130" s="1">
        <f t="shared" si="46"/>
        <v>0</v>
      </c>
      <c r="AA130" s="1">
        <f t="shared" si="46"/>
        <v>1</v>
      </c>
      <c r="AB130" s="1">
        <f t="shared" si="46"/>
        <v>1</v>
      </c>
      <c r="AC130" s="1">
        <f t="shared" si="46"/>
        <v>1</v>
      </c>
      <c r="AD130" s="1">
        <f t="shared" si="46"/>
        <v>1</v>
      </c>
      <c r="AE130" s="1">
        <f t="shared" si="46"/>
        <v>1</v>
      </c>
      <c r="AF130" s="1">
        <f t="shared" si="46"/>
        <v>1</v>
      </c>
      <c r="AG130" s="1">
        <f t="shared" si="46"/>
        <v>1</v>
      </c>
      <c r="AH130" s="1">
        <f t="shared" si="46"/>
        <v>1</v>
      </c>
      <c r="AI130" s="44">
        <f t="shared" si="34"/>
        <v>101556.58736447379</v>
      </c>
      <c r="AJ130" s="44">
        <f t="shared" si="23"/>
        <v>101919.16861736256</v>
      </c>
      <c r="AK130" s="44" t="str">
        <f t="shared" si="42"/>
        <v>N</v>
      </c>
      <c r="AL130" s="4">
        <f t="shared" si="24"/>
        <v>52</v>
      </c>
      <c r="AM130" s="82">
        <f t="shared" si="35"/>
        <v>0</v>
      </c>
      <c r="AN130" s="82">
        <f t="shared" si="25"/>
        <v>0</v>
      </c>
      <c r="AO130" s="48">
        <f>0</f>
        <v>0</v>
      </c>
      <c r="AP130" s="91">
        <f t="shared" si="36"/>
        <v>-362.5812528887709</v>
      </c>
      <c r="AQ130" s="91">
        <f t="shared" si="37"/>
        <v>-362.5812528887709</v>
      </c>
      <c r="AV130" s="84"/>
    </row>
    <row r="131" spans="1:48">
      <c r="A131" s="190">
        <f t="shared" si="26"/>
        <v>70.137577002053376</v>
      </c>
      <c r="B131" s="82">
        <f t="shared" si="27"/>
        <v>5</v>
      </c>
      <c r="C131" s="83">
        <f t="shared" si="28"/>
        <v>53</v>
      </c>
      <c r="D131" s="14">
        <f t="shared" si="14"/>
        <v>4.8675505653430484E-3</v>
      </c>
      <c r="E131" s="16">
        <f t="shared" si="15"/>
        <v>0</v>
      </c>
      <c r="F131" s="127"/>
      <c r="G131" s="88">
        <f t="shared" si="16"/>
        <v>0.01</v>
      </c>
      <c r="H131" s="89">
        <f t="shared" si="29"/>
        <v>3.3333333333333335E-3</v>
      </c>
      <c r="I131" s="219"/>
      <c r="J131" s="219"/>
      <c r="K131" s="6">
        <f t="shared" si="38"/>
        <v>101556.58736447379</v>
      </c>
      <c r="M131" s="6">
        <f t="shared" si="17"/>
        <v>494.33182424025506</v>
      </c>
      <c r="N131" s="6">
        <f t="shared" si="30"/>
        <v>-115.02738555050439</v>
      </c>
      <c r="O131" s="90">
        <f t="shared" si="18"/>
        <v>360.81071999999995</v>
      </c>
      <c r="P131" s="91">
        <f t="shared" si="19"/>
        <v>0</v>
      </c>
      <c r="Q131" s="6">
        <f t="shared" si="20"/>
        <v>339.78630601054516</v>
      </c>
      <c r="R131" s="87">
        <f t="shared" si="41"/>
        <v>-362.72234205325043</v>
      </c>
      <c r="S131" s="6">
        <f t="shared" si="21"/>
        <v>-21.183633553023743</v>
      </c>
      <c r="T131" s="83">
        <f t="shared" si="32"/>
        <v>1015.7316946111029</v>
      </c>
      <c r="U131" s="91">
        <f t="shared" si="39"/>
        <v>108295.99123339394</v>
      </c>
      <c r="V131" s="91">
        <f t="shared" si="33"/>
        <v>527.13621335249252</v>
      </c>
      <c r="W131" s="1">
        <f t="shared" si="46"/>
        <v>0</v>
      </c>
      <c r="X131" s="1">
        <f t="shared" si="46"/>
        <v>0</v>
      </c>
      <c r="Y131" s="1">
        <f t="shared" si="46"/>
        <v>0</v>
      </c>
      <c r="Z131" s="1">
        <f t="shared" si="46"/>
        <v>0</v>
      </c>
      <c r="AA131" s="1">
        <f t="shared" si="46"/>
        <v>1</v>
      </c>
      <c r="AB131" s="1">
        <f t="shared" si="46"/>
        <v>1</v>
      </c>
      <c r="AC131" s="1">
        <f t="shared" si="46"/>
        <v>1</v>
      </c>
      <c r="AD131" s="1">
        <f t="shared" si="46"/>
        <v>1</v>
      </c>
      <c r="AE131" s="1">
        <f t="shared" si="46"/>
        <v>1</v>
      </c>
      <c r="AF131" s="1">
        <f t="shared" si="46"/>
        <v>1</v>
      </c>
      <c r="AG131" s="1">
        <f t="shared" si="46"/>
        <v>1</v>
      </c>
      <c r="AH131" s="1">
        <f t="shared" si="46"/>
        <v>1</v>
      </c>
      <c r="AI131" s="44">
        <f t="shared" si="34"/>
        <v>101573.16946111029</v>
      </c>
      <c r="AJ131" s="44">
        <f t="shared" si="23"/>
        <v>101935.89180316354</v>
      </c>
      <c r="AK131" s="44" t="str">
        <f t="shared" si="42"/>
        <v>N</v>
      </c>
      <c r="AL131" s="4">
        <f t="shared" si="24"/>
        <v>53</v>
      </c>
      <c r="AM131" s="82">
        <f t="shared" si="35"/>
        <v>0</v>
      </c>
      <c r="AN131" s="82">
        <f t="shared" si="25"/>
        <v>0</v>
      </c>
      <c r="AO131" s="48">
        <f>0</f>
        <v>0</v>
      </c>
      <c r="AP131" s="91">
        <f t="shared" si="36"/>
        <v>-362.72234205325043</v>
      </c>
      <c r="AQ131" s="91">
        <f t="shared" si="37"/>
        <v>-362.72234205325043</v>
      </c>
      <c r="AV131" s="84"/>
    </row>
    <row r="132" spans="1:48">
      <c r="A132" s="190">
        <f t="shared" si="26"/>
        <v>70.220910335386719</v>
      </c>
      <c r="B132" s="82">
        <f t="shared" si="27"/>
        <v>5</v>
      </c>
      <c r="C132" s="83">
        <f t="shared" si="28"/>
        <v>54</v>
      </c>
      <c r="D132" s="14">
        <f t="shared" si="14"/>
        <v>4.8675505653430484E-3</v>
      </c>
      <c r="E132" s="16">
        <f t="shared" si="15"/>
        <v>0</v>
      </c>
      <c r="F132" s="127"/>
      <c r="G132" s="88">
        <f t="shared" si="16"/>
        <v>0.01</v>
      </c>
      <c r="H132" s="89">
        <f t="shared" si="29"/>
        <v>3.3333333333333335E-3</v>
      </c>
      <c r="I132" s="219"/>
      <c r="J132" s="219"/>
      <c r="K132" s="6">
        <f t="shared" si="38"/>
        <v>101573.16946111029</v>
      </c>
      <c r="M132" s="6">
        <f t="shared" si="17"/>
        <v>494.41253843411266</v>
      </c>
      <c r="N132" s="6">
        <f t="shared" si="30"/>
        <v>-115.04616715071904</v>
      </c>
      <c r="O132" s="90">
        <f t="shared" si="18"/>
        <v>360.81071999999995</v>
      </c>
      <c r="P132" s="91">
        <f t="shared" si="19"/>
        <v>0</v>
      </c>
      <c r="Q132" s="6">
        <f t="shared" si="20"/>
        <v>339.84178610797898</v>
      </c>
      <c r="R132" s="87">
        <f t="shared" si="41"/>
        <v>-362.86348611894783</v>
      </c>
      <c r="S132" s="6">
        <f t="shared" si="21"/>
        <v>-21.18708386055885</v>
      </c>
      <c r="T132" s="83">
        <f t="shared" si="32"/>
        <v>1015.8967234627473</v>
      </c>
      <c r="U132" s="91">
        <f t="shared" si="39"/>
        <v>108460.40510469319</v>
      </c>
      <c r="V132" s="91">
        <f t="shared" si="33"/>
        <v>527.93650618468541</v>
      </c>
      <c r="W132" s="1">
        <f t="shared" si="46"/>
        <v>0</v>
      </c>
      <c r="X132" s="1">
        <f t="shared" si="46"/>
        <v>0</v>
      </c>
      <c r="Y132" s="1">
        <f t="shared" si="46"/>
        <v>0</v>
      </c>
      <c r="Z132" s="1">
        <f t="shared" si="46"/>
        <v>0</v>
      </c>
      <c r="AA132" s="1">
        <f t="shared" si="46"/>
        <v>1</v>
      </c>
      <c r="AB132" s="1">
        <f t="shared" si="46"/>
        <v>1</v>
      </c>
      <c r="AC132" s="1">
        <f t="shared" si="46"/>
        <v>1</v>
      </c>
      <c r="AD132" s="1">
        <f t="shared" si="46"/>
        <v>1</v>
      </c>
      <c r="AE132" s="1">
        <f t="shared" si="46"/>
        <v>1</v>
      </c>
      <c r="AF132" s="1">
        <f t="shared" si="46"/>
        <v>1</v>
      </c>
      <c r="AG132" s="1">
        <f t="shared" si="46"/>
        <v>1</v>
      </c>
      <c r="AH132" s="1">
        <f t="shared" si="46"/>
        <v>1</v>
      </c>
      <c r="AI132" s="44">
        <f t="shared" si="34"/>
        <v>101589.67234627473</v>
      </c>
      <c r="AJ132" s="44">
        <f t="shared" si="23"/>
        <v>101952.53583239368</v>
      </c>
      <c r="AK132" s="44" t="str">
        <f t="shared" si="42"/>
        <v>N</v>
      </c>
      <c r="AL132" s="4">
        <f t="shared" si="24"/>
        <v>54</v>
      </c>
      <c r="AM132" s="82">
        <f t="shared" si="35"/>
        <v>0</v>
      </c>
      <c r="AN132" s="82">
        <f t="shared" si="25"/>
        <v>0</v>
      </c>
      <c r="AO132" s="48">
        <f>0</f>
        <v>0</v>
      </c>
      <c r="AP132" s="91">
        <f t="shared" si="36"/>
        <v>-362.86348611894783</v>
      </c>
      <c r="AQ132" s="91">
        <f t="shared" si="37"/>
        <v>-362.86348611894783</v>
      </c>
      <c r="AV132" s="84"/>
    </row>
    <row r="133" spans="1:48">
      <c r="A133" s="190">
        <f t="shared" si="26"/>
        <v>70.304243668720048</v>
      </c>
      <c r="B133" s="82">
        <f t="shared" si="27"/>
        <v>5</v>
      </c>
      <c r="C133" s="83">
        <f t="shared" si="28"/>
        <v>55</v>
      </c>
      <c r="D133" s="14">
        <f t="shared" si="14"/>
        <v>4.8675505653430484E-3</v>
      </c>
      <c r="E133" s="16">
        <f t="shared" si="15"/>
        <v>0</v>
      </c>
      <c r="F133" s="127"/>
      <c r="G133" s="88">
        <f t="shared" si="16"/>
        <v>0.01</v>
      </c>
      <c r="H133" s="89">
        <f t="shared" si="29"/>
        <v>3.3333333333333335E-3</v>
      </c>
      <c r="I133" s="219"/>
      <c r="J133" s="219"/>
      <c r="K133" s="6">
        <f t="shared" si="38"/>
        <v>101589.67234627473</v>
      </c>
      <c r="M133" s="6">
        <f t="shared" si="17"/>
        <v>494.49286706212462</v>
      </c>
      <c r="N133" s="6">
        <f t="shared" si="30"/>
        <v>-115.06485903259268</v>
      </c>
      <c r="O133" s="90">
        <f t="shared" si="18"/>
        <v>360.81071999999995</v>
      </c>
      <c r="P133" s="91">
        <f t="shared" si="19"/>
        <v>0</v>
      </c>
      <c r="Q133" s="6">
        <f t="shared" si="20"/>
        <v>339.89700118101428</v>
      </c>
      <c r="R133" s="87">
        <f t="shared" si="41"/>
        <v>-363.00468510722635</v>
      </c>
      <c r="S133" s="6">
        <f t="shared" si="21"/>
        <v>-21.190517610184212</v>
      </c>
      <c r="T133" s="83">
        <f t="shared" si="32"/>
        <v>1016.0609566919705</v>
      </c>
      <c r="U133" s="91">
        <f t="shared" si="39"/>
        <v>108625.47812475893</v>
      </c>
      <c r="V133" s="91">
        <f t="shared" si="33"/>
        <v>528.74000745682929</v>
      </c>
      <c r="W133" s="1">
        <f t="shared" si="46"/>
        <v>0</v>
      </c>
      <c r="X133" s="1">
        <f t="shared" si="46"/>
        <v>0</v>
      </c>
      <c r="Y133" s="1">
        <f t="shared" si="46"/>
        <v>0</v>
      </c>
      <c r="Z133" s="1">
        <f t="shared" si="46"/>
        <v>0</v>
      </c>
      <c r="AA133" s="1">
        <f t="shared" si="46"/>
        <v>1</v>
      </c>
      <c r="AB133" s="1">
        <f t="shared" si="46"/>
        <v>1</v>
      </c>
      <c r="AC133" s="1">
        <f t="shared" si="46"/>
        <v>1</v>
      </c>
      <c r="AD133" s="1">
        <f t="shared" si="46"/>
        <v>1</v>
      </c>
      <c r="AE133" s="1">
        <f t="shared" si="46"/>
        <v>1</v>
      </c>
      <c r="AF133" s="1">
        <f t="shared" si="46"/>
        <v>1</v>
      </c>
      <c r="AG133" s="1">
        <f t="shared" si="46"/>
        <v>1</v>
      </c>
      <c r="AH133" s="1">
        <f t="shared" si="46"/>
        <v>1</v>
      </c>
      <c r="AI133" s="44">
        <f t="shared" si="34"/>
        <v>101606.09566919705</v>
      </c>
      <c r="AJ133" s="44">
        <f t="shared" si="23"/>
        <v>101969.10035430428</v>
      </c>
      <c r="AK133" s="44" t="str">
        <f t="shared" si="42"/>
        <v>N</v>
      </c>
      <c r="AL133" s="4">
        <f t="shared" si="24"/>
        <v>55</v>
      </c>
      <c r="AM133" s="82">
        <f t="shared" si="35"/>
        <v>0</v>
      </c>
      <c r="AN133" s="82">
        <f t="shared" si="25"/>
        <v>0</v>
      </c>
      <c r="AO133" s="48">
        <f>0</f>
        <v>0</v>
      </c>
      <c r="AP133" s="91">
        <f t="shared" si="36"/>
        <v>-363.00468510722635</v>
      </c>
      <c r="AQ133" s="91">
        <f t="shared" si="37"/>
        <v>-363.00468510722635</v>
      </c>
      <c r="AV133" s="84"/>
    </row>
    <row r="134" spans="1:48">
      <c r="A134" s="190">
        <f t="shared" si="26"/>
        <v>70.387577002053376</v>
      </c>
      <c r="B134" s="82">
        <f t="shared" si="27"/>
        <v>5</v>
      </c>
      <c r="C134" s="83">
        <f t="shared" si="28"/>
        <v>56</v>
      </c>
      <c r="D134" s="14">
        <f t="shared" si="14"/>
        <v>4.8675505653430484E-3</v>
      </c>
      <c r="E134" s="16">
        <f t="shared" si="15"/>
        <v>0</v>
      </c>
      <c r="F134" s="127"/>
      <c r="G134" s="88">
        <f t="shared" si="16"/>
        <v>0.01</v>
      </c>
      <c r="H134" s="89">
        <f t="shared" si="29"/>
        <v>3.3333333333333335E-3</v>
      </c>
      <c r="I134" s="219"/>
      <c r="J134" s="219"/>
      <c r="K134" s="6">
        <f t="shared" si="38"/>
        <v>101606.09566919705</v>
      </c>
      <c r="M134" s="6">
        <f t="shared" si="17"/>
        <v>494.57280841689999</v>
      </c>
      <c r="N134" s="6">
        <f t="shared" si="30"/>
        <v>-115.08346079882794</v>
      </c>
      <c r="O134" s="90">
        <f t="shared" si="18"/>
        <v>360.81071999999995</v>
      </c>
      <c r="P134" s="91">
        <f t="shared" si="19"/>
        <v>0</v>
      </c>
      <c r="Q134" s="6">
        <f t="shared" si="20"/>
        <v>339.95195005605041</v>
      </c>
      <c r="R134" s="87">
        <f t="shared" si="41"/>
        <v>-363.14593903945791</v>
      </c>
      <c r="S134" s="6">
        <f t="shared" si="21"/>
        <v>-21.19393472860002</v>
      </c>
      <c r="T134" s="83">
        <f t="shared" si="32"/>
        <v>1016.2243907777566</v>
      </c>
      <c r="U134" s="91">
        <f t="shared" si="39"/>
        <v>108791.21344710853</v>
      </c>
      <c r="V134" s="91">
        <f t="shared" si="33"/>
        <v>529.54673251882934</v>
      </c>
      <c r="W134" s="1">
        <f t="shared" si="46"/>
        <v>0</v>
      </c>
      <c r="X134" s="1">
        <f t="shared" si="46"/>
        <v>0</v>
      </c>
      <c r="Y134" s="1">
        <f t="shared" si="46"/>
        <v>0</v>
      </c>
      <c r="Z134" s="1">
        <f t="shared" si="46"/>
        <v>0</v>
      </c>
      <c r="AA134" s="1">
        <f t="shared" si="46"/>
        <v>1</v>
      </c>
      <c r="AB134" s="1">
        <f t="shared" si="46"/>
        <v>1</v>
      </c>
      <c r="AC134" s="1">
        <f t="shared" si="46"/>
        <v>1</v>
      </c>
      <c r="AD134" s="1">
        <f t="shared" si="46"/>
        <v>1</v>
      </c>
      <c r="AE134" s="1">
        <f t="shared" si="46"/>
        <v>1</v>
      </c>
      <c r="AF134" s="1">
        <f t="shared" si="46"/>
        <v>1</v>
      </c>
      <c r="AG134" s="1">
        <f t="shared" si="46"/>
        <v>1</v>
      </c>
      <c r="AH134" s="1">
        <f t="shared" si="46"/>
        <v>1</v>
      </c>
      <c r="AI134" s="44">
        <f t="shared" si="34"/>
        <v>101622.43907777566</v>
      </c>
      <c r="AJ134" s="44">
        <f t="shared" si="23"/>
        <v>101985.58501681512</v>
      </c>
      <c r="AK134" s="44" t="str">
        <f t="shared" si="42"/>
        <v>N</v>
      </c>
      <c r="AL134" s="4">
        <f t="shared" si="24"/>
        <v>56</v>
      </c>
      <c r="AM134" s="82">
        <f t="shared" si="35"/>
        <v>0</v>
      </c>
      <c r="AN134" s="82">
        <f t="shared" si="25"/>
        <v>0</v>
      </c>
      <c r="AO134" s="48">
        <f>0</f>
        <v>0</v>
      </c>
      <c r="AP134" s="91">
        <f t="shared" si="36"/>
        <v>-363.14593903945791</v>
      </c>
      <c r="AQ134" s="91">
        <f t="shared" si="37"/>
        <v>-363.14593903945791</v>
      </c>
      <c r="AV134" s="84"/>
    </row>
    <row r="135" spans="1:48">
      <c r="A135" s="190">
        <f t="shared" si="26"/>
        <v>70.470910335386719</v>
      </c>
      <c r="B135" s="82">
        <f t="shared" si="27"/>
        <v>5</v>
      </c>
      <c r="C135" s="83">
        <f t="shared" si="28"/>
        <v>57</v>
      </c>
      <c r="D135" s="14">
        <f t="shared" si="14"/>
        <v>4.8675505653430484E-3</v>
      </c>
      <c r="E135" s="16">
        <f t="shared" si="15"/>
        <v>0</v>
      </c>
      <c r="F135" s="127"/>
      <c r="G135" s="88">
        <f t="shared" si="16"/>
        <v>0.01</v>
      </c>
      <c r="H135" s="89">
        <f t="shared" si="29"/>
        <v>3.3333333333333335E-3</v>
      </c>
      <c r="I135" s="219"/>
      <c r="J135" s="219"/>
      <c r="K135" s="6">
        <f t="shared" si="38"/>
        <v>101622.43907777566</v>
      </c>
      <c r="M135" s="6">
        <f t="shared" si="17"/>
        <v>494.65236078456644</v>
      </c>
      <c r="N135" s="6">
        <f t="shared" si="30"/>
        <v>-115.10197205061937</v>
      </c>
      <c r="O135" s="90">
        <f t="shared" si="18"/>
        <v>360.81071999999995</v>
      </c>
      <c r="P135" s="91">
        <f t="shared" si="19"/>
        <v>0</v>
      </c>
      <c r="Q135" s="6">
        <f t="shared" si="20"/>
        <v>340.00663155503207</v>
      </c>
      <c r="R135" s="87">
        <f t="shared" si="41"/>
        <v>-363.28724793702224</v>
      </c>
      <c r="S135" s="6">
        <f t="shared" si="21"/>
        <v>-21.197335142228205</v>
      </c>
      <c r="T135" s="83">
        <f t="shared" si="32"/>
        <v>1016.3870221857259</v>
      </c>
      <c r="U135" s="91">
        <f t="shared" si="39"/>
        <v>108957.61424058791</v>
      </c>
      <c r="V135" s="91">
        <f t="shared" si="33"/>
        <v>530.35669679520345</v>
      </c>
      <c r="W135" s="1">
        <f t="shared" si="46"/>
        <v>0</v>
      </c>
      <c r="X135" s="1">
        <f t="shared" si="46"/>
        <v>0</v>
      </c>
      <c r="Y135" s="1">
        <f t="shared" si="46"/>
        <v>0</v>
      </c>
      <c r="Z135" s="1">
        <f t="shared" si="46"/>
        <v>0</v>
      </c>
      <c r="AA135" s="1">
        <f t="shared" si="46"/>
        <v>1</v>
      </c>
      <c r="AB135" s="1">
        <f t="shared" si="46"/>
        <v>1</v>
      </c>
      <c r="AC135" s="1">
        <f t="shared" si="46"/>
        <v>1</v>
      </c>
      <c r="AD135" s="1">
        <f t="shared" si="46"/>
        <v>1</v>
      </c>
      <c r="AE135" s="1">
        <f t="shared" si="46"/>
        <v>1</v>
      </c>
      <c r="AF135" s="1">
        <f t="shared" si="46"/>
        <v>1</v>
      </c>
      <c r="AG135" s="1">
        <f t="shared" si="46"/>
        <v>1</v>
      </c>
      <c r="AH135" s="1">
        <f t="shared" si="46"/>
        <v>1</v>
      </c>
      <c r="AI135" s="44">
        <f t="shared" si="34"/>
        <v>101638.70221857258</v>
      </c>
      <c r="AJ135" s="44">
        <f t="shared" si="23"/>
        <v>102001.98946650961</v>
      </c>
      <c r="AK135" s="44" t="str">
        <f t="shared" si="42"/>
        <v>N</v>
      </c>
      <c r="AL135" s="4">
        <f t="shared" si="24"/>
        <v>57</v>
      </c>
      <c r="AM135" s="82">
        <f t="shared" si="35"/>
        <v>0</v>
      </c>
      <c r="AN135" s="82">
        <f t="shared" si="25"/>
        <v>0</v>
      </c>
      <c r="AO135" s="48">
        <f>0</f>
        <v>0</v>
      </c>
      <c r="AP135" s="91">
        <f t="shared" si="36"/>
        <v>-363.28724793702224</v>
      </c>
      <c r="AQ135" s="91">
        <f t="shared" si="37"/>
        <v>-363.28724793702224</v>
      </c>
      <c r="AV135" s="84"/>
    </row>
    <row r="136" spans="1:48">
      <c r="A136" s="190">
        <f t="shared" si="26"/>
        <v>70.554243668720048</v>
      </c>
      <c r="B136" s="82">
        <f t="shared" si="27"/>
        <v>5</v>
      </c>
      <c r="C136" s="83">
        <f t="shared" si="28"/>
        <v>58</v>
      </c>
      <c r="D136" s="14">
        <f t="shared" si="14"/>
        <v>4.8675505653430484E-3</v>
      </c>
      <c r="E136" s="16">
        <f t="shared" si="15"/>
        <v>0</v>
      </c>
      <c r="F136" s="127"/>
      <c r="G136" s="88">
        <f t="shared" si="16"/>
        <v>0.01</v>
      </c>
      <c r="H136" s="89">
        <f t="shared" si="29"/>
        <v>3.3333333333333335E-3</v>
      </c>
      <c r="I136" s="219"/>
      <c r="J136" s="219"/>
      <c r="K136" s="6">
        <f t="shared" si="38"/>
        <v>101638.70221857258</v>
      </c>
      <c r="M136" s="6">
        <f t="shared" si="17"/>
        <v>494.7315224447467</v>
      </c>
      <c r="N136" s="6">
        <f t="shared" si="30"/>
        <v>-115.12039238764778</v>
      </c>
      <c r="O136" s="90">
        <f t="shared" si="18"/>
        <v>360.81071999999995</v>
      </c>
      <c r="P136" s="91">
        <f t="shared" si="19"/>
        <v>0</v>
      </c>
      <c r="Q136" s="6">
        <f t="shared" si="20"/>
        <v>340.06104449543233</v>
      </c>
      <c r="R136" s="87">
        <f t="shared" si="41"/>
        <v>-363.42861182130792</v>
      </c>
      <c r="S136" s="6">
        <f t="shared" si="21"/>
        <v>-21.20071877721146</v>
      </c>
      <c r="T136" s="83">
        <f t="shared" si="32"/>
        <v>1016.5488473680838</v>
      </c>
      <c r="U136" s="91">
        <f t="shared" si="39"/>
        <v>109124.68368944609</v>
      </c>
      <c r="V136" s="91">
        <f t="shared" si="33"/>
        <v>531.16991578544469</v>
      </c>
      <c r="W136" s="1">
        <f t="shared" si="46"/>
        <v>0</v>
      </c>
      <c r="X136" s="1">
        <f t="shared" si="46"/>
        <v>0</v>
      </c>
      <c r="Y136" s="1">
        <f t="shared" si="46"/>
        <v>0</v>
      </c>
      <c r="Z136" s="1">
        <f t="shared" si="46"/>
        <v>0</v>
      </c>
      <c r="AA136" s="1">
        <f t="shared" si="46"/>
        <v>1</v>
      </c>
      <c r="AB136" s="1">
        <f t="shared" si="46"/>
        <v>1</v>
      </c>
      <c r="AC136" s="1">
        <f t="shared" si="46"/>
        <v>1</v>
      </c>
      <c r="AD136" s="1">
        <f t="shared" si="46"/>
        <v>1</v>
      </c>
      <c r="AE136" s="1">
        <f t="shared" si="46"/>
        <v>1</v>
      </c>
      <c r="AF136" s="1">
        <f t="shared" si="46"/>
        <v>1</v>
      </c>
      <c r="AG136" s="1">
        <f t="shared" si="46"/>
        <v>1</v>
      </c>
      <c r="AH136" s="1">
        <f t="shared" si="46"/>
        <v>1</v>
      </c>
      <c r="AI136" s="44">
        <f t="shared" si="34"/>
        <v>101654.88473680838</v>
      </c>
      <c r="AJ136" s="44">
        <f t="shared" si="23"/>
        <v>102018.31334862969</v>
      </c>
      <c r="AK136" s="44" t="str">
        <f t="shared" si="42"/>
        <v>N</v>
      </c>
      <c r="AL136" s="4">
        <f t="shared" si="24"/>
        <v>58</v>
      </c>
      <c r="AM136" s="82">
        <f t="shared" si="35"/>
        <v>0</v>
      </c>
      <c r="AN136" s="82">
        <f t="shared" si="25"/>
        <v>0</v>
      </c>
      <c r="AO136" s="48">
        <f>0</f>
        <v>0</v>
      </c>
      <c r="AP136" s="91">
        <f t="shared" si="36"/>
        <v>-363.42861182130792</v>
      </c>
      <c r="AQ136" s="91">
        <f t="shared" si="37"/>
        <v>-363.42861182130792</v>
      </c>
      <c r="AV136" s="84"/>
    </row>
    <row r="137" spans="1:48">
      <c r="A137" s="190">
        <f t="shared" si="26"/>
        <v>70.637577002053376</v>
      </c>
      <c r="B137" s="82">
        <f t="shared" si="27"/>
        <v>5</v>
      </c>
      <c r="C137" s="83">
        <f t="shared" si="28"/>
        <v>59</v>
      </c>
      <c r="D137" s="14">
        <f t="shared" si="14"/>
        <v>4.8675505653430484E-3</v>
      </c>
      <c r="E137" s="16">
        <f t="shared" si="15"/>
        <v>0</v>
      </c>
      <c r="F137" s="127"/>
      <c r="G137" s="88">
        <f t="shared" si="16"/>
        <v>0.01</v>
      </c>
      <c r="H137" s="89">
        <f t="shared" si="29"/>
        <v>3.3333333333333335E-3</v>
      </c>
      <c r="I137" s="219"/>
      <c r="J137" s="219"/>
      <c r="K137" s="6">
        <f t="shared" si="38"/>
        <v>101654.88473680838</v>
      </c>
      <c r="M137" s="6">
        <f t="shared" si="17"/>
        <v>494.81029167053407</v>
      </c>
      <c r="N137" s="6">
        <f t="shared" si="30"/>
        <v>-115.13872140807466</v>
      </c>
      <c r="O137" s="90">
        <f t="shared" si="18"/>
        <v>360.81071999999995</v>
      </c>
      <c r="P137" s="91">
        <f t="shared" si="19"/>
        <v>0</v>
      </c>
      <c r="Q137" s="6">
        <f t="shared" si="20"/>
        <v>340.11518769023616</v>
      </c>
      <c r="R137" s="87">
        <f t="shared" si="41"/>
        <v>-363.5700307137115</v>
      </c>
      <c r="S137" s="6">
        <f t="shared" si="21"/>
        <v>-21.20408555941216</v>
      </c>
      <c r="T137" s="83">
        <f t="shared" si="32"/>
        <v>1016.7098627635713</v>
      </c>
      <c r="U137" s="91">
        <f t="shared" si="39"/>
        <v>109292.42499341023</v>
      </c>
      <c r="V137" s="91">
        <f t="shared" si="33"/>
        <v>531.98640506438664</v>
      </c>
      <c r="W137" s="1">
        <f t="shared" si="46"/>
        <v>0</v>
      </c>
      <c r="X137" s="1">
        <f t="shared" si="46"/>
        <v>0</v>
      </c>
      <c r="Y137" s="1">
        <f t="shared" si="46"/>
        <v>0</v>
      </c>
      <c r="Z137" s="1">
        <f t="shared" si="46"/>
        <v>0</v>
      </c>
      <c r="AA137" s="1">
        <f t="shared" si="46"/>
        <v>1</v>
      </c>
      <c r="AB137" s="1">
        <f t="shared" si="46"/>
        <v>1</v>
      </c>
      <c r="AC137" s="1">
        <f t="shared" si="46"/>
        <v>1</v>
      </c>
      <c r="AD137" s="1">
        <f t="shared" si="46"/>
        <v>1</v>
      </c>
      <c r="AE137" s="1">
        <f t="shared" si="46"/>
        <v>1</v>
      </c>
      <c r="AF137" s="1">
        <f t="shared" si="46"/>
        <v>1</v>
      </c>
      <c r="AG137" s="1">
        <f t="shared" si="46"/>
        <v>1</v>
      </c>
      <c r="AH137" s="1">
        <f t="shared" si="46"/>
        <v>1</v>
      </c>
      <c r="AI137" s="44">
        <f t="shared" si="34"/>
        <v>101670.98627635713</v>
      </c>
      <c r="AJ137" s="44">
        <f t="shared" si="23"/>
        <v>102034.55630707084</v>
      </c>
      <c r="AK137" s="44" t="str">
        <f t="shared" si="42"/>
        <v>N</v>
      </c>
      <c r="AL137" s="4">
        <f t="shared" si="24"/>
        <v>59</v>
      </c>
      <c r="AM137" s="82">
        <f t="shared" si="35"/>
        <v>0</v>
      </c>
      <c r="AN137" s="82">
        <f t="shared" si="25"/>
        <v>0</v>
      </c>
      <c r="AO137" s="48">
        <f>0</f>
        <v>0</v>
      </c>
      <c r="AP137" s="91">
        <f t="shared" si="36"/>
        <v>-363.5700307137115</v>
      </c>
      <c r="AQ137" s="91">
        <f t="shared" si="37"/>
        <v>-363.5700307137115</v>
      </c>
      <c r="AV137" s="84"/>
    </row>
    <row r="138" spans="1:48">
      <c r="A138" s="190">
        <f t="shared" si="26"/>
        <v>70.720910335386719</v>
      </c>
      <c r="B138" s="82">
        <f t="shared" si="27"/>
        <v>5</v>
      </c>
      <c r="C138" s="83">
        <f t="shared" si="28"/>
        <v>60</v>
      </c>
      <c r="D138" s="14">
        <f t="shared" si="14"/>
        <v>4.8675505653430484E-3</v>
      </c>
      <c r="E138" s="16">
        <f t="shared" si="15"/>
        <v>0</v>
      </c>
      <c r="F138" s="127"/>
      <c r="G138" s="88">
        <f t="shared" si="16"/>
        <v>0.01</v>
      </c>
      <c r="H138" s="89">
        <f t="shared" si="29"/>
        <v>3.3333333333333335E-3</v>
      </c>
      <c r="I138" s="219"/>
      <c r="J138" s="219"/>
      <c r="K138" s="6">
        <f t="shared" si="38"/>
        <v>101670.98627635713</v>
      </c>
      <c r="M138" s="6">
        <f t="shared" si="17"/>
        <v>494.88866672846746</v>
      </c>
      <c r="N138" s="6">
        <f t="shared" si="30"/>
        <v>-115.15695870853635</v>
      </c>
      <c r="O138" s="90">
        <f t="shared" si="18"/>
        <v>360.81071999999995</v>
      </c>
      <c r="P138" s="91">
        <f t="shared" si="19"/>
        <v>0</v>
      </c>
      <c r="Q138" s="6">
        <f t="shared" si="20"/>
        <v>340.16905994792353</v>
      </c>
      <c r="R138" s="87">
        <f t="shared" si="41"/>
        <v>-363.71150463563799</v>
      </c>
      <c r="S138" s="6">
        <f t="shared" si="21"/>
        <v>-21.207435414411307</v>
      </c>
      <c r="T138" s="83">
        <f t="shared" si="32"/>
        <v>1016.8700647974142</v>
      </c>
      <c r="U138" s="91">
        <f t="shared" si="39"/>
        <v>109460.84136776089</v>
      </c>
      <c r="V138" s="91">
        <f t="shared" si="33"/>
        <v>532.80618028257027</v>
      </c>
      <c r="W138" s="1">
        <f t="shared" si="46"/>
        <v>0</v>
      </c>
      <c r="X138" s="1">
        <f t="shared" si="46"/>
        <v>0</v>
      </c>
      <c r="Y138" s="1">
        <f t="shared" si="46"/>
        <v>0</v>
      </c>
      <c r="Z138" s="1">
        <f t="shared" si="46"/>
        <v>0</v>
      </c>
      <c r="AA138" s="1">
        <f t="shared" si="46"/>
        <v>1</v>
      </c>
      <c r="AB138" s="1">
        <f t="shared" si="46"/>
        <v>1</v>
      </c>
      <c r="AC138" s="1">
        <f t="shared" si="46"/>
        <v>1</v>
      </c>
      <c r="AD138" s="1">
        <f t="shared" si="46"/>
        <v>1</v>
      </c>
      <c r="AE138" s="1">
        <f t="shared" si="46"/>
        <v>1</v>
      </c>
      <c r="AF138" s="1">
        <f t="shared" si="46"/>
        <v>1</v>
      </c>
      <c r="AG138" s="1">
        <f t="shared" si="46"/>
        <v>1</v>
      </c>
      <c r="AH138" s="1">
        <f t="shared" si="46"/>
        <v>1</v>
      </c>
      <c r="AI138" s="44">
        <f t="shared" si="34"/>
        <v>101687.00647974142</v>
      </c>
      <c r="AJ138" s="44">
        <f t="shared" si="23"/>
        <v>102050.71798437706</v>
      </c>
      <c r="AK138" s="44" t="str">
        <f t="shared" si="42"/>
        <v>N</v>
      </c>
      <c r="AL138" s="4">
        <f t="shared" si="24"/>
        <v>60</v>
      </c>
      <c r="AM138" s="82">
        <f t="shared" si="35"/>
        <v>0</v>
      </c>
      <c r="AN138" s="82">
        <f t="shared" si="25"/>
        <v>0</v>
      </c>
      <c r="AO138" s="48">
        <f>0</f>
        <v>0</v>
      </c>
      <c r="AP138" s="91">
        <f t="shared" si="36"/>
        <v>-363.71150463563799</v>
      </c>
      <c r="AQ138" s="91">
        <f t="shared" si="37"/>
        <v>-363.71150463563799</v>
      </c>
      <c r="AV138" s="84"/>
    </row>
    <row r="139" spans="1:48">
      <c r="A139" s="190">
        <f t="shared" si="26"/>
        <v>70.804243668720048</v>
      </c>
      <c r="B139" s="82">
        <f t="shared" si="27"/>
        <v>6</v>
      </c>
      <c r="C139" s="83">
        <f t="shared" si="28"/>
        <v>61</v>
      </c>
      <c r="D139" s="14">
        <f t="shared" si="14"/>
        <v>4.8675505653430484E-3</v>
      </c>
      <c r="E139" s="16">
        <f t="shared" si="15"/>
        <v>0</v>
      </c>
      <c r="F139" s="127"/>
      <c r="G139" s="88">
        <f t="shared" si="16"/>
        <v>0</v>
      </c>
      <c r="H139" s="89">
        <f t="shared" si="29"/>
        <v>3.3333333333333335E-3</v>
      </c>
      <c r="I139" s="219"/>
      <c r="J139" s="219"/>
      <c r="K139" s="6">
        <f t="shared" si="38"/>
        <v>101687.00647974142</v>
      </c>
      <c r="M139" s="6">
        <f t="shared" si="17"/>
        <v>494.96664587850762</v>
      </c>
      <c r="N139" s="6">
        <f t="shared" si="30"/>
        <v>-115.17510388413849</v>
      </c>
      <c r="O139" s="90">
        <f t="shared" si="18"/>
        <v>368.02693439999996</v>
      </c>
      <c r="P139" s="91">
        <f t="shared" si="19"/>
        <v>0</v>
      </c>
      <c r="Q139" s="6">
        <f t="shared" si="20"/>
        <v>340.2226600724527</v>
      </c>
      <c r="R139" s="87">
        <f t="shared" si="41"/>
        <v>-369.4014808809124</v>
      </c>
      <c r="S139" s="6">
        <f t="shared" si="21"/>
        <v>-21.210189640940705</v>
      </c>
      <c r="T139" s="83">
        <f t="shared" si="32"/>
        <v>0</v>
      </c>
      <c r="U139" s="91">
        <f t="shared" si="39"/>
        <v>109629.93604340783</v>
      </c>
      <c r="V139" s="91">
        <f t="shared" si="33"/>
        <v>533.62925716661198</v>
      </c>
      <c r="W139" s="1">
        <f t="shared" ref="W139:AH148" si="47">IF($B139&lt;=W$78,1,0)</f>
        <v>0</v>
      </c>
      <c r="X139" s="1">
        <f t="shared" si="47"/>
        <v>0</v>
      </c>
      <c r="Y139" s="1">
        <f t="shared" si="47"/>
        <v>0</v>
      </c>
      <c r="Z139" s="1">
        <f t="shared" si="47"/>
        <v>0</v>
      </c>
      <c r="AA139" s="1">
        <f t="shared" si="47"/>
        <v>0</v>
      </c>
      <c r="AB139" s="1">
        <f t="shared" si="47"/>
        <v>1</v>
      </c>
      <c r="AC139" s="1">
        <f t="shared" si="47"/>
        <v>1</v>
      </c>
      <c r="AD139" s="1">
        <f t="shared" si="47"/>
        <v>1</v>
      </c>
      <c r="AE139" s="1">
        <f t="shared" si="47"/>
        <v>1</v>
      </c>
      <c r="AF139" s="1">
        <f t="shared" si="47"/>
        <v>1</v>
      </c>
      <c r="AG139" s="1">
        <f t="shared" si="47"/>
        <v>1</v>
      </c>
      <c r="AH139" s="1">
        <f t="shared" si="47"/>
        <v>1</v>
      </c>
      <c r="AI139" s="44">
        <f t="shared" si="34"/>
        <v>101697.39654085488</v>
      </c>
      <c r="AJ139" s="44">
        <f t="shared" si="23"/>
        <v>102066.7980217358</v>
      </c>
      <c r="AK139" s="44" t="str">
        <f t="shared" si="42"/>
        <v>N</v>
      </c>
      <c r="AL139" s="4">
        <f t="shared" si="24"/>
        <v>61</v>
      </c>
      <c r="AM139" s="82">
        <f t="shared" si="35"/>
        <v>0</v>
      </c>
      <c r="AN139" s="82">
        <f t="shared" si="25"/>
        <v>0</v>
      </c>
      <c r="AO139" s="48">
        <f>0</f>
        <v>0</v>
      </c>
      <c r="AP139" s="91">
        <f t="shared" si="36"/>
        <v>-369.4014808809124</v>
      </c>
      <c r="AQ139" s="91">
        <f t="shared" si="37"/>
        <v>-369.4014808809124</v>
      </c>
      <c r="AV139" s="84"/>
    </row>
    <row r="140" spans="1:48">
      <c r="A140" s="190">
        <f t="shared" si="26"/>
        <v>70.887577002053376</v>
      </c>
      <c r="B140" s="82">
        <f t="shared" si="27"/>
        <v>6</v>
      </c>
      <c r="C140" s="83">
        <f t="shared" si="28"/>
        <v>62</v>
      </c>
      <c r="D140" s="14">
        <f t="shared" si="14"/>
        <v>4.8675505653430484E-3</v>
      </c>
      <c r="E140" s="16">
        <f t="shared" si="15"/>
        <v>0</v>
      </c>
      <c r="F140" s="127"/>
      <c r="G140" s="88">
        <f t="shared" si="16"/>
        <v>0</v>
      </c>
      <c r="H140" s="89">
        <f t="shared" si="29"/>
        <v>3.3333333333333335E-3</v>
      </c>
      <c r="I140" s="219"/>
      <c r="J140" s="219"/>
      <c r="K140" s="6">
        <f t="shared" si="38"/>
        <v>101697.39654085488</v>
      </c>
      <c r="M140" s="6">
        <f t="shared" si="17"/>
        <v>495.01722002635438</v>
      </c>
      <c r="N140" s="6">
        <f t="shared" si="30"/>
        <v>-115.18687211696914</v>
      </c>
      <c r="O140" s="90">
        <f t="shared" si="18"/>
        <v>368.02693439999996</v>
      </c>
      <c r="P140" s="91">
        <f t="shared" si="19"/>
        <v>0</v>
      </c>
      <c r="Q140" s="6">
        <f t="shared" si="20"/>
        <v>340.25742296254754</v>
      </c>
      <c r="R140" s="87">
        <f t="shared" si="41"/>
        <v>-369.5452239616144</v>
      </c>
      <c r="S140" s="6">
        <f t="shared" si="21"/>
        <v>-21.212345777741252</v>
      </c>
      <c r="T140" s="83">
        <f t="shared" si="32"/>
        <v>0</v>
      </c>
      <c r="U140" s="91">
        <f t="shared" si="39"/>
        <v>109794.16381969352</v>
      </c>
      <c r="V140" s="91">
        <f t="shared" si="33"/>
        <v>534.42864417191652</v>
      </c>
      <c r="W140" s="1">
        <f t="shared" si="47"/>
        <v>0</v>
      </c>
      <c r="X140" s="1">
        <f t="shared" si="47"/>
        <v>0</v>
      </c>
      <c r="Y140" s="1">
        <f t="shared" si="47"/>
        <v>0</v>
      </c>
      <c r="Z140" s="1">
        <f t="shared" si="47"/>
        <v>0</v>
      </c>
      <c r="AA140" s="1">
        <f t="shared" si="47"/>
        <v>0</v>
      </c>
      <c r="AB140" s="1">
        <f t="shared" si="47"/>
        <v>1</v>
      </c>
      <c r="AC140" s="1">
        <f t="shared" si="47"/>
        <v>1</v>
      </c>
      <c r="AD140" s="1">
        <f t="shared" si="47"/>
        <v>1</v>
      </c>
      <c r="AE140" s="1">
        <f t="shared" si="47"/>
        <v>1</v>
      </c>
      <c r="AF140" s="1">
        <f t="shared" si="47"/>
        <v>1</v>
      </c>
      <c r="AG140" s="1">
        <f t="shared" si="47"/>
        <v>1</v>
      </c>
      <c r="AH140" s="1">
        <f t="shared" si="47"/>
        <v>1</v>
      </c>
      <c r="AI140" s="44">
        <f t="shared" si="34"/>
        <v>101707.68166480264</v>
      </c>
      <c r="AJ140" s="44">
        <f t="shared" si="23"/>
        <v>102077.22688876426</v>
      </c>
      <c r="AK140" s="44" t="str">
        <f t="shared" si="42"/>
        <v>N</v>
      </c>
      <c r="AL140" s="4">
        <f t="shared" si="24"/>
        <v>62</v>
      </c>
      <c r="AM140" s="82">
        <f t="shared" si="35"/>
        <v>0</v>
      </c>
      <c r="AN140" s="82">
        <f t="shared" si="25"/>
        <v>0</v>
      </c>
      <c r="AO140" s="48">
        <f>0</f>
        <v>0</v>
      </c>
      <c r="AP140" s="91">
        <f t="shared" si="36"/>
        <v>-369.5452239616144</v>
      </c>
      <c r="AQ140" s="91">
        <f t="shared" si="37"/>
        <v>-369.5452239616144</v>
      </c>
      <c r="AV140" s="84"/>
    </row>
    <row r="141" spans="1:48">
      <c r="A141" s="190">
        <f t="shared" si="26"/>
        <v>70.970910335386719</v>
      </c>
      <c r="B141" s="82">
        <f t="shared" si="27"/>
        <v>6</v>
      </c>
      <c r="C141" s="83">
        <f t="shared" si="28"/>
        <v>63</v>
      </c>
      <c r="D141" s="14">
        <f t="shared" si="14"/>
        <v>4.8675505653430484E-3</v>
      </c>
      <c r="E141" s="16">
        <f t="shared" si="15"/>
        <v>0</v>
      </c>
      <c r="F141" s="127"/>
      <c r="G141" s="88">
        <f t="shared" si="16"/>
        <v>0</v>
      </c>
      <c r="H141" s="89">
        <f t="shared" si="29"/>
        <v>3.3333333333333335E-3</v>
      </c>
      <c r="I141" s="219"/>
      <c r="J141" s="219"/>
      <c r="K141" s="6">
        <f t="shared" si="38"/>
        <v>101707.68166480264</v>
      </c>
      <c r="M141" s="6">
        <f t="shared" si="17"/>
        <v>495.06728338724093</v>
      </c>
      <c r="N141" s="6">
        <f t="shared" si="30"/>
        <v>-115.19852149342493</v>
      </c>
      <c r="O141" s="90">
        <f t="shared" si="18"/>
        <v>368.02693439999996</v>
      </c>
      <c r="P141" s="91">
        <f t="shared" si="19"/>
        <v>0</v>
      </c>
      <c r="Q141" s="6">
        <f t="shared" si="20"/>
        <v>340.29183475565486</v>
      </c>
      <c r="R141" s="87">
        <f t="shared" si="41"/>
        <v>-369.68902297623725</v>
      </c>
      <c r="S141" s="6">
        <f t="shared" si="21"/>
        <v>-21.214479980835996</v>
      </c>
      <c r="T141" s="83">
        <f t="shared" si="32"/>
        <v>0</v>
      </c>
      <c r="U141" s="91">
        <f t="shared" si="39"/>
        <v>109959.04723990383</v>
      </c>
      <c r="V141" s="91">
        <f t="shared" si="33"/>
        <v>535.23122255717681</v>
      </c>
      <c r="W141" s="1">
        <f t="shared" si="47"/>
        <v>0</v>
      </c>
      <c r="X141" s="1">
        <f t="shared" si="47"/>
        <v>0</v>
      </c>
      <c r="Y141" s="1">
        <f t="shared" si="47"/>
        <v>0</v>
      </c>
      <c r="Z141" s="1">
        <f t="shared" si="47"/>
        <v>0</v>
      </c>
      <c r="AA141" s="1">
        <f t="shared" si="47"/>
        <v>0</v>
      </c>
      <c r="AB141" s="1">
        <f t="shared" si="47"/>
        <v>1</v>
      </c>
      <c r="AC141" s="1">
        <f t="shared" si="47"/>
        <v>1</v>
      </c>
      <c r="AD141" s="1">
        <f t="shared" si="47"/>
        <v>1</v>
      </c>
      <c r="AE141" s="1">
        <f t="shared" si="47"/>
        <v>1</v>
      </c>
      <c r="AF141" s="1">
        <f t="shared" si="47"/>
        <v>1</v>
      </c>
      <c r="AG141" s="1">
        <f t="shared" si="47"/>
        <v>1</v>
      </c>
      <c r="AH141" s="1">
        <f t="shared" si="47"/>
        <v>1</v>
      </c>
      <c r="AI141" s="44">
        <f t="shared" si="34"/>
        <v>101717.86140372022</v>
      </c>
      <c r="AJ141" s="44">
        <f t="shared" si="23"/>
        <v>102087.55042669646</v>
      </c>
      <c r="AK141" s="44" t="str">
        <f t="shared" si="42"/>
        <v>N</v>
      </c>
      <c r="AL141" s="4">
        <f t="shared" si="24"/>
        <v>63</v>
      </c>
      <c r="AM141" s="82">
        <f t="shared" si="35"/>
        <v>0</v>
      </c>
      <c r="AN141" s="82">
        <f t="shared" si="25"/>
        <v>0</v>
      </c>
      <c r="AO141" s="48">
        <f>0</f>
        <v>0</v>
      </c>
      <c r="AP141" s="91">
        <f t="shared" si="36"/>
        <v>-369.68902297623725</v>
      </c>
      <c r="AQ141" s="91">
        <f t="shared" si="37"/>
        <v>-369.68902297623725</v>
      </c>
      <c r="AV141" s="84"/>
    </row>
    <row r="142" spans="1:48">
      <c r="A142" s="190">
        <f t="shared" si="26"/>
        <v>71.054243668720048</v>
      </c>
      <c r="B142" s="82">
        <f t="shared" si="27"/>
        <v>6</v>
      </c>
      <c r="C142" s="83">
        <f t="shared" si="28"/>
        <v>64</v>
      </c>
      <c r="D142" s="14">
        <f t="shared" si="14"/>
        <v>4.8675505653430484E-3</v>
      </c>
      <c r="E142" s="16">
        <f t="shared" si="15"/>
        <v>0</v>
      </c>
      <c r="F142" s="127"/>
      <c r="G142" s="88">
        <f t="shared" si="16"/>
        <v>0</v>
      </c>
      <c r="H142" s="89">
        <f t="shared" si="29"/>
        <v>4.1666666666666666E-3</v>
      </c>
      <c r="I142" s="219"/>
      <c r="J142" s="219"/>
      <c r="K142" s="6">
        <f t="shared" si="38"/>
        <v>101717.86140372022</v>
      </c>
      <c r="M142" s="6">
        <f t="shared" si="17"/>
        <v>495.11683378116419</v>
      </c>
      <c r="N142" s="6">
        <f t="shared" si="30"/>
        <v>-115.21005150623516</v>
      </c>
      <c r="O142" s="90">
        <f t="shared" si="18"/>
        <v>368.02693439999996</v>
      </c>
      <c r="P142" s="91">
        <f t="shared" si="19"/>
        <v>0</v>
      </c>
      <c r="Q142" s="6">
        <f t="shared" si="20"/>
        <v>425.4073674416465</v>
      </c>
      <c r="R142" s="87">
        <f t="shared" si="41"/>
        <v>-425.4073674416465</v>
      </c>
      <c r="S142" s="6">
        <f t="shared" si="21"/>
        <v>-21.210796503459676</v>
      </c>
      <c r="T142" s="83">
        <f t="shared" si="32"/>
        <v>0</v>
      </c>
      <c r="U142" s="91">
        <f t="shared" si="39"/>
        <v>110124.58943948477</v>
      </c>
      <c r="V142" s="91">
        <f t="shared" si="33"/>
        <v>536.03700758433524</v>
      </c>
      <c r="W142" s="1">
        <f t="shared" si="47"/>
        <v>0</v>
      </c>
      <c r="X142" s="1">
        <f t="shared" si="47"/>
        <v>0</v>
      </c>
      <c r="Y142" s="1">
        <f t="shared" si="47"/>
        <v>0</v>
      </c>
      <c r="Z142" s="1">
        <f t="shared" si="47"/>
        <v>0</v>
      </c>
      <c r="AA142" s="1">
        <f t="shared" si="47"/>
        <v>0</v>
      </c>
      <c r="AB142" s="1">
        <f t="shared" si="47"/>
        <v>1</v>
      </c>
      <c r="AC142" s="1">
        <f t="shared" si="47"/>
        <v>1</v>
      </c>
      <c r="AD142" s="1">
        <f t="shared" si="47"/>
        <v>1</v>
      </c>
      <c r="AE142" s="1">
        <f t="shared" si="47"/>
        <v>1</v>
      </c>
      <c r="AF142" s="1">
        <f t="shared" si="47"/>
        <v>1</v>
      </c>
      <c r="AG142" s="1">
        <f t="shared" si="47"/>
        <v>1</v>
      </c>
      <c r="AH142" s="1">
        <f t="shared" si="47"/>
        <v>1</v>
      </c>
      <c r="AI142" s="44">
        <f t="shared" si="34"/>
        <v>101672.36081855351</v>
      </c>
      <c r="AJ142" s="44">
        <f t="shared" si="23"/>
        <v>102097.76818599516</v>
      </c>
      <c r="AK142" s="44" t="str">
        <f t="shared" si="42"/>
        <v>N</v>
      </c>
      <c r="AL142" s="4">
        <f t="shared" si="24"/>
        <v>64</v>
      </c>
      <c r="AM142" s="82">
        <f t="shared" si="35"/>
        <v>0</v>
      </c>
      <c r="AN142" s="82">
        <f t="shared" si="25"/>
        <v>0</v>
      </c>
      <c r="AO142" s="48">
        <f>0</f>
        <v>0</v>
      </c>
      <c r="AP142" s="91">
        <f t="shared" si="36"/>
        <v>-425.4073674416465</v>
      </c>
      <c r="AQ142" s="91">
        <f t="shared" si="37"/>
        <v>-425.4073674416465</v>
      </c>
      <c r="AV142" s="84"/>
    </row>
    <row r="143" spans="1:48">
      <c r="A143" s="190">
        <f t="shared" si="26"/>
        <v>71.137577002053376</v>
      </c>
      <c r="B143" s="82">
        <f t="shared" si="27"/>
        <v>6</v>
      </c>
      <c r="C143" s="83">
        <f t="shared" si="28"/>
        <v>65</v>
      </c>
      <c r="D143" s="14">
        <f t="shared" ref="D143:D206" si="48">Growth_Rate_1_Monthly</f>
        <v>4.8675505653430484E-3</v>
      </c>
      <c r="E143" s="16">
        <f t="shared" ref="E143:E206" si="49">IF(Gtee_Flag="on",1,0)</f>
        <v>0</v>
      </c>
      <c r="F143" s="127"/>
      <c r="G143" s="88">
        <f t="shared" ref="G143:G206" si="50">IF(ISERROR(VLOOKUP(Product_Code,Product_Parameters,B143+5,FALSE)),0,VLOOKUP(Product_Code,Product_Parameters,B143+5,FALSE))</f>
        <v>0</v>
      </c>
      <c r="H143" s="89">
        <f t="shared" si="29"/>
        <v>4.1666666666666666E-3</v>
      </c>
      <c r="I143" s="219"/>
      <c r="J143" s="219"/>
      <c r="K143" s="6">
        <f t="shared" si="38"/>
        <v>101672.36081855351</v>
      </c>
      <c r="M143" s="6">
        <f t="shared" ref="M143:M206" si="51">(K143+L143)*D143</f>
        <v>494.89535738211254</v>
      </c>
      <c r="N143" s="6">
        <f t="shared" si="30"/>
        <v>-115.15851557450912</v>
      </c>
      <c r="O143" s="90">
        <f t="shared" ref="O143:O206" si="52">IF(C143&gt;=Regular_Income_Start_Month,
MIN(Regular_Income_Amount/12*(1+Income_Escalation_Rate_Annual)^($B143-1),AJ143),0)</f>
        <v>368.02693439999996</v>
      </c>
      <c r="P143" s="91">
        <f t="shared" ref="P143:P206" si="53">MAX(IF(C143&gt;=Regular_Income_Start_Month,
MIN(IF(Income_Type="Fixed Percent",$C$51,0)/12*(K143+L143+M143+N143),AJ143),0),0)</f>
        <v>0</v>
      </c>
      <c r="Q143" s="6">
        <f t="shared" ref="Q143:Q206" si="54">MAX(IF(C143&gt;=Regular_Income_Start_Month,
MIN(H143*(K143+L143+M143+N143),AJ143),0),0)</f>
        <v>425.21707358483792</v>
      </c>
      <c r="R143" s="87">
        <f t="shared" si="41"/>
        <v>-425.21707358483792</v>
      </c>
      <c r="S143" s="6">
        <f t="shared" ref="S143:S206" si="55">-(($K143+I143+M143/2+N143/2+R143/2)*(Ongoing_Commission_Monthly)+(I143)*new_upfront_commission)</f>
        <v>-21.201308458396195</v>
      </c>
      <c r="T143" s="83">
        <f t="shared" si="32"/>
        <v>0</v>
      </c>
      <c r="U143" s="91">
        <f t="shared" si="39"/>
        <v>110235.21907962747</v>
      </c>
      <c r="V143" s="91">
        <f t="shared" si="33"/>
        <v>536.57550295175542</v>
      </c>
      <c r="W143" s="1">
        <f t="shared" si="47"/>
        <v>0</v>
      </c>
      <c r="X143" s="1">
        <f t="shared" si="47"/>
        <v>0</v>
      </c>
      <c r="Y143" s="1">
        <f t="shared" si="47"/>
        <v>0</v>
      </c>
      <c r="Z143" s="1">
        <f t="shared" si="47"/>
        <v>0</v>
      </c>
      <c r="AA143" s="1">
        <f t="shared" si="47"/>
        <v>0</v>
      </c>
      <c r="AB143" s="1">
        <f t="shared" si="47"/>
        <v>1</v>
      </c>
      <c r="AC143" s="1">
        <f t="shared" si="47"/>
        <v>1</v>
      </c>
      <c r="AD143" s="1">
        <f t="shared" si="47"/>
        <v>1</v>
      </c>
      <c r="AE143" s="1">
        <f t="shared" si="47"/>
        <v>1</v>
      </c>
      <c r="AF143" s="1">
        <f t="shared" si="47"/>
        <v>1</v>
      </c>
      <c r="AG143" s="1">
        <f t="shared" si="47"/>
        <v>1</v>
      </c>
      <c r="AH143" s="1">
        <f t="shared" si="47"/>
        <v>1</v>
      </c>
      <c r="AI143" s="44">
        <f t="shared" si="34"/>
        <v>101626.88058677627</v>
      </c>
      <c r="AJ143" s="44">
        <f t="shared" ref="AJ143:AJ206" si="56">MAX(0,SUM(K143:N143)-$C$66)</f>
        <v>102052.09766036111</v>
      </c>
      <c r="AK143" s="44" t="str">
        <f t="shared" si="42"/>
        <v>N</v>
      </c>
      <c r="AL143" s="4">
        <f t="shared" ref="AL143:AL206" si="57">C143</f>
        <v>65</v>
      </c>
      <c r="AM143" s="82">
        <f t="shared" si="35"/>
        <v>0</v>
      </c>
      <c r="AN143" s="82">
        <f t="shared" ref="AN143:AN206" si="58">IF(AND(B143=Fund_Zero_Year,K144=0,K143&gt;0),-U143,IF(AND(B143+1=Fund_Zero_Year,K144=0,K143&gt;0),-U143,0))</f>
        <v>0</v>
      </c>
      <c r="AO143" s="48">
        <f>0</f>
        <v>0</v>
      </c>
      <c r="AP143" s="91">
        <f t="shared" si="36"/>
        <v>-425.21707358483792</v>
      </c>
      <c r="AQ143" s="91">
        <f t="shared" si="37"/>
        <v>-425.21707358483792</v>
      </c>
      <c r="AV143" s="84"/>
    </row>
    <row r="144" spans="1:48">
      <c r="A144" s="190">
        <f t="shared" ref="A144:A207" si="59">$C$43+C143/12</f>
        <v>71.220910335386719</v>
      </c>
      <c r="B144" s="82">
        <f t="shared" ref="B144:B207" si="60">INT((C144-1)/12)+1</f>
        <v>6</v>
      </c>
      <c r="C144" s="83">
        <f t="shared" ref="C144:C207" si="61">C143+1</f>
        <v>66</v>
      </c>
      <c r="D144" s="14">
        <f t="shared" si="48"/>
        <v>4.8675505653430484E-3</v>
      </c>
      <c r="E144" s="16">
        <f t="shared" si="49"/>
        <v>0</v>
      </c>
      <c r="F144" s="127"/>
      <c r="G144" s="88">
        <f t="shared" si="50"/>
        <v>0</v>
      </c>
      <c r="H144" s="89">
        <f t="shared" ref="H144:H207" si="62">IF((K143+L143+M143+N143+R143)&gt;=2000000,VLOOKUP("&gt;=2000000",Default_IncomeRate_table,3,FALSE),
IF($A144&lt;71,VLOOKUP("&lt;71",Default_IncomeRate_table,3,FALSE),
IF($A144&gt;=71,VLOOKUP("&gt;=71",Default_IncomeRate_table,3,FALSE),"")))</f>
        <v>4.1666666666666666E-3</v>
      </c>
      <c r="I144" s="219"/>
      <c r="J144" s="219"/>
      <c r="K144" s="6">
        <f t="shared" si="38"/>
        <v>101626.88058677627</v>
      </c>
      <c r="M144" s="6">
        <f t="shared" si="51"/>
        <v>494.6739800542133</v>
      </c>
      <c r="N144" s="6">
        <f t="shared" ref="N144:N207" si="63">-(($K144+(L144)+M144/2)*(External_Fund_Charge_Monthly+Fund_Charge_Monthly+Gtee_Charge_Monthly*$E144))+MIN(J144,0)</f>
        <v>-115.10700269591277</v>
      </c>
      <c r="O144" s="90">
        <f t="shared" si="52"/>
        <v>368.02693439999996</v>
      </c>
      <c r="P144" s="91">
        <f t="shared" si="53"/>
        <v>0</v>
      </c>
      <c r="Q144" s="6">
        <f t="shared" si="54"/>
        <v>425.02686485056074</v>
      </c>
      <c r="R144" s="87">
        <f t="shared" si="41"/>
        <v>-425.02686485056074</v>
      </c>
      <c r="S144" s="6">
        <f t="shared" si="55"/>
        <v>-21.191824657539151</v>
      </c>
      <c r="T144" s="83">
        <f t="shared" ref="T144:T207" si="64">SUM(K144:N144,R144)*$G144</f>
        <v>0</v>
      </c>
      <c r="U144" s="91">
        <f t="shared" si="39"/>
        <v>110346.57750899439</v>
      </c>
      <c r="V144" s="91">
        <f t="shared" ref="V144:V207" si="65">U144*D144</f>
        <v>537.11754573757617</v>
      </c>
      <c r="W144" s="1">
        <f t="shared" si="47"/>
        <v>0</v>
      </c>
      <c r="X144" s="1">
        <f t="shared" si="47"/>
        <v>0</v>
      </c>
      <c r="Y144" s="1">
        <f t="shared" si="47"/>
        <v>0</v>
      </c>
      <c r="Z144" s="1">
        <f t="shared" si="47"/>
        <v>0</v>
      </c>
      <c r="AA144" s="1">
        <f t="shared" si="47"/>
        <v>0</v>
      </c>
      <c r="AB144" s="1">
        <f t="shared" si="47"/>
        <v>1</v>
      </c>
      <c r="AC144" s="1">
        <f t="shared" si="47"/>
        <v>1</v>
      </c>
      <c r="AD144" s="1">
        <f t="shared" si="47"/>
        <v>1</v>
      </c>
      <c r="AE144" s="1">
        <f t="shared" si="47"/>
        <v>1</v>
      </c>
      <c r="AF144" s="1">
        <f t="shared" si="47"/>
        <v>1</v>
      </c>
      <c r="AG144" s="1">
        <f t="shared" si="47"/>
        <v>1</v>
      </c>
      <c r="AH144" s="1">
        <f t="shared" si="47"/>
        <v>1</v>
      </c>
      <c r="AI144" s="44">
        <f t="shared" ref="AI144:AI207" si="66">SUM(K144:N144,R144)</f>
        <v>101581.42069928402</v>
      </c>
      <c r="AJ144" s="44">
        <f t="shared" si="56"/>
        <v>102006.44756413458</v>
      </c>
      <c r="AK144" s="44" t="str">
        <f t="shared" si="42"/>
        <v>N</v>
      </c>
      <c r="AL144" s="4">
        <f t="shared" si="57"/>
        <v>66</v>
      </c>
      <c r="AM144" s="82">
        <f t="shared" ref="AM144:AM207" si="67">I144</f>
        <v>0</v>
      </c>
      <c r="AN144" s="82">
        <f t="shared" si="58"/>
        <v>0</v>
      </c>
      <c r="AO144" s="48">
        <f>0</f>
        <v>0</v>
      </c>
      <c r="AP144" s="91">
        <f t="shared" ref="AP144:AP207" si="68">$R144+AN144+AM144</f>
        <v>-425.02686485056074</v>
      </c>
      <c r="AQ144" s="91">
        <f t="shared" ref="AQ144:AQ207" si="69">$R144+AO144+AM144</f>
        <v>-425.02686485056074</v>
      </c>
      <c r="AV144" s="84"/>
    </row>
    <row r="145" spans="1:48">
      <c r="A145" s="190">
        <f t="shared" si="59"/>
        <v>71.304243668720048</v>
      </c>
      <c r="B145" s="82">
        <f t="shared" si="60"/>
        <v>6</v>
      </c>
      <c r="C145" s="83">
        <f t="shared" si="61"/>
        <v>67</v>
      </c>
      <c r="D145" s="14">
        <f t="shared" si="48"/>
        <v>4.8675505653430484E-3</v>
      </c>
      <c r="E145" s="16">
        <f t="shared" si="49"/>
        <v>0</v>
      </c>
      <c r="F145" s="127"/>
      <c r="G145" s="88">
        <f t="shared" si="50"/>
        <v>0</v>
      </c>
      <c r="H145" s="89">
        <f t="shared" si="62"/>
        <v>4.1666666666666666E-3</v>
      </c>
      <c r="I145" s="219"/>
      <c r="J145" s="219"/>
      <c r="K145" s="6">
        <f t="shared" ref="K145:K208" si="70">SUM(K144:M144,N144,R144)</f>
        <v>101581.42069928402</v>
      </c>
      <c r="M145" s="6">
        <f t="shared" si="51"/>
        <v>494.45270175315</v>
      </c>
      <c r="N145" s="6">
        <f t="shared" si="63"/>
        <v>-115.05551286013394</v>
      </c>
      <c r="O145" s="90">
        <f t="shared" si="52"/>
        <v>368.02693439999996</v>
      </c>
      <c r="P145" s="91">
        <f t="shared" si="53"/>
        <v>0</v>
      </c>
      <c r="Q145" s="6">
        <f t="shared" si="54"/>
        <v>424.83674120073761</v>
      </c>
      <c r="R145" s="87">
        <f t="shared" si="41"/>
        <v>-424.83674120073761</v>
      </c>
      <c r="S145" s="6">
        <f t="shared" si="55"/>
        <v>-21.18234509899003</v>
      </c>
      <c r="T145" s="83">
        <f t="shared" si="64"/>
        <v>0</v>
      </c>
      <c r="U145" s="91">
        <f t="shared" ref="U145:U208" si="71">IF(K145=0,0,SUM(U144,R144,V144))</f>
        <v>110458.66818988141</v>
      </c>
      <c r="V145" s="91">
        <f t="shared" si="65"/>
        <v>537.66315279469745</v>
      </c>
      <c r="W145" s="1">
        <f t="shared" si="47"/>
        <v>0</v>
      </c>
      <c r="X145" s="1">
        <f t="shared" si="47"/>
        <v>0</v>
      </c>
      <c r="Y145" s="1">
        <f t="shared" si="47"/>
        <v>0</v>
      </c>
      <c r="Z145" s="1">
        <f t="shared" si="47"/>
        <v>0</v>
      </c>
      <c r="AA145" s="1">
        <f t="shared" si="47"/>
        <v>0</v>
      </c>
      <c r="AB145" s="1">
        <f t="shared" si="47"/>
        <v>1</v>
      </c>
      <c r="AC145" s="1">
        <f t="shared" si="47"/>
        <v>1</v>
      </c>
      <c r="AD145" s="1">
        <f t="shared" si="47"/>
        <v>1</v>
      </c>
      <c r="AE145" s="1">
        <f t="shared" si="47"/>
        <v>1</v>
      </c>
      <c r="AF145" s="1">
        <f t="shared" si="47"/>
        <v>1</v>
      </c>
      <c r="AG145" s="1">
        <f t="shared" si="47"/>
        <v>1</v>
      </c>
      <c r="AH145" s="1">
        <f t="shared" si="47"/>
        <v>1</v>
      </c>
      <c r="AI145" s="44">
        <f t="shared" si="66"/>
        <v>101535.98114697629</v>
      </c>
      <c r="AJ145" s="44">
        <f t="shared" si="56"/>
        <v>101960.81788817703</v>
      </c>
      <c r="AK145" s="44" t="str">
        <f t="shared" si="42"/>
        <v>N</v>
      </c>
      <c r="AL145" s="4">
        <f t="shared" si="57"/>
        <v>67</v>
      </c>
      <c r="AM145" s="82">
        <f t="shared" si="67"/>
        <v>0</v>
      </c>
      <c r="AN145" s="82">
        <f t="shared" si="58"/>
        <v>0</v>
      </c>
      <c r="AO145" s="48">
        <f>0</f>
        <v>0</v>
      </c>
      <c r="AP145" s="91">
        <f t="shared" si="68"/>
        <v>-424.83674120073761</v>
      </c>
      <c r="AQ145" s="91">
        <f t="shared" si="69"/>
        <v>-424.83674120073761</v>
      </c>
      <c r="AV145" s="84"/>
    </row>
    <row r="146" spans="1:48">
      <c r="A146" s="190">
        <f t="shared" si="59"/>
        <v>71.387577002053376</v>
      </c>
      <c r="B146" s="82">
        <f t="shared" si="60"/>
        <v>6</v>
      </c>
      <c r="C146" s="83">
        <f t="shared" si="61"/>
        <v>68</v>
      </c>
      <c r="D146" s="14">
        <f t="shared" si="48"/>
        <v>4.8675505653430484E-3</v>
      </c>
      <c r="E146" s="16">
        <f t="shared" si="49"/>
        <v>0</v>
      </c>
      <c r="F146" s="127"/>
      <c r="G146" s="88">
        <f t="shared" si="50"/>
        <v>0</v>
      </c>
      <c r="H146" s="89">
        <f t="shared" si="62"/>
        <v>4.1666666666666666E-3</v>
      </c>
      <c r="I146" s="219"/>
      <c r="J146" s="219"/>
      <c r="K146" s="6">
        <f t="shared" si="70"/>
        <v>101535.98114697629</v>
      </c>
      <c r="M146" s="6">
        <f t="shared" si="51"/>
        <v>494.23152243462556</v>
      </c>
      <c r="N146" s="6">
        <f t="shared" si="63"/>
        <v>-115.00404605686511</v>
      </c>
      <c r="O146" s="90">
        <f t="shared" si="52"/>
        <v>368.02693439999996</v>
      </c>
      <c r="P146" s="91">
        <f t="shared" si="53"/>
        <v>0</v>
      </c>
      <c r="Q146" s="6">
        <f t="shared" si="54"/>
        <v>424.64670259730855</v>
      </c>
      <c r="R146" s="87">
        <f t="shared" si="41"/>
        <v>-424.64670259730855</v>
      </c>
      <c r="S146" s="6">
        <f t="shared" si="55"/>
        <v>-21.172869780851144</v>
      </c>
      <c r="T146" s="83">
        <f t="shared" si="64"/>
        <v>0</v>
      </c>
      <c r="U146" s="91">
        <f t="shared" si="71"/>
        <v>110571.49460147538</v>
      </c>
      <c r="V146" s="91">
        <f t="shared" si="65"/>
        <v>538.21234105823737</v>
      </c>
      <c r="W146" s="1">
        <f t="shared" si="47"/>
        <v>0</v>
      </c>
      <c r="X146" s="1">
        <f t="shared" si="47"/>
        <v>0</v>
      </c>
      <c r="Y146" s="1">
        <f t="shared" si="47"/>
        <v>0</v>
      </c>
      <c r="Z146" s="1">
        <f t="shared" si="47"/>
        <v>0</v>
      </c>
      <c r="AA146" s="1">
        <f t="shared" si="47"/>
        <v>0</v>
      </c>
      <c r="AB146" s="1">
        <f t="shared" si="47"/>
        <v>1</v>
      </c>
      <c r="AC146" s="1">
        <f t="shared" si="47"/>
        <v>1</v>
      </c>
      <c r="AD146" s="1">
        <f t="shared" si="47"/>
        <v>1</v>
      </c>
      <c r="AE146" s="1">
        <f t="shared" si="47"/>
        <v>1</v>
      </c>
      <c r="AF146" s="1">
        <f t="shared" si="47"/>
        <v>1</v>
      </c>
      <c r="AG146" s="1">
        <f t="shared" si="47"/>
        <v>1</v>
      </c>
      <c r="AH146" s="1">
        <f t="shared" si="47"/>
        <v>1</v>
      </c>
      <c r="AI146" s="44">
        <f t="shared" si="66"/>
        <v>101490.56192075674</v>
      </c>
      <c r="AJ146" s="44">
        <f t="shared" si="56"/>
        <v>101915.20862335405</v>
      </c>
      <c r="AK146" s="44" t="str">
        <f t="shared" si="42"/>
        <v>N</v>
      </c>
      <c r="AL146" s="4">
        <f t="shared" si="57"/>
        <v>68</v>
      </c>
      <c r="AM146" s="82">
        <f t="shared" si="67"/>
        <v>0</v>
      </c>
      <c r="AN146" s="82">
        <f t="shared" si="58"/>
        <v>0</v>
      </c>
      <c r="AO146" s="48">
        <f>0</f>
        <v>0</v>
      </c>
      <c r="AP146" s="91">
        <f t="shared" si="68"/>
        <v>-424.64670259730855</v>
      </c>
      <c r="AQ146" s="91">
        <f t="shared" si="69"/>
        <v>-424.64670259730855</v>
      </c>
      <c r="AV146" s="84"/>
    </row>
    <row r="147" spans="1:48">
      <c r="A147" s="190">
        <f t="shared" si="59"/>
        <v>71.470910335386719</v>
      </c>
      <c r="B147" s="82">
        <f t="shared" si="60"/>
        <v>6</v>
      </c>
      <c r="C147" s="83">
        <f t="shared" si="61"/>
        <v>69</v>
      </c>
      <c r="D147" s="14">
        <f t="shared" si="48"/>
        <v>4.8675505653430484E-3</v>
      </c>
      <c r="E147" s="16">
        <f t="shared" si="49"/>
        <v>0</v>
      </c>
      <c r="F147" s="127"/>
      <c r="G147" s="88">
        <f t="shared" si="50"/>
        <v>0</v>
      </c>
      <c r="H147" s="89">
        <f t="shared" si="62"/>
        <v>4.1666666666666666E-3</v>
      </c>
      <c r="I147" s="219"/>
      <c r="J147" s="219"/>
      <c r="K147" s="6">
        <f t="shared" si="70"/>
        <v>101490.56192075674</v>
      </c>
      <c r="M147" s="6">
        <f t="shared" si="51"/>
        <v>494.01044205436312</v>
      </c>
      <c r="N147" s="6">
        <f t="shared" si="63"/>
        <v>-114.95260227580329</v>
      </c>
      <c r="O147" s="90">
        <f t="shared" si="52"/>
        <v>368.02693439999996</v>
      </c>
      <c r="P147" s="91">
        <f t="shared" si="53"/>
        <v>0</v>
      </c>
      <c r="Q147" s="6">
        <f t="shared" si="54"/>
        <v>424.45674900223037</v>
      </c>
      <c r="R147" s="87">
        <f t="shared" si="41"/>
        <v>-424.45674900223037</v>
      </c>
      <c r="S147" s="6">
        <f t="shared" si="55"/>
        <v>-21.163398701225667</v>
      </c>
      <c r="T147" s="83">
        <f t="shared" si="64"/>
        <v>0</v>
      </c>
      <c r="U147" s="91">
        <f t="shared" si="71"/>
        <v>110685.06023993631</v>
      </c>
      <c r="V147" s="91">
        <f t="shared" si="65"/>
        <v>538.76512754593136</v>
      </c>
      <c r="W147" s="1">
        <f t="shared" si="47"/>
        <v>0</v>
      </c>
      <c r="X147" s="1">
        <f t="shared" si="47"/>
        <v>0</v>
      </c>
      <c r="Y147" s="1">
        <f t="shared" si="47"/>
        <v>0</v>
      </c>
      <c r="Z147" s="1">
        <f t="shared" si="47"/>
        <v>0</v>
      </c>
      <c r="AA147" s="1">
        <f t="shared" si="47"/>
        <v>0</v>
      </c>
      <c r="AB147" s="1">
        <f t="shared" si="47"/>
        <v>1</v>
      </c>
      <c r="AC147" s="1">
        <f t="shared" si="47"/>
        <v>1</v>
      </c>
      <c r="AD147" s="1">
        <f t="shared" si="47"/>
        <v>1</v>
      </c>
      <c r="AE147" s="1">
        <f t="shared" si="47"/>
        <v>1</v>
      </c>
      <c r="AF147" s="1">
        <f t="shared" si="47"/>
        <v>1</v>
      </c>
      <c r="AG147" s="1">
        <f t="shared" si="47"/>
        <v>1</v>
      </c>
      <c r="AH147" s="1">
        <f t="shared" si="47"/>
        <v>1</v>
      </c>
      <c r="AI147" s="44">
        <f t="shared" si="66"/>
        <v>101445.16301153306</v>
      </c>
      <c r="AJ147" s="44">
        <f t="shared" si="56"/>
        <v>101869.61976053529</v>
      </c>
      <c r="AK147" s="44" t="str">
        <f t="shared" si="42"/>
        <v>N</v>
      </c>
      <c r="AL147" s="4">
        <f t="shared" si="57"/>
        <v>69</v>
      </c>
      <c r="AM147" s="82">
        <f t="shared" si="67"/>
        <v>0</v>
      </c>
      <c r="AN147" s="82">
        <f t="shared" si="58"/>
        <v>0</v>
      </c>
      <c r="AO147" s="48">
        <f>0</f>
        <v>0</v>
      </c>
      <c r="AP147" s="91">
        <f t="shared" si="68"/>
        <v>-424.45674900223037</v>
      </c>
      <c r="AQ147" s="91">
        <f t="shared" si="69"/>
        <v>-424.45674900223037</v>
      </c>
      <c r="AV147" s="84"/>
    </row>
    <row r="148" spans="1:48">
      <c r="A148" s="190">
        <f t="shared" si="59"/>
        <v>71.554243668720048</v>
      </c>
      <c r="B148" s="82">
        <f t="shared" si="60"/>
        <v>6</v>
      </c>
      <c r="C148" s="83">
        <f t="shared" si="61"/>
        <v>70</v>
      </c>
      <c r="D148" s="14">
        <f t="shared" si="48"/>
        <v>4.8675505653430484E-3</v>
      </c>
      <c r="E148" s="16">
        <f t="shared" si="49"/>
        <v>0</v>
      </c>
      <c r="F148" s="127"/>
      <c r="G148" s="88">
        <f t="shared" si="50"/>
        <v>0</v>
      </c>
      <c r="H148" s="89">
        <f t="shared" si="62"/>
        <v>4.1666666666666666E-3</v>
      </c>
      <c r="I148" s="219"/>
      <c r="J148" s="219"/>
      <c r="K148" s="6">
        <f t="shared" si="70"/>
        <v>101445.16301153306</v>
      </c>
      <c r="M148" s="6">
        <f t="shared" si="51"/>
        <v>493.78946056810548</v>
      </c>
      <c r="N148" s="6">
        <f t="shared" si="63"/>
        <v>-114.9011815066502</v>
      </c>
      <c r="O148" s="90">
        <f t="shared" si="52"/>
        <v>368.02693439999996</v>
      </c>
      <c r="P148" s="91">
        <f t="shared" si="53"/>
        <v>0</v>
      </c>
      <c r="Q148" s="6">
        <f t="shared" si="54"/>
        <v>424.26688037747715</v>
      </c>
      <c r="R148" s="87">
        <f t="shared" si="41"/>
        <v>-424.26688037747715</v>
      </c>
      <c r="S148" s="6">
        <f t="shared" si="55"/>
        <v>-21.153931858217625</v>
      </c>
      <c r="T148" s="83">
        <f t="shared" si="64"/>
        <v>0</v>
      </c>
      <c r="U148" s="91">
        <f t="shared" si="71"/>
        <v>110799.36861848002</v>
      </c>
      <c r="V148" s="91">
        <f t="shared" si="65"/>
        <v>539.32152935853526</v>
      </c>
      <c r="W148" s="1">
        <f t="shared" si="47"/>
        <v>0</v>
      </c>
      <c r="X148" s="1">
        <f t="shared" si="47"/>
        <v>0</v>
      </c>
      <c r="Y148" s="1">
        <f t="shared" si="47"/>
        <v>0</v>
      </c>
      <c r="Z148" s="1">
        <f t="shared" si="47"/>
        <v>0</v>
      </c>
      <c r="AA148" s="1">
        <f t="shared" si="47"/>
        <v>0</v>
      </c>
      <c r="AB148" s="1">
        <f t="shared" si="47"/>
        <v>1</v>
      </c>
      <c r="AC148" s="1">
        <f t="shared" si="47"/>
        <v>1</v>
      </c>
      <c r="AD148" s="1">
        <f t="shared" si="47"/>
        <v>1</v>
      </c>
      <c r="AE148" s="1">
        <f t="shared" si="47"/>
        <v>1</v>
      </c>
      <c r="AF148" s="1">
        <f t="shared" si="47"/>
        <v>1</v>
      </c>
      <c r="AG148" s="1">
        <f t="shared" si="47"/>
        <v>1</v>
      </c>
      <c r="AH148" s="1">
        <f t="shared" si="47"/>
        <v>1</v>
      </c>
      <c r="AI148" s="44">
        <f t="shared" si="66"/>
        <v>101399.78441021705</v>
      </c>
      <c r="AJ148" s="44">
        <f t="shared" si="56"/>
        <v>101824.05129059452</v>
      </c>
      <c r="AK148" s="44" t="str">
        <f t="shared" si="42"/>
        <v>N</v>
      </c>
      <c r="AL148" s="4">
        <f t="shared" si="57"/>
        <v>70</v>
      </c>
      <c r="AM148" s="82">
        <f t="shared" si="67"/>
        <v>0</v>
      </c>
      <c r="AN148" s="82">
        <f t="shared" si="58"/>
        <v>0</v>
      </c>
      <c r="AO148" s="48">
        <f>0</f>
        <v>0</v>
      </c>
      <c r="AP148" s="91">
        <f t="shared" si="68"/>
        <v>-424.26688037747715</v>
      </c>
      <c r="AQ148" s="91">
        <f t="shared" si="69"/>
        <v>-424.26688037747715</v>
      </c>
      <c r="AV148" s="84"/>
    </row>
    <row r="149" spans="1:48">
      <c r="A149" s="190">
        <f t="shared" si="59"/>
        <v>71.637577002053376</v>
      </c>
      <c r="B149" s="82">
        <f t="shared" si="60"/>
        <v>6</v>
      </c>
      <c r="C149" s="83">
        <f t="shared" si="61"/>
        <v>71</v>
      </c>
      <c r="D149" s="14">
        <f t="shared" si="48"/>
        <v>4.8675505653430484E-3</v>
      </c>
      <c r="E149" s="16">
        <f t="shared" si="49"/>
        <v>0</v>
      </c>
      <c r="F149" s="127"/>
      <c r="G149" s="88">
        <f t="shared" si="50"/>
        <v>0</v>
      </c>
      <c r="H149" s="89">
        <f t="shared" si="62"/>
        <v>4.1666666666666666E-3</v>
      </c>
      <c r="I149" s="219"/>
      <c r="J149" s="219"/>
      <c r="K149" s="6">
        <f t="shared" si="70"/>
        <v>101399.78441021705</v>
      </c>
      <c r="M149" s="6">
        <f t="shared" si="51"/>
        <v>493.56857793161521</v>
      </c>
      <c r="N149" s="6">
        <f t="shared" si="63"/>
        <v>-114.84978373911213</v>
      </c>
      <c r="O149" s="90">
        <f t="shared" si="52"/>
        <v>368.02693439999996</v>
      </c>
      <c r="P149" s="91">
        <f t="shared" si="53"/>
        <v>0</v>
      </c>
      <c r="Q149" s="6">
        <f t="shared" si="54"/>
        <v>424.07709668503975</v>
      </c>
      <c r="R149" s="87">
        <f t="shared" si="41"/>
        <v>-424.07709668503975</v>
      </c>
      <c r="S149" s="6">
        <f t="shared" si="55"/>
        <v>-21.144469249931898</v>
      </c>
      <c r="T149" s="83">
        <f t="shared" si="64"/>
        <v>0</v>
      </c>
      <c r="U149" s="91">
        <f t="shared" si="71"/>
        <v>110914.42326746108</v>
      </c>
      <c r="V149" s="91">
        <f t="shared" si="65"/>
        <v>539.8815636802284</v>
      </c>
      <c r="W149" s="1">
        <f t="shared" ref="W149:AH158" si="72">IF($B149&lt;=W$78,1,0)</f>
        <v>0</v>
      </c>
      <c r="X149" s="1">
        <f t="shared" si="72"/>
        <v>0</v>
      </c>
      <c r="Y149" s="1">
        <f t="shared" si="72"/>
        <v>0</v>
      </c>
      <c r="Z149" s="1">
        <f t="shared" si="72"/>
        <v>0</v>
      </c>
      <c r="AA149" s="1">
        <f t="shared" si="72"/>
        <v>0</v>
      </c>
      <c r="AB149" s="1">
        <f t="shared" si="72"/>
        <v>1</v>
      </c>
      <c r="AC149" s="1">
        <f t="shared" si="72"/>
        <v>1</v>
      </c>
      <c r="AD149" s="1">
        <f t="shared" si="72"/>
        <v>1</v>
      </c>
      <c r="AE149" s="1">
        <f t="shared" si="72"/>
        <v>1</v>
      </c>
      <c r="AF149" s="1">
        <f t="shared" si="72"/>
        <v>1</v>
      </c>
      <c r="AG149" s="1">
        <f t="shared" si="72"/>
        <v>1</v>
      </c>
      <c r="AH149" s="1">
        <f t="shared" si="72"/>
        <v>1</v>
      </c>
      <c r="AI149" s="44">
        <f t="shared" si="66"/>
        <v>101354.4261077245</v>
      </c>
      <c r="AJ149" s="44">
        <f t="shared" si="56"/>
        <v>101778.50320440954</v>
      </c>
      <c r="AK149" s="44" t="str">
        <f t="shared" si="42"/>
        <v>N</v>
      </c>
      <c r="AL149" s="4">
        <f t="shared" si="57"/>
        <v>71</v>
      </c>
      <c r="AM149" s="82">
        <f t="shared" si="67"/>
        <v>0</v>
      </c>
      <c r="AN149" s="82">
        <f t="shared" si="58"/>
        <v>0</v>
      </c>
      <c r="AO149" s="48">
        <f>0</f>
        <v>0</v>
      </c>
      <c r="AP149" s="91">
        <f t="shared" si="68"/>
        <v>-424.07709668503975</v>
      </c>
      <c r="AQ149" s="91">
        <f t="shared" si="69"/>
        <v>-424.07709668503975</v>
      </c>
      <c r="AV149" s="84"/>
    </row>
    <row r="150" spans="1:48">
      <c r="A150" s="190">
        <f t="shared" si="59"/>
        <v>71.720910335386719</v>
      </c>
      <c r="B150" s="82">
        <f t="shared" si="60"/>
        <v>6</v>
      </c>
      <c r="C150" s="83">
        <f t="shared" si="61"/>
        <v>72</v>
      </c>
      <c r="D150" s="14">
        <f t="shared" si="48"/>
        <v>4.8675505653430484E-3</v>
      </c>
      <c r="E150" s="16">
        <f t="shared" si="49"/>
        <v>0</v>
      </c>
      <c r="F150" s="127"/>
      <c r="G150" s="88">
        <f t="shared" si="50"/>
        <v>0</v>
      </c>
      <c r="H150" s="89">
        <f t="shared" si="62"/>
        <v>4.1666666666666666E-3</v>
      </c>
      <c r="I150" s="219"/>
      <c r="J150" s="219"/>
      <c r="K150" s="6">
        <f t="shared" si="70"/>
        <v>101354.4261077245</v>
      </c>
      <c r="M150" s="6">
        <f t="shared" si="51"/>
        <v>493.34779410067461</v>
      </c>
      <c r="N150" s="6">
        <f t="shared" si="63"/>
        <v>-114.79840896289991</v>
      </c>
      <c r="O150" s="90">
        <f t="shared" si="52"/>
        <v>368.02693439999996</v>
      </c>
      <c r="P150" s="91">
        <f t="shared" si="53"/>
        <v>0</v>
      </c>
      <c r="Q150" s="6">
        <f t="shared" si="54"/>
        <v>423.88739788692612</v>
      </c>
      <c r="R150" s="87">
        <f t="shared" si="41"/>
        <v>-423.88739788692612</v>
      </c>
      <c r="S150" s="6">
        <f t="shared" si="55"/>
        <v>-21.135010874474187</v>
      </c>
      <c r="T150" s="83">
        <f t="shared" si="64"/>
        <v>0</v>
      </c>
      <c r="U150" s="91">
        <f t="shared" si="71"/>
        <v>111030.22773445628</v>
      </c>
      <c r="V150" s="91">
        <f t="shared" si="65"/>
        <v>540.44524777902006</v>
      </c>
      <c r="W150" s="1">
        <f t="shared" si="72"/>
        <v>0</v>
      </c>
      <c r="X150" s="1">
        <f t="shared" si="72"/>
        <v>0</v>
      </c>
      <c r="Y150" s="1">
        <f t="shared" si="72"/>
        <v>0</v>
      </c>
      <c r="Z150" s="1">
        <f t="shared" si="72"/>
        <v>0</v>
      </c>
      <c r="AA150" s="1">
        <f t="shared" si="72"/>
        <v>0</v>
      </c>
      <c r="AB150" s="1">
        <f t="shared" si="72"/>
        <v>1</v>
      </c>
      <c r="AC150" s="1">
        <f t="shared" si="72"/>
        <v>1</v>
      </c>
      <c r="AD150" s="1">
        <f t="shared" si="72"/>
        <v>1</v>
      </c>
      <c r="AE150" s="1">
        <f t="shared" si="72"/>
        <v>1</v>
      </c>
      <c r="AF150" s="1">
        <f t="shared" si="72"/>
        <v>1</v>
      </c>
      <c r="AG150" s="1">
        <f t="shared" si="72"/>
        <v>1</v>
      </c>
      <c r="AH150" s="1">
        <f t="shared" si="72"/>
        <v>1</v>
      </c>
      <c r="AI150" s="44">
        <f t="shared" si="66"/>
        <v>101309.08809497535</v>
      </c>
      <c r="AJ150" s="44">
        <f t="shared" si="56"/>
        <v>101732.97549286227</v>
      </c>
      <c r="AK150" s="44" t="str">
        <f t="shared" si="42"/>
        <v>N</v>
      </c>
      <c r="AL150" s="4">
        <f t="shared" si="57"/>
        <v>72</v>
      </c>
      <c r="AM150" s="82">
        <f t="shared" si="67"/>
        <v>0</v>
      </c>
      <c r="AN150" s="82">
        <f t="shared" si="58"/>
        <v>0</v>
      </c>
      <c r="AO150" s="48">
        <f>0</f>
        <v>0</v>
      </c>
      <c r="AP150" s="91">
        <f t="shared" si="68"/>
        <v>-423.88739788692612</v>
      </c>
      <c r="AQ150" s="91">
        <f t="shared" si="69"/>
        <v>-423.88739788692612</v>
      </c>
      <c r="AV150" s="84"/>
    </row>
    <row r="151" spans="1:48">
      <c r="A151" s="190">
        <f t="shared" si="59"/>
        <v>71.804243668720048</v>
      </c>
      <c r="B151" s="82">
        <f t="shared" si="60"/>
        <v>7</v>
      </c>
      <c r="C151" s="83">
        <f t="shared" si="61"/>
        <v>73</v>
      </c>
      <c r="D151" s="14">
        <f t="shared" si="48"/>
        <v>4.8675505653430484E-3</v>
      </c>
      <c r="E151" s="16">
        <f t="shared" si="49"/>
        <v>0</v>
      </c>
      <c r="F151" s="127"/>
      <c r="G151" s="88">
        <f t="shared" si="50"/>
        <v>0</v>
      </c>
      <c r="H151" s="89">
        <f t="shared" si="62"/>
        <v>4.1666666666666666E-3</v>
      </c>
      <c r="I151" s="219"/>
      <c r="J151" s="219"/>
      <c r="K151" s="6">
        <f t="shared" si="70"/>
        <v>101309.08809497535</v>
      </c>
      <c r="M151" s="6">
        <f t="shared" si="51"/>
        <v>493.12710903108598</v>
      </c>
      <c r="N151" s="6">
        <f t="shared" si="63"/>
        <v>-114.74705716772905</v>
      </c>
      <c r="O151" s="90">
        <f t="shared" si="52"/>
        <v>375.38747308799998</v>
      </c>
      <c r="P151" s="91">
        <f t="shared" si="53"/>
        <v>0</v>
      </c>
      <c r="Q151" s="6">
        <f t="shared" si="54"/>
        <v>423.69778394516129</v>
      </c>
      <c r="R151" s="87">
        <f t="shared" si="41"/>
        <v>-423.69778394516129</v>
      </c>
      <c r="S151" s="6">
        <f t="shared" si="55"/>
        <v>-21.125556729951064</v>
      </c>
      <c r="T151" s="83">
        <f t="shared" si="64"/>
        <v>0</v>
      </c>
      <c r="U151" s="91">
        <f t="shared" si="71"/>
        <v>111146.78558434837</v>
      </c>
      <c r="V151" s="91">
        <f t="shared" si="65"/>
        <v>541.01259900715752</v>
      </c>
      <c r="W151" s="1">
        <f t="shared" si="72"/>
        <v>0</v>
      </c>
      <c r="X151" s="1">
        <f t="shared" si="72"/>
        <v>0</v>
      </c>
      <c r="Y151" s="1">
        <f t="shared" si="72"/>
        <v>0</v>
      </c>
      <c r="Z151" s="1">
        <f t="shared" si="72"/>
        <v>0</v>
      </c>
      <c r="AA151" s="1">
        <f t="shared" si="72"/>
        <v>0</v>
      </c>
      <c r="AB151" s="1">
        <f t="shared" si="72"/>
        <v>1</v>
      </c>
      <c r="AC151" s="1">
        <f t="shared" si="72"/>
        <v>1</v>
      </c>
      <c r="AD151" s="1">
        <f t="shared" si="72"/>
        <v>1</v>
      </c>
      <c r="AE151" s="1">
        <f t="shared" si="72"/>
        <v>1</v>
      </c>
      <c r="AF151" s="1">
        <f t="shared" si="72"/>
        <v>1</v>
      </c>
      <c r="AG151" s="1">
        <f t="shared" si="72"/>
        <v>1</v>
      </c>
      <c r="AH151" s="1">
        <f t="shared" si="72"/>
        <v>1</v>
      </c>
      <c r="AI151" s="44">
        <f t="shared" si="66"/>
        <v>101263.77036289356</v>
      </c>
      <c r="AJ151" s="44">
        <f t="shared" si="56"/>
        <v>101687.46814683871</v>
      </c>
      <c r="AK151" s="44" t="str">
        <f t="shared" si="42"/>
        <v>N</v>
      </c>
      <c r="AL151" s="4">
        <f t="shared" si="57"/>
        <v>73</v>
      </c>
      <c r="AM151" s="82">
        <f t="shared" si="67"/>
        <v>0</v>
      </c>
      <c r="AN151" s="82">
        <f t="shared" si="58"/>
        <v>0</v>
      </c>
      <c r="AO151" s="48">
        <f>0</f>
        <v>0</v>
      </c>
      <c r="AP151" s="91">
        <f t="shared" si="68"/>
        <v>-423.69778394516129</v>
      </c>
      <c r="AQ151" s="91">
        <f t="shared" si="69"/>
        <v>-423.69778394516129</v>
      </c>
      <c r="AV151" s="84"/>
    </row>
    <row r="152" spans="1:48">
      <c r="A152" s="190">
        <f t="shared" si="59"/>
        <v>71.887577002053376</v>
      </c>
      <c r="B152" s="82">
        <f t="shared" si="60"/>
        <v>7</v>
      </c>
      <c r="C152" s="83">
        <f t="shared" si="61"/>
        <v>74</v>
      </c>
      <c r="D152" s="14">
        <f t="shared" si="48"/>
        <v>4.8675505653430484E-3</v>
      </c>
      <c r="E152" s="16">
        <f t="shared" si="49"/>
        <v>0</v>
      </c>
      <c r="F152" s="127"/>
      <c r="G152" s="88">
        <f t="shared" si="50"/>
        <v>0</v>
      </c>
      <c r="H152" s="89">
        <f t="shared" si="62"/>
        <v>4.1666666666666666E-3</v>
      </c>
      <c r="I152" s="219"/>
      <c r="J152" s="219"/>
      <c r="K152" s="6">
        <f t="shared" si="70"/>
        <v>101263.77036289356</v>
      </c>
      <c r="M152" s="6">
        <f t="shared" si="51"/>
        <v>492.90652267867114</v>
      </c>
      <c r="N152" s="6">
        <f t="shared" si="63"/>
        <v>-114.69572834331969</v>
      </c>
      <c r="O152" s="90">
        <f t="shared" si="52"/>
        <v>375.38747308799998</v>
      </c>
      <c r="P152" s="91">
        <f t="shared" si="53"/>
        <v>0</v>
      </c>
      <c r="Q152" s="6">
        <f t="shared" si="54"/>
        <v>423.50825482178715</v>
      </c>
      <c r="R152" s="87">
        <f t="shared" si="41"/>
        <v>-423.50825482178715</v>
      </c>
      <c r="S152" s="6">
        <f t="shared" si="55"/>
        <v>-21.116106814469948</v>
      </c>
      <c r="T152" s="83">
        <f t="shared" si="64"/>
        <v>0</v>
      </c>
      <c r="U152" s="91">
        <f t="shared" si="71"/>
        <v>111264.10039941037</v>
      </c>
      <c r="V152" s="91">
        <f t="shared" si="65"/>
        <v>541.5836348015356</v>
      </c>
      <c r="W152" s="1">
        <f t="shared" si="72"/>
        <v>0</v>
      </c>
      <c r="X152" s="1">
        <f t="shared" si="72"/>
        <v>0</v>
      </c>
      <c r="Y152" s="1">
        <f t="shared" si="72"/>
        <v>0</v>
      </c>
      <c r="Z152" s="1">
        <f t="shared" si="72"/>
        <v>0</v>
      </c>
      <c r="AA152" s="1">
        <f t="shared" si="72"/>
        <v>0</v>
      </c>
      <c r="AB152" s="1">
        <f t="shared" si="72"/>
        <v>1</v>
      </c>
      <c r="AC152" s="1">
        <f t="shared" si="72"/>
        <v>1</v>
      </c>
      <c r="AD152" s="1">
        <f t="shared" si="72"/>
        <v>1</v>
      </c>
      <c r="AE152" s="1">
        <f t="shared" si="72"/>
        <v>1</v>
      </c>
      <c r="AF152" s="1">
        <f t="shared" si="72"/>
        <v>1</v>
      </c>
      <c r="AG152" s="1">
        <f t="shared" si="72"/>
        <v>1</v>
      </c>
      <c r="AH152" s="1">
        <f t="shared" si="72"/>
        <v>1</v>
      </c>
      <c r="AI152" s="44">
        <f t="shared" si="66"/>
        <v>101218.47290240713</v>
      </c>
      <c r="AJ152" s="44">
        <f t="shared" si="56"/>
        <v>101641.98115722892</v>
      </c>
      <c r="AK152" s="44" t="str">
        <f t="shared" si="42"/>
        <v>N</v>
      </c>
      <c r="AL152" s="4">
        <f t="shared" si="57"/>
        <v>74</v>
      </c>
      <c r="AM152" s="82">
        <f t="shared" si="67"/>
        <v>0</v>
      </c>
      <c r="AN152" s="82">
        <f t="shared" si="58"/>
        <v>0</v>
      </c>
      <c r="AO152" s="48">
        <f>0</f>
        <v>0</v>
      </c>
      <c r="AP152" s="91">
        <f t="shared" si="68"/>
        <v>-423.50825482178715</v>
      </c>
      <c r="AQ152" s="91">
        <f t="shared" si="69"/>
        <v>-423.50825482178715</v>
      </c>
      <c r="AV152" s="84"/>
    </row>
    <row r="153" spans="1:48">
      <c r="A153" s="190">
        <f t="shared" si="59"/>
        <v>71.970910335386719</v>
      </c>
      <c r="B153" s="82">
        <f t="shared" si="60"/>
        <v>7</v>
      </c>
      <c r="C153" s="83">
        <f t="shared" si="61"/>
        <v>75</v>
      </c>
      <c r="D153" s="14">
        <f t="shared" si="48"/>
        <v>4.8675505653430484E-3</v>
      </c>
      <c r="E153" s="16">
        <f t="shared" si="49"/>
        <v>0</v>
      </c>
      <c r="F153" s="127"/>
      <c r="G153" s="88">
        <f t="shared" si="50"/>
        <v>0</v>
      </c>
      <c r="H153" s="89">
        <f t="shared" si="62"/>
        <v>4.1666666666666666E-3</v>
      </c>
      <c r="I153" s="219"/>
      <c r="J153" s="219"/>
      <c r="K153" s="6">
        <f t="shared" si="70"/>
        <v>101218.47290240713</v>
      </c>
      <c r="M153" s="6">
        <f t="shared" si="51"/>
        <v>492.68603499927184</v>
      </c>
      <c r="N153" s="6">
        <f t="shared" si="63"/>
        <v>-114.64442247939643</v>
      </c>
      <c r="O153" s="90">
        <f t="shared" si="52"/>
        <v>375.38747308799998</v>
      </c>
      <c r="P153" s="91">
        <f t="shared" si="53"/>
        <v>0</v>
      </c>
      <c r="Q153" s="6">
        <f t="shared" si="54"/>
        <v>423.31881047886253</v>
      </c>
      <c r="R153" s="87">
        <f t="shared" si="41"/>
        <v>-423.31881047886253</v>
      </c>
      <c r="S153" s="6">
        <f t="shared" si="55"/>
        <v>-21.106661126139084</v>
      </c>
      <c r="T153" s="83">
        <f t="shared" si="64"/>
        <v>0</v>
      </c>
      <c r="U153" s="91">
        <f t="shared" si="71"/>
        <v>111382.17577939011</v>
      </c>
      <c r="V153" s="91">
        <f t="shared" si="65"/>
        <v>542.15837268410905</v>
      </c>
      <c r="W153" s="1">
        <f t="shared" si="72"/>
        <v>0</v>
      </c>
      <c r="X153" s="1">
        <f t="shared" si="72"/>
        <v>0</v>
      </c>
      <c r="Y153" s="1">
        <f t="shared" si="72"/>
        <v>0</v>
      </c>
      <c r="Z153" s="1">
        <f t="shared" si="72"/>
        <v>0</v>
      </c>
      <c r="AA153" s="1">
        <f t="shared" si="72"/>
        <v>0</v>
      </c>
      <c r="AB153" s="1">
        <f t="shared" si="72"/>
        <v>1</v>
      </c>
      <c r="AC153" s="1">
        <f t="shared" si="72"/>
        <v>1</v>
      </c>
      <c r="AD153" s="1">
        <f t="shared" si="72"/>
        <v>1</v>
      </c>
      <c r="AE153" s="1">
        <f t="shared" si="72"/>
        <v>1</v>
      </c>
      <c r="AF153" s="1">
        <f t="shared" si="72"/>
        <v>1</v>
      </c>
      <c r="AG153" s="1">
        <f t="shared" si="72"/>
        <v>1</v>
      </c>
      <c r="AH153" s="1">
        <f t="shared" si="72"/>
        <v>1</v>
      </c>
      <c r="AI153" s="44">
        <f t="shared" si="66"/>
        <v>101173.19570444815</v>
      </c>
      <c r="AJ153" s="44">
        <f t="shared" si="56"/>
        <v>101596.51451492701</v>
      </c>
      <c r="AK153" s="44" t="str">
        <f t="shared" si="42"/>
        <v>N</v>
      </c>
      <c r="AL153" s="4">
        <f t="shared" si="57"/>
        <v>75</v>
      </c>
      <c r="AM153" s="82">
        <f t="shared" si="67"/>
        <v>0</v>
      </c>
      <c r="AN153" s="82">
        <f t="shared" si="58"/>
        <v>0</v>
      </c>
      <c r="AO153" s="48">
        <f>0</f>
        <v>0</v>
      </c>
      <c r="AP153" s="91">
        <f t="shared" si="68"/>
        <v>-423.31881047886253</v>
      </c>
      <c r="AQ153" s="91">
        <f t="shared" si="69"/>
        <v>-423.31881047886253</v>
      </c>
      <c r="AV153" s="84"/>
    </row>
    <row r="154" spans="1:48">
      <c r="A154" s="190">
        <f t="shared" si="59"/>
        <v>72.054243668720048</v>
      </c>
      <c r="B154" s="82">
        <f t="shared" si="60"/>
        <v>7</v>
      </c>
      <c r="C154" s="83">
        <f t="shared" si="61"/>
        <v>76</v>
      </c>
      <c r="D154" s="14">
        <f t="shared" si="48"/>
        <v>4.8675505653430484E-3</v>
      </c>
      <c r="E154" s="16">
        <f t="shared" si="49"/>
        <v>0</v>
      </c>
      <c r="F154" s="127"/>
      <c r="G154" s="88">
        <f t="shared" si="50"/>
        <v>0</v>
      </c>
      <c r="H154" s="89">
        <f t="shared" si="62"/>
        <v>4.1666666666666666E-3</v>
      </c>
      <c r="I154" s="219"/>
      <c r="J154" s="219"/>
      <c r="K154" s="6">
        <f t="shared" si="70"/>
        <v>101173.19570444815</v>
      </c>
      <c r="M154" s="6">
        <f t="shared" si="51"/>
        <v>492.46564594874951</v>
      </c>
      <c r="N154" s="6">
        <f t="shared" si="63"/>
        <v>-114.5931395656886</v>
      </c>
      <c r="O154" s="90">
        <f t="shared" si="52"/>
        <v>375.38747308799998</v>
      </c>
      <c r="P154" s="91">
        <f t="shared" si="53"/>
        <v>0</v>
      </c>
      <c r="Q154" s="6">
        <f t="shared" si="54"/>
        <v>423.12945087846333</v>
      </c>
      <c r="R154" s="87">
        <f t="shared" si="41"/>
        <v>-433.91551479047945</v>
      </c>
      <c r="S154" s="6">
        <f t="shared" si="55"/>
        <v>-21.096094825284283</v>
      </c>
      <c r="T154" s="83">
        <f t="shared" si="64"/>
        <v>0</v>
      </c>
      <c r="U154" s="91">
        <f t="shared" si="71"/>
        <v>111501.01534159535</v>
      </c>
      <c r="V154" s="91">
        <f t="shared" si="65"/>
        <v>542.7368302623064</v>
      </c>
      <c r="W154" s="1">
        <f t="shared" si="72"/>
        <v>0</v>
      </c>
      <c r="X154" s="1">
        <f t="shared" si="72"/>
        <v>0</v>
      </c>
      <c r="Y154" s="1">
        <f t="shared" si="72"/>
        <v>0</v>
      </c>
      <c r="Z154" s="1">
        <f t="shared" si="72"/>
        <v>0</v>
      </c>
      <c r="AA154" s="1">
        <f t="shared" si="72"/>
        <v>0</v>
      </c>
      <c r="AB154" s="1">
        <f t="shared" si="72"/>
        <v>1</v>
      </c>
      <c r="AC154" s="1">
        <f t="shared" si="72"/>
        <v>1</v>
      </c>
      <c r="AD154" s="1">
        <f t="shared" si="72"/>
        <v>1</v>
      </c>
      <c r="AE154" s="1">
        <f t="shared" si="72"/>
        <v>1</v>
      </c>
      <c r="AF154" s="1">
        <f t="shared" si="72"/>
        <v>1</v>
      </c>
      <c r="AG154" s="1">
        <f t="shared" si="72"/>
        <v>1</v>
      </c>
      <c r="AH154" s="1">
        <f t="shared" si="72"/>
        <v>1</v>
      </c>
      <c r="AI154" s="44">
        <f t="shared" si="66"/>
        <v>101117.15269604072</v>
      </c>
      <c r="AJ154" s="44">
        <f t="shared" si="56"/>
        <v>101551.0682108312</v>
      </c>
      <c r="AK154" s="44" t="str">
        <f t="shared" si="42"/>
        <v>N</v>
      </c>
      <c r="AL154" s="4">
        <f t="shared" si="57"/>
        <v>76</v>
      </c>
      <c r="AM154" s="82">
        <f t="shared" si="67"/>
        <v>0</v>
      </c>
      <c r="AN154" s="82">
        <f t="shared" si="58"/>
        <v>0</v>
      </c>
      <c r="AO154" s="48">
        <f>0</f>
        <v>0</v>
      </c>
      <c r="AP154" s="91">
        <f t="shared" si="68"/>
        <v>-433.91551479047945</v>
      </c>
      <c r="AQ154" s="91">
        <f t="shared" si="69"/>
        <v>-433.91551479047945</v>
      </c>
      <c r="AV154" s="84"/>
    </row>
    <row r="155" spans="1:48">
      <c r="A155" s="190">
        <f t="shared" si="59"/>
        <v>72.137577002053376</v>
      </c>
      <c r="B155" s="82">
        <f t="shared" si="60"/>
        <v>7</v>
      </c>
      <c r="C155" s="83">
        <f t="shared" si="61"/>
        <v>77</v>
      </c>
      <c r="D155" s="14">
        <f t="shared" si="48"/>
        <v>4.8675505653430484E-3</v>
      </c>
      <c r="E155" s="16">
        <f t="shared" si="49"/>
        <v>0</v>
      </c>
      <c r="F155" s="127"/>
      <c r="G155" s="88">
        <f t="shared" si="50"/>
        <v>0</v>
      </c>
      <c r="H155" s="89">
        <f t="shared" si="62"/>
        <v>4.1666666666666666E-3</v>
      </c>
      <c r="I155" s="219"/>
      <c r="J155" s="219"/>
      <c r="K155" s="6">
        <f t="shared" si="70"/>
        <v>101117.15269604072</v>
      </c>
      <c r="M155" s="6">
        <f t="shared" si="51"/>
        <v>492.19285377149237</v>
      </c>
      <c r="N155" s="6">
        <f t="shared" si="63"/>
        <v>-114.52966282919336</v>
      </c>
      <c r="O155" s="90">
        <f t="shared" si="52"/>
        <v>375.38747308799998</v>
      </c>
      <c r="P155" s="91">
        <f t="shared" si="53"/>
        <v>0</v>
      </c>
      <c r="Q155" s="6">
        <f t="shared" si="54"/>
        <v>422.89506619576258</v>
      </c>
      <c r="R155" s="87">
        <f t="shared" si="41"/>
        <v>-433.72141505653468</v>
      </c>
      <c r="S155" s="6">
        <f t="shared" si="55"/>
        <v>-21.084404212014757</v>
      </c>
      <c r="T155" s="83">
        <f t="shared" si="64"/>
        <v>0</v>
      </c>
      <c r="U155" s="91">
        <f t="shared" si="71"/>
        <v>111609.83665706718</v>
      </c>
      <c r="V155" s="91">
        <f t="shared" si="65"/>
        <v>543.26652351795269</v>
      </c>
      <c r="W155" s="1">
        <f t="shared" si="72"/>
        <v>0</v>
      </c>
      <c r="X155" s="1">
        <f t="shared" si="72"/>
        <v>0</v>
      </c>
      <c r="Y155" s="1">
        <f t="shared" si="72"/>
        <v>0</v>
      </c>
      <c r="Z155" s="1">
        <f t="shared" si="72"/>
        <v>0</v>
      </c>
      <c r="AA155" s="1">
        <f t="shared" si="72"/>
        <v>0</v>
      </c>
      <c r="AB155" s="1">
        <f t="shared" si="72"/>
        <v>1</v>
      </c>
      <c r="AC155" s="1">
        <f t="shared" si="72"/>
        <v>1</v>
      </c>
      <c r="AD155" s="1">
        <f t="shared" si="72"/>
        <v>1</v>
      </c>
      <c r="AE155" s="1">
        <f t="shared" si="72"/>
        <v>1</v>
      </c>
      <c r="AF155" s="1">
        <f t="shared" si="72"/>
        <v>1</v>
      </c>
      <c r="AG155" s="1">
        <f t="shared" si="72"/>
        <v>1</v>
      </c>
      <c r="AH155" s="1">
        <f t="shared" si="72"/>
        <v>1</v>
      </c>
      <c r="AI155" s="44">
        <f t="shared" si="66"/>
        <v>101061.09447192648</v>
      </c>
      <c r="AJ155" s="44">
        <f t="shared" si="56"/>
        <v>101494.81588698302</v>
      </c>
      <c r="AK155" s="44" t="str">
        <f t="shared" si="42"/>
        <v>N</v>
      </c>
      <c r="AL155" s="4">
        <f t="shared" si="57"/>
        <v>77</v>
      </c>
      <c r="AM155" s="82">
        <f t="shared" si="67"/>
        <v>0</v>
      </c>
      <c r="AN155" s="82">
        <f t="shared" si="58"/>
        <v>0</v>
      </c>
      <c r="AO155" s="48">
        <f>0</f>
        <v>0</v>
      </c>
      <c r="AP155" s="91">
        <f t="shared" si="68"/>
        <v>-433.72141505653468</v>
      </c>
      <c r="AQ155" s="91">
        <f t="shared" si="69"/>
        <v>-433.72141505653468</v>
      </c>
      <c r="AV155" s="84"/>
    </row>
    <row r="156" spans="1:48">
      <c r="A156" s="190">
        <f t="shared" si="59"/>
        <v>72.220910335386719</v>
      </c>
      <c r="B156" s="82">
        <f t="shared" si="60"/>
        <v>7</v>
      </c>
      <c r="C156" s="83">
        <f t="shared" si="61"/>
        <v>78</v>
      </c>
      <c r="D156" s="14">
        <f t="shared" si="48"/>
        <v>4.8675505653430484E-3</v>
      </c>
      <c r="E156" s="16">
        <f t="shared" si="49"/>
        <v>0</v>
      </c>
      <c r="F156" s="127"/>
      <c r="G156" s="88">
        <f t="shared" si="50"/>
        <v>0</v>
      </c>
      <c r="H156" s="89">
        <f t="shared" si="62"/>
        <v>4.1666666666666666E-3</v>
      </c>
      <c r="I156" s="219"/>
      <c r="J156" s="219"/>
      <c r="K156" s="6">
        <f t="shared" si="70"/>
        <v>101061.09447192648</v>
      </c>
      <c r="M156" s="6">
        <f t="shared" si="51"/>
        <v>491.91998753101296</v>
      </c>
      <c r="N156" s="6">
        <f t="shared" si="63"/>
        <v>-114.46616885873013</v>
      </c>
      <c r="O156" s="90">
        <f t="shared" si="52"/>
        <v>375.38747308799998</v>
      </c>
      <c r="P156" s="91">
        <f t="shared" si="53"/>
        <v>0</v>
      </c>
      <c r="Q156" s="6">
        <f t="shared" si="54"/>
        <v>422.66061787749481</v>
      </c>
      <c r="R156" s="87">
        <f t="shared" ref="R156:R219" si="73">-MIN(MAX(O156,P156,Q156,-R144*1.02),AJ156)</f>
        <v>-433.52740214757199</v>
      </c>
      <c r="S156" s="6">
        <f t="shared" si="55"/>
        <v>-21.072710410187117</v>
      </c>
      <c r="T156" s="83">
        <f t="shared" si="64"/>
        <v>0</v>
      </c>
      <c r="U156" s="91">
        <f t="shared" si="71"/>
        <v>111719.3817655286</v>
      </c>
      <c r="V156" s="91">
        <f t="shared" si="65"/>
        <v>543.79973987257461</v>
      </c>
      <c r="W156" s="1">
        <f t="shared" si="72"/>
        <v>0</v>
      </c>
      <c r="X156" s="1">
        <f t="shared" si="72"/>
        <v>0</v>
      </c>
      <c r="Y156" s="1">
        <f t="shared" si="72"/>
        <v>0</v>
      </c>
      <c r="Z156" s="1">
        <f t="shared" si="72"/>
        <v>0</v>
      </c>
      <c r="AA156" s="1">
        <f t="shared" si="72"/>
        <v>0</v>
      </c>
      <c r="AB156" s="1">
        <f t="shared" si="72"/>
        <v>1</v>
      </c>
      <c r="AC156" s="1">
        <f t="shared" si="72"/>
        <v>1</v>
      </c>
      <c r="AD156" s="1">
        <f t="shared" si="72"/>
        <v>1</v>
      </c>
      <c r="AE156" s="1">
        <f t="shared" si="72"/>
        <v>1</v>
      </c>
      <c r="AF156" s="1">
        <f t="shared" si="72"/>
        <v>1</v>
      </c>
      <c r="AG156" s="1">
        <f t="shared" si="72"/>
        <v>1</v>
      </c>
      <c r="AH156" s="1">
        <f t="shared" si="72"/>
        <v>1</v>
      </c>
      <c r="AI156" s="44">
        <f t="shared" si="66"/>
        <v>101005.02088845118</v>
      </c>
      <c r="AJ156" s="44">
        <f t="shared" si="56"/>
        <v>101438.54829059876</v>
      </c>
      <c r="AK156" s="44" t="str">
        <f t="shared" ref="AK156:AK219" si="74">IF(R156=0,0,IF(R156&gt;R144,"Y","N"))</f>
        <v>N</v>
      </c>
      <c r="AL156" s="4">
        <f t="shared" si="57"/>
        <v>78</v>
      </c>
      <c r="AM156" s="82">
        <f t="shared" si="67"/>
        <v>0</v>
      </c>
      <c r="AN156" s="82">
        <f t="shared" si="58"/>
        <v>0</v>
      </c>
      <c r="AO156" s="48">
        <f>0</f>
        <v>0</v>
      </c>
      <c r="AP156" s="91">
        <f t="shared" si="68"/>
        <v>-433.52740214757199</v>
      </c>
      <c r="AQ156" s="91">
        <f t="shared" si="69"/>
        <v>-433.52740214757199</v>
      </c>
      <c r="AV156" s="84"/>
    </row>
    <row r="157" spans="1:48">
      <c r="A157" s="190">
        <f t="shared" si="59"/>
        <v>72.304243668720048</v>
      </c>
      <c r="B157" s="82">
        <f t="shared" si="60"/>
        <v>7</v>
      </c>
      <c r="C157" s="83">
        <f t="shared" si="61"/>
        <v>79</v>
      </c>
      <c r="D157" s="14">
        <f t="shared" si="48"/>
        <v>4.8675505653430484E-3</v>
      </c>
      <c r="E157" s="16">
        <f t="shared" si="49"/>
        <v>0</v>
      </c>
      <c r="F157" s="127"/>
      <c r="G157" s="88">
        <f t="shared" si="50"/>
        <v>0</v>
      </c>
      <c r="H157" s="89">
        <f t="shared" si="62"/>
        <v>4.1666666666666666E-3</v>
      </c>
      <c r="I157" s="219"/>
      <c r="J157" s="219"/>
      <c r="K157" s="6">
        <f t="shared" si="70"/>
        <v>101005.02088845118</v>
      </c>
      <c r="M157" s="6">
        <f t="shared" si="51"/>
        <v>491.64704652806694</v>
      </c>
      <c r="N157" s="6">
        <f t="shared" si="63"/>
        <v>-114.40265749158992</v>
      </c>
      <c r="O157" s="90">
        <f t="shared" si="52"/>
        <v>375.38747308799998</v>
      </c>
      <c r="P157" s="91">
        <f t="shared" si="53"/>
        <v>0</v>
      </c>
      <c r="Q157" s="6">
        <f t="shared" si="54"/>
        <v>422.42610532286523</v>
      </c>
      <c r="R157" s="87">
        <f t="shared" si="73"/>
        <v>-433.33347602475237</v>
      </c>
      <c r="S157" s="6">
        <f t="shared" si="55"/>
        <v>-21.061013389787149</v>
      </c>
      <c r="T157" s="83">
        <f t="shared" si="64"/>
        <v>0</v>
      </c>
      <c r="U157" s="91">
        <f t="shared" si="71"/>
        <v>111829.65410325359</v>
      </c>
      <c r="V157" s="91">
        <f t="shared" si="65"/>
        <v>544.33649605240953</v>
      </c>
      <c r="W157" s="1">
        <f t="shared" si="72"/>
        <v>0</v>
      </c>
      <c r="X157" s="1">
        <f t="shared" si="72"/>
        <v>0</v>
      </c>
      <c r="Y157" s="1">
        <f t="shared" si="72"/>
        <v>0</v>
      </c>
      <c r="Z157" s="1">
        <f t="shared" si="72"/>
        <v>0</v>
      </c>
      <c r="AA157" s="1">
        <f t="shared" si="72"/>
        <v>0</v>
      </c>
      <c r="AB157" s="1">
        <f t="shared" si="72"/>
        <v>1</v>
      </c>
      <c r="AC157" s="1">
        <f t="shared" si="72"/>
        <v>1</v>
      </c>
      <c r="AD157" s="1">
        <f t="shared" si="72"/>
        <v>1</v>
      </c>
      <c r="AE157" s="1">
        <f t="shared" si="72"/>
        <v>1</v>
      </c>
      <c r="AF157" s="1">
        <f t="shared" si="72"/>
        <v>1</v>
      </c>
      <c r="AG157" s="1">
        <f t="shared" si="72"/>
        <v>1</v>
      </c>
      <c r="AH157" s="1">
        <f t="shared" si="72"/>
        <v>1</v>
      </c>
      <c r="AI157" s="44">
        <f t="shared" si="66"/>
        <v>100948.93180146291</v>
      </c>
      <c r="AJ157" s="44">
        <f t="shared" si="56"/>
        <v>101382.26527748766</v>
      </c>
      <c r="AK157" s="44" t="str">
        <f t="shared" si="74"/>
        <v>N</v>
      </c>
      <c r="AL157" s="4">
        <f t="shared" si="57"/>
        <v>79</v>
      </c>
      <c r="AM157" s="82">
        <f t="shared" si="67"/>
        <v>0</v>
      </c>
      <c r="AN157" s="82">
        <f t="shared" si="58"/>
        <v>0</v>
      </c>
      <c r="AO157" s="48">
        <f>0</f>
        <v>0</v>
      </c>
      <c r="AP157" s="91">
        <f t="shared" si="68"/>
        <v>-433.33347602475237</v>
      </c>
      <c r="AQ157" s="91">
        <f t="shared" si="69"/>
        <v>-433.33347602475237</v>
      </c>
      <c r="AV157" s="84"/>
    </row>
    <row r="158" spans="1:48">
      <c r="A158" s="190">
        <f t="shared" si="59"/>
        <v>72.387577002053376</v>
      </c>
      <c r="B158" s="82">
        <f t="shared" si="60"/>
        <v>7</v>
      </c>
      <c r="C158" s="83">
        <f t="shared" si="61"/>
        <v>80</v>
      </c>
      <c r="D158" s="14">
        <f t="shared" si="48"/>
        <v>4.8675505653430484E-3</v>
      </c>
      <c r="E158" s="16">
        <f t="shared" si="49"/>
        <v>0</v>
      </c>
      <c r="F158" s="127"/>
      <c r="G158" s="88">
        <f t="shared" si="50"/>
        <v>0</v>
      </c>
      <c r="H158" s="89">
        <f t="shared" si="62"/>
        <v>4.1666666666666666E-3</v>
      </c>
      <c r="I158" s="219"/>
      <c r="J158" s="219"/>
      <c r="K158" s="6">
        <f t="shared" si="70"/>
        <v>100948.93180146291</v>
      </c>
      <c r="M158" s="6">
        <f t="shared" si="51"/>
        <v>491.37403006098765</v>
      </c>
      <c r="N158" s="6">
        <f t="shared" si="63"/>
        <v>-114.33912856450003</v>
      </c>
      <c r="O158" s="90">
        <f t="shared" si="52"/>
        <v>375.38747308799998</v>
      </c>
      <c r="P158" s="91">
        <f t="shared" si="53"/>
        <v>0</v>
      </c>
      <c r="Q158" s="6">
        <f t="shared" si="54"/>
        <v>422.19152792899746</v>
      </c>
      <c r="R158" s="87">
        <f t="shared" si="73"/>
        <v>-433.13963664925473</v>
      </c>
      <c r="S158" s="6">
        <f t="shared" si="55"/>
        <v>-21.049313120696642</v>
      </c>
      <c r="T158" s="83">
        <f t="shared" si="64"/>
        <v>0</v>
      </c>
      <c r="U158" s="91">
        <f t="shared" si="71"/>
        <v>111940.65712328124</v>
      </c>
      <c r="V158" s="91">
        <f t="shared" si="65"/>
        <v>544.87680886529995</v>
      </c>
      <c r="W158" s="1">
        <f t="shared" si="72"/>
        <v>0</v>
      </c>
      <c r="X158" s="1">
        <f t="shared" si="72"/>
        <v>0</v>
      </c>
      <c r="Y158" s="1">
        <f t="shared" si="72"/>
        <v>0</v>
      </c>
      <c r="Z158" s="1">
        <f t="shared" si="72"/>
        <v>0</v>
      </c>
      <c r="AA158" s="1">
        <f t="shared" si="72"/>
        <v>0</v>
      </c>
      <c r="AB158" s="1">
        <f t="shared" si="72"/>
        <v>1</v>
      </c>
      <c r="AC158" s="1">
        <f t="shared" si="72"/>
        <v>1</v>
      </c>
      <c r="AD158" s="1">
        <f t="shared" si="72"/>
        <v>1</v>
      </c>
      <c r="AE158" s="1">
        <f t="shared" si="72"/>
        <v>1</v>
      </c>
      <c r="AF158" s="1">
        <f t="shared" si="72"/>
        <v>1</v>
      </c>
      <c r="AG158" s="1">
        <f t="shared" si="72"/>
        <v>1</v>
      </c>
      <c r="AH158" s="1">
        <f t="shared" si="72"/>
        <v>1</v>
      </c>
      <c r="AI158" s="44">
        <f t="shared" si="66"/>
        <v>100892.82706631014</v>
      </c>
      <c r="AJ158" s="44">
        <f t="shared" si="56"/>
        <v>101325.9667029594</v>
      </c>
      <c r="AK158" s="44" t="str">
        <f t="shared" si="74"/>
        <v>N</v>
      </c>
      <c r="AL158" s="4">
        <f t="shared" si="57"/>
        <v>80</v>
      </c>
      <c r="AM158" s="82">
        <f t="shared" si="67"/>
        <v>0</v>
      </c>
      <c r="AN158" s="82">
        <f t="shared" si="58"/>
        <v>0</v>
      </c>
      <c r="AO158" s="48">
        <f>0</f>
        <v>0</v>
      </c>
      <c r="AP158" s="91">
        <f t="shared" si="68"/>
        <v>-433.13963664925473</v>
      </c>
      <c r="AQ158" s="91">
        <f t="shared" si="69"/>
        <v>-433.13963664925473</v>
      </c>
      <c r="AV158" s="84"/>
    </row>
    <row r="159" spans="1:48">
      <c r="A159" s="190">
        <f t="shared" si="59"/>
        <v>72.470910335386719</v>
      </c>
      <c r="B159" s="82">
        <f t="shared" si="60"/>
        <v>7</v>
      </c>
      <c r="C159" s="83">
        <f t="shared" si="61"/>
        <v>81</v>
      </c>
      <c r="D159" s="14">
        <f t="shared" si="48"/>
        <v>4.8675505653430484E-3</v>
      </c>
      <c r="E159" s="16">
        <f t="shared" si="49"/>
        <v>0</v>
      </c>
      <c r="F159" s="127"/>
      <c r="G159" s="88">
        <f t="shared" si="50"/>
        <v>0</v>
      </c>
      <c r="H159" s="89">
        <f t="shared" si="62"/>
        <v>4.1666666666666666E-3</v>
      </c>
      <c r="I159" s="219"/>
      <c r="J159" s="219"/>
      <c r="K159" s="6">
        <f t="shared" si="70"/>
        <v>100892.82706631014</v>
      </c>
      <c r="M159" s="6">
        <f t="shared" si="51"/>
        <v>491.10093742567636</v>
      </c>
      <c r="N159" s="6">
        <f t="shared" si="63"/>
        <v>-114.27558191362189</v>
      </c>
      <c r="O159" s="90">
        <f t="shared" si="52"/>
        <v>375.38747308799998</v>
      </c>
      <c r="P159" s="91">
        <f t="shared" si="53"/>
        <v>0</v>
      </c>
      <c r="Q159" s="6">
        <f t="shared" si="54"/>
        <v>421.95688509092582</v>
      </c>
      <c r="R159" s="87">
        <f t="shared" si="73"/>
        <v>-432.94588398227501</v>
      </c>
      <c r="S159" s="6">
        <f t="shared" si="55"/>
        <v>-21.037609572692979</v>
      </c>
      <c r="T159" s="83">
        <f t="shared" si="64"/>
        <v>0</v>
      </c>
      <c r="U159" s="91">
        <f t="shared" si="71"/>
        <v>112052.39429549729</v>
      </c>
      <c r="V159" s="91">
        <f t="shared" si="65"/>
        <v>545.42069520108998</v>
      </c>
      <c r="W159" s="1">
        <f t="shared" ref="W159:AH168" si="75">IF($B159&lt;=W$78,1,0)</f>
        <v>0</v>
      </c>
      <c r="X159" s="1">
        <f t="shared" si="75"/>
        <v>0</v>
      </c>
      <c r="Y159" s="1">
        <f t="shared" si="75"/>
        <v>0</v>
      </c>
      <c r="Z159" s="1">
        <f t="shared" si="75"/>
        <v>0</v>
      </c>
      <c r="AA159" s="1">
        <f t="shared" si="75"/>
        <v>0</v>
      </c>
      <c r="AB159" s="1">
        <f t="shared" si="75"/>
        <v>1</v>
      </c>
      <c r="AC159" s="1">
        <f t="shared" si="75"/>
        <v>1</v>
      </c>
      <c r="AD159" s="1">
        <f t="shared" si="75"/>
        <v>1</v>
      </c>
      <c r="AE159" s="1">
        <f t="shared" si="75"/>
        <v>1</v>
      </c>
      <c r="AF159" s="1">
        <f t="shared" si="75"/>
        <v>1</v>
      </c>
      <c r="AG159" s="1">
        <f t="shared" si="75"/>
        <v>1</v>
      </c>
      <c r="AH159" s="1">
        <f t="shared" si="75"/>
        <v>1</v>
      </c>
      <c r="AI159" s="44">
        <f t="shared" si="66"/>
        <v>100836.70653783993</v>
      </c>
      <c r="AJ159" s="44">
        <f t="shared" si="56"/>
        <v>101269.6524218222</v>
      </c>
      <c r="AK159" s="44" t="str">
        <f t="shared" si="74"/>
        <v>N</v>
      </c>
      <c r="AL159" s="4">
        <f t="shared" si="57"/>
        <v>81</v>
      </c>
      <c r="AM159" s="82">
        <f t="shared" si="67"/>
        <v>0</v>
      </c>
      <c r="AN159" s="82">
        <f t="shared" si="58"/>
        <v>0</v>
      </c>
      <c r="AO159" s="48">
        <f>0</f>
        <v>0</v>
      </c>
      <c r="AP159" s="91">
        <f t="shared" si="68"/>
        <v>-432.94588398227501</v>
      </c>
      <c r="AQ159" s="91">
        <f t="shared" si="69"/>
        <v>-432.94588398227501</v>
      </c>
      <c r="AV159" s="84"/>
    </row>
    <row r="160" spans="1:48">
      <c r="A160" s="190">
        <f t="shared" si="59"/>
        <v>72.554243668720048</v>
      </c>
      <c r="B160" s="82">
        <f t="shared" si="60"/>
        <v>7</v>
      </c>
      <c r="C160" s="83">
        <f t="shared" si="61"/>
        <v>82</v>
      </c>
      <c r="D160" s="14">
        <f t="shared" si="48"/>
        <v>4.8675505653430484E-3</v>
      </c>
      <c r="E160" s="16">
        <f t="shared" si="49"/>
        <v>0</v>
      </c>
      <c r="F160" s="127"/>
      <c r="G160" s="88">
        <f t="shared" si="50"/>
        <v>0</v>
      </c>
      <c r="H160" s="89">
        <f t="shared" si="62"/>
        <v>4.1666666666666666E-3</v>
      </c>
      <c r="I160" s="219"/>
      <c r="J160" s="219"/>
      <c r="K160" s="6">
        <f t="shared" si="70"/>
        <v>100836.70653783993</v>
      </c>
      <c r="M160" s="6">
        <f t="shared" si="51"/>
        <v>490.82776791559382</v>
      </c>
      <c r="N160" s="6">
        <f t="shared" si="63"/>
        <v>-114.21201737454896</v>
      </c>
      <c r="O160" s="90">
        <f t="shared" si="52"/>
        <v>375.38747308799998</v>
      </c>
      <c r="P160" s="91">
        <f t="shared" si="53"/>
        <v>0</v>
      </c>
      <c r="Q160" s="6">
        <f t="shared" si="54"/>
        <v>421.72217620158733</v>
      </c>
      <c r="R160" s="87">
        <f t="shared" si="73"/>
        <v>-432.75221798502668</v>
      </c>
      <c r="S160" s="6">
        <f t="shared" si="55"/>
        <v>-21.025902715448762</v>
      </c>
      <c r="T160" s="83">
        <f t="shared" si="64"/>
        <v>0</v>
      </c>
      <c r="U160" s="91">
        <f t="shared" si="71"/>
        <v>112164.8691067161</v>
      </c>
      <c r="V160" s="91">
        <f t="shared" si="65"/>
        <v>545.968172032025</v>
      </c>
      <c r="W160" s="1">
        <f t="shared" si="75"/>
        <v>0</v>
      </c>
      <c r="X160" s="1">
        <f t="shared" si="75"/>
        <v>0</v>
      </c>
      <c r="Y160" s="1">
        <f t="shared" si="75"/>
        <v>0</v>
      </c>
      <c r="Z160" s="1">
        <f t="shared" si="75"/>
        <v>0</v>
      </c>
      <c r="AA160" s="1">
        <f t="shared" si="75"/>
        <v>0</v>
      </c>
      <c r="AB160" s="1">
        <f t="shared" si="75"/>
        <v>1</v>
      </c>
      <c r="AC160" s="1">
        <f t="shared" si="75"/>
        <v>1</v>
      </c>
      <c r="AD160" s="1">
        <f t="shared" si="75"/>
        <v>1</v>
      </c>
      <c r="AE160" s="1">
        <f t="shared" si="75"/>
        <v>1</v>
      </c>
      <c r="AF160" s="1">
        <f t="shared" si="75"/>
        <v>1</v>
      </c>
      <c r="AG160" s="1">
        <f t="shared" si="75"/>
        <v>1</v>
      </c>
      <c r="AH160" s="1">
        <f t="shared" si="75"/>
        <v>1</v>
      </c>
      <c r="AI160" s="44">
        <f t="shared" si="66"/>
        <v>100780.57007039594</v>
      </c>
      <c r="AJ160" s="44">
        <f t="shared" si="56"/>
        <v>101213.32228838096</v>
      </c>
      <c r="AK160" s="44" t="str">
        <f t="shared" si="74"/>
        <v>N</v>
      </c>
      <c r="AL160" s="4">
        <f t="shared" si="57"/>
        <v>82</v>
      </c>
      <c r="AM160" s="82">
        <f t="shared" si="67"/>
        <v>0</v>
      </c>
      <c r="AN160" s="82">
        <f t="shared" si="58"/>
        <v>0</v>
      </c>
      <c r="AO160" s="48">
        <f>0</f>
        <v>0</v>
      </c>
      <c r="AP160" s="91">
        <f t="shared" si="68"/>
        <v>-432.75221798502668</v>
      </c>
      <c r="AQ160" s="91">
        <f t="shared" si="69"/>
        <v>-432.75221798502668</v>
      </c>
      <c r="AV160" s="84"/>
    </row>
    <row r="161" spans="1:48">
      <c r="A161" s="190">
        <f t="shared" si="59"/>
        <v>72.637577002053376</v>
      </c>
      <c r="B161" s="82">
        <f t="shared" si="60"/>
        <v>7</v>
      </c>
      <c r="C161" s="83">
        <f t="shared" si="61"/>
        <v>83</v>
      </c>
      <c r="D161" s="14">
        <f t="shared" si="48"/>
        <v>4.8675505653430484E-3</v>
      </c>
      <c r="E161" s="16">
        <f t="shared" si="49"/>
        <v>0</v>
      </c>
      <c r="F161" s="127"/>
      <c r="G161" s="88">
        <f t="shared" si="50"/>
        <v>0</v>
      </c>
      <c r="H161" s="89">
        <f t="shared" si="62"/>
        <v>4.1666666666666666E-3</v>
      </c>
      <c r="I161" s="219"/>
      <c r="J161" s="219"/>
      <c r="K161" s="6">
        <f t="shared" si="70"/>
        <v>100780.57007039594</v>
      </c>
      <c r="M161" s="6">
        <f t="shared" si="51"/>
        <v>490.55452082175049</v>
      </c>
      <c r="N161" s="6">
        <f t="shared" si="63"/>
        <v>-114.14843478230463</v>
      </c>
      <c r="O161" s="90">
        <f t="shared" si="52"/>
        <v>375.38747308799998</v>
      </c>
      <c r="P161" s="91">
        <f t="shared" si="53"/>
        <v>0</v>
      </c>
      <c r="Q161" s="6">
        <f t="shared" si="54"/>
        <v>421.48740065181414</v>
      </c>
      <c r="R161" s="87">
        <f t="shared" si="73"/>
        <v>-432.55863861874053</v>
      </c>
      <c r="S161" s="6">
        <f t="shared" si="55"/>
        <v>-21.014192518531409</v>
      </c>
      <c r="T161" s="83">
        <f t="shared" si="64"/>
        <v>0</v>
      </c>
      <c r="U161" s="91">
        <f t="shared" si="71"/>
        <v>112278.0850607631</v>
      </c>
      <c r="V161" s="91">
        <f t="shared" si="65"/>
        <v>546.51925641315233</v>
      </c>
      <c r="W161" s="1">
        <f t="shared" si="75"/>
        <v>0</v>
      </c>
      <c r="X161" s="1">
        <f t="shared" si="75"/>
        <v>0</v>
      </c>
      <c r="Y161" s="1">
        <f t="shared" si="75"/>
        <v>0</v>
      </c>
      <c r="Z161" s="1">
        <f t="shared" si="75"/>
        <v>0</v>
      </c>
      <c r="AA161" s="1">
        <f t="shared" si="75"/>
        <v>0</v>
      </c>
      <c r="AB161" s="1">
        <f t="shared" si="75"/>
        <v>1</v>
      </c>
      <c r="AC161" s="1">
        <f t="shared" si="75"/>
        <v>1</v>
      </c>
      <c r="AD161" s="1">
        <f t="shared" si="75"/>
        <v>1</v>
      </c>
      <c r="AE161" s="1">
        <f t="shared" si="75"/>
        <v>1</v>
      </c>
      <c r="AF161" s="1">
        <f t="shared" si="75"/>
        <v>1</v>
      </c>
      <c r="AG161" s="1">
        <f t="shared" si="75"/>
        <v>1</v>
      </c>
      <c r="AH161" s="1">
        <f t="shared" si="75"/>
        <v>1</v>
      </c>
      <c r="AI161" s="44">
        <f t="shared" si="66"/>
        <v>100724.41751781666</v>
      </c>
      <c r="AJ161" s="44">
        <f t="shared" si="56"/>
        <v>101156.9761564354</v>
      </c>
      <c r="AK161" s="44" t="str">
        <f t="shared" si="74"/>
        <v>N</v>
      </c>
      <c r="AL161" s="4">
        <f t="shared" si="57"/>
        <v>83</v>
      </c>
      <c r="AM161" s="82">
        <f t="shared" si="67"/>
        <v>0</v>
      </c>
      <c r="AN161" s="82">
        <f t="shared" si="58"/>
        <v>0</v>
      </c>
      <c r="AO161" s="48">
        <f>0</f>
        <v>0</v>
      </c>
      <c r="AP161" s="91">
        <f t="shared" si="68"/>
        <v>-432.55863861874053</v>
      </c>
      <c r="AQ161" s="91">
        <f t="shared" si="69"/>
        <v>-432.55863861874053</v>
      </c>
      <c r="AV161" s="84"/>
    </row>
    <row r="162" spans="1:48">
      <c r="A162" s="190">
        <f t="shared" si="59"/>
        <v>72.720910335386719</v>
      </c>
      <c r="B162" s="82">
        <f t="shared" si="60"/>
        <v>7</v>
      </c>
      <c r="C162" s="83">
        <f t="shared" si="61"/>
        <v>84</v>
      </c>
      <c r="D162" s="14">
        <f t="shared" si="48"/>
        <v>4.8675505653430484E-3</v>
      </c>
      <c r="E162" s="16">
        <f t="shared" si="49"/>
        <v>0</v>
      </c>
      <c r="F162" s="127"/>
      <c r="G162" s="88">
        <f t="shared" si="50"/>
        <v>0</v>
      </c>
      <c r="H162" s="89">
        <f t="shared" si="62"/>
        <v>4.1666666666666666E-3</v>
      </c>
      <c r="I162" s="219"/>
      <c r="J162" s="219"/>
      <c r="K162" s="6">
        <f t="shared" si="70"/>
        <v>100724.41751781666</v>
      </c>
      <c r="M162" s="6">
        <f t="shared" si="51"/>
        <v>490.28119543269776</v>
      </c>
      <c r="N162" s="6">
        <f t="shared" si="63"/>
        <v>-114.08483397133999</v>
      </c>
      <c r="O162" s="90">
        <f t="shared" si="52"/>
        <v>375.38747308799998</v>
      </c>
      <c r="P162" s="91">
        <f t="shared" si="53"/>
        <v>0</v>
      </c>
      <c r="Q162" s="6">
        <f t="shared" si="54"/>
        <v>421.25255783032509</v>
      </c>
      <c r="R162" s="87">
        <f t="shared" si="73"/>
        <v>-432.36514584466465</v>
      </c>
      <c r="S162" s="6">
        <f t="shared" si="55"/>
        <v>-21.002478951402768</v>
      </c>
      <c r="T162" s="83">
        <f t="shared" si="64"/>
        <v>0</v>
      </c>
      <c r="U162" s="91">
        <f t="shared" si="71"/>
        <v>112392.04567855752</v>
      </c>
      <c r="V162" s="91">
        <f t="shared" si="65"/>
        <v>547.07396548272436</v>
      </c>
      <c r="W162" s="1">
        <f t="shared" si="75"/>
        <v>0</v>
      </c>
      <c r="X162" s="1">
        <f t="shared" si="75"/>
        <v>0</v>
      </c>
      <c r="Y162" s="1">
        <f t="shared" si="75"/>
        <v>0</v>
      </c>
      <c r="Z162" s="1">
        <f t="shared" si="75"/>
        <v>0</v>
      </c>
      <c r="AA162" s="1">
        <f t="shared" si="75"/>
        <v>0</v>
      </c>
      <c r="AB162" s="1">
        <f t="shared" si="75"/>
        <v>1</v>
      </c>
      <c r="AC162" s="1">
        <f t="shared" si="75"/>
        <v>1</v>
      </c>
      <c r="AD162" s="1">
        <f t="shared" si="75"/>
        <v>1</v>
      </c>
      <c r="AE162" s="1">
        <f t="shared" si="75"/>
        <v>1</v>
      </c>
      <c r="AF162" s="1">
        <f t="shared" si="75"/>
        <v>1</v>
      </c>
      <c r="AG162" s="1">
        <f t="shared" si="75"/>
        <v>1</v>
      </c>
      <c r="AH162" s="1">
        <f t="shared" si="75"/>
        <v>1</v>
      </c>
      <c r="AI162" s="44">
        <f t="shared" si="66"/>
        <v>100668.24873343336</v>
      </c>
      <c r="AJ162" s="44">
        <f t="shared" si="56"/>
        <v>101100.61387927803</v>
      </c>
      <c r="AK162" s="44" t="str">
        <f t="shared" si="74"/>
        <v>N</v>
      </c>
      <c r="AL162" s="4">
        <f t="shared" si="57"/>
        <v>84</v>
      </c>
      <c r="AM162" s="82">
        <f t="shared" si="67"/>
        <v>0</v>
      </c>
      <c r="AN162" s="82">
        <f t="shared" si="58"/>
        <v>0</v>
      </c>
      <c r="AO162" s="48">
        <f>0</f>
        <v>0</v>
      </c>
      <c r="AP162" s="91">
        <f t="shared" si="68"/>
        <v>-432.36514584466465</v>
      </c>
      <c r="AQ162" s="91">
        <f t="shared" si="69"/>
        <v>-432.36514584466465</v>
      </c>
      <c r="AV162" s="84"/>
    </row>
    <row r="163" spans="1:48">
      <c r="A163" s="190">
        <f t="shared" si="59"/>
        <v>72.804243668720048</v>
      </c>
      <c r="B163" s="82">
        <f t="shared" si="60"/>
        <v>8</v>
      </c>
      <c r="C163" s="83">
        <f t="shared" si="61"/>
        <v>85</v>
      </c>
      <c r="D163" s="14">
        <f t="shared" si="48"/>
        <v>4.8675505653430484E-3</v>
      </c>
      <c r="E163" s="16">
        <f t="shared" si="49"/>
        <v>0</v>
      </c>
      <c r="F163" s="127"/>
      <c r="G163" s="88">
        <f t="shared" si="50"/>
        <v>0</v>
      </c>
      <c r="H163" s="89">
        <f t="shared" si="62"/>
        <v>4.1666666666666666E-3</v>
      </c>
      <c r="I163" s="219"/>
      <c r="J163" s="219"/>
      <c r="K163" s="6">
        <f t="shared" si="70"/>
        <v>100668.24873343336</v>
      </c>
      <c r="M163" s="6">
        <f t="shared" si="51"/>
        <v>490.00779103451816</v>
      </c>
      <c r="N163" s="6">
        <f t="shared" si="63"/>
        <v>-114.0212147755317</v>
      </c>
      <c r="O163" s="90">
        <f t="shared" si="52"/>
        <v>382.89522254975992</v>
      </c>
      <c r="P163" s="91">
        <f t="shared" si="53"/>
        <v>0</v>
      </c>
      <c r="Q163" s="6">
        <f t="shared" si="54"/>
        <v>421.01764712371806</v>
      </c>
      <c r="R163" s="87">
        <f t="shared" si="73"/>
        <v>-432.17173962406451</v>
      </c>
      <c r="S163" s="6">
        <f t="shared" si="55"/>
        <v>-20.9907619834187</v>
      </c>
      <c r="T163" s="83">
        <f t="shared" si="64"/>
        <v>0</v>
      </c>
      <c r="U163" s="91">
        <f t="shared" si="71"/>
        <v>112506.75449819557</v>
      </c>
      <c r="V163" s="91">
        <f t="shared" si="65"/>
        <v>547.6323164626034</v>
      </c>
      <c r="W163" s="1">
        <f t="shared" si="75"/>
        <v>0</v>
      </c>
      <c r="X163" s="1">
        <f t="shared" si="75"/>
        <v>0</v>
      </c>
      <c r="Y163" s="1">
        <f t="shared" si="75"/>
        <v>0</v>
      </c>
      <c r="Z163" s="1">
        <f t="shared" si="75"/>
        <v>0</v>
      </c>
      <c r="AA163" s="1">
        <f t="shared" si="75"/>
        <v>0</v>
      </c>
      <c r="AB163" s="1">
        <f t="shared" si="75"/>
        <v>1</v>
      </c>
      <c r="AC163" s="1">
        <f t="shared" si="75"/>
        <v>1</v>
      </c>
      <c r="AD163" s="1">
        <f t="shared" si="75"/>
        <v>1</v>
      </c>
      <c r="AE163" s="1">
        <f t="shared" si="75"/>
        <v>1</v>
      </c>
      <c r="AF163" s="1">
        <f t="shared" si="75"/>
        <v>1</v>
      </c>
      <c r="AG163" s="1">
        <f t="shared" si="75"/>
        <v>1</v>
      </c>
      <c r="AH163" s="1">
        <f t="shared" si="75"/>
        <v>1</v>
      </c>
      <c r="AI163" s="44">
        <f t="shared" si="66"/>
        <v>100612.06357006826</v>
      </c>
      <c r="AJ163" s="44">
        <f t="shared" si="56"/>
        <v>101044.23530969233</v>
      </c>
      <c r="AK163" s="44" t="str">
        <f t="shared" si="74"/>
        <v>N</v>
      </c>
      <c r="AL163" s="4">
        <f t="shared" si="57"/>
        <v>85</v>
      </c>
      <c r="AM163" s="82">
        <f t="shared" si="67"/>
        <v>0</v>
      </c>
      <c r="AN163" s="82">
        <f t="shared" si="58"/>
        <v>0</v>
      </c>
      <c r="AO163" s="48">
        <f>0</f>
        <v>0</v>
      </c>
      <c r="AP163" s="91">
        <f t="shared" si="68"/>
        <v>-432.17173962406451</v>
      </c>
      <c r="AQ163" s="91">
        <f t="shared" si="69"/>
        <v>-432.17173962406451</v>
      </c>
      <c r="AV163" s="84"/>
    </row>
    <row r="164" spans="1:48">
      <c r="A164" s="190">
        <f t="shared" si="59"/>
        <v>72.887577002053376</v>
      </c>
      <c r="B164" s="82">
        <f t="shared" si="60"/>
        <v>8</v>
      </c>
      <c r="C164" s="83">
        <f t="shared" si="61"/>
        <v>86</v>
      </c>
      <c r="D164" s="14">
        <f t="shared" si="48"/>
        <v>4.8675505653430484E-3</v>
      </c>
      <c r="E164" s="16">
        <f t="shared" si="49"/>
        <v>0</v>
      </c>
      <c r="F164" s="127"/>
      <c r="G164" s="88">
        <f t="shared" si="50"/>
        <v>0</v>
      </c>
      <c r="H164" s="89">
        <f t="shared" si="62"/>
        <v>4.1666666666666666E-3</v>
      </c>
      <c r="I164" s="219"/>
      <c r="J164" s="219"/>
      <c r="K164" s="6">
        <f t="shared" si="70"/>
        <v>100612.06357006826</v>
      </c>
      <c r="M164" s="6">
        <f t="shared" si="51"/>
        <v>489.73430691081649</v>
      </c>
      <c r="N164" s="6">
        <f t="shared" si="63"/>
        <v>-113.95757702817986</v>
      </c>
      <c r="O164" s="90">
        <f t="shared" si="52"/>
        <v>382.89522254975992</v>
      </c>
      <c r="P164" s="91">
        <f t="shared" si="53"/>
        <v>0</v>
      </c>
      <c r="Q164" s="6">
        <f t="shared" si="54"/>
        <v>420.78266791646206</v>
      </c>
      <c r="R164" s="87">
        <f t="shared" si="73"/>
        <v>-431.97841991822293</v>
      </c>
      <c r="S164" s="6">
        <f t="shared" si="55"/>
        <v>-20.979041583828685</v>
      </c>
      <c r="T164" s="83">
        <f t="shared" si="64"/>
        <v>0</v>
      </c>
      <c r="U164" s="91">
        <f t="shared" si="71"/>
        <v>112622.21507503411</v>
      </c>
      <c r="V164" s="91">
        <f t="shared" si="65"/>
        <v>548.19432665866861</v>
      </c>
      <c r="W164" s="1">
        <f t="shared" si="75"/>
        <v>0</v>
      </c>
      <c r="X164" s="1">
        <f t="shared" si="75"/>
        <v>0</v>
      </c>
      <c r="Y164" s="1">
        <f t="shared" si="75"/>
        <v>0</v>
      </c>
      <c r="Z164" s="1">
        <f t="shared" si="75"/>
        <v>0</v>
      </c>
      <c r="AA164" s="1">
        <f t="shared" si="75"/>
        <v>0</v>
      </c>
      <c r="AB164" s="1">
        <f t="shared" si="75"/>
        <v>1</v>
      </c>
      <c r="AC164" s="1">
        <f t="shared" si="75"/>
        <v>1</v>
      </c>
      <c r="AD164" s="1">
        <f t="shared" si="75"/>
        <v>1</v>
      </c>
      <c r="AE164" s="1">
        <f t="shared" si="75"/>
        <v>1</v>
      </c>
      <c r="AF164" s="1">
        <f t="shared" si="75"/>
        <v>1</v>
      </c>
      <c r="AG164" s="1">
        <f t="shared" si="75"/>
        <v>1</v>
      </c>
      <c r="AH164" s="1">
        <f t="shared" si="75"/>
        <v>1</v>
      </c>
      <c r="AI164" s="44">
        <f t="shared" si="66"/>
        <v>100555.86188003268</v>
      </c>
      <c r="AJ164" s="44">
        <f t="shared" si="56"/>
        <v>100987.8402999509</v>
      </c>
      <c r="AK164" s="44" t="str">
        <f t="shared" si="74"/>
        <v>N</v>
      </c>
      <c r="AL164" s="4">
        <f t="shared" si="57"/>
        <v>86</v>
      </c>
      <c r="AM164" s="82">
        <f t="shared" si="67"/>
        <v>0</v>
      </c>
      <c r="AN164" s="82">
        <f t="shared" si="58"/>
        <v>0</v>
      </c>
      <c r="AO164" s="48">
        <f>0</f>
        <v>0</v>
      </c>
      <c r="AP164" s="91">
        <f t="shared" si="68"/>
        <v>-431.97841991822293</v>
      </c>
      <c r="AQ164" s="91">
        <f t="shared" si="69"/>
        <v>-431.97841991822293</v>
      </c>
      <c r="AV164" s="84"/>
    </row>
    <row r="165" spans="1:48">
      <c r="A165" s="190">
        <f t="shared" si="59"/>
        <v>72.970910335386719</v>
      </c>
      <c r="B165" s="82">
        <f t="shared" si="60"/>
        <v>8</v>
      </c>
      <c r="C165" s="83">
        <f t="shared" si="61"/>
        <v>87</v>
      </c>
      <c r="D165" s="14">
        <f t="shared" si="48"/>
        <v>4.8675505653430484E-3</v>
      </c>
      <c r="E165" s="16">
        <f t="shared" si="49"/>
        <v>0</v>
      </c>
      <c r="F165" s="127"/>
      <c r="G165" s="88">
        <f t="shared" si="50"/>
        <v>0</v>
      </c>
      <c r="H165" s="89">
        <f t="shared" si="62"/>
        <v>4.1666666666666666E-3</v>
      </c>
      <c r="I165" s="219"/>
      <c r="J165" s="219"/>
      <c r="K165" s="6">
        <f t="shared" si="70"/>
        <v>100555.86188003268</v>
      </c>
      <c r="M165" s="6">
        <f t="shared" si="51"/>
        <v>489.46074234271055</v>
      </c>
      <c r="N165" s="6">
        <f t="shared" si="63"/>
        <v>-113.89392056200589</v>
      </c>
      <c r="O165" s="90">
        <f t="shared" si="52"/>
        <v>382.89522254975992</v>
      </c>
      <c r="P165" s="91">
        <f t="shared" si="53"/>
        <v>0</v>
      </c>
      <c r="Q165" s="6">
        <f t="shared" si="54"/>
        <v>420.54761959088904</v>
      </c>
      <c r="R165" s="87">
        <f t="shared" si="73"/>
        <v>-431.78518668843981</v>
      </c>
      <c r="S165" s="6">
        <f t="shared" si="55"/>
        <v>-20.967317721775455</v>
      </c>
      <c r="T165" s="83">
        <f t="shared" si="64"/>
        <v>0</v>
      </c>
      <c r="U165" s="91">
        <f t="shared" si="71"/>
        <v>112738.43098177457</v>
      </c>
      <c r="V165" s="91">
        <f t="shared" si="65"/>
        <v>548.76001346122507</v>
      </c>
      <c r="W165" s="1">
        <f t="shared" si="75"/>
        <v>0</v>
      </c>
      <c r="X165" s="1">
        <f t="shared" si="75"/>
        <v>0</v>
      </c>
      <c r="Y165" s="1">
        <f t="shared" si="75"/>
        <v>0</v>
      </c>
      <c r="Z165" s="1">
        <f t="shared" si="75"/>
        <v>0</v>
      </c>
      <c r="AA165" s="1">
        <f t="shared" si="75"/>
        <v>0</v>
      </c>
      <c r="AB165" s="1">
        <f t="shared" si="75"/>
        <v>1</v>
      </c>
      <c r="AC165" s="1">
        <f t="shared" si="75"/>
        <v>1</v>
      </c>
      <c r="AD165" s="1">
        <f t="shared" si="75"/>
        <v>1</v>
      </c>
      <c r="AE165" s="1">
        <f t="shared" si="75"/>
        <v>1</v>
      </c>
      <c r="AF165" s="1">
        <f t="shared" si="75"/>
        <v>1</v>
      </c>
      <c r="AG165" s="1">
        <f t="shared" si="75"/>
        <v>1</v>
      </c>
      <c r="AH165" s="1">
        <f t="shared" si="75"/>
        <v>1</v>
      </c>
      <c r="AI165" s="44">
        <f t="shared" si="66"/>
        <v>100499.64351512493</v>
      </c>
      <c r="AJ165" s="44">
        <f t="shared" si="56"/>
        <v>100931.42870181338</v>
      </c>
      <c r="AK165" s="44" t="str">
        <f t="shared" si="74"/>
        <v>N</v>
      </c>
      <c r="AL165" s="4">
        <f t="shared" si="57"/>
        <v>87</v>
      </c>
      <c r="AM165" s="82">
        <f t="shared" si="67"/>
        <v>0</v>
      </c>
      <c r="AN165" s="82">
        <f t="shared" si="58"/>
        <v>0</v>
      </c>
      <c r="AO165" s="48">
        <f>0</f>
        <v>0</v>
      </c>
      <c r="AP165" s="91">
        <f t="shared" si="68"/>
        <v>-431.78518668843981</v>
      </c>
      <c r="AQ165" s="91">
        <f t="shared" si="69"/>
        <v>-431.78518668843981</v>
      </c>
      <c r="AV165" s="84"/>
    </row>
    <row r="166" spans="1:48">
      <c r="A166" s="190">
        <f t="shared" si="59"/>
        <v>73.054243668720048</v>
      </c>
      <c r="B166" s="82">
        <f t="shared" si="60"/>
        <v>8</v>
      </c>
      <c r="C166" s="83">
        <f t="shared" si="61"/>
        <v>88</v>
      </c>
      <c r="D166" s="14">
        <f t="shared" si="48"/>
        <v>4.8675505653430484E-3</v>
      </c>
      <c r="E166" s="16">
        <f t="shared" si="49"/>
        <v>0</v>
      </c>
      <c r="F166" s="127"/>
      <c r="G166" s="88">
        <f t="shared" si="50"/>
        <v>0</v>
      </c>
      <c r="H166" s="89">
        <f t="shared" si="62"/>
        <v>4.1666666666666666E-3</v>
      </c>
      <c r="I166" s="219"/>
      <c r="J166" s="219"/>
      <c r="K166" s="6">
        <f t="shared" si="70"/>
        <v>100499.64351512493</v>
      </c>
      <c r="M166" s="6">
        <f t="shared" si="51"/>
        <v>489.18709660882121</v>
      </c>
      <c r="N166" s="6">
        <f t="shared" si="63"/>
        <v>-113.83024520915009</v>
      </c>
      <c r="O166" s="90">
        <f t="shared" si="52"/>
        <v>382.89522254975992</v>
      </c>
      <c r="P166" s="91">
        <f t="shared" si="53"/>
        <v>0</v>
      </c>
      <c r="Q166" s="6">
        <f t="shared" si="54"/>
        <v>420.31250152718582</v>
      </c>
      <c r="R166" s="87">
        <f t="shared" si="73"/>
        <v>-442.59382508628903</v>
      </c>
      <c r="S166" s="6">
        <f t="shared" si="55"/>
        <v>-20.954443031755552</v>
      </c>
      <c r="T166" s="83">
        <f t="shared" si="64"/>
        <v>0</v>
      </c>
      <c r="U166" s="91">
        <f t="shared" si="71"/>
        <v>112855.40580854735</v>
      </c>
      <c r="V166" s="91">
        <f t="shared" si="65"/>
        <v>549.32939434541379</v>
      </c>
      <c r="W166" s="1">
        <f t="shared" si="75"/>
        <v>0</v>
      </c>
      <c r="X166" s="1">
        <f t="shared" si="75"/>
        <v>0</v>
      </c>
      <c r="Y166" s="1">
        <f t="shared" si="75"/>
        <v>0</v>
      </c>
      <c r="Z166" s="1">
        <f t="shared" si="75"/>
        <v>0</v>
      </c>
      <c r="AA166" s="1">
        <f t="shared" si="75"/>
        <v>0</v>
      </c>
      <c r="AB166" s="1">
        <f t="shared" si="75"/>
        <v>1</v>
      </c>
      <c r="AC166" s="1">
        <f t="shared" si="75"/>
        <v>1</v>
      </c>
      <c r="AD166" s="1">
        <f t="shared" si="75"/>
        <v>1</v>
      </c>
      <c r="AE166" s="1">
        <f t="shared" si="75"/>
        <v>1</v>
      </c>
      <c r="AF166" s="1">
        <f t="shared" si="75"/>
        <v>1</v>
      </c>
      <c r="AG166" s="1">
        <f t="shared" si="75"/>
        <v>1</v>
      </c>
      <c r="AH166" s="1">
        <f t="shared" si="75"/>
        <v>1</v>
      </c>
      <c r="AI166" s="44">
        <f t="shared" si="66"/>
        <v>100432.40654143832</v>
      </c>
      <c r="AJ166" s="44">
        <f t="shared" si="56"/>
        <v>100875.0003665246</v>
      </c>
      <c r="AK166" s="44" t="str">
        <f t="shared" si="74"/>
        <v>N</v>
      </c>
      <c r="AL166" s="4">
        <f t="shared" si="57"/>
        <v>88</v>
      </c>
      <c r="AM166" s="82">
        <f t="shared" si="67"/>
        <v>0</v>
      </c>
      <c r="AN166" s="82">
        <f t="shared" si="58"/>
        <v>0</v>
      </c>
      <c r="AO166" s="48">
        <f>0</f>
        <v>0</v>
      </c>
      <c r="AP166" s="91">
        <f t="shared" si="68"/>
        <v>-442.59382508628903</v>
      </c>
      <c r="AQ166" s="91">
        <f t="shared" si="69"/>
        <v>-442.59382508628903</v>
      </c>
      <c r="AV166" s="84"/>
    </row>
    <row r="167" spans="1:48">
      <c r="A167" s="190">
        <f t="shared" si="59"/>
        <v>73.137577002053376</v>
      </c>
      <c r="B167" s="82">
        <f t="shared" si="60"/>
        <v>8</v>
      </c>
      <c r="C167" s="83">
        <f t="shared" si="61"/>
        <v>89</v>
      </c>
      <c r="D167" s="14">
        <f t="shared" si="48"/>
        <v>4.8675505653430484E-3</v>
      </c>
      <c r="E167" s="16">
        <f t="shared" si="49"/>
        <v>0</v>
      </c>
      <c r="F167" s="127"/>
      <c r="G167" s="88">
        <f t="shared" si="50"/>
        <v>0</v>
      </c>
      <c r="H167" s="89">
        <f t="shared" si="62"/>
        <v>4.1666666666666666E-3</v>
      </c>
      <c r="I167" s="219"/>
      <c r="J167" s="219"/>
      <c r="K167" s="6">
        <f t="shared" si="70"/>
        <v>100432.40654143832</v>
      </c>
      <c r="M167" s="6">
        <f t="shared" si="51"/>
        <v>488.85981723954097</v>
      </c>
      <c r="N167" s="6">
        <f t="shared" si="63"/>
        <v>-113.75408970317841</v>
      </c>
      <c r="O167" s="90">
        <f t="shared" si="52"/>
        <v>382.89522254975992</v>
      </c>
      <c r="P167" s="91">
        <f t="shared" si="53"/>
        <v>0</v>
      </c>
      <c r="Q167" s="6">
        <f t="shared" si="54"/>
        <v>420.0313011207279</v>
      </c>
      <c r="R167" s="87">
        <f t="shared" si="73"/>
        <v>-442.3958433576654</v>
      </c>
      <c r="S167" s="6">
        <f t="shared" si="55"/>
        <v>-20.940413710736195</v>
      </c>
      <c r="T167" s="83">
        <f t="shared" si="64"/>
        <v>0</v>
      </c>
      <c r="U167" s="91">
        <f t="shared" si="71"/>
        <v>112962.14137780649</v>
      </c>
      <c r="V167" s="91">
        <f t="shared" si="65"/>
        <v>549.84893512590338</v>
      </c>
      <c r="W167" s="1">
        <f t="shared" si="75"/>
        <v>0</v>
      </c>
      <c r="X167" s="1">
        <f t="shared" si="75"/>
        <v>0</v>
      </c>
      <c r="Y167" s="1">
        <f t="shared" si="75"/>
        <v>0</v>
      </c>
      <c r="Z167" s="1">
        <f t="shared" si="75"/>
        <v>0</v>
      </c>
      <c r="AA167" s="1">
        <f t="shared" si="75"/>
        <v>0</v>
      </c>
      <c r="AB167" s="1">
        <f t="shared" si="75"/>
        <v>1</v>
      </c>
      <c r="AC167" s="1">
        <f t="shared" si="75"/>
        <v>1</v>
      </c>
      <c r="AD167" s="1">
        <f t="shared" si="75"/>
        <v>1</v>
      </c>
      <c r="AE167" s="1">
        <f t="shared" si="75"/>
        <v>1</v>
      </c>
      <c r="AF167" s="1">
        <f t="shared" si="75"/>
        <v>1</v>
      </c>
      <c r="AG167" s="1">
        <f t="shared" si="75"/>
        <v>1</v>
      </c>
      <c r="AH167" s="1">
        <f t="shared" si="75"/>
        <v>1</v>
      </c>
      <c r="AI167" s="44">
        <f t="shared" si="66"/>
        <v>100365.11642561703</v>
      </c>
      <c r="AJ167" s="44">
        <f t="shared" si="56"/>
        <v>100807.51226897469</v>
      </c>
      <c r="AK167" s="44" t="str">
        <f t="shared" si="74"/>
        <v>N</v>
      </c>
      <c r="AL167" s="4">
        <f t="shared" si="57"/>
        <v>89</v>
      </c>
      <c r="AM167" s="82">
        <f t="shared" si="67"/>
        <v>0</v>
      </c>
      <c r="AN167" s="82">
        <f t="shared" si="58"/>
        <v>0</v>
      </c>
      <c r="AO167" s="48">
        <f>0</f>
        <v>0</v>
      </c>
      <c r="AP167" s="91">
        <f t="shared" si="68"/>
        <v>-442.3958433576654</v>
      </c>
      <c r="AQ167" s="91">
        <f t="shared" si="69"/>
        <v>-442.3958433576654</v>
      </c>
      <c r="AV167" s="84"/>
    </row>
    <row r="168" spans="1:48">
      <c r="A168" s="190">
        <f t="shared" si="59"/>
        <v>73.220910335386719</v>
      </c>
      <c r="B168" s="82">
        <f t="shared" si="60"/>
        <v>8</v>
      </c>
      <c r="C168" s="83">
        <f t="shared" si="61"/>
        <v>90</v>
      </c>
      <c r="D168" s="14">
        <f t="shared" si="48"/>
        <v>4.8675505653430484E-3</v>
      </c>
      <c r="E168" s="16">
        <f t="shared" si="49"/>
        <v>0</v>
      </c>
      <c r="F168" s="127"/>
      <c r="G168" s="88">
        <f t="shared" si="50"/>
        <v>0</v>
      </c>
      <c r="H168" s="89">
        <f t="shared" si="62"/>
        <v>4.1666666666666666E-3</v>
      </c>
      <c r="I168" s="219"/>
      <c r="J168" s="219"/>
      <c r="K168" s="6">
        <f t="shared" si="70"/>
        <v>100365.11642561703</v>
      </c>
      <c r="M168" s="6">
        <f t="shared" si="51"/>
        <v>488.53227919823303</v>
      </c>
      <c r="N168" s="6">
        <f t="shared" si="63"/>
        <v>-113.67787400612534</v>
      </c>
      <c r="O168" s="90">
        <f t="shared" si="52"/>
        <v>382.89522254975992</v>
      </c>
      <c r="P168" s="91">
        <f t="shared" si="53"/>
        <v>0</v>
      </c>
      <c r="Q168" s="6">
        <f t="shared" si="54"/>
        <v>419.74987846170472</v>
      </c>
      <c r="R168" s="87">
        <f t="shared" si="73"/>
        <v>-442.19795019052344</v>
      </c>
      <c r="S168" s="6">
        <f t="shared" si="55"/>
        <v>-20.926373275798067</v>
      </c>
      <c r="T168" s="83">
        <f t="shared" si="64"/>
        <v>0</v>
      </c>
      <c r="U168" s="91">
        <f t="shared" si="71"/>
        <v>113069.59446957473</v>
      </c>
      <c r="V168" s="91">
        <f t="shared" si="65"/>
        <v>550.37196848348765</v>
      </c>
      <c r="W168" s="1">
        <f t="shared" si="75"/>
        <v>0</v>
      </c>
      <c r="X168" s="1">
        <f t="shared" si="75"/>
        <v>0</v>
      </c>
      <c r="Y168" s="1">
        <f t="shared" si="75"/>
        <v>0</v>
      </c>
      <c r="Z168" s="1">
        <f t="shared" si="75"/>
        <v>0</v>
      </c>
      <c r="AA168" s="1">
        <f t="shared" si="75"/>
        <v>0</v>
      </c>
      <c r="AB168" s="1">
        <f t="shared" si="75"/>
        <v>1</v>
      </c>
      <c r="AC168" s="1">
        <f t="shared" si="75"/>
        <v>1</v>
      </c>
      <c r="AD168" s="1">
        <f t="shared" si="75"/>
        <v>1</v>
      </c>
      <c r="AE168" s="1">
        <f t="shared" si="75"/>
        <v>1</v>
      </c>
      <c r="AF168" s="1">
        <f t="shared" si="75"/>
        <v>1</v>
      </c>
      <c r="AG168" s="1">
        <f t="shared" si="75"/>
        <v>1</v>
      </c>
      <c r="AH168" s="1">
        <f t="shared" si="75"/>
        <v>1</v>
      </c>
      <c r="AI168" s="44">
        <f t="shared" si="66"/>
        <v>100297.77288061861</v>
      </c>
      <c r="AJ168" s="44">
        <f t="shared" si="56"/>
        <v>100739.97083080914</v>
      </c>
      <c r="AK168" s="44" t="str">
        <f t="shared" si="74"/>
        <v>N</v>
      </c>
      <c r="AL168" s="4">
        <f t="shared" si="57"/>
        <v>90</v>
      </c>
      <c r="AM168" s="82">
        <f t="shared" si="67"/>
        <v>0</v>
      </c>
      <c r="AN168" s="82">
        <f t="shared" si="58"/>
        <v>0</v>
      </c>
      <c r="AO168" s="48">
        <f>0</f>
        <v>0</v>
      </c>
      <c r="AP168" s="91">
        <f t="shared" si="68"/>
        <v>-442.19795019052344</v>
      </c>
      <c r="AQ168" s="91">
        <f t="shared" si="69"/>
        <v>-442.19795019052344</v>
      </c>
      <c r="AV168" s="84"/>
    </row>
    <row r="169" spans="1:48">
      <c r="A169" s="190">
        <f t="shared" si="59"/>
        <v>73.304243668720048</v>
      </c>
      <c r="B169" s="82">
        <f t="shared" si="60"/>
        <v>8</v>
      </c>
      <c r="C169" s="83">
        <f t="shared" si="61"/>
        <v>91</v>
      </c>
      <c r="D169" s="14">
        <f t="shared" si="48"/>
        <v>4.8675505653430484E-3</v>
      </c>
      <c r="E169" s="16">
        <f t="shared" si="49"/>
        <v>0</v>
      </c>
      <c r="F169" s="127"/>
      <c r="G169" s="88">
        <f t="shared" si="50"/>
        <v>0</v>
      </c>
      <c r="H169" s="89">
        <f t="shared" si="62"/>
        <v>4.1666666666666666E-3</v>
      </c>
      <c r="I169" s="219"/>
      <c r="J169" s="219"/>
      <c r="K169" s="6">
        <f t="shared" si="70"/>
        <v>100297.77288061861</v>
      </c>
      <c r="M169" s="6">
        <f t="shared" si="51"/>
        <v>488.20448108770375</v>
      </c>
      <c r="N169" s="6">
        <f t="shared" si="63"/>
        <v>-113.6015977928742</v>
      </c>
      <c r="O169" s="90">
        <f t="shared" si="52"/>
        <v>382.89522254975992</v>
      </c>
      <c r="P169" s="91">
        <f t="shared" si="53"/>
        <v>0</v>
      </c>
      <c r="Q169" s="6">
        <f t="shared" si="54"/>
        <v>419.46823234963927</v>
      </c>
      <c r="R169" s="87">
        <f t="shared" si="73"/>
        <v>-442.00014554524745</v>
      </c>
      <c r="S169" s="6">
        <f t="shared" si="55"/>
        <v>-20.912321666964363</v>
      </c>
      <c r="T169" s="83">
        <f t="shared" si="64"/>
        <v>0</v>
      </c>
      <c r="U169" s="91">
        <f t="shared" si="71"/>
        <v>113177.7684878677</v>
      </c>
      <c r="V169" s="91">
        <f t="shared" si="65"/>
        <v>550.89851098738507</v>
      </c>
      <c r="W169" s="1">
        <f t="shared" ref="W169:AH178" si="76">IF($B169&lt;=W$78,1,0)</f>
        <v>0</v>
      </c>
      <c r="X169" s="1">
        <f t="shared" si="76"/>
        <v>0</v>
      </c>
      <c r="Y169" s="1">
        <f t="shared" si="76"/>
        <v>0</v>
      </c>
      <c r="Z169" s="1">
        <f t="shared" si="76"/>
        <v>0</v>
      </c>
      <c r="AA169" s="1">
        <f t="shared" si="76"/>
        <v>0</v>
      </c>
      <c r="AB169" s="1">
        <f t="shared" si="76"/>
        <v>1</v>
      </c>
      <c r="AC169" s="1">
        <f t="shared" si="76"/>
        <v>1</v>
      </c>
      <c r="AD169" s="1">
        <f t="shared" si="76"/>
        <v>1</v>
      </c>
      <c r="AE169" s="1">
        <f t="shared" si="76"/>
        <v>1</v>
      </c>
      <c r="AF169" s="1">
        <f t="shared" si="76"/>
        <v>1</v>
      </c>
      <c r="AG169" s="1">
        <f t="shared" si="76"/>
        <v>1</v>
      </c>
      <c r="AH169" s="1">
        <f t="shared" si="76"/>
        <v>1</v>
      </c>
      <c r="AI169" s="44">
        <f t="shared" si="66"/>
        <v>100230.37561836818</v>
      </c>
      <c r="AJ169" s="44">
        <f t="shared" si="56"/>
        <v>100672.37576391343</v>
      </c>
      <c r="AK169" s="44" t="str">
        <f t="shared" si="74"/>
        <v>N</v>
      </c>
      <c r="AL169" s="4">
        <f t="shared" si="57"/>
        <v>91</v>
      </c>
      <c r="AM169" s="82">
        <f t="shared" si="67"/>
        <v>0</v>
      </c>
      <c r="AN169" s="82">
        <f t="shared" si="58"/>
        <v>0</v>
      </c>
      <c r="AO169" s="48">
        <f>0</f>
        <v>0</v>
      </c>
      <c r="AP169" s="91">
        <f t="shared" si="68"/>
        <v>-442.00014554524745</v>
      </c>
      <c r="AQ169" s="91">
        <f t="shared" si="69"/>
        <v>-442.00014554524745</v>
      </c>
      <c r="AV169" s="84"/>
    </row>
    <row r="170" spans="1:48">
      <c r="A170" s="190">
        <f t="shared" si="59"/>
        <v>73.387577002053376</v>
      </c>
      <c r="B170" s="82">
        <f t="shared" si="60"/>
        <v>8</v>
      </c>
      <c r="C170" s="83">
        <f t="shared" si="61"/>
        <v>92</v>
      </c>
      <c r="D170" s="14">
        <f t="shared" si="48"/>
        <v>4.8675505653430484E-3</v>
      </c>
      <c r="E170" s="16">
        <f t="shared" si="49"/>
        <v>0</v>
      </c>
      <c r="F170" s="127"/>
      <c r="G170" s="88">
        <f t="shared" si="50"/>
        <v>0</v>
      </c>
      <c r="H170" s="89">
        <f t="shared" si="62"/>
        <v>4.1666666666666666E-3</v>
      </c>
      <c r="I170" s="219"/>
      <c r="J170" s="219"/>
      <c r="K170" s="6">
        <f t="shared" si="70"/>
        <v>100230.37561836818</v>
      </c>
      <c r="M170" s="6">
        <f t="shared" si="51"/>
        <v>487.87642150573413</v>
      </c>
      <c r="N170" s="6">
        <f t="shared" si="63"/>
        <v>-113.52526073713889</v>
      </c>
      <c r="O170" s="90">
        <f t="shared" si="52"/>
        <v>382.89522254975992</v>
      </c>
      <c r="P170" s="91">
        <f t="shared" si="53"/>
        <v>0</v>
      </c>
      <c r="Q170" s="6">
        <f t="shared" si="54"/>
        <v>419.18636157973657</v>
      </c>
      <c r="R170" s="87">
        <f t="shared" si="73"/>
        <v>-441.80242938223984</v>
      </c>
      <c r="S170" s="6">
        <f t="shared" si="55"/>
        <v>-20.898258824042532</v>
      </c>
      <c r="T170" s="83">
        <f t="shared" si="64"/>
        <v>0</v>
      </c>
      <c r="U170" s="91">
        <f t="shared" si="71"/>
        <v>113286.66685330984</v>
      </c>
      <c r="V170" s="91">
        <f t="shared" si="65"/>
        <v>551.42857928765795</v>
      </c>
      <c r="W170" s="1">
        <f t="shared" si="76"/>
        <v>0</v>
      </c>
      <c r="X170" s="1">
        <f t="shared" si="76"/>
        <v>0</v>
      </c>
      <c r="Y170" s="1">
        <f t="shared" si="76"/>
        <v>0</v>
      </c>
      <c r="Z170" s="1">
        <f t="shared" si="76"/>
        <v>0</v>
      </c>
      <c r="AA170" s="1">
        <f t="shared" si="76"/>
        <v>0</v>
      </c>
      <c r="AB170" s="1">
        <f t="shared" si="76"/>
        <v>1</v>
      </c>
      <c r="AC170" s="1">
        <f t="shared" si="76"/>
        <v>1</v>
      </c>
      <c r="AD170" s="1">
        <f t="shared" si="76"/>
        <v>1</v>
      </c>
      <c r="AE170" s="1">
        <f t="shared" si="76"/>
        <v>1</v>
      </c>
      <c r="AF170" s="1">
        <f t="shared" si="76"/>
        <v>1</v>
      </c>
      <c r="AG170" s="1">
        <f t="shared" si="76"/>
        <v>1</v>
      </c>
      <c r="AH170" s="1">
        <f t="shared" si="76"/>
        <v>1</v>
      </c>
      <c r="AI170" s="44">
        <f t="shared" si="66"/>
        <v>100162.92434975454</v>
      </c>
      <c r="AJ170" s="44">
        <f t="shared" si="56"/>
        <v>100604.72677913678</v>
      </c>
      <c r="AK170" s="44" t="str">
        <f t="shared" si="74"/>
        <v>N</v>
      </c>
      <c r="AL170" s="4">
        <f t="shared" si="57"/>
        <v>92</v>
      </c>
      <c r="AM170" s="82">
        <f t="shared" si="67"/>
        <v>0</v>
      </c>
      <c r="AN170" s="82">
        <f t="shared" si="58"/>
        <v>0</v>
      </c>
      <c r="AO170" s="48">
        <f>0</f>
        <v>0</v>
      </c>
      <c r="AP170" s="91">
        <f t="shared" si="68"/>
        <v>-441.80242938223984</v>
      </c>
      <c r="AQ170" s="91">
        <f t="shared" si="69"/>
        <v>-441.80242938223984</v>
      </c>
      <c r="AV170" s="84"/>
    </row>
    <row r="171" spans="1:48">
      <c r="A171" s="190">
        <f t="shared" si="59"/>
        <v>73.470910335386719</v>
      </c>
      <c r="B171" s="82">
        <f t="shared" si="60"/>
        <v>8</v>
      </c>
      <c r="C171" s="83">
        <f t="shared" si="61"/>
        <v>93</v>
      </c>
      <c r="D171" s="14">
        <f t="shared" si="48"/>
        <v>4.8675505653430484E-3</v>
      </c>
      <c r="E171" s="16">
        <f t="shared" si="49"/>
        <v>0</v>
      </c>
      <c r="F171" s="127"/>
      <c r="G171" s="88">
        <f t="shared" si="50"/>
        <v>0</v>
      </c>
      <c r="H171" s="89">
        <f t="shared" si="62"/>
        <v>4.1666666666666666E-3</v>
      </c>
      <c r="I171" s="219"/>
      <c r="J171" s="219"/>
      <c r="K171" s="6">
        <f t="shared" si="70"/>
        <v>100162.92434975454</v>
      </c>
      <c r="M171" s="6">
        <f t="shared" si="51"/>
        <v>487.54809904506072</v>
      </c>
      <c r="N171" s="6">
        <f t="shared" si="63"/>
        <v>-113.44886251145958</v>
      </c>
      <c r="O171" s="90">
        <f t="shared" si="52"/>
        <v>382.89522254975992</v>
      </c>
      <c r="P171" s="91">
        <f t="shared" si="53"/>
        <v>0</v>
      </c>
      <c r="Q171" s="6">
        <f t="shared" si="54"/>
        <v>418.90426494286726</v>
      </c>
      <c r="R171" s="87">
        <f t="shared" si="73"/>
        <v>-441.60480166192053</v>
      </c>
      <c r="S171" s="6">
        <f t="shared" si="55"/>
        <v>-20.88418468662346</v>
      </c>
      <c r="T171" s="83">
        <f t="shared" si="64"/>
        <v>0</v>
      </c>
      <c r="U171" s="91">
        <f t="shared" si="71"/>
        <v>113396.29300321527</v>
      </c>
      <c r="V171" s="91">
        <f t="shared" si="65"/>
        <v>551.9621901156064</v>
      </c>
      <c r="W171" s="1">
        <f t="shared" si="76"/>
        <v>0</v>
      </c>
      <c r="X171" s="1">
        <f t="shared" si="76"/>
        <v>0</v>
      </c>
      <c r="Y171" s="1">
        <f t="shared" si="76"/>
        <v>0</v>
      </c>
      <c r="Z171" s="1">
        <f t="shared" si="76"/>
        <v>0</v>
      </c>
      <c r="AA171" s="1">
        <f t="shared" si="76"/>
        <v>0</v>
      </c>
      <c r="AB171" s="1">
        <f t="shared" si="76"/>
        <v>1</v>
      </c>
      <c r="AC171" s="1">
        <f t="shared" si="76"/>
        <v>1</v>
      </c>
      <c r="AD171" s="1">
        <f t="shared" si="76"/>
        <v>1</v>
      </c>
      <c r="AE171" s="1">
        <f t="shared" si="76"/>
        <v>1</v>
      </c>
      <c r="AF171" s="1">
        <f t="shared" si="76"/>
        <v>1</v>
      </c>
      <c r="AG171" s="1">
        <f t="shared" si="76"/>
        <v>1</v>
      </c>
      <c r="AH171" s="1">
        <f t="shared" si="76"/>
        <v>1</v>
      </c>
      <c r="AI171" s="44">
        <f t="shared" si="66"/>
        <v>100095.41878462622</v>
      </c>
      <c r="AJ171" s="44">
        <f t="shared" si="56"/>
        <v>100537.02358628814</v>
      </c>
      <c r="AK171" s="44" t="str">
        <f t="shared" si="74"/>
        <v>N</v>
      </c>
      <c r="AL171" s="4">
        <f t="shared" si="57"/>
        <v>93</v>
      </c>
      <c r="AM171" s="82">
        <f t="shared" si="67"/>
        <v>0</v>
      </c>
      <c r="AN171" s="82">
        <f t="shared" si="58"/>
        <v>0</v>
      </c>
      <c r="AO171" s="48">
        <f>0</f>
        <v>0</v>
      </c>
      <c r="AP171" s="91">
        <f t="shared" si="68"/>
        <v>-441.60480166192053</v>
      </c>
      <c r="AQ171" s="91">
        <f t="shared" si="69"/>
        <v>-441.60480166192053</v>
      </c>
      <c r="AV171" s="84"/>
    </row>
    <row r="172" spans="1:48">
      <c r="A172" s="190">
        <f t="shared" si="59"/>
        <v>73.554243668720048</v>
      </c>
      <c r="B172" s="82">
        <f t="shared" si="60"/>
        <v>8</v>
      </c>
      <c r="C172" s="83">
        <f t="shared" si="61"/>
        <v>94</v>
      </c>
      <c r="D172" s="14">
        <f t="shared" si="48"/>
        <v>4.8675505653430484E-3</v>
      </c>
      <c r="E172" s="16">
        <f t="shared" si="49"/>
        <v>0</v>
      </c>
      <c r="F172" s="127"/>
      <c r="G172" s="88">
        <f t="shared" si="50"/>
        <v>0</v>
      </c>
      <c r="H172" s="89">
        <f t="shared" si="62"/>
        <v>4.1666666666666666E-3</v>
      </c>
      <c r="I172" s="219"/>
      <c r="J172" s="219"/>
      <c r="K172" s="6">
        <f t="shared" si="70"/>
        <v>100095.41878462622</v>
      </c>
      <c r="M172" s="6">
        <f t="shared" si="51"/>
        <v>487.21951229335656</v>
      </c>
      <c r="N172" s="6">
        <f t="shared" si="63"/>
        <v>-113.37240278719815</v>
      </c>
      <c r="O172" s="90">
        <f t="shared" si="52"/>
        <v>382.89522254975992</v>
      </c>
      <c r="P172" s="91">
        <f t="shared" si="53"/>
        <v>0</v>
      </c>
      <c r="Q172" s="6">
        <f t="shared" si="54"/>
        <v>418.62194122555161</v>
      </c>
      <c r="R172" s="87">
        <f t="shared" si="73"/>
        <v>-441.4072623447272</v>
      </c>
      <c r="S172" s="6">
        <f t="shared" si="55"/>
        <v>-20.870099194080662</v>
      </c>
      <c r="T172" s="83">
        <f t="shared" si="64"/>
        <v>0</v>
      </c>
      <c r="U172" s="91">
        <f t="shared" si="71"/>
        <v>113506.65039166895</v>
      </c>
      <c r="V172" s="91">
        <f t="shared" si="65"/>
        <v>552.49936028416391</v>
      </c>
      <c r="W172" s="1">
        <f t="shared" si="76"/>
        <v>0</v>
      </c>
      <c r="X172" s="1">
        <f t="shared" si="76"/>
        <v>0</v>
      </c>
      <c r="Y172" s="1">
        <f t="shared" si="76"/>
        <v>0</v>
      </c>
      <c r="Z172" s="1">
        <f t="shared" si="76"/>
        <v>0</v>
      </c>
      <c r="AA172" s="1">
        <f t="shared" si="76"/>
        <v>0</v>
      </c>
      <c r="AB172" s="1">
        <f t="shared" si="76"/>
        <v>1</v>
      </c>
      <c r="AC172" s="1">
        <f t="shared" si="76"/>
        <v>1</v>
      </c>
      <c r="AD172" s="1">
        <f t="shared" si="76"/>
        <v>1</v>
      </c>
      <c r="AE172" s="1">
        <f t="shared" si="76"/>
        <v>1</v>
      </c>
      <c r="AF172" s="1">
        <f t="shared" si="76"/>
        <v>1</v>
      </c>
      <c r="AG172" s="1">
        <f t="shared" si="76"/>
        <v>1</v>
      </c>
      <c r="AH172" s="1">
        <f t="shared" si="76"/>
        <v>1</v>
      </c>
      <c r="AI172" s="44">
        <f t="shared" si="66"/>
        <v>100027.85863178766</v>
      </c>
      <c r="AJ172" s="44">
        <f t="shared" si="56"/>
        <v>100469.26589413239</v>
      </c>
      <c r="AK172" s="44" t="str">
        <f t="shared" si="74"/>
        <v>N</v>
      </c>
      <c r="AL172" s="4">
        <f t="shared" si="57"/>
        <v>94</v>
      </c>
      <c r="AM172" s="82">
        <f t="shared" si="67"/>
        <v>0</v>
      </c>
      <c r="AN172" s="82">
        <f t="shared" si="58"/>
        <v>0</v>
      </c>
      <c r="AO172" s="48">
        <f>0</f>
        <v>0</v>
      </c>
      <c r="AP172" s="91">
        <f t="shared" si="68"/>
        <v>-441.4072623447272</v>
      </c>
      <c r="AQ172" s="91">
        <f t="shared" si="69"/>
        <v>-441.4072623447272</v>
      </c>
      <c r="AV172" s="84"/>
    </row>
    <row r="173" spans="1:48">
      <c r="A173" s="190">
        <f t="shared" si="59"/>
        <v>73.637577002053376</v>
      </c>
      <c r="B173" s="82">
        <f t="shared" si="60"/>
        <v>8</v>
      </c>
      <c r="C173" s="83">
        <f t="shared" si="61"/>
        <v>95</v>
      </c>
      <c r="D173" s="14">
        <f t="shared" si="48"/>
        <v>4.8675505653430484E-3</v>
      </c>
      <c r="E173" s="16">
        <f t="shared" si="49"/>
        <v>0</v>
      </c>
      <c r="F173" s="127"/>
      <c r="G173" s="88">
        <f t="shared" si="50"/>
        <v>0</v>
      </c>
      <c r="H173" s="89">
        <f t="shared" si="62"/>
        <v>4.1666666666666666E-3</v>
      </c>
      <c r="I173" s="219"/>
      <c r="J173" s="219"/>
      <c r="K173" s="6">
        <f t="shared" si="70"/>
        <v>100027.85863178766</v>
      </c>
      <c r="M173" s="6">
        <f t="shared" si="51"/>
        <v>486.89065983321257</v>
      </c>
      <c r="N173" s="6">
        <f t="shared" si="63"/>
        <v>-113.29588123453391</v>
      </c>
      <c r="O173" s="90">
        <f t="shared" si="52"/>
        <v>382.89522254975992</v>
      </c>
      <c r="P173" s="91">
        <f t="shared" si="53"/>
        <v>0</v>
      </c>
      <c r="Q173" s="6">
        <f t="shared" si="54"/>
        <v>418.33938920994308</v>
      </c>
      <c r="R173" s="87">
        <f t="shared" si="73"/>
        <v>-441.20981139111535</v>
      </c>
      <c r="S173" s="6">
        <f t="shared" si="55"/>
        <v>-20.856002285569485</v>
      </c>
      <c r="T173" s="83">
        <f t="shared" si="64"/>
        <v>0</v>
      </c>
      <c r="U173" s="91">
        <f t="shared" si="71"/>
        <v>113617.74248960838</v>
      </c>
      <c r="V173" s="91">
        <f t="shared" si="65"/>
        <v>553.04010668829414</v>
      </c>
      <c r="W173" s="1">
        <f t="shared" si="76"/>
        <v>0</v>
      </c>
      <c r="X173" s="1">
        <f t="shared" si="76"/>
        <v>0</v>
      </c>
      <c r="Y173" s="1">
        <f t="shared" si="76"/>
        <v>0</v>
      </c>
      <c r="Z173" s="1">
        <f t="shared" si="76"/>
        <v>0</v>
      </c>
      <c r="AA173" s="1">
        <f t="shared" si="76"/>
        <v>0</v>
      </c>
      <c r="AB173" s="1">
        <f t="shared" si="76"/>
        <v>1</v>
      </c>
      <c r="AC173" s="1">
        <f t="shared" si="76"/>
        <v>1</v>
      </c>
      <c r="AD173" s="1">
        <f t="shared" si="76"/>
        <v>1</v>
      </c>
      <c r="AE173" s="1">
        <f t="shared" si="76"/>
        <v>1</v>
      </c>
      <c r="AF173" s="1">
        <f t="shared" si="76"/>
        <v>1</v>
      </c>
      <c r="AG173" s="1">
        <f t="shared" si="76"/>
        <v>1</v>
      </c>
      <c r="AH173" s="1">
        <f t="shared" si="76"/>
        <v>1</v>
      </c>
      <c r="AI173" s="44">
        <f t="shared" si="66"/>
        <v>99960.243598995221</v>
      </c>
      <c r="AJ173" s="44">
        <f t="shared" si="56"/>
        <v>100401.45341038634</v>
      </c>
      <c r="AK173" s="44" t="str">
        <f t="shared" si="74"/>
        <v>N</v>
      </c>
      <c r="AL173" s="4">
        <f t="shared" si="57"/>
        <v>95</v>
      </c>
      <c r="AM173" s="82">
        <f t="shared" si="67"/>
        <v>0</v>
      </c>
      <c r="AN173" s="82">
        <f t="shared" si="58"/>
        <v>0</v>
      </c>
      <c r="AO173" s="48">
        <f>0</f>
        <v>0</v>
      </c>
      <c r="AP173" s="91">
        <f t="shared" si="68"/>
        <v>-441.20981139111535</v>
      </c>
      <c r="AQ173" s="91">
        <f t="shared" si="69"/>
        <v>-441.20981139111535</v>
      </c>
      <c r="AV173" s="84"/>
    </row>
    <row r="174" spans="1:48">
      <c r="A174" s="190">
        <f t="shared" si="59"/>
        <v>73.720910335386719</v>
      </c>
      <c r="B174" s="82">
        <f t="shared" si="60"/>
        <v>8</v>
      </c>
      <c r="C174" s="83">
        <f t="shared" si="61"/>
        <v>96</v>
      </c>
      <c r="D174" s="14">
        <f t="shared" si="48"/>
        <v>4.8675505653430484E-3</v>
      </c>
      <c r="E174" s="16">
        <f t="shared" si="49"/>
        <v>0</v>
      </c>
      <c r="F174" s="127"/>
      <c r="G174" s="88">
        <f t="shared" si="50"/>
        <v>0</v>
      </c>
      <c r="H174" s="89">
        <f t="shared" si="62"/>
        <v>4.1666666666666666E-3</v>
      </c>
      <c r="I174" s="219"/>
      <c r="J174" s="219"/>
      <c r="K174" s="6">
        <f t="shared" si="70"/>
        <v>99960.243598995221</v>
      </c>
      <c r="M174" s="6">
        <f t="shared" si="51"/>
        <v>486.56154024211804</v>
      </c>
      <c r="N174" s="6">
        <f t="shared" si="63"/>
        <v>-113.21929752245904</v>
      </c>
      <c r="O174" s="90">
        <f t="shared" si="52"/>
        <v>382.89522254975992</v>
      </c>
      <c r="P174" s="91">
        <f t="shared" si="53"/>
        <v>0</v>
      </c>
      <c r="Q174" s="6">
        <f t="shared" si="54"/>
        <v>418.05660767381204</v>
      </c>
      <c r="R174" s="87">
        <f t="shared" si="73"/>
        <v>-441.01244876155795</v>
      </c>
      <c r="S174" s="6">
        <f t="shared" si="55"/>
        <v>-20.841893900026243</v>
      </c>
      <c r="T174" s="83">
        <f t="shared" si="64"/>
        <v>0</v>
      </c>
      <c r="U174" s="91">
        <f t="shared" si="71"/>
        <v>113729.57278490555</v>
      </c>
      <c r="V174" s="91">
        <f t="shared" si="65"/>
        <v>553.58444630539043</v>
      </c>
      <c r="W174" s="1">
        <f t="shared" si="76"/>
        <v>0</v>
      </c>
      <c r="X174" s="1">
        <f t="shared" si="76"/>
        <v>0</v>
      </c>
      <c r="Y174" s="1">
        <f t="shared" si="76"/>
        <v>0</v>
      </c>
      <c r="Z174" s="1">
        <f t="shared" si="76"/>
        <v>0</v>
      </c>
      <c r="AA174" s="1">
        <f t="shared" si="76"/>
        <v>0</v>
      </c>
      <c r="AB174" s="1">
        <f t="shared" si="76"/>
        <v>1</v>
      </c>
      <c r="AC174" s="1">
        <f t="shared" si="76"/>
        <v>1</v>
      </c>
      <c r="AD174" s="1">
        <f t="shared" si="76"/>
        <v>1</v>
      </c>
      <c r="AE174" s="1">
        <f t="shared" si="76"/>
        <v>1</v>
      </c>
      <c r="AF174" s="1">
        <f t="shared" si="76"/>
        <v>1</v>
      </c>
      <c r="AG174" s="1">
        <f t="shared" si="76"/>
        <v>1</v>
      </c>
      <c r="AH174" s="1">
        <f t="shared" si="76"/>
        <v>1</v>
      </c>
      <c r="AI174" s="44">
        <f t="shared" si="66"/>
        <v>99892.573392953331</v>
      </c>
      <c r="AJ174" s="44">
        <f t="shared" si="56"/>
        <v>100333.58584171488</v>
      </c>
      <c r="AK174" s="44" t="str">
        <f t="shared" si="74"/>
        <v>N</v>
      </c>
      <c r="AL174" s="4">
        <f t="shared" si="57"/>
        <v>96</v>
      </c>
      <c r="AM174" s="82">
        <f t="shared" si="67"/>
        <v>0</v>
      </c>
      <c r="AN174" s="82">
        <f t="shared" si="58"/>
        <v>0</v>
      </c>
      <c r="AO174" s="48">
        <f>0</f>
        <v>0</v>
      </c>
      <c r="AP174" s="91">
        <f t="shared" si="68"/>
        <v>-441.01244876155795</v>
      </c>
      <c r="AQ174" s="91">
        <f t="shared" si="69"/>
        <v>-441.01244876155795</v>
      </c>
      <c r="AV174" s="84"/>
    </row>
    <row r="175" spans="1:48">
      <c r="A175" s="190">
        <f t="shared" si="59"/>
        <v>73.804243668720048</v>
      </c>
      <c r="B175" s="82">
        <f t="shared" si="60"/>
        <v>9</v>
      </c>
      <c r="C175" s="83">
        <f t="shared" si="61"/>
        <v>97</v>
      </c>
      <c r="D175" s="14">
        <f t="shared" si="48"/>
        <v>4.8675505653430484E-3</v>
      </c>
      <c r="E175" s="16">
        <f t="shared" si="49"/>
        <v>0</v>
      </c>
      <c r="F175" s="127"/>
      <c r="G175" s="88">
        <f t="shared" si="50"/>
        <v>0</v>
      </c>
      <c r="H175" s="89">
        <f t="shared" si="62"/>
        <v>4.1666666666666666E-3</v>
      </c>
      <c r="I175" s="219"/>
      <c r="J175" s="219"/>
      <c r="K175" s="6">
        <f t="shared" si="70"/>
        <v>99892.573392953331</v>
      </c>
      <c r="M175" s="6">
        <f t="shared" si="51"/>
        <v>486.23215209244194</v>
      </c>
      <c r="N175" s="6">
        <f t="shared" si="63"/>
        <v>-113.14265131877433</v>
      </c>
      <c r="O175" s="90">
        <f t="shared" si="52"/>
        <v>390.55312700075513</v>
      </c>
      <c r="P175" s="91">
        <f t="shared" si="53"/>
        <v>0</v>
      </c>
      <c r="Q175" s="6">
        <f t="shared" si="54"/>
        <v>417.77359539052918</v>
      </c>
      <c r="R175" s="87">
        <f t="shared" si="73"/>
        <v>-440.8151744165458</v>
      </c>
      <c r="S175" s="6">
        <f t="shared" si="55"/>
        <v>-20.827773976167457</v>
      </c>
      <c r="T175" s="83">
        <f t="shared" si="64"/>
        <v>0</v>
      </c>
      <c r="U175" s="91">
        <f t="shared" si="71"/>
        <v>113842.1447824494</v>
      </c>
      <c r="V175" s="91">
        <f t="shared" si="65"/>
        <v>554.13239619567673</v>
      </c>
      <c r="W175" s="1">
        <f t="shared" si="76"/>
        <v>0</v>
      </c>
      <c r="X175" s="1">
        <f t="shared" si="76"/>
        <v>0</v>
      </c>
      <c r="Y175" s="1">
        <f t="shared" si="76"/>
        <v>0</v>
      </c>
      <c r="Z175" s="1">
        <f t="shared" si="76"/>
        <v>0</v>
      </c>
      <c r="AA175" s="1">
        <f t="shared" si="76"/>
        <v>0</v>
      </c>
      <c r="AB175" s="1">
        <f t="shared" si="76"/>
        <v>1</v>
      </c>
      <c r="AC175" s="1">
        <f t="shared" si="76"/>
        <v>1</v>
      </c>
      <c r="AD175" s="1">
        <f t="shared" si="76"/>
        <v>1</v>
      </c>
      <c r="AE175" s="1">
        <f t="shared" si="76"/>
        <v>1</v>
      </c>
      <c r="AF175" s="1">
        <f t="shared" si="76"/>
        <v>1</v>
      </c>
      <c r="AG175" s="1">
        <f t="shared" si="76"/>
        <v>1</v>
      </c>
      <c r="AH175" s="1">
        <f t="shared" si="76"/>
        <v>1</v>
      </c>
      <c r="AI175" s="44">
        <f t="shared" si="66"/>
        <v>99824.847719310448</v>
      </c>
      <c r="AJ175" s="44">
        <f t="shared" si="56"/>
        <v>100265.662893727</v>
      </c>
      <c r="AK175" s="44" t="str">
        <f t="shared" si="74"/>
        <v>N</v>
      </c>
      <c r="AL175" s="4">
        <f t="shared" si="57"/>
        <v>97</v>
      </c>
      <c r="AM175" s="82">
        <f t="shared" si="67"/>
        <v>0</v>
      </c>
      <c r="AN175" s="82">
        <f t="shared" si="58"/>
        <v>0</v>
      </c>
      <c r="AO175" s="48">
        <f>0</f>
        <v>0</v>
      </c>
      <c r="AP175" s="91">
        <f t="shared" si="68"/>
        <v>-440.8151744165458</v>
      </c>
      <c r="AQ175" s="91">
        <f t="shared" si="69"/>
        <v>-440.8151744165458</v>
      </c>
      <c r="AV175" s="84"/>
    </row>
    <row r="176" spans="1:48">
      <c r="A176" s="190">
        <f t="shared" si="59"/>
        <v>73.887577002053376</v>
      </c>
      <c r="B176" s="82">
        <f t="shared" si="60"/>
        <v>9</v>
      </c>
      <c r="C176" s="83">
        <f t="shared" si="61"/>
        <v>98</v>
      </c>
      <c r="D176" s="14">
        <f t="shared" si="48"/>
        <v>4.8675505653430484E-3</v>
      </c>
      <c r="E176" s="16">
        <f t="shared" si="49"/>
        <v>0</v>
      </c>
      <c r="F176" s="127"/>
      <c r="G176" s="88">
        <f t="shared" si="50"/>
        <v>0</v>
      </c>
      <c r="H176" s="89">
        <f t="shared" si="62"/>
        <v>4.1666666666666666E-3</v>
      </c>
      <c r="I176" s="219"/>
      <c r="J176" s="219"/>
      <c r="K176" s="6">
        <f t="shared" si="70"/>
        <v>99824.847719310448</v>
      </c>
      <c r="M176" s="6">
        <f t="shared" si="51"/>
        <v>485.90249395141331</v>
      </c>
      <c r="N176" s="6">
        <f t="shared" si="63"/>
        <v>-113.06594229008444</v>
      </c>
      <c r="O176" s="90">
        <f t="shared" si="52"/>
        <v>390.55312700075513</v>
      </c>
      <c r="P176" s="91">
        <f t="shared" si="53"/>
        <v>0</v>
      </c>
      <c r="Q176" s="6">
        <f t="shared" si="54"/>
        <v>417.49035112904909</v>
      </c>
      <c r="R176" s="87">
        <f t="shared" si="73"/>
        <v>-440.6179883165874</v>
      </c>
      <c r="S176" s="6">
        <f t="shared" si="55"/>
        <v>-20.813642452488974</v>
      </c>
      <c r="T176" s="83">
        <f t="shared" si="64"/>
        <v>0</v>
      </c>
      <c r="U176" s="91">
        <f t="shared" si="71"/>
        <v>113955.46200422852</v>
      </c>
      <c r="V176" s="91">
        <f t="shared" si="65"/>
        <v>554.6839735026108</v>
      </c>
      <c r="W176" s="1">
        <f t="shared" si="76"/>
        <v>0</v>
      </c>
      <c r="X176" s="1">
        <f t="shared" si="76"/>
        <v>0</v>
      </c>
      <c r="Y176" s="1">
        <f t="shared" si="76"/>
        <v>0</v>
      </c>
      <c r="Z176" s="1">
        <f t="shared" si="76"/>
        <v>0</v>
      </c>
      <c r="AA176" s="1">
        <f t="shared" si="76"/>
        <v>0</v>
      </c>
      <c r="AB176" s="1">
        <f t="shared" si="76"/>
        <v>1</v>
      </c>
      <c r="AC176" s="1">
        <f t="shared" si="76"/>
        <v>1</v>
      </c>
      <c r="AD176" s="1">
        <f t="shared" si="76"/>
        <v>1</v>
      </c>
      <c r="AE176" s="1">
        <f t="shared" si="76"/>
        <v>1</v>
      </c>
      <c r="AF176" s="1">
        <f t="shared" si="76"/>
        <v>1</v>
      </c>
      <c r="AG176" s="1">
        <f t="shared" si="76"/>
        <v>1</v>
      </c>
      <c r="AH176" s="1">
        <f t="shared" si="76"/>
        <v>1</v>
      </c>
      <c r="AI176" s="44">
        <f t="shared" si="66"/>
        <v>99757.0662826552</v>
      </c>
      <c r="AJ176" s="44">
        <f t="shared" si="56"/>
        <v>100197.68427097179</v>
      </c>
      <c r="AK176" s="44" t="str">
        <f t="shared" si="74"/>
        <v>N</v>
      </c>
      <c r="AL176" s="4">
        <f t="shared" si="57"/>
        <v>98</v>
      </c>
      <c r="AM176" s="82">
        <f t="shared" si="67"/>
        <v>0</v>
      </c>
      <c r="AN176" s="82">
        <f t="shared" si="58"/>
        <v>0</v>
      </c>
      <c r="AO176" s="48">
        <f>0</f>
        <v>0</v>
      </c>
      <c r="AP176" s="91">
        <f t="shared" si="68"/>
        <v>-440.6179883165874</v>
      </c>
      <c r="AQ176" s="91">
        <f t="shared" si="69"/>
        <v>-440.6179883165874</v>
      </c>
      <c r="AV176" s="84"/>
    </row>
    <row r="177" spans="1:48">
      <c r="A177" s="190">
        <f t="shared" si="59"/>
        <v>73.970910335386719</v>
      </c>
      <c r="B177" s="82">
        <f t="shared" si="60"/>
        <v>9</v>
      </c>
      <c r="C177" s="83">
        <f t="shared" si="61"/>
        <v>99</v>
      </c>
      <c r="D177" s="14">
        <f t="shared" si="48"/>
        <v>4.8675505653430484E-3</v>
      </c>
      <c r="E177" s="16">
        <f t="shared" si="49"/>
        <v>0</v>
      </c>
      <c r="F177" s="127"/>
      <c r="G177" s="88">
        <f t="shared" si="50"/>
        <v>0</v>
      </c>
      <c r="H177" s="89">
        <f t="shared" si="62"/>
        <v>4.1666666666666666E-3</v>
      </c>
      <c r="I177" s="219"/>
      <c r="J177" s="219"/>
      <c r="K177" s="6">
        <f t="shared" si="70"/>
        <v>99757.0662826552</v>
      </c>
      <c r="M177" s="6">
        <f t="shared" si="51"/>
        <v>485.57256438110227</v>
      </c>
      <c r="N177" s="6">
        <f t="shared" si="63"/>
        <v>-112.98917010179372</v>
      </c>
      <c r="O177" s="90">
        <f t="shared" si="52"/>
        <v>390.55312700075513</v>
      </c>
      <c r="P177" s="91">
        <f t="shared" si="53"/>
        <v>0</v>
      </c>
      <c r="Q177" s="6">
        <f t="shared" si="54"/>
        <v>417.20687365389381</v>
      </c>
      <c r="R177" s="87">
        <f t="shared" si="73"/>
        <v>-440.42089042220863</v>
      </c>
      <c r="S177" s="6">
        <f t="shared" si="55"/>
        <v>-20.799499267265183</v>
      </c>
      <c r="T177" s="83">
        <f t="shared" si="64"/>
        <v>0</v>
      </c>
      <c r="U177" s="91">
        <f t="shared" si="71"/>
        <v>114069.52798941455</v>
      </c>
      <c r="V177" s="91">
        <f t="shared" si="65"/>
        <v>555.23919545328943</v>
      </c>
      <c r="W177" s="1">
        <f t="shared" si="76"/>
        <v>0</v>
      </c>
      <c r="X177" s="1">
        <f t="shared" si="76"/>
        <v>0</v>
      </c>
      <c r="Y177" s="1">
        <f t="shared" si="76"/>
        <v>0</v>
      </c>
      <c r="Z177" s="1">
        <f t="shared" si="76"/>
        <v>0</v>
      </c>
      <c r="AA177" s="1">
        <f t="shared" si="76"/>
        <v>0</v>
      </c>
      <c r="AB177" s="1">
        <f t="shared" si="76"/>
        <v>1</v>
      </c>
      <c r="AC177" s="1">
        <f t="shared" si="76"/>
        <v>1</v>
      </c>
      <c r="AD177" s="1">
        <f t="shared" si="76"/>
        <v>1</v>
      </c>
      <c r="AE177" s="1">
        <f t="shared" si="76"/>
        <v>1</v>
      </c>
      <c r="AF177" s="1">
        <f t="shared" si="76"/>
        <v>1</v>
      </c>
      <c r="AG177" s="1">
        <f t="shared" si="76"/>
        <v>1</v>
      </c>
      <c r="AH177" s="1">
        <f t="shared" si="76"/>
        <v>1</v>
      </c>
      <c r="AI177" s="44">
        <f t="shared" si="66"/>
        <v>99689.228786512307</v>
      </c>
      <c r="AJ177" s="44">
        <f t="shared" si="56"/>
        <v>100129.64967693451</v>
      </c>
      <c r="AK177" s="44" t="str">
        <f t="shared" si="74"/>
        <v>N</v>
      </c>
      <c r="AL177" s="4">
        <f t="shared" si="57"/>
        <v>99</v>
      </c>
      <c r="AM177" s="82">
        <f t="shared" si="67"/>
        <v>0</v>
      </c>
      <c r="AN177" s="82">
        <f t="shared" si="58"/>
        <v>0</v>
      </c>
      <c r="AO177" s="48">
        <f>0</f>
        <v>0</v>
      </c>
      <c r="AP177" s="91">
        <f t="shared" si="68"/>
        <v>-440.42089042220863</v>
      </c>
      <c r="AQ177" s="91">
        <f t="shared" si="69"/>
        <v>-440.42089042220863</v>
      </c>
      <c r="AV177" s="84"/>
    </row>
    <row r="178" spans="1:48">
      <c r="A178" s="190">
        <f t="shared" si="59"/>
        <v>74.054243668720048</v>
      </c>
      <c r="B178" s="82">
        <f t="shared" si="60"/>
        <v>9</v>
      </c>
      <c r="C178" s="83">
        <f t="shared" si="61"/>
        <v>100</v>
      </c>
      <c r="D178" s="14">
        <f t="shared" si="48"/>
        <v>4.8675505653430484E-3</v>
      </c>
      <c r="E178" s="16">
        <f t="shared" si="49"/>
        <v>0</v>
      </c>
      <c r="F178" s="127"/>
      <c r="G178" s="88">
        <f t="shared" si="50"/>
        <v>0</v>
      </c>
      <c r="H178" s="89">
        <f t="shared" si="62"/>
        <v>4.1666666666666666E-3</v>
      </c>
      <c r="I178" s="219"/>
      <c r="J178" s="219"/>
      <c r="K178" s="6">
        <f t="shared" si="70"/>
        <v>99689.228786512307</v>
      </c>
      <c r="M178" s="6">
        <f t="shared" si="51"/>
        <v>485.24236193840045</v>
      </c>
      <c r="N178" s="6">
        <f t="shared" si="63"/>
        <v>-112.91233441810138</v>
      </c>
      <c r="O178" s="90">
        <f t="shared" si="52"/>
        <v>390.55312700075513</v>
      </c>
      <c r="P178" s="91">
        <f t="shared" si="53"/>
        <v>0</v>
      </c>
      <c r="Q178" s="6">
        <f t="shared" si="54"/>
        <v>416.92316172513591</v>
      </c>
      <c r="R178" s="87">
        <f t="shared" si="73"/>
        <v>-451.4457015880148</v>
      </c>
      <c r="S178" s="6">
        <f t="shared" si="55"/>
        <v>-20.784174077318397</v>
      </c>
      <c r="T178" s="83">
        <f t="shared" si="64"/>
        <v>0</v>
      </c>
      <c r="U178" s="91">
        <f t="shared" si="71"/>
        <v>114184.34629444564</v>
      </c>
      <c r="V178" s="91">
        <f t="shared" si="65"/>
        <v>555.79807935885526</v>
      </c>
      <c r="W178" s="1">
        <f t="shared" si="76"/>
        <v>0</v>
      </c>
      <c r="X178" s="1">
        <f t="shared" si="76"/>
        <v>0</v>
      </c>
      <c r="Y178" s="1">
        <f t="shared" si="76"/>
        <v>0</v>
      </c>
      <c r="Z178" s="1">
        <f t="shared" si="76"/>
        <v>0</v>
      </c>
      <c r="AA178" s="1">
        <f t="shared" si="76"/>
        <v>0</v>
      </c>
      <c r="AB178" s="1">
        <f t="shared" si="76"/>
        <v>1</v>
      </c>
      <c r="AC178" s="1">
        <f t="shared" si="76"/>
        <v>1</v>
      </c>
      <c r="AD178" s="1">
        <f t="shared" si="76"/>
        <v>1</v>
      </c>
      <c r="AE178" s="1">
        <f t="shared" si="76"/>
        <v>1</v>
      </c>
      <c r="AF178" s="1">
        <f t="shared" si="76"/>
        <v>1</v>
      </c>
      <c r="AG178" s="1">
        <f t="shared" si="76"/>
        <v>1</v>
      </c>
      <c r="AH178" s="1">
        <f t="shared" si="76"/>
        <v>1</v>
      </c>
      <c r="AI178" s="44">
        <f t="shared" si="66"/>
        <v>99610.113112444596</v>
      </c>
      <c r="AJ178" s="44">
        <f t="shared" si="56"/>
        <v>100061.55881403261</v>
      </c>
      <c r="AK178" s="44" t="str">
        <f t="shared" si="74"/>
        <v>N</v>
      </c>
      <c r="AL178" s="4">
        <f t="shared" si="57"/>
        <v>100</v>
      </c>
      <c r="AM178" s="82">
        <f t="shared" si="67"/>
        <v>0</v>
      </c>
      <c r="AN178" s="82">
        <f t="shared" si="58"/>
        <v>0</v>
      </c>
      <c r="AO178" s="48">
        <f>0</f>
        <v>0</v>
      </c>
      <c r="AP178" s="91">
        <f t="shared" si="68"/>
        <v>-451.4457015880148</v>
      </c>
      <c r="AQ178" s="91">
        <f t="shared" si="69"/>
        <v>-451.4457015880148</v>
      </c>
      <c r="AV178" s="84"/>
    </row>
    <row r="179" spans="1:48">
      <c r="A179" s="190">
        <f t="shared" si="59"/>
        <v>74.137577002053376</v>
      </c>
      <c r="B179" s="82">
        <f t="shared" si="60"/>
        <v>9</v>
      </c>
      <c r="C179" s="83">
        <f t="shared" si="61"/>
        <v>101</v>
      </c>
      <c r="D179" s="14">
        <f t="shared" si="48"/>
        <v>4.8675505653430484E-3</v>
      </c>
      <c r="E179" s="16">
        <f t="shared" si="49"/>
        <v>0</v>
      </c>
      <c r="F179" s="127"/>
      <c r="G179" s="88">
        <f t="shared" si="50"/>
        <v>0</v>
      </c>
      <c r="H179" s="89">
        <f t="shared" si="62"/>
        <v>4.1666666666666666E-3</v>
      </c>
      <c r="I179" s="219"/>
      <c r="J179" s="219"/>
      <c r="K179" s="6">
        <f t="shared" si="70"/>
        <v>99610.113112444596</v>
      </c>
      <c r="M179" s="6">
        <f t="shared" si="51"/>
        <v>484.85726239436468</v>
      </c>
      <c r="N179" s="6">
        <f t="shared" si="63"/>
        <v>-112.82272458204599</v>
      </c>
      <c r="O179" s="90">
        <f t="shared" si="52"/>
        <v>390.55312700075513</v>
      </c>
      <c r="P179" s="91">
        <f t="shared" si="53"/>
        <v>0</v>
      </c>
      <c r="Q179" s="6">
        <f t="shared" si="54"/>
        <v>416.59228187607044</v>
      </c>
      <c r="R179" s="87">
        <f t="shared" si="73"/>
        <v>-451.24376022481869</v>
      </c>
      <c r="S179" s="6">
        <f t="shared" si="55"/>
        <v>-20.767662973077591</v>
      </c>
      <c r="T179" s="83">
        <f t="shared" si="64"/>
        <v>0</v>
      </c>
      <c r="U179" s="91">
        <f t="shared" si="71"/>
        <v>114288.69867221647</v>
      </c>
      <c r="V179" s="91">
        <f t="shared" si="65"/>
        <v>556.30601983426857</v>
      </c>
      <c r="W179" s="1">
        <f t="shared" ref="W179:AH188" si="77">IF($B179&lt;=W$78,1,0)</f>
        <v>0</v>
      </c>
      <c r="X179" s="1">
        <f t="shared" si="77"/>
        <v>0</v>
      </c>
      <c r="Y179" s="1">
        <f t="shared" si="77"/>
        <v>0</v>
      </c>
      <c r="Z179" s="1">
        <f t="shared" si="77"/>
        <v>0</v>
      </c>
      <c r="AA179" s="1">
        <f t="shared" si="77"/>
        <v>0</v>
      </c>
      <c r="AB179" s="1">
        <f t="shared" si="77"/>
        <v>1</v>
      </c>
      <c r="AC179" s="1">
        <f t="shared" si="77"/>
        <v>1</v>
      </c>
      <c r="AD179" s="1">
        <f t="shared" si="77"/>
        <v>1</v>
      </c>
      <c r="AE179" s="1">
        <f t="shared" si="77"/>
        <v>1</v>
      </c>
      <c r="AF179" s="1">
        <f t="shared" si="77"/>
        <v>1</v>
      </c>
      <c r="AG179" s="1">
        <f t="shared" si="77"/>
        <v>1</v>
      </c>
      <c r="AH179" s="1">
        <f t="shared" si="77"/>
        <v>1</v>
      </c>
      <c r="AI179" s="44">
        <f t="shared" si="66"/>
        <v>99530.903890032088</v>
      </c>
      <c r="AJ179" s="44">
        <f t="shared" si="56"/>
        <v>99982.147650256913</v>
      </c>
      <c r="AK179" s="44" t="str">
        <f t="shared" si="74"/>
        <v>N</v>
      </c>
      <c r="AL179" s="4">
        <f t="shared" si="57"/>
        <v>101</v>
      </c>
      <c r="AM179" s="82">
        <f t="shared" si="67"/>
        <v>0</v>
      </c>
      <c r="AN179" s="82">
        <f t="shared" si="58"/>
        <v>0</v>
      </c>
      <c r="AO179" s="48">
        <f>0</f>
        <v>0</v>
      </c>
      <c r="AP179" s="91">
        <f t="shared" si="68"/>
        <v>-451.24376022481869</v>
      </c>
      <c r="AQ179" s="91">
        <f t="shared" si="69"/>
        <v>-451.24376022481869</v>
      </c>
      <c r="AV179" s="84"/>
    </row>
    <row r="180" spans="1:48">
      <c r="A180" s="190">
        <f t="shared" si="59"/>
        <v>74.220910335386719</v>
      </c>
      <c r="B180" s="82">
        <f t="shared" si="60"/>
        <v>9</v>
      </c>
      <c r="C180" s="83">
        <f t="shared" si="61"/>
        <v>102</v>
      </c>
      <c r="D180" s="14">
        <f t="shared" si="48"/>
        <v>4.8675505653430484E-3</v>
      </c>
      <c r="E180" s="16">
        <f t="shared" si="49"/>
        <v>0</v>
      </c>
      <c r="F180" s="127"/>
      <c r="G180" s="88">
        <f t="shared" si="50"/>
        <v>0</v>
      </c>
      <c r="H180" s="89">
        <f t="shared" si="62"/>
        <v>4.1666666666666666E-3</v>
      </c>
      <c r="I180" s="219"/>
      <c r="J180" s="219"/>
      <c r="K180" s="6">
        <f t="shared" si="70"/>
        <v>99530.903890032088</v>
      </c>
      <c r="M180" s="6">
        <f t="shared" si="51"/>
        <v>484.47170749903029</v>
      </c>
      <c r="N180" s="6">
        <f t="shared" si="63"/>
        <v>-112.73300878908714</v>
      </c>
      <c r="O180" s="90">
        <f t="shared" si="52"/>
        <v>390.55312700075513</v>
      </c>
      <c r="P180" s="91">
        <f t="shared" si="53"/>
        <v>0</v>
      </c>
      <c r="Q180" s="6">
        <f t="shared" si="54"/>
        <v>416.26101078642512</v>
      </c>
      <c r="R180" s="87">
        <f t="shared" si="73"/>
        <v>-451.04190919433393</v>
      </c>
      <c r="S180" s="6">
        <f t="shared" si="55"/>
        <v>-20.751132311373656</v>
      </c>
      <c r="T180" s="83">
        <f t="shared" si="64"/>
        <v>0</v>
      </c>
      <c r="U180" s="91">
        <f t="shared" si="71"/>
        <v>114393.76093182592</v>
      </c>
      <c r="V180" s="91">
        <f t="shared" si="65"/>
        <v>556.8174156954268</v>
      </c>
      <c r="W180" s="1">
        <f t="shared" si="77"/>
        <v>0</v>
      </c>
      <c r="X180" s="1">
        <f t="shared" si="77"/>
        <v>0</v>
      </c>
      <c r="Y180" s="1">
        <f t="shared" si="77"/>
        <v>0</v>
      </c>
      <c r="Z180" s="1">
        <f t="shared" si="77"/>
        <v>0</v>
      </c>
      <c r="AA180" s="1">
        <f t="shared" si="77"/>
        <v>0</v>
      </c>
      <c r="AB180" s="1">
        <f t="shared" si="77"/>
        <v>1</v>
      </c>
      <c r="AC180" s="1">
        <f t="shared" si="77"/>
        <v>1</v>
      </c>
      <c r="AD180" s="1">
        <f t="shared" si="77"/>
        <v>1</v>
      </c>
      <c r="AE180" s="1">
        <f t="shared" si="77"/>
        <v>1</v>
      </c>
      <c r="AF180" s="1">
        <f t="shared" si="77"/>
        <v>1</v>
      </c>
      <c r="AG180" s="1">
        <f t="shared" si="77"/>
        <v>1</v>
      </c>
      <c r="AH180" s="1">
        <f t="shared" si="77"/>
        <v>1</v>
      </c>
      <c r="AI180" s="44">
        <f t="shared" si="66"/>
        <v>99451.600679547701</v>
      </c>
      <c r="AJ180" s="44">
        <f t="shared" si="56"/>
        <v>99902.642588742034</v>
      </c>
      <c r="AK180" s="44" t="str">
        <f t="shared" si="74"/>
        <v>N</v>
      </c>
      <c r="AL180" s="4">
        <f t="shared" si="57"/>
        <v>102</v>
      </c>
      <c r="AM180" s="82">
        <f t="shared" si="67"/>
        <v>0</v>
      </c>
      <c r="AN180" s="82">
        <f t="shared" si="58"/>
        <v>0</v>
      </c>
      <c r="AO180" s="48">
        <f>0</f>
        <v>0</v>
      </c>
      <c r="AP180" s="91">
        <f t="shared" si="68"/>
        <v>-451.04190919433393</v>
      </c>
      <c r="AQ180" s="91">
        <f t="shared" si="69"/>
        <v>-451.04190919433393</v>
      </c>
      <c r="AV180" s="84"/>
    </row>
    <row r="181" spans="1:48">
      <c r="A181" s="190">
        <f t="shared" si="59"/>
        <v>74.304243668720048</v>
      </c>
      <c r="B181" s="82">
        <f t="shared" si="60"/>
        <v>9</v>
      </c>
      <c r="C181" s="83">
        <f t="shared" si="61"/>
        <v>103</v>
      </c>
      <c r="D181" s="14">
        <f t="shared" si="48"/>
        <v>4.8675505653430484E-3</v>
      </c>
      <c r="E181" s="16">
        <f t="shared" si="49"/>
        <v>0</v>
      </c>
      <c r="F181" s="127"/>
      <c r="G181" s="88">
        <f t="shared" si="50"/>
        <v>0</v>
      </c>
      <c r="H181" s="89">
        <f t="shared" si="62"/>
        <v>4.1666666666666666E-3</v>
      </c>
      <c r="I181" s="219"/>
      <c r="J181" s="219"/>
      <c r="K181" s="6">
        <f t="shared" si="70"/>
        <v>99451.600679547701</v>
      </c>
      <c r="M181" s="6">
        <f t="shared" si="51"/>
        <v>484.08569511200352</v>
      </c>
      <c r="N181" s="6">
        <f t="shared" si="63"/>
        <v>-112.64318654117088</v>
      </c>
      <c r="O181" s="90">
        <f t="shared" si="52"/>
        <v>390.55312700075513</v>
      </c>
      <c r="P181" s="91">
        <f t="shared" si="53"/>
        <v>0</v>
      </c>
      <c r="Q181" s="6">
        <f t="shared" si="54"/>
        <v>415.92934661716055</v>
      </c>
      <c r="R181" s="87">
        <f t="shared" si="73"/>
        <v>-450.84014845615241</v>
      </c>
      <c r="S181" s="6">
        <f t="shared" si="55"/>
        <v>-20.734582000324586</v>
      </c>
      <c r="T181" s="83">
        <f t="shared" si="64"/>
        <v>0</v>
      </c>
      <c r="U181" s="91">
        <f t="shared" si="71"/>
        <v>114499.53643832702</v>
      </c>
      <c r="V181" s="91">
        <f t="shared" si="65"/>
        <v>557.33228332189572</v>
      </c>
      <c r="W181" s="1">
        <f t="shared" si="77"/>
        <v>0</v>
      </c>
      <c r="X181" s="1">
        <f t="shared" si="77"/>
        <v>0</v>
      </c>
      <c r="Y181" s="1">
        <f t="shared" si="77"/>
        <v>0</v>
      </c>
      <c r="Z181" s="1">
        <f t="shared" si="77"/>
        <v>0</v>
      </c>
      <c r="AA181" s="1">
        <f t="shared" si="77"/>
        <v>0</v>
      </c>
      <c r="AB181" s="1">
        <f t="shared" si="77"/>
        <v>1</v>
      </c>
      <c r="AC181" s="1">
        <f t="shared" si="77"/>
        <v>1</v>
      </c>
      <c r="AD181" s="1">
        <f t="shared" si="77"/>
        <v>1</v>
      </c>
      <c r="AE181" s="1">
        <f t="shared" si="77"/>
        <v>1</v>
      </c>
      <c r="AF181" s="1">
        <f t="shared" si="77"/>
        <v>1</v>
      </c>
      <c r="AG181" s="1">
        <f t="shared" si="77"/>
        <v>1</v>
      </c>
      <c r="AH181" s="1">
        <f t="shared" si="77"/>
        <v>1</v>
      </c>
      <c r="AI181" s="44">
        <f t="shared" si="66"/>
        <v>99372.203039662389</v>
      </c>
      <c r="AJ181" s="44">
        <f t="shared" si="56"/>
        <v>99823.043188118536</v>
      </c>
      <c r="AK181" s="44" t="str">
        <f t="shared" si="74"/>
        <v>N</v>
      </c>
      <c r="AL181" s="4">
        <f t="shared" si="57"/>
        <v>103</v>
      </c>
      <c r="AM181" s="82">
        <f t="shared" si="67"/>
        <v>0</v>
      </c>
      <c r="AN181" s="82">
        <f t="shared" si="58"/>
        <v>0</v>
      </c>
      <c r="AO181" s="48">
        <f>0</f>
        <v>0</v>
      </c>
      <c r="AP181" s="91">
        <f t="shared" si="68"/>
        <v>-450.84014845615241</v>
      </c>
      <c r="AQ181" s="91">
        <f t="shared" si="69"/>
        <v>-450.84014845615241</v>
      </c>
      <c r="AV181" s="84"/>
    </row>
    <row r="182" spans="1:48">
      <c r="A182" s="190">
        <f t="shared" si="59"/>
        <v>74.387577002053376</v>
      </c>
      <c r="B182" s="82">
        <f t="shared" si="60"/>
        <v>9</v>
      </c>
      <c r="C182" s="83">
        <f t="shared" si="61"/>
        <v>104</v>
      </c>
      <c r="D182" s="14">
        <f t="shared" si="48"/>
        <v>4.8675505653430484E-3</v>
      </c>
      <c r="E182" s="16">
        <f t="shared" si="49"/>
        <v>0</v>
      </c>
      <c r="F182" s="127"/>
      <c r="G182" s="88">
        <f t="shared" si="50"/>
        <v>0</v>
      </c>
      <c r="H182" s="89">
        <f t="shared" si="62"/>
        <v>4.1666666666666666E-3</v>
      </c>
      <c r="I182" s="219"/>
      <c r="J182" s="219"/>
      <c r="K182" s="6">
        <f t="shared" si="70"/>
        <v>99372.203039662389</v>
      </c>
      <c r="M182" s="6">
        <f t="shared" si="51"/>
        <v>483.69922308509285</v>
      </c>
      <c r="N182" s="6">
        <f t="shared" si="63"/>
        <v>-112.55325733842886</v>
      </c>
      <c r="O182" s="90">
        <f t="shared" si="52"/>
        <v>390.55312700075513</v>
      </c>
      <c r="P182" s="91">
        <f t="shared" si="53"/>
        <v>0</v>
      </c>
      <c r="Q182" s="6">
        <f t="shared" si="54"/>
        <v>415.59728752253773</v>
      </c>
      <c r="R182" s="87">
        <f t="shared" si="73"/>
        <v>-450.63847796988466</v>
      </c>
      <c r="S182" s="6">
        <f t="shared" si="55"/>
        <v>-20.718011947713627</v>
      </c>
      <c r="T182" s="83">
        <f t="shared" si="64"/>
        <v>0</v>
      </c>
      <c r="U182" s="91">
        <f t="shared" si="71"/>
        <v>114606.02857319277</v>
      </c>
      <c r="V182" s="91">
        <f t="shared" si="65"/>
        <v>557.85063917316609</v>
      </c>
      <c r="W182" s="1">
        <f t="shared" si="77"/>
        <v>0</v>
      </c>
      <c r="X182" s="1">
        <f t="shared" si="77"/>
        <v>0</v>
      </c>
      <c r="Y182" s="1">
        <f t="shared" si="77"/>
        <v>0</v>
      </c>
      <c r="Z182" s="1">
        <f t="shared" si="77"/>
        <v>0</v>
      </c>
      <c r="AA182" s="1">
        <f t="shared" si="77"/>
        <v>0</v>
      </c>
      <c r="AB182" s="1">
        <f t="shared" si="77"/>
        <v>1</v>
      </c>
      <c r="AC182" s="1">
        <f t="shared" si="77"/>
        <v>1</v>
      </c>
      <c r="AD182" s="1">
        <f t="shared" si="77"/>
        <v>1</v>
      </c>
      <c r="AE182" s="1">
        <f t="shared" si="77"/>
        <v>1</v>
      </c>
      <c r="AF182" s="1">
        <f t="shared" si="77"/>
        <v>1</v>
      </c>
      <c r="AG182" s="1">
        <f t="shared" si="77"/>
        <v>1</v>
      </c>
      <c r="AH182" s="1">
        <f t="shared" si="77"/>
        <v>1</v>
      </c>
      <c r="AI182" s="44">
        <f t="shared" si="66"/>
        <v>99292.710527439165</v>
      </c>
      <c r="AJ182" s="44">
        <f t="shared" si="56"/>
        <v>99743.349005409051</v>
      </c>
      <c r="AK182" s="44" t="str">
        <f t="shared" si="74"/>
        <v>N</v>
      </c>
      <c r="AL182" s="4">
        <f t="shared" si="57"/>
        <v>104</v>
      </c>
      <c r="AM182" s="82">
        <f t="shared" si="67"/>
        <v>0</v>
      </c>
      <c r="AN182" s="82">
        <f t="shared" si="58"/>
        <v>0</v>
      </c>
      <c r="AO182" s="48">
        <f>0</f>
        <v>0</v>
      </c>
      <c r="AP182" s="91">
        <f t="shared" si="68"/>
        <v>-450.63847796988466</v>
      </c>
      <c r="AQ182" s="91">
        <f t="shared" si="69"/>
        <v>-450.63847796988466</v>
      </c>
      <c r="AV182" s="84"/>
    </row>
    <row r="183" spans="1:48">
      <c r="A183" s="190">
        <f t="shared" si="59"/>
        <v>74.470910335386719</v>
      </c>
      <c r="B183" s="82">
        <f t="shared" si="60"/>
        <v>9</v>
      </c>
      <c r="C183" s="83">
        <f t="shared" si="61"/>
        <v>105</v>
      </c>
      <c r="D183" s="14">
        <f t="shared" si="48"/>
        <v>4.8675505653430484E-3</v>
      </c>
      <c r="E183" s="16">
        <f t="shared" si="49"/>
        <v>0</v>
      </c>
      <c r="F183" s="127"/>
      <c r="G183" s="88">
        <f t="shared" si="50"/>
        <v>0</v>
      </c>
      <c r="H183" s="89">
        <f t="shared" si="62"/>
        <v>4.1666666666666666E-3</v>
      </c>
      <c r="I183" s="219"/>
      <c r="J183" s="219"/>
      <c r="K183" s="6">
        <f t="shared" si="70"/>
        <v>99292.710527439165</v>
      </c>
      <c r="M183" s="6">
        <f t="shared" si="51"/>
        <v>483.31228926228016</v>
      </c>
      <c r="N183" s="6">
        <f t="shared" si="63"/>
        <v>-112.46322067917146</v>
      </c>
      <c r="O183" s="90">
        <f t="shared" si="52"/>
        <v>390.55312700075513</v>
      </c>
      <c r="P183" s="91">
        <f t="shared" si="53"/>
        <v>0</v>
      </c>
      <c r="Q183" s="6">
        <f t="shared" si="54"/>
        <v>415.26483165009279</v>
      </c>
      <c r="R183" s="87">
        <f t="shared" si="73"/>
        <v>-450.43689769515896</v>
      </c>
      <c r="S183" s="6">
        <f t="shared" si="55"/>
        <v>-20.701422060988019</v>
      </c>
      <c r="T183" s="83">
        <f t="shared" si="64"/>
        <v>0</v>
      </c>
      <c r="U183" s="91">
        <f t="shared" si="71"/>
        <v>114713.24073439605</v>
      </c>
      <c r="V183" s="91">
        <f t="shared" si="65"/>
        <v>558.37249978904276</v>
      </c>
      <c r="W183" s="1">
        <f t="shared" si="77"/>
        <v>0</v>
      </c>
      <c r="X183" s="1">
        <f t="shared" si="77"/>
        <v>0</v>
      </c>
      <c r="Y183" s="1">
        <f t="shared" si="77"/>
        <v>0</v>
      </c>
      <c r="Z183" s="1">
        <f t="shared" si="77"/>
        <v>0</v>
      </c>
      <c r="AA183" s="1">
        <f t="shared" si="77"/>
        <v>0</v>
      </c>
      <c r="AB183" s="1">
        <f t="shared" si="77"/>
        <v>1</v>
      </c>
      <c r="AC183" s="1">
        <f t="shared" si="77"/>
        <v>1</v>
      </c>
      <c r="AD183" s="1">
        <f t="shared" si="77"/>
        <v>1</v>
      </c>
      <c r="AE183" s="1">
        <f t="shared" si="77"/>
        <v>1</v>
      </c>
      <c r="AF183" s="1">
        <f t="shared" si="77"/>
        <v>1</v>
      </c>
      <c r="AG183" s="1">
        <f t="shared" si="77"/>
        <v>1</v>
      </c>
      <c r="AH183" s="1">
        <f t="shared" si="77"/>
        <v>1</v>
      </c>
      <c r="AI183" s="44">
        <f t="shared" si="66"/>
        <v>99213.122698327119</v>
      </c>
      <c r="AJ183" s="44">
        <f t="shared" si="56"/>
        <v>99663.559596022271</v>
      </c>
      <c r="AK183" s="44" t="str">
        <f t="shared" si="74"/>
        <v>N</v>
      </c>
      <c r="AL183" s="4">
        <f t="shared" si="57"/>
        <v>105</v>
      </c>
      <c r="AM183" s="82">
        <f t="shared" si="67"/>
        <v>0</v>
      </c>
      <c r="AN183" s="82">
        <f t="shared" si="58"/>
        <v>0</v>
      </c>
      <c r="AO183" s="48">
        <f>0</f>
        <v>0</v>
      </c>
      <c r="AP183" s="91">
        <f t="shared" si="68"/>
        <v>-450.43689769515896</v>
      </c>
      <c r="AQ183" s="91">
        <f t="shared" si="69"/>
        <v>-450.43689769515896</v>
      </c>
      <c r="AV183" s="84"/>
    </row>
    <row r="184" spans="1:48">
      <c r="A184" s="190">
        <f t="shared" si="59"/>
        <v>74.554243668720048</v>
      </c>
      <c r="B184" s="82">
        <f t="shared" si="60"/>
        <v>9</v>
      </c>
      <c r="C184" s="83">
        <f t="shared" si="61"/>
        <v>106</v>
      </c>
      <c r="D184" s="14">
        <f t="shared" si="48"/>
        <v>4.8675505653430484E-3</v>
      </c>
      <c r="E184" s="16">
        <f t="shared" si="49"/>
        <v>0</v>
      </c>
      <c r="F184" s="127"/>
      <c r="G184" s="88">
        <f t="shared" si="50"/>
        <v>0</v>
      </c>
      <c r="H184" s="89">
        <f t="shared" si="62"/>
        <v>4.1666666666666666E-3</v>
      </c>
      <c r="I184" s="219"/>
      <c r="J184" s="219"/>
      <c r="K184" s="6">
        <f t="shared" si="70"/>
        <v>99213.122698327119</v>
      </c>
      <c r="M184" s="6">
        <f t="shared" si="51"/>
        <v>482.92489147969138</v>
      </c>
      <c r="N184" s="6">
        <f t="shared" si="63"/>
        <v>-112.3730760598811</v>
      </c>
      <c r="O184" s="90">
        <f t="shared" si="52"/>
        <v>390.55312700075513</v>
      </c>
      <c r="P184" s="91">
        <f t="shared" si="53"/>
        <v>0</v>
      </c>
      <c r="Q184" s="6">
        <f t="shared" si="54"/>
        <v>414.93197714061216</v>
      </c>
      <c r="R184" s="87">
        <f t="shared" si="73"/>
        <v>-450.23540759162177</v>
      </c>
      <c r="S184" s="6">
        <f t="shared" si="55"/>
        <v>-20.684812247257756</v>
      </c>
      <c r="T184" s="83">
        <f t="shared" si="64"/>
        <v>0</v>
      </c>
      <c r="U184" s="91">
        <f t="shared" si="71"/>
        <v>114821.17633648994</v>
      </c>
      <c r="V184" s="91">
        <f t="shared" si="65"/>
        <v>558.8978817900354</v>
      </c>
      <c r="W184" s="1">
        <f t="shared" si="77"/>
        <v>0</v>
      </c>
      <c r="X184" s="1">
        <f t="shared" si="77"/>
        <v>0</v>
      </c>
      <c r="Y184" s="1">
        <f t="shared" si="77"/>
        <v>0</v>
      </c>
      <c r="Z184" s="1">
        <f t="shared" si="77"/>
        <v>0</v>
      </c>
      <c r="AA184" s="1">
        <f t="shared" si="77"/>
        <v>0</v>
      </c>
      <c r="AB184" s="1">
        <f t="shared" si="77"/>
        <v>1</v>
      </c>
      <c r="AC184" s="1">
        <f t="shared" si="77"/>
        <v>1</v>
      </c>
      <c r="AD184" s="1">
        <f t="shared" si="77"/>
        <v>1</v>
      </c>
      <c r="AE184" s="1">
        <f t="shared" si="77"/>
        <v>1</v>
      </c>
      <c r="AF184" s="1">
        <f t="shared" si="77"/>
        <v>1</v>
      </c>
      <c r="AG184" s="1">
        <f t="shared" si="77"/>
        <v>1</v>
      </c>
      <c r="AH184" s="1">
        <f t="shared" si="77"/>
        <v>1</v>
      </c>
      <c r="AI184" s="44">
        <f t="shared" si="66"/>
        <v>99133.439106155303</v>
      </c>
      <c r="AJ184" s="44">
        <f t="shared" si="56"/>
        <v>99583.674513746926</v>
      </c>
      <c r="AK184" s="44" t="str">
        <f t="shared" si="74"/>
        <v>N</v>
      </c>
      <c r="AL184" s="4">
        <f t="shared" si="57"/>
        <v>106</v>
      </c>
      <c r="AM184" s="82">
        <f t="shared" si="67"/>
        <v>0</v>
      </c>
      <c r="AN184" s="82">
        <f t="shared" si="58"/>
        <v>0</v>
      </c>
      <c r="AO184" s="48">
        <f>0</f>
        <v>0</v>
      </c>
      <c r="AP184" s="91">
        <f t="shared" si="68"/>
        <v>-450.23540759162177</v>
      </c>
      <c r="AQ184" s="91">
        <f t="shared" si="69"/>
        <v>-450.23540759162177</v>
      </c>
      <c r="AV184" s="84"/>
    </row>
    <row r="185" spans="1:48">
      <c r="A185" s="190">
        <f t="shared" si="59"/>
        <v>74.637577002053376</v>
      </c>
      <c r="B185" s="82">
        <f t="shared" si="60"/>
        <v>9</v>
      </c>
      <c r="C185" s="83">
        <f t="shared" si="61"/>
        <v>107</v>
      </c>
      <c r="D185" s="14">
        <f t="shared" si="48"/>
        <v>4.8675505653430484E-3</v>
      </c>
      <c r="E185" s="16">
        <f t="shared" si="49"/>
        <v>0</v>
      </c>
      <c r="F185" s="127"/>
      <c r="G185" s="88">
        <f t="shared" si="50"/>
        <v>0</v>
      </c>
      <c r="H185" s="89">
        <f t="shared" si="62"/>
        <v>4.1666666666666666E-3</v>
      </c>
      <c r="I185" s="219"/>
      <c r="J185" s="219"/>
      <c r="K185" s="6">
        <f t="shared" si="70"/>
        <v>99133.439106155303</v>
      </c>
      <c r="M185" s="6">
        <f t="shared" si="51"/>
        <v>482.53702756556692</v>
      </c>
      <c r="N185" s="6">
        <f t="shared" si="63"/>
        <v>-112.28282297520524</v>
      </c>
      <c r="O185" s="90">
        <f t="shared" si="52"/>
        <v>390.55312700075513</v>
      </c>
      <c r="P185" s="91">
        <f t="shared" si="53"/>
        <v>0</v>
      </c>
      <c r="Q185" s="6">
        <f t="shared" si="54"/>
        <v>414.59872212810694</v>
      </c>
      <c r="R185" s="87">
        <f t="shared" si="73"/>
        <v>-450.03400761893766</v>
      </c>
      <c r="S185" s="6">
        <f t="shared" si="55"/>
        <v>-20.668182413294304</v>
      </c>
      <c r="T185" s="83">
        <f t="shared" si="64"/>
        <v>0</v>
      </c>
      <c r="U185" s="91">
        <f t="shared" si="71"/>
        <v>114929.83881068835</v>
      </c>
      <c r="V185" s="91">
        <f t="shared" si="65"/>
        <v>559.42680187775147</v>
      </c>
      <c r="W185" s="1">
        <f t="shared" si="77"/>
        <v>0</v>
      </c>
      <c r="X185" s="1">
        <f t="shared" si="77"/>
        <v>0</v>
      </c>
      <c r="Y185" s="1">
        <f t="shared" si="77"/>
        <v>0</v>
      </c>
      <c r="Z185" s="1">
        <f t="shared" si="77"/>
        <v>0</v>
      </c>
      <c r="AA185" s="1">
        <f t="shared" si="77"/>
        <v>0</v>
      </c>
      <c r="AB185" s="1">
        <f t="shared" si="77"/>
        <v>1</v>
      </c>
      <c r="AC185" s="1">
        <f t="shared" si="77"/>
        <v>1</v>
      </c>
      <c r="AD185" s="1">
        <f t="shared" si="77"/>
        <v>1</v>
      </c>
      <c r="AE185" s="1">
        <f t="shared" si="77"/>
        <v>1</v>
      </c>
      <c r="AF185" s="1">
        <f t="shared" si="77"/>
        <v>1</v>
      </c>
      <c r="AG185" s="1">
        <f t="shared" si="77"/>
        <v>1</v>
      </c>
      <c r="AH185" s="1">
        <f t="shared" si="77"/>
        <v>1</v>
      </c>
      <c r="AI185" s="44">
        <f t="shared" si="66"/>
        <v>99053.65930312674</v>
      </c>
      <c r="AJ185" s="44">
        <f t="shared" si="56"/>
        <v>99503.693310745672</v>
      </c>
      <c r="AK185" s="44" t="str">
        <f t="shared" si="74"/>
        <v>N</v>
      </c>
      <c r="AL185" s="4">
        <f t="shared" si="57"/>
        <v>107</v>
      </c>
      <c r="AM185" s="82">
        <f t="shared" si="67"/>
        <v>0</v>
      </c>
      <c r="AN185" s="82">
        <f t="shared" si="58"/>
        <v>0</v>
      </c>
      <c r="AO185" s="48">
        <f>0</f>
        <v>0</v>
      </c>
      <c r="AP185" s="91">
        <f t="shared" si="68"/>
        <v>-450.03400761893766</v>
      </c>
      <c r="AQ185" s="91">
        <f t="shared" si="69"/>
        <v>-450.03400761893766</v>
      </c>
      <c r="AV185" s="84"/>
    </row>
    <row r="186" spans="1:48">
      <c r="A186" s="190">
        <f t="shared" si="59"/>
        <v>74.720910335386719</v>
      </c>
      <c r="B186" s="82">
        <f t="shared" si="60"/>
        <v>9</v>
      </c>
      <c r="C186" s="83">
        <f t="shared" si="61"/>
        <v>108</v>
      </c>
      <c r="D186" s="14">
        <f t="shared" si="48"/>
        <v>4.8675505653430484E-3</v>
      </c>
      <c r="E186" s="16">
        <f t="shared" si="49"/>
        <v>0</v>
      </c>
      <c r="F186" s="127"/>
      <c r="G186" s="88">
        <f t="shared" si="50"/>
        <v>0</v>
      </c>
      <c r="H186" s="89">
        <f t="shared" si="62"/>
        <v>4.1666666666666666E-3</v>
      </c>
      <c r="I186" s="219"/>
      <c r="J186" s="219"/>
      <c r="K186" s="6">
        <f t="shared" si="70"/>
        <v>99053.65930312674</v>
      </c>
      <c r="M186" s="6">
        <f t="shared" si="51"/>
        <v>482.14869534023228</v>
      </c>
      <c r="N186" s="6">
        <f t="shared" si="63"/>
        <v>-112.19246091794967</v>
      </c>
      <c r="O186" s="90">
        <f t="shared" si="52"/>
        <v>390.55312700075513</v>
      </c>
      <c r="P186" s="91">
        <f t="shared" si="53"/>
        <v>0</v>
      </c>
      <c r="Q186" s="6">
        <f t="shared" si="54"/>
        <v>414.26506473978759</v>
      </c>
      <c r="R186" s="87">
        <f t="shared" si="73"/>
        <v>-449.8326977367891</v>
      </c>
      <c r="S186" s="6">
        <f t="shared" si="55"/>
        <v>-20.651532465529343</v>
      </c>
      <c r="T186" s="83">
        <f t="shared" si="64"/>
        <v>0</v>
      </c>
      <c r="U186" s="91">
        <f t="shared" si="71"/>
        <v>115039.23160494717</v>
      </c>
      <c r="V186" s="91">
        <f t="shared" si="65"/>
        <v>559.95927683529044</v>
      </c>
      <c r="W186" s="1">
        <f t="shared" si="77"/>
        <v>0</v>
      </c>
      <c r="X186" s="1">
        <f t="shared" si="77"/>
        <v>0</v>
      </c>
      <c r="Y186" s="1">
        <f t="shared" si="77"/>
        <v>0</v>
      </c>
      <c r="Z186" s="1">
        <f t="shared" si="77"/>
        <v>0</v>
      </c>
      <c r="AA186" s="1">
        <f t="shared" si="77"/>
        <v>0</v>
      </c>
      <c r="AB186" s="1">
        <f t="shared" si="77"/>
        <v>1</v>
      </c>
      <c r="AC186" s="1">
        <f t="shared" si="77"/>
        <v>1</v>
      </c>
      <c r="AD186" s="1">
        <f t="shared" si="77"/>
        <v>1</v>
      </c>
      <c r="AE186" s="1">
        <f t="shared" si="77"/>
        <v>1</v>
      </c>
      <c r="AF186" s="1">
        <f t="shared" si="77"/>
        <v>1</v>
      </c>
      <c r="AG186" s="1">
        <f t="shared" si="77"/>
        <v>1</v>
      </c>
      <c r="AH186" s="1">
        <f t="shared" si="77"/>
        <v>1</v>
      </c>
      <c r="AI186" s="44">
        <f t="shared" si="66"/>
        <v>98973.782839812236</v>
      </c>
      <c r="AJ186" s="44">
        <f t="shared" si="56"/>
        <v>99423.61553754902</v>
      </c>
      <c r="AK186" s="44" t="str">
        <f t="shared" si="74"/>
        <v>N</v>
      </c>
      <c r="AL186" s="4">
        <f t="shared" si="57"/>
        <v>108</v>
      </c>
      <c r="AM186" s="82">
        <f t="shared" si="67"/>
        <v>0</v>
      </c>
      <c r="AN186" s="82">
        <f t="shared" si="58"/>
        <v>0</v>
      </c>
      <c r="AO186" s="48">
        <f>0</f>
        <v>0</v>
      </c>
      <c r="AP186" s="91">
        <f t="shared" si="68"/>
        <v>-449.8326977367891</v>
      </c>
      <c r="AQ186" s="91">
        <f t="shared" si="69"/>
        <v>-449.8326977367891</v>
      </c>
      <c r="AV186" s="84"/>
    </row>
    <row r="187" spans="1:48">
      <c r="A187" s="190">
        <f t="shared" si="59"/>
        <v>74.804243668720048</v>
      </c>
      <c r="B187" s="82">
        <f t="shared" si="60"/>
        <v>10</v>
      </c>
      <c r="C187" s="83">
        <f t="shared" si="61"/>
        <v>109</v>
      </c>
      <c r="D187" s="14">
        <f t="shared" si="48"/>
        <v>4.8675505653430484E-3</v>
      </c>
      <c r="E187" s="16">
        <f t="shared" si="49"/>
        <v>0</v>
      </c>
      <c r="F187" s="127"/>
      <c r="G187" s="88">
        <f t="shared" si="50"/>
        <v>0</v>
      </c>
      <c r="H187" s="89">
        <f t="shared" si="62"/>
        <v>4.1666666666666666E-3</v>
      </c>
      <c r="I187" s="219"/>
      <c r="J187" s="219"/>
      <c r="K187" s="6">
        <f t="shared" si="70"/>
        <v>98973.782839812236</v>
      </c>
      <c r="M187" s="6">
        <f t="shared" si="51"/>
        <v>481.75989261606816</v>
      </c>
      <c r="N187" s="6">
        <f t="shared" si="63"/>
        <v>-112.10198937907141</v>
      </c>
      <c r="O187" s="90">
        <f t="shared" si="52"/>
        <v>398.36418954077027</v>
      </c>
      <c r="P187" s="91">
        <f t="shared" si="53"/>
        <v>0</v>
      </c>
      <c r="Q187" s="6">
        <f t="shared" si="54"/>
        <v>413.93100309603852</v>
      </c>
      <c r="R187" s="87">
        <f t="shared" si="73"/>
        <v>-449.6314779048767</v>
      </c>
      <c r="S187" s="6">
        <f t="shared" si="55"/>
        <v>-20.634862310053485</v>
      </c>
      <c r="T187" s="83">
        <f t="shared" si="64"/>
        <v>0</v>
      </c>
      <c r="U187" s="91">
        <f t="shared" si="71"/>
        <v>115149.35818404568</v>
      </c>
      <c r="V187" s="91">
        <f t="shared" si="65"/>
        <v>560.49532352764072</v>
      </c>
      <c r="W187" s="1">
        <f t="shared" si="77"/>
        <v>0</v>
      </c>
      <c r="X187" s="1">
        <f t="shared" si="77"/>
        <v>0</v>
      </c>
      <c r="Y187" s="1">
        <f t="shared" si="77"/>
        <v>0</v>
      </c>
      <c r="Z187" s="1">
        <f t="shared" si="77"/>
        <v>0</v>
      </c>
      <c r="AA187" s="1">
        <f t="shared" si="77"/>
        <v>0</v>
      </c>
      <c r="AB187" s="1">
        <f t="shared" si="77"/>
        <v>1</v>
      </c>
      <c r="AC187" s="1">
        <f t="shared" si="77"/>
        <v>1</v>
      </c>
      <c r="AD187" s="1">
        <f t="shared" si="77"/>
        <v>1</v>
      </c>
      <c r="AE187" s="1">
        <f t="shared" si="77"/>
        <v>1</v>
      </c>
      <c r="AF187" s="1">
        <f t="shared" si="77"/>
        <v>1</v>
      </c>
      <c r="AG187" s="1">
        <f t="shared" si="77"/>
        <v>1</v>
      </c>
      <c r="AH187" s="1">
        <f t="shared" si="77"/>
        <v>1</v>
      </c>
      <c r="AI187" s="44">
        <f t="shared" si="66"/>
        <v>98893.809265144373</v>
      </c>
      <c r="AJ187" s="44">
        <f t="shared" si="56"/>
        <v>99343.440743049243</v>
      </c>
      <c r="AK187" s="44" t="str">
        <f t="shared" si="74"/>
        <v>N</v>
      </c>
      <c r="AL187" s="4">
        <f t="shared" si="57"/>
        <v>109</v>
      </c>
      <c r="AM187" s="82">
        <f t="shared" si="67"/>
        <v>0</v>
      </c>
      <c r="AN187" s="82">
        <f t="shared" si="58"/>
        <v>0</v>
      </c>
      <c r="AO187" s="48">
        <f>0</f>
        <v>0</v>
      </c>
      <c r="AP187" s="91">
        <f t="shared" si="68"/>
        <v>-449.6314779048767</v>
      </c>
      <c r="AQ187" s="91">
        <f t="shared" si="69"/>
        <v>-449.6314779048767</v>
      </c>
      <c r="AV187" s="84"/>
    </row>
    <row r="188" spans="1:48">
      <c r="A188" s="190">
        <f t="shared" si="59"/>
        <v>74.887577002053376</v>
      </c>
      <c r="B188" s="82">
        <f t="shared" si="60"/>
        <v>10</v>
      </c>
      <c r="C188" s="83">
        <f t="shared" si="61"/>
        <v>110</v>
      </c>
      <c r="D188" s="14">
        <f t="shared" si="48"/>
        <v>4.8675505653430484E-3</v>
      </c>
      <c r="E188" s="16">
        <f t="shared" si="49"/>
        <v>0</v>
      </c>
      <c r="F188" s="127"/>
      <c r="G188" s="88">
        <f t="shared" si="50"/>
        <v>0</v>
      </c>
      <c r="H188" s="89">
        <f t="shared" si="62"/>
        <v>4.1666666666666666E-3</v>
      </c>
      <c r="I188" s="219"/>
      <c r="J188" s="219"/>
      <c r="K188" s="6">
        <f t="shared" si="70"/>
        <v>98893.809265144373</v>
      </c>
      <c r="M188" s="6">
        <f t="shared" si="51"/>
        <v>481.37061719748107</v>
      </c>
      <c r="N188" s="6">
        <f t="shared" si="63"/>
        <v>-112.01140784767199</v>
      </c>
      <c r="O188" s="90">
        <f t="shared" si="52"/>
        <v>398.36418954077027</v>
      </c>
      <c r="P188" s="91">
        <f t="shared" si="53"/>
        <v>0</v>
      </c>
      <c r="Q188" s="6">
        <f t="shared" si="54"/>
        <v>413.59653531039237</v>
      </c>
      <c r="R188" s="87">
        <f t="shared" si="73"/>
        <v>-449.43034808291918</v>
      </c>
      <c r="S188" s="6">
        <f t="shared" si="55"/>
        <v>-20.618171852615014</v>
      </c>
      <c r="T188" s="83">
        <f t="shared" si="64"/>
        <v>0</v>
      </c>
      <c r="U188" s="91">
        <f t="shared" si="71"/>
        <v>115260.22202966845</v>
      </c>
      <c r="V188" s="91">
        <f t="shared" si="65"/>
        <v>561.03495890207796</v>
      </c>
      <c r="W188" s="1">
        <f t="shared" si="77"/>
        <v>0</v>
      </c>
      <c r="X188" s="1">
        <f t="shared" si="77"/>
        <v>0</v>
      </c>
      <c r="Y188" s="1">
        <f t="shared" si="77"/>
        <v>0</v>
      </c>
      <c r="Z188" s="1">
        <f t="shared" si="77"/>
        <v>0</v>
      </c>
      <c r="AA188" s="1">
        <f t="shared" si="77"/>
        <v>0</v>
      </c>
      <c r="AB188" s="1">
        <f t="shared" si="77"/>
        <v>1</v>
      </c>
      <c r="AC188" s="1">
        <f t="shared" si="77"/>
        <v>1</v>
      </c>
      <c r="AD188" s="1">
        <f t="shared" si="77"/>
        <v>1</v>
      </c>
      <c r="AE188" s="1">
        <f t="shared" si="77"/>
        <v>1</v>
      </c>
      <c r="AF188" s="1">
        <f t="shared" si="77"/>
        <v>1</v>
      </c>
      <c r="AG188" s="1">
        <f t="shared" si="77"/>
        <v>1</v>
      </c>
      <c r="AH188" s="1">
        <f t="shared" si="77"/>
        <v>1</v>
      </c>
      <c r="AI188" s="44">
        <f t="shared" si="66"/>
        <v>98813.738126411248</v>
      </c>
      <c r="AJ188" s="44">
        <f t="shared" si="56"/>
        <v>99263.168474494174</v>
      </c>
      <c r="AK188" s="44" t="str">
        <f t="shared" si="74"/>
        <v>N</v>
      </c>
      <c r="AL188" s="4">
        <f t="shared" si="57"/>
        <v>110</v>
      </c>
      <c r="AM188" s="82">
        <f t="shared" si="67"/>
        <v>0</v>
      </c>
      <c r="AN188" s="82">
        <f t="shared" si="58"/>
        <v>0</v>
      </c>
      <c r="AO188" s="48">
        <f>0</f>
        <v>0</v>
      </c>
      <c r="AP188" s="91">
        <f t="shared" si="68"/>
        <v>-449.43034808291918</v>
      </c>
      <c r="AQ188" s="91">
        <f t="shared" si="69"/>
        <v>-449.43034808291918</v>
      </c>
      <c r="AV188" s="84"/>
    </row>
    <row r="189" spans="1:48">
      <c r="A189" s="190">
        <f t="shared" si="59"/>
        <v>74.970910335386719</v>
      </c>
      <c r="B189" s="82">
        <f t="shared" si="60"/>
        <v>10</v>
      </c>
      <c r="C189" s="83">
        <f t="shared" si="61"/>
        <v>111</v>
      </c>
      <c r="D189" s="14">
        <f t="shared" si="48"/>
        <v>4.8675505653430484E-3</v>
      </c>
      <c r="E189" s="16">
        <f t="shared" si="49"/>
        <v>0</v>
      </c>
      <c r="F189" s="127"/>
      <c r="G189" s="88">
        <f t="shared" si="50"/>
        <v>0</v>
      </c>
      <c r="H189" s="89">
        <f t="shared" si="62"/>
        <v>4.1666666666666666E-3</v>
      </c>
      <c r="I189" s="219"/>
      <c r="J189" s="219"/>
      <c r="K189" s="6">
        <f t="shared" si="70"/>
        <v>98813.738126411248</v>
      </c>
      <c r="M189" s="6">
        <f t="shared" si="51"/>
        <v>480.98086688087301</v>
      </c>
      <c r="N189" s="6">
        <f t="shared" si="63"/>
        <v>-111.92071581099034</v>
      </c>
      <c r="O189" s="90">
        <f t="shared" si="52"/>
        <v>398.36418954077027</v>
      </c>
      <c r="P189" s="91">
        <f t="shared" si="53"/>
        <v>0</v>
      </c>
      <c r="Q189" s="6">
        <f t="shared" si="54"/>
        <v>413.26165948950467</v>
      </c>
      <c r="R189" s="87">
        <f t="shared" si="73"/>
        <v>-449.2293082306528</v>
      </c>
      <c r="S189" s="6">
        <f t="shared" si="55"/>
        <v>-20.601460998618574</v>
      </c>
      <c r="T189" s="83">
        <f t="shared" si="64"/>
        <v>0</v>
      </c>
      <c r="U189" s="91">
        <f t="shared" si="71"/>
        <v>115371.8266404876</v>
      </c>
      <c r="V189" s="91">
        <f t="shared" si="65"/>
        <v>561.57819998856564</v>
      </c>
      <c r="W189" s="1">
        <f t="shared" ref="W189:AH198" si="78">IF($B189&lt;=W$78,1,0)</f>
        <v>0</v>
      </c>
      <c r="X189" s="1">
        <f t="shared" si="78"/>
        <v>0</v>
      </c>
      <c r="Y189" s="1">
        <f t="shared" si="78"/>
        <v>0</v>
      </c>
      <c r="Z189" s="1">
        <f t="shared" si="78"/>
        <v>0</v>
      </c>
      <c r="AA189" s="1">
        <f t="shared" si="78"/>
        <v>0</v>
      </c>
      <c r="AB189" s="1">
        <f t="shared" si="78"/>
        <v>1</v>
      </c>
      <c r="AC189" s="1">
        <f t="shared" si="78"/>
        <v>1</v>
      </c>
      <c r="AD189" s="1">
        <f t="shared" si="78"/>
        <v>1</v>
      </c>
      <c r="AE189" s="1">
        <f t="shared" si="78"/>
        <v>1</v>
      </c>
      <c r="AF189" s="1">
        <f t="shared" si="78"/>
        <v>1</v>
      </c>
      <c r="AG189" s="1">
        <f t="shared" si="78"/>
        <v>1</v>
      </c>
      <c r="AH189" s="1">
        <f t="shared" si="78"/>
        <v>1</v>
      </c>
      <c r="AI189" s="44">
        <f t="shared" si="66"/>
        <v>98733.568969250467</v>
      </c>
      <c r="AJ189" s="44">
        <f t="shared" si="56"/>
        <v>99182.798277481124</v>
      </c>
      <c r="AK189" s="44" t="str">
        <f t="shared" si="74"/>
        <v>N</v>
      </c>
      <c r="AL189" s="4">
        <f t="shared" si="57"/>
        <v>111</v>
      </c>
      <c r="AM189" s="82">
        <f t="shared" si="67"/>
        <v>0</v>
      </c>
      <c r="AN189" s="82">
        <f t="shared" si="58"/>
        <v>0</v>
      </c>
      <c r="AO189" s="48">
        <f>0</f>
        <v>0</v>
      </c>
      <c r="AP189" s="91">
        <f t="shared" si="68"/>
        <v>-449.2293082306528</v>
      </c>
      <c r="AQ189" s="91">
        <f t="shared" si="69"/>
        <v>-449.2293082306528</v>
      </c>
      <c r="AV189" s="84"/>
    </row>
    <row r="190" spans="1:48">
      <c r="A190" s="190">
        <f t="shared" si="59"/>
        <v>75.054243668720048</v>
      </c>
      <c r="B190" s="82">
        <f t="shared" si="60"/>
        <v>10</v>
      </c>
      <c r="C190" s="83">
        <f t="shared" si="61"/>
        <v>112</v>
      </c>
      <c r="D190" s="14">
        <f t="shared" si="48"/>
        <v>4.8675505653430484E-3</v>
      </c>
      <c r="E190" s="16">
        <f t="shared" si="49"/>
        <v>0</v>
      </c>
      <c r="F190" s="127"/>
      <c r="G190" s="88">
        <f t="shared" si="50"/>
        <v>0</v>
      </c>
      <c r="H190" s="89">
        <f t="shared" si="62"/>
        <v>4.1666666666666666E-3</v>
      </c>
      <c r="I190" s="219"/>
      <c r="J190" s="219"/>
      <c r="K190" s="6">
        <f t="shared" si="70"/>
        <v>98733.568969250467</v>
      </c>
      <c r="M190" s="6">
        <f t="shared" si="51"/>
        <v>480.59063945461196</v>
      </c>
      <c r="N190" s="6">
        <f t="shared" si="63"/>
        <v>-111.82991275439592</v>
      </c>
      <c r="O190" s="90">
        <f t="shared" si="52"/>
        <v>398.36418954077027</v>
      </c>
      <c r="P190" s="91">
        <f t="shared" si="53"/>
        <v>0</v>
      </c>
      <c r="Q190" s="6">
        <f t="shared" si="54"/>
        <v>412.92637373312783</v>
      </c>
      <c r="R190" s="87">
        <f t="shared" si="73"/>
        <v>-460.47461561977508</v>
      </c>
      <c r="S190" s="6">
        <f t="shared" si="55"/>
        <v>-20.583535966269569</v>
      </c>
      <c r="T190" s="83">
        <f t="shared" si="64"/>
        <v>0</v>
      </c>
      <c r="U190" s="91">
        <f t="shared" si="71"/>
        <v>115484.17553224551</v>
      </c>
      <c r="V190" s="91">
        <f t="shared" si="65"/>
        <v>562.12506390015744</v>
      </c>
      <c r="W190" s="1">
        <f t="shared" si="78"/>
        <v>0</v>
      </c>
      <c r="X190" s="1">
        <f t="shared" si="78"/>
        <v>0</v>
      </c>
      <c r="Y190" s="1">
        <f t="shared" si="78"/>
        <v>0</v>
      </c>
      <c r="Z190" s="1">
        <f t="shared" si="78"/>
        <v>0</v>
      </c>
      <c r="AA190" s="1">
        <f t="shared" si="78"/>
        <v>0</v>
      </c>
      <c r="AB190" s="1">
        <f t="shared" si="78"/>
        <v>1</v>
      </c>
      <c r="AC190" s="1">
        <f t="shared" si="78"/>
        <v>1</v>
      </c>
      <c r="AD190" s="1">
        <f t="shared" si="78"/>
        <v>1</v>
      </c>
      <c r="AE190" s="1">
        <f t="shared" si="78"/>
        <v>1</v>
      </c>
      <c r="AF190" s="1">
        <f t="shared" si="78"/>
        <v>1</v>
      </c>
      <c r="AG190" s="1">
        <f t="shared" si="78"/>
        <v>1</v>
      </c>
      <c r="AH190" s="1">
        <f t="shared" si="78"/>
        <v>1</v>
      </c>
      <c r="AI190" s="44">
        <f t="shared" si="66"/>
        <v>98641.855080330904</v>
      </c>
      <c r="AJ190" s="44">
        <f t="shared" si="56"/>
        <v>99102.329695950684</v>
      </c>
      <c r="AK190" s="44" t="str">
        <f t="shared" si="74"/>
        <v>N</v>
      </c>
      <c r="AL190" s="4">
        <f t="shared" si="57"/>
        <v>112</v>
      </c>
      <c r="AM190" s="82">
        <f t="shared" si="67"/>
        <v>0</v>
      </c>
      <c r="AN190" s="82">
        <f t="shared" si="58"/>
        <v>0</v>
      </c>
      <c r="AO190" s="48">
        <f>0</f>
        <v>0</v>
      </c>
      <c r="AP190" s="91">
        <f t="shared" si="68"/>
        <v>-460.47461561977508</v>
      </c>
      <c r="AQ190" s="91">
        <f t="shared" si="69"/>
        <v>-460.47461561977508</v>
      </c>
      <c r="AV190" s="84"/>
    </row>
    <row r="191" spans="1:48">
      <c r="A191" s="190">
        <f t="shared" si="59"/>
        <v>75.137577002053376</v>
      </c>
      <c r="B191" s="82">
        <f t="shared" si="60"/>
        <v>10</v>
      </c>
      <c r="C191" s="83">
        <f t="shared" si="61"/>
        <v>113</v>
      </c>
      <c r="D191" s="14">
        <f t="shared" si="48"/>
        <v>4.8675505653430484E-3</v>
      </c>
      <c r="E191" s="16">
        <f t="shared" si="49"/>
        <v>0</v>
      </c>
      <c r="F191" s="127"/>
      <c r="G191" s="88">
        <f t="shared" si="50"/>
        <v>0</v>
      </c>
      <c r="H191" s="89">
        <f t="shared" si="62"/>
        <v>4.1666666666666666E-3</v>
      </c>
      <c r="I191" s="219"/>
      <c r="J191" s="219"/>
      <c r="K191" s="6">
        <f t="shared" si="70"/>
        <v>98641.855080330904</v>
      </c>
      <c r="M191" s="6">
        <f t="shared" si="51"/>
        <v>480.14421746275173</v>
      </c>
      <c r="N191" s="6">
        <f t="shared" si="63"/>
        <v>-111.7260336350314</v>
      </c>
      <c r="O191" s="90">
        <f t="shared" si="52"/>
        <v>398.36418954077027</v>
      </c>
      <c r="P191" s="91">
        <f t="shared" si="53"/>
        <v>0</v>
      </c>
      <c r="Q191" s="6">
        <f t="shared" si="54"/>
        <v>412.54280526732759</v>
      </c>
      <c r="R191" s="87">
        <f t="shared" si="73"/>
        <v>-460.26863542931505</v>
      </c>
      <c r="S191" s="6">
        <f t="shared" si="55"/>
        <v>-20.564392735933595</v>
      </c>
      <c r="T191" s="83">
        <f t="shared" si="64"/>
        <v>0</v>
      </c>
      <c r="U191" s="91">
        <f t="shared" si="71"/>
        <v>115585.82598052589</v>
      </c>
      <c r="V191" s="91">
        <f t="shared" si="65"/>
        <v>562.61985259715198</v>
      </c>
      <c r="W191" s="1">
        <f t="shared" si="78"/>
        <v>0</v>
      </c>
      <c r="X191" s="1">
        <f t="shared" si="78"/>
        <v>0</v>
      </c>
      <c r="Y191" s="1">
        <f t="shared" si="78"/>
        <v>0</v>
      </c>
      <c r="Z191" s="1">
        <f t="shared" si="78"/>
        <v>0</v>
      </c>
      <c r="AA191" s="1">
        <f t="shared" si="78"/>
        <v>0</v>
      </c>
      <c r="AB191" s="1">
        <f t="shared" si="78"/>
        <v>1</v>
      </c>
      <c r="AC191" s="1">
        <f t="shared" si="78"/>
        <v>1</v>
      </c>
      <c r="AD191" s="1">
        <f t="shared" si="78"/>
        <v>1</v>
      </c>
      <c r="AE191" s="1">
        <f t="shared" si="78"/>
        <v>1</v>
      </c>
      <c r="AF191" s="1">
        <f t="shared" si="78"/>
        <v>1</v>
      </c>
      <c r="AG191" s="1">
        <f t="shared" si="78"/>
        <v>1</v>
      </c>
      <c r="AH191" s="1">
        <f t="shared" si="78"/>
        <v>1</v>
      </c>
      <c r="AI191" s="44">
        <f t="shared" si="66"/>
        <v>98550.004628729308</v>
      </c>
      <c r="AJ191" s="44">
        <f t="shared" si="56"/>
        <v>99010.273264158619</v>
      </c>
      <c r="AK191" s="44" t="str">
        <f t="shared" si="74"/>
        <v>N</v>
      </c>
      <c r="AL191" s="4">
        <f t="shared" si="57"/>
        <v>113</v>
      </c>
      <c r="AM191" s="82">
        <f t="shared" si="67"/>
        <v>0</v>
      </c>
      <c r="AN191" s="82">
        <f t="shared" si="58"/>
        <v>0</v>
      </c>
      <c r="AO191" s="48">
        <f>0</f>
        <v>0</v>
      </c>
      <c r="AP191" s="91">
        <f t="shared" si="68"/>
        <v>-460.26863542931505</v>
      </c>
      <c r="AQ191" s="91">
        <f t="shared" si="69"/>
        <v>-460.26863542931505</v>
      </c>
      <c r="AV191" s="84"/>
    </row>
    <row r="192" spans="1:48">
      <c r="A192" s="190">
        <f t="shared" si="59"/>
        <v>75.220910335386719</v>
      </c>
      <c r="B192" s="82">
        <f t="shared" si="60"/>
        <v>10</v>
      </c>
      <c r="C192" s="83">
        <f t="shared" si="61"/>
        <v>114</v>
      </c>
      <c r="D192" s="14">
        <f t="shared" si="48"/>
        <v>4.8675505653430484E-3</v>
      </c>
      <c r="E192" s="16">
        <f t="shared" si="49"/>
        <v>0</v>
      </c>
      <c r="F192" s="127"/>
      <c r="G192" s="88">
        <f t="shared" si="50"/>
        <v>0</v>
      </c>
      <c r="H192" s="89">
        <f t="shared" si="62"/>
        <v>4.1666666666666666E-3</v>
      </c>
      <c r="I192" s="219"/>
      <c r="J192" s="219"/>
      <c r="K192" s="6">
        <f t="shared" si="70"/>
        <v>98550.004628729308</v>
      </c>
      <c r="M192" s="6">
        <f t="shared" si="51"/>
        <v>479.6971307451314</v>
      </c>
      <c r="N192" s="6">
        <f t="shared" si="63"/>
        <v>-111.62199983886369</v>
      </c>
      <c r="O192" s="90">
        <f t="shared" si="52"/>
        <v>398.36418954077027</v>
      </c>
      <c r="P192" s="91">
        <f t="shared" si="53"/>
        <v>0</v>
      </c>
      <c r="Q192" s="6">
        <f t="shared" si="54"/>
        <v>412.15866566514819</v>
      </c>
      <c r="R192" s="87">
        <f t="shared" si="73"/>
        <v>-460.06274737822059</v>
      </c>
      <c r="S192" s="6">
        <f t="shared" si="55"/>
        <v>-20.545220959587162</v>
      </c>
      <c r="T192" s="83">
        <f t="shared" si="64"/>
        <v>0</v>
      </c>
      <c r="U192" s="91">
        <f t="shared" si="71"/>
        <v>115688.17719769373</v>
      </c>
      <c r="V192" s="91">
        <f t="shared" si="65"/>
        <v>563.1180523221409</v>
      </c>
      <c r="W192" s="1">
        <f t="shared" si="78"/>
        <v>0</v>
      </c>
      <c r="X192" s="1">
        <f t="shared" si="78"/>
        <v>0</v>
      </c>
      <c r="Y192" s="1">
        <f t="shared" si="78"/>
        <v>0</v>
      </c>
      <c r="Z192" s="1">
        <f t="shared" si="78"/>
        <v>0</v>
      </c>
      <c r="AA192" s="1">
        <f t="shared" si="78"/>
        <v>0</v>
      </c>
      <c r="AB192" s="1">
        <f t="shared" si="78"/>
        <v>1</v>
      </c>
      <c r="AC192" s="1">
        <f t="shared" si="78"/>
        <v>1</v>
      </c>
      <c r="AD192" s="1">
        <f t="shared" si="78"/>
        <v>1</v>
      </c>
      <c r="AE192" s="1">
        <f t="shared" si="78"/>
        <v>1</v>
      </c>
      <c r="AF192" s="1">
        <f t="shared" si="78"/>
        <v>1</v>
      </c>
      <c r="AG192" s="1">
        <f t="shared" si="78"/>
        <v>1</v>
      </c>
      <c r="AH192" s="1">
        <f t="shared" si="78"/>
        <v>1</v>
      </c>
      <c r="AI192" s="44">
        <f t="shared" si="66"/>
        <v>98458.017012257347</v>
      </c>
      <c r="AJ192" s="44">
        <f t="shared" si="56"/>
        <v>98918.07975963557</v>
      </c>
      <c r="AK192" s="44" t="str">
        <f t="shared" si="74"/>
        <v>N</v>
      </c>
      <c r="AL192" s="4">
        <f t="shared" si="57"/>
        <v>114</v>
      </c>
      <c r="AM192" s="82">
        <f t="shared" si="67"/>
        <v>0</v>
      </c>
      <c r="AN192" s="82">
        <f t="shared" si="58"/>
        <v>0</v>
      </c>
      <c r="AO192" s="48">
        <f>0</f>
        <v>0</v>
      </c>
      <c r="AP192" s="91">
        <f t="shared" si="68"/>
        <v>-460.06274737822059</v>
      </c>
      <c r="AQ192" s="91">
        <f t="shared" si="69"/>
        <v>-460.06274737822059</v>
      </c>
      <c r="AV192" s="84"/>
    </row>
    <row r="193" spans="1:48">
      <c r="A193" s="190">
        <f t="shared" si="59"/>
        <v>75.304243668720048</v>
      </c>
      <c r="B193" s="82">
        <f t="shared" si="60"/>
        <v>10</v>
      </c>
      <c r="C193" s="83">
        <f t="shared" si="61"/>
        <v>115</v>
      </c>
      <c r="D193" s="14">
        <f t="shared" si="48"/>
        <v>4.8675505653430484E-3</v>
      </c>
      <c r="E193" s="16">
        <f t="shared" si="49"/>
        <v>0</v>
      </c>
      <c r="F193" s="127"/>
      <c r="G193" s="88">
        <f t="shared" si="50"/>
        <v>0</v>
      </c>
      <c r="H193" s="89">
        <f t="shared" si="62"/>
        <v>4.1666666666666666E-3</v>
      </c>
      <c r="I193" s="219"/>
      <c r="J193" s="219"/>
      <c r="K193" s="6">
        <f t="shared" si="70"/>
        <v>98458.017012257347</v>
      </c>
      <c r="M193" s="6">
        <f t="shared" si="51"/>
        <v>479.24937637056871</v>
      </c>
      <c r="N193" s="6">
        <f t="shared" si="63"/>
        <v>-111.5178106838282</v>
      </c>
      <c r="O193" s="90">
        <f t="shared" si="52"/>
        <v>398.36418954077027</v>
      </c>
      <c r="P193" s="91">
        <f t="shared" si="53"/>
        <v>0</v>
      </c>
      <c r="Q193" s="6">
        <f t="shared" si="54"/>
        <v>411.77395240810034</v>
      </c>
      <c r="R193" s="87">
        <f t="shared" si="73"/>
        <v>-459.85695142527544</v>
      </c>
      <c r="S193" s="6">
        <f t="shared" si="55"/>
        <v>-20.526020511400127</v>
      </c>
      <c r="T193" s="83">
        <f t="shared" si="64"/>
        <v>0</v>
      </c>
      <c r="U193" s="91">
        <f t="shared" si="71"/>
        <v>115791.23250263765</v>
      </c>
      <c r="V193" s="91">
        <f t="shared" si="65"/>
        <v>563.61967922998224</v>
      </c>
      <c r="W193" s="1">
        <f t="shared" si="78"/>
        <v>0</v>
      </c>
      <c r="X193" s="1">
        <f t="shared" si="78"/>
        <v>0</v>
      </c>
      <c r="Y193" s="1">
        <f t="shared" si="78"/>
        <v>0</v>
      </c>
      <c r="Z193" s="1">
        <f t="shared" si="78"/>
        <v>0</v>
      </c>
      <c r="AA193" s="1">
        <f t="shared" si="78"/>
        <v>0</v>
      </c>
      <c r="AB193" s="1">
        <f t="shared" si="78"/>
        <v>1</v>
      </c>
      <c r="AC193" s="1">
        <f t="shared" si="78"/>
        <v>1</v>
      </c>
      <c r="AD193" s="1">
        <f t="shared" si="78"/>
        <v>1</v>
      </c>
      <c r="AE193" s="1">
        <f t="shared" si="78"/>
        <v>1</v>
      </c>
      <c r="AF193" s="1">
        <f t="shared" si="78"/>
        <v>1</v>
      </c>
      <c r="AG193" s="1">
        <f t="shared" si="78"/>
        <v>1</v>
      </c>
      <c r="AH193" s="1">
        <f t="shared" si="78"/>
        <v>1</v>
      </c>
      <c r="AI193" s="44">
        <f t="shared" si="66"/>
        <v>98365.891626518816</v>
      </c>
      <c r="AJ193" s="44">
        <f t="shared" si="56"/>
        <v>98825.74857794409</v>
      </c>
      <c r="AK193" s="44" t="str">
        <f t="shared" si="74"/>
        <v>N</v>
      </c>
      <c r="AL193" s="4">
        <f t="shared" si="57"/>
        <v>115</v>
      </c>
      <c r="AM193" s="82">
        <f t="shared" si="67"/>
        <v>0</v>
      </c>
      <c r="AN193" s="82">
        <f t="shared" si="58"/>
        <v>0</v>
      </c>
      <c r="AO193" s="48">
        <f>0</f>
        <v>0</v>
      </c>
      <c r="AP193" s="91">
        <f t="shared" si="68"/>
        <v>-459.85695142527544</v>
      </c>
      <c r="AQ193" s="91">
        <f t="shared" si="69"/>
        <v>-459.85695142527544</v>
      </c>
      <c r="AV193" s="84"/>
    </row>
    <row r="194" spans="1:48">
      <c r="A194" s="190">
        <f t="shared" si="59"/>
        <v>75.387577002053376</v>
      </c>
      <c r="B194" s="82">
        <f t="shared" si="60"/>
        <v>10</v>
      </c>
      <c r="C194" s="83">
        <f t="shared" si="61"/>
        <v>116</v>
      </c>
      <c r="D194" s="14">
        <f t="shared" si="48"/>
        <v>4.8675505653430484E-3</v>
      </c>
      <c r="E194" s="16">
        <f t="shared" si="49"/>
        <v>0</v>
      </c>
      <c r="F194" s="127"/>
      <c r="G194" s="88">
        <f t="shared" si="50"/>
        <v>0</v>
      </c>
      <c r="H194" s="89">
        <f t="shared" si="62"/>
        <v>4.1666666666666666E-3</v>
      </c>
      <c r="I194" s="219"/>
      <c r="J194" s="219"/>
      <c r="K194" s="6">
        <f t="shared" si="70"/>
        <v>98365.891626518816</v>
      </c>
      <c r="M194" s="6">
        <f t="shared" si="51"/>
        <v>478.80095139713472</v>
      </c>
      <c r="N194" s="6">
        <f t="shared" si="63"/>
        <v>-111.41346548535965</v>
      </c>
      <c r="O194" s="90">
        <f t="shared" si="52"/>
        <v>398.36418954077027</v>
      </c>
      <c r="P194" s="91">
        <f t="shared" si="53"/>
        <v>0</v>
      </c>
      <c r="Q194" s="6">
        <f t="shared" si="54"/>
        <v>411.38866296846078</v>
      </c>
      <c r="R194" s="87">
        <f t="shared" si="73"/>
        <v>-459.65124752928239</v>
      </c>
      <c r="S194" s="6">
        <f t="shared" si="55"/>
        <v>-20.506791265080995</v>
      </c>
      <c r="T194" s="83">
        <f t="shared" si="64"/>
        <v>0</v>
      </c>
      <c r="U194" s="91">
        <f t="shared" si="71"/>
        <v>115894.99523044236</v>
      </c>
      <c r="V194" s="91">
        <f t="shared" si="65"/>
        <v>564.1247495543696</v>
      </c>
      <c r="W194" s="1">
        <f t="shared" si="78"/>
        <v>0</v>
      </c>
      <c r="X194" s="1">
        <f t="shared" si="78"/>
        <v>0</v>
      </c>
      <c r="Y194" s="1">
        <f t="shared" si="78"/>
        <v>0</v>
      </c>
      <c r="Z194" s="1">
        <f t="shared" si="78"/>
        <v>0</v>
      </c>
      <c r="AA194" s="1">
        <f t="shared" si="78"/>
        <v>0</v>
      </c>
      <c r="AB194" s="1">
        <f t="shared" si="78"/>
        <v>1</v>
      </c>
      <c r="AC194" s="1">
        <f t="shared" si="78"/>
        <v>1</v>
      </c>
      <c r="AD194" s="1">
        <f t="shared" si="78"/>
        <v>1</v>
      </c>
      <c r="AE194" s="1">
        <f t="shared" si="78"/>
        <v>1</v>
      </c>
      <c r="AF194" s="1">
        <f t="shared" si="78"/>
        <v>1</v>
      </c>
      <c r="AG194" s="1">
        <f t="shared" si="78"/>
        <v>1</v>
      </c>
      <c r="AH194" s="1">
        <f t="shared" si="78"/>
        <v>1</v>
      </c>
      <c r="AI194" s="44">
        <f t="shared" si="66"/>
        <v>98273.627864901311</v>
      </c>
      <c r="AJ194" s="44">
        <f t="shared" si="56"/>
        <v>98733.279112430595</v>
      </c>
      <c r="AK194" s="44" t="str">
        <f t="shared" si="74"/>
        <v>N</v>
      </c>
      <c r="AL194" s="4">
        <f t="shared" si="57"/>
        <v>116</v>
      </c>
      <c r="AM194" s="82">
        <f t="shared" si="67"/>
        <v>0</v>
      </c>
      <c r="AN194" s="82">
        <f t="shared" si="58"/>
        <v>0</v>
      </c>
      <c r="AO194" s="48">
        <f>0</f>
        <v>0</v>
      </c>
      <c r="AP194" s="91">
        <f t="shared" si="68"/>
        <v>-459.65124752928239</v>
      </c>
      <c r="AQ194" s="91">
        <f t="shared" si="69"/>
        <v>-459.65124752928239</v>
      </c>
      <c r="AV194" s="84"/>
    </row>
    <row r="195" spans="1:48">
      <c r="A195" s="190">
        <f t="shared" si="59"/>
        <v>75.470910335386719</v>
      </c>
      <c r="B195" s="82">
        <f t="shared" si="60"/>
        <v>10</v>
      </c>
      <c r="C195" s="83">
        <f t="shared" si="61"/>
        <v>117</v>
      </c>
      <c r="D195" s="14">
        <f t="shared" si="48"/>
        <v>4.8675505653430484E-3</v>
      </c>
      <c r="E195" s="16">
        <f t="shared" si="49"/>
        <v>0</v>
      </c>
      <c r="F195" s="127"/>
      <c r="G195" s="88">
        <f t="shared" si="50"/>
        <v>0</v>
      </c>
      <c r="H195" s="89">
        <f t="shared" si="62"/>
        <v>4.1666666666666666E-3</v>
      </c>
      <c r="I195" s="219"/>
      <c r="J195" s="219"/>
      <c r="K195" s="6">
        <f t="shared" si="70"/>
        <v>98273.627864901311</v>
      </c>
      <c r="M195" s="6">
        <f t="shared" si="51"/>
        <v>478.35185287211272</v>
      </c>
      <c r="N195" s="6">
        <f t="shared" si="63"/>
        <v>-111.30896355638258</v>
      </c>
      <c r="O195" s="90">
        <f t="shared" si="52"/>
        <v>398.36418954077027</v>
      </c>
      <c r="P195" s="91">
        <f t="shared" si="53"/>
        <v>0</v>
      </c>
      <c r="Q195" s="6">
        <f t="shared" si="54"/>
        <v>411.00279480923768</v>
      </c>
      <c r="R195" s="87">
        <f t="shared" si="73"/>
        <v>-459.44563564906213</v>
      </c>
      <c r="S195" s="6">
        <f t="shared" si="55"/>
        <v>-20.487533093875157</v>
      </c>
      <c r="T195" s="83">
        <f t="shared" si="64"/>
        <v>0</v>
      </c>
      <c r="U195" s="91">
        <f t="shared" si="71"/>
        <v>115999.46873246745</v>
      </c>
      <c r="V195" s="91">
        <f t="shared" si="65"/>
        <v>564.63327960821516</v>
      </c>
      <c r="W195" s="1">
        <f t="shared" si="78"/>
        <v>0</v>
      </c>
      <c r="X195" s="1">
        <f t="shared" si="78"/>
        <v>0</v>
      </c>
      <c r="Y195" s="1">
        <f t="shared" si="78"/>
        <v>0</v>
      </c>
      <c r="Z195" s="1">
        <f t="shared" si="78"/>
        <v>0</v>
      </c>
      <c r="AA195" s="1">
        <f t="shared" si="78"/>
        <v>0</v>
      </c>
      <c r="AB195" s="1">
        <f t="shared" si="78"/>
        <v>1</v>
      </c>
      <c r="AC195" s="1">
        <f t="shared" si="78"/>
        <v>1</v>
      </c>
      <c r="AD195" s="1">
        <f t="shared" si="78"/>
        <v>1</v>
      </c>
      <c r="AE195" s="1">
        <f t="shared" si="78"/>
        <v>1</v>
      </c>
      <c r="AF195" s="1">
        <f t="shared" si="78"/>
        <v>1</v>
      </c>
      <c r="AG195" s="1">
        <f t="shared" si="78"/>
        <v>1</v>
      </c>
      <c r="AH195" s="1">
        <f t="shared" si="78"/>
        <v>1</v>
      </c>
      <c r="AI195" s="44">
        <f t="shared" si="66"/>
        <v>98181.225118567992</v>
      </c>
      <c r="AJ195" s="44">
        <f t="shared" si="56"/>
        <v>98640.670754217048</v>
      </c>
      <c r="AK195" s="44" t="str">
        <f t="shared" si="74"/>
        <v>N</v>
      </c>
      <c r="AL195" s="4">
        <f t="shared" si="57"/>
        <v>117</v>
      </c>
      <c r="AM195" s="82">
        <f t="shared" si="67"/>
        <v>0</v>
      </c>
      <c r="AN195" s="82">
        <f t="shared" si="58"/>
        <v>0</v>
      </c>
      <c r="AO195" s="48">
        <f>0</f>
        <v>0</v>
      </c>
      <c r="AP195" s="91">
        <f t="shared" si="68"/>
        <v>-459.44563564906213</v>
      </c>
      <c r="AQ195" s="91">
        <f t="shared" si="69"/>
        <v>-459.44563564906213</v>
      </c>
      <c r="AV195" s="84"/>
    </row>
    <row r="196" spans="1:48">
      <c r="A196" s="190">
        <f t="shared" si="59"/>
        <v>75.554243668720048</v>
      </c>
      <c r="B196" s="82">
        <f t="shared" si="60"/>
        <v>10</v>
      </c>
      <c r="C196" s="83">
        <f t="shared" si="61"/>
        <v>118</v>
      </c>
      <c r="D196" s="14">
        <f t="shared" si="48"/>
        <v>4.8675505653430484E-3</v>
      </c>
      <c r="E196" s="16">
        <f t="shared" si="49"/>
        <v>0</v>
      </c>
      <c r="F196" s="127"/>
      <c r="G196" s="88">
        <f t="shared" si="50"/>
        <v>0</v>
      </c>
      <c r="H196" s="89">
        <f t="shared" si="62"/>
        <v>4.1666666666666666E-3</v>
      </c>
      <c r="I196" s="219"/>
      <c r="J196" s="219"/>
      <c r="K196" s="6">
        <f t="shared" si="70"/>
        <v>98181.225118567992</v>
      </c>
      <c r="M196" s="6">
        <f t="shared" si="51"/>
        <v>477.90207783195876</v>
      </c>
      <c r="N196" s="6">
        <f t="shared" si="63"/>
        <v>-111.20430420730203</v>
      </c>
      <c r="O196" s="90">
        <f t="shared" si="52"/>
        <v>398.36418954077027</v>
      </c>
      <c r="P196" s="91">
        <f t="shared" si="53"/>
        <v>0</v>
      </c>
      <c r="Q196" s="6">
        <f t="shared" si="54"/>
        <v>410.61634538413597</v>
      </c>
      <c r="R196" s="87">
        <f t="shared" si="73"/>
        <v>-459.24011574345423</v>
      </c>
      <c r="S196" s="6">
        <f t="shared" si="55"/>
        <v>-20.468245870563191</v>
      </c>
      <c r="T196" s="83">
        <f t="shared" si="64"/>
        <v>0</v>
      </c>
      <c r="U196" s="91">
        <f t="shared" si="71"/>
        <v>116104.6563764266</v>
      </c>
      <c r="V196" s="91">
        <f t="shared" si="65"/>
        <v>565.14528578403565</v>
      </c>
      <c r="W196" s="1">
        <f t="shared" si="78"/>
        <v>0</v>
      </c>
      <c r="X196" s="1">
        <f t="shared" si="78"/>
        <v>0</v>
      </c>
      <c r="Y196" s="1">
        <f t="shared" si="78"/>
        <v>0</v>
      </c>
      <c r="Z196" s="1">
        <f t="shared" si="78"/>
        <v>0</v>
      </c>
      <c r="AA196" s="1">
        <f t="shared" si="78"/>
        <v>0</v>
      </c>
      <c r="AB196" s="1">
        <f t="shared" si="78"/>
        <v>1</v>
      </c>
      <c r="AC196" s="1">
        <f t="shared" si="78"/>
        <v>1</v>
      </c>
      <c r="AD196" s="1">
        <f t="shared" si="78"/>
        <v>1</v>
      </c>
      <c r="AE196" s="1">
        <f t="shared" si="78"/>
        <v>1</v>
      </c>
      <c r="AF196" s="1">
        <f t="shared" si="78"/>
        <v>1</v>
      </c>
      <c r="AG196" s="1">
        <f t="shared" si="78"/>
        <v>1</v>
      </c>
      <c r="AH196" s="1">
        <f t="shared" si="78"/>
        <v>1</v>
      </c>
      <c r="AI196" s="44">
        <f t="shared" si="66"/>
        <v>98088.68277644919</v>
      </c>
      <c r="AJ196" s="44">
        <f t="shared" si="56"/>
        <v>98547.922892192641</v>
      </c>
      <c r="AK196" s="44" t="str">
        <f t="shared" si="74"/>
        <v>N</v>
      </c>
      <c r="AL196" s="4">
        <f t="shared" si="57"/>
        <v>118</v>
      </c>
      <c r="AM196" s="82">
        <f t="shared" si="67"/>
        <v>0</v>
      </c>
      <c r="AN196" s="82">
        <f t="shared" si="58"/>
        <v>0</v>
      </c>
      <c r="AO196" s="48">
        <f>0</f>
        <v>0</v>
      </c>
      <c r="AP196" s="91">
        <f t="shared" si="68"/>
        <v>-459.24011574345423</v>
      </c>
      <c r="AQ196" s="91">
        <f t="shared" si="69"/>
        <v>-459.24011574345423</v>
      </c>
      <c r="AV196" s="84"/>
    </row>
    <row r="197" spans="1:48">
      <c r="A197" s="190">
        <f t="shared" si="59"/>
        <v>75.637577002053376</v>
      </c>
      <c r="B197" s="82">
        <f t="shared" si="60"/>
        <v>10</v>
      </c>
      <c r="C197" s="83">
        <f t="shared" si="61"/>
        <v>119</v>
      </c>
      <c r="D197" s="14">
        <f t="shared" si="48"/>
        <v>4.8675505653430484E-3</v>
      </c>
      <c r="E197" s="16">
        <f t="shared" si="49"/>
        <v>0</v>
      </c>
      <c r="F197" s="127"/>
      <c r="G197" s="88">
        <f t="shared" si="50"/>
        <v>0</v>
      </c>
      <c r="H197" s="89">
        <f t="shared" si="62"/>
        <v>4.1666666666666666E-3</v>
      </c>
      <c r="I197" s="219"/>
      <c r="J197" s="219"/>
      <c r="K197" s="6">
        <f t="shared" si="70"/>
        <v>98088.68277644919</v>
      </c>
      <c r="M197" s="6">
        <f t="shared" si="51"/>
        <v>477.4516233022602</v>
      </c>
      <c r="N197" s="6">
        <f t="shared" si="63"/>
        <v>-111.09948674599404</v>
      </c>
      <c r="O197" s="90">
        <f t="shared" si="52"/>
        <v>398.36418954077027</v>
      </c>
      <c r="P197" s="91">
        <f t="shared" si="53"/>
        <v>0</v>
      </c>
      <c r="Q197" s="6">
        <f t="shared" si="54"/>
        <v>410.2293121375227</v>
      </c>
      <c r="R197" s="87">
        <f t="shared" si="73"/>
        <v>-459.03468777131644</v>
      </c>
      <c r="S197" s="6">
        <f t="shared" si="55"/>
        <v>-20.448929467459084</v>
      </c>
      <c r="T197" s="83">
        <f t="shared" si="64"/>
        <v>0</v>
      </c>
      <c r="U197" s="91">
        <f t="shared" si="71"/>
        <v>116210.56154646719</v>
      </c>
      <c r="V197" s="91">
        <f t="shared" si="65"/>
        <v>565.66078455433944</v>
      </c>
      <c r="W197" s="1">
        <f t="shared" si="78"/>
        <v>0</v>
      </c>
      <c r="X197" s="1">
        <f t="shared" si="78"/>
        <v>0</v>
      </c>
      <c r="Y197" s="1">
        <f t="shared" si="78"/>
        <v>0</v>
      </c>
      <c r="Z197" s="1">
        <f t="shared" si="78"/>
        <v>0</v>
      </c>
      <c r="AA197" s="1">
        <f t="shared" si="78"/>
        <v>0</v>
      </c>
      <c r="AB197" s="1">
        <f t="shared" si="78"/>
        <v>1</v>
      </c>
      <c r="AC197" s="1">
        <f t="shared" si="78"/>
        <v>1</v>
      </c>
      <c r="AD197" s="1">
        <f t="shared" si="78"/>
        <v>1</v>
      </c>
      <c r="AE197" s="1">
        <f t="shared" si="78"/>
        <v>1</v>
      </c>
      <c r="AF197" s="1">
        <f t="shared" si="78"/>
        <v>1</v>
      </c>
      <c r="AG197" s="1">
        <f t="shared" si="78"/>
        <v>1</v>
      </c>
      <c r="AH197" s="1">
        <f t="shared" si="78"/>
        <v>1</v>
      </c>
      <c r="AI197" s="44">
        <f t="shared" si="66"/>
        <v>97996.000225234136</v>
      </c>
      <c r="AJ197" s="44">
        <f t="shared" si="56"/>
        <v>98455.034913005453</v>
      </c>
      <c r="AK197" s="44" t="str">
        <f t="shared" si="74"/>
        <v>N</v>
      </c>
      <c r="AL197" s="4">
        <f t="shared" si="57"/>
        <v>119</v>
      </c>
      <c r="AM197" s="82">
        <f t="shared" si="67"/>
        <v>0</v>
      </c>
      <c r="AN197" s="82">
        <f t="shared" si="58"/>
        <v>0</v>
      </c>
      <c r="AO197" s="48">
        <f>0</f>
        <v>0</v>
      </c>
      <c r="AP197" s="91">
        <f t="shared" si="68"/>
        <v>-459.03468777131644</v>
      </c>
      <c r="AQ197" s="91">
        <f t="shared" si="69"/>
        <v>-459.03468777131644</v>
      </c>
      <c r="AV197" s="84"/>
    </row>
    <row r="198" spans="1:48">
      <c r="A198" s="190">
        <f t="shared" si="59"/>
        <v>75.720910335386719</v>
      </c>
      <c r="B198" s="82">
        <f t="shared" si="60"/>
        <v>10</v>
      </c>
      <c r="C198" s="83">
        <f t="shared" si="61"/>
        <v>120</v>
      </c>
      <c r="D198" s="14">
        <f t="shared" si="48"/>
        <v>4.8675505653430484E-3</v>
      </c>
      <c r="E198" s="16">
        <f t="shared" si="49"/>
        <v>0</v>
      </c>
      <c r="F198" s="127"/>
      <c r="G198" s="88">
        <f t="shared" si="50"/>
        <v>0</v>
      </c>
      <c r="H198" s="89">
        <f t="shared" si="62"/>
        <v>4.1666666666666666E-3</v>
      </c>
      <c r="I198" s="219"/>
      <c r="J198" s="219"/>
      <c r="K198" s="6">
        <f t="shared" si="70"/>
        <v>97996.000225234136</v>
      </c>
      <c r="M198" s="6">
        <f t="shared" si="51"/>
        <v>477.00048629769594</v>
      </c>
      <c r="N198" s="6">
        <f t="shared" si="63"/>
        <v>-110.99451047779633</v>
      </c>
      <c r="O198" s="90">
        <f t="shared" si="52"/>
        <v>398.36418954077027</v>
      </c>
      <c r="P198" s="91">
        <f t="shared" si="53"/>
        <v>0</v>
      </c>
      <c r="Q198" s="6">
        <f t="shared" si="54"/>
        <v>409.8416925043918</v>
      </c>
      <c r="R198" s="87">
        <f t="shared" si="73"/>
        <v>-458.82935169152489</v>
      </c>
      <c r="S198" s="6">
        <f t="shared" si="55"/>
        <v>-20.429583756408523</v>
      </c>
      <c r="T198" s="83">
        <f t="shared" si="64"/>
        <v>0</v>
      </c>
      <c r="U198" s="91">
        <f t="shared" si="71"/>
        <v>116317.1876432502</v>
      </c>
      <c r="V198" s="91">
        <f t="shared" si="65"/>
        <v>566.17979247201595</v>
      </c>
      <c r="W198" s="1">
        <f t="shared" si="78"/>
        <v>0</v>
      </c>
      <c r="X198" s="1">
        <f t="shared" si="78"/>
        <v>0</v>
      </c>
      <c r="Y198" s="1">
        <f t="shared" si="78"/>
        <v>0</v>
      </c>
      <c r="Z198" s="1">
        <f t="shared" si="78"/>
        <v>0</v>
      </c>
      <c r="AA198" s="1">
        <f t="shared" si="78"/>
        <v>0</v>
      </c>
      <c r="AB198" s="1">
        <f t="shared" si="78"/>
        <v>1</v>
      </c>
      <c r="AC198" s="1">
        <f t="shared" si="78"/>
        <v>1</v>
      </c>
      <c r="AD198" s="1">
        <f t="shared" si="78"/>
        <v>1</v>
      </c>
      <c r="AE198" s="1">
        <f t="shared" si="78"/>
        <v>1</v>
      </c>
      <c r="AF198" s="1">
        <f t="shared" si="78"/>
        <v>1</v>
      </c>
      <c r="AG198" s="1">
        <f t="shared" si="78"/>
        <v>1</v>
      </c>
      <c r="AH198" s="1">
        <f t="shared" si="78"/>
        <v>1</v>
      </c>
      <c r="AI198" s="44">
        <f t="shared" si="66"/>
        <v>97903.176849362499</v>
      </c>
      <c r="AJ198" s="44">
        <f t="shared" si="56"/>
        <v>98362.006201054028</v>
      </c>
      <c r="AK198" s="44" t="str">
        <f t="shared" si="74"/>
        <v>N</v>
      </c>
      <c r="AL198" s="4">
        <f t="shared" si="57"/>
        <v>120</v>
      </c>
      <c r="AM198" s="82">
        <f t="shared" si="67"/>
        <v>0</v>
      </c>
      <c r="AN198" s="82">
        <f t="shared" si="58"/>
        <v>0</v>
      </c>
      <c r="AO198" s="48">
        <f>0</f>
        <v>0</v>
      </c>
      <c r="AP198" s="91">
        <f t="shared" si="68"/>
        <v>-458.82935169152489</v>
      </c>
      <c r="AQ198" s="91">
        <f t="shared" si="69"/>
        <v>-458.82935169152489</v>
      </c>
      <c r="AV198" s="84"/>
    </row>
    <row r="199" spans="1:48">
      <c r="A199" s="190">
        <f t="shared" si="59"/>
        <v>75.804243668720048</v>
      </c>
      <c r="B199" s="82">
        <f t="shared" si="60"/>
        <v>11</v>
      </c>
      <c r="C199" s="83">
        <f t="shared" si="61"/>
        <v>121</v>
      </c>
      <c r="D199" s="14">
        <f t="shared" si="48"/>
        <v>4.8675505653430484E-3</v>
      </c>
      <c r="E199" s="16">
        <f t="shared" si="49"/>
        <v>0</v>
      </c>
      <c r="F199" s="127"/>
      <c r="G199" s="88">
        <f t="shared" si="50"/>
        <v>0</v>
      </c>
      <c r="H199" s="89">
        <f t="shared" si="62"/>
        <v>4.1666666666666666E-3</v>
      </c>
      <c r="I199" s="219"/>
      <c r="J199" s="219"/>
      <c r="K199" s="6">
        <f t="shared" si="70"/>
        <v>97903.176849362499</v>
      </c>
      <c r="M199" s="6">
        <f t="shared" si="51"/>
        <v>476.54866382199486</v>
      </c>
      <c r="N199" s="6">
        <f t="shared" si="63"/>
        <v>-110.88937470549858</v>
      </c>
      <c r="O199" s="90">
        <f t="shared" si="52"/>
        <v>406.3314733315857</v>
      </c>
      <c r="P199" s="91">
        <f t="shared" si="53"/>
        <v>0</v>
      </c>
      <c r="Q199" s="6">
        <f t="shared" si="54"/>
        <v>409.45348391032911</v>
      </c>
      <c r="R199" s="87">
        <f t="shared" si="73"/>
        <v>-458.62410746297422</v>
      </c>
      <c r="S199" s="6">
        <f t="shared" si="55"/>
        <v>-20.410208608787123</v>
      </c>
      <c r="T199" s="83">
        <f t="shared" si="64"/>
        <v>0</v>
      </c>
      <c r="U199" s="91">
        <f t="shared" si="71"/>
        <v>116424.53808403069</v>
      </c>
      <c r="V199" s="91">
        <f t="shared" si="65"/>
        <v>566.70232617072691</v>
      </c>
      <c r="W199" s="1">
        <f t="shared" ref="W199:AH208" si="79">IF($B199&lt;=W$78,1,0)</f>
        <v>0</v>
      </c>
      <c r="X199" s="1">
        <f t="shared" si="79"/>
        <v>0</v>
      </c>
      <c r="Y199" s="1">
        <f t="shared" si="79"/>
        <v>0</v>
      </c>
      <c r="Z199" s="1">
        <f t="shared" si="79"/>
        <v>0</v>
      </c>
      <c r="AA199" s="1">
        <f t="shared" si="79"/>
        <v>0</v>
      </c>
      <c r="AB199" s="1">
        <f t="shared" si="79"/>
        <v>0</v>
      </c>
      <c r="AC199" s="1">
        <f t="shared" si="79"/>
        <v>1</v>
      </c>
      <c r="AD199" s="1">
        <f t="shared" si="79"/>
        <v>1</v>
      </c>
      <c r="AE199" s="1">
        <f t="shared" si="79"/>
        <v>1</v>
      </c>
      <c r="AF199" s="1">
        <f t="shared" si="79"/>
        <v>1</v>
      </c>
      <c r="AG199" s="1">
        <f t="shared" si="79"/>
        <v>1</v>
      </c>
      <c r="AH199" s="1">
        <f t="shared" si="79"/>
        <v>1</v>
      </c>
      <c r="AI199" s="44">
        <f t="shared" si="66"/>
        <v>97810.21203101601</v>
      </c>
      <c r="AJ199" s="44">
        <f t="shared" si="56"/>
        <v>98268.83613847899</v>
      </c>
      <c r="AK199" s="44" t="str">
        <f t="shared" si="74"/>
        <v>N</v>
      </c>
      <c r="AL199" s="4">
        <f t="shared" si="57"/>
        <v>121</v>
      </c>
      <c r="AM199" s="82">
        <f t="shared" si="67"/>
        <v>0</v>
      </c>
      <c r="AN199" s="82">
        <f t="shared" si="58"/>
        <v>0</v>
      </c>
      <c r="AO199" s="48">
        <f>0</f>
        <v>0</v>
      </c>
      <c r="AP199" s="91">
        <f t="shared" si="68"/>
        <v>-458.62410746297422</v>
      </c>
      <c r="AQ199" s="91">
        <f t="shared" si="69"/>
        <v>-458.62410746297422</v>
      </c>
      <c r="AV199" s="84"/>
    </row>
    <row r="200" spans="1:48">
      <c r="A200" s="190">
        <f t="shared" si="59"/>
        <v>75.887577002053376</v>
      </c>
      <c r="B200" s="82">
        <f t="shared" si="60"/>
        <v>11</v>
      </c>
      <c r="C200" s="83">
        <f t="shared" si="61"/>
        <v>122</v>
      </c>
      <c r="D200" s="14">
        <f t="shared" si="48"/>
        <v>4.8675505653430484E-3</v>
      </c>
      <c r="E200" s="16">
        <f t="shared" si="49"/>
        <v>0</v>
      </c>
      <c r="F200" s="127"/>
      <c r="G200" s="88">
        <f t="shared" si="50"/>
        <v>0</v>
      </c>
      <c r="H200" s="89">
        <f t="shared" si="62"/>
        <v>4.1666666666666666E-3</v>
      </c>
      <c r="I200" s="219"/>
      <c r="J200" s="219"/>
      <c r="K200" s="6">
        <f t="shared" si="70"/>
        <v>97810.21203101601</v>
      </c>
      <c r="M200" s="6">
        <f t="shared" si="51"/>
        <v>476.0961528678954</v>
      </c>
      <c r="N200" s="6">
        <f t="shared" si="63"/>
        <v>-110.78407872933313</v>
      </c>
      <c r="O200" s="90">
        <f t="shared" si="52"/>
        <v>406.3314733315857</v>
      </c>
      <c r="P200" s="91">
        <f t="shared" si="53"/>
        <v>0</v>
      </c>
      <c r="Q200" s="6">
        <f t="shared" si="54"/>
        <v>409.06468377147735</v>
      </c>
      <c r="R200" s="87">
        <f t="shared" si="73"/>
        <v>-458.41895504457756</v>
      </c>
      <c r="S200" s="6">
        <f t="shared" si="55"/>
        <v>-20.390803895498664</v>
      </c>
      <c r="T200" s="83">
        <f t="shared" si="64"/>
        <v>0</v>
      </c>
      <c r="U200" s="91">
        <f t="shared" si="71"/>
        <v>116532.61630273843</v>
      </c>
      <c r="V200" s="91">
        <f t="shared" si="65"/>
        <v>567.22840236529896</v>
      </c>
      <c r="W200" s="1">
        <f t="shared" si="79"/>
        <v>0</v>
      </c>
      <c r="X200" s="1">
        <f t="shared" si="79"/>
        <v>0</v>
      </c>
      <c r="Y200" s="1">
        <f t="shared" si="79"/>
        <v>0</v>
      </c>
      <c r="Z200" s="1">
        <f t="shared" si="79"/>
        <v>0</v>
      </c>
      <c r="AA200" s="1">
        <f t="shared" si="79"/>
        <v>0</v>
      </c>
      <c r="AB200" s="1">
        <f t="shared" si="79"/>
        <v>0</v>
      </c>
      <c r="AC200" s="1">
        <f t="shared" si="79"/>
        <v>1</v>
      </c>
      <c r="AD200" s="1">
        <f t="shared" si="79"/>
        <v>1</v>
      </c>
      <c r="AE200" s="1">
        <f t="shared" si="79"/>
        <v>1</v>
      </c>
      <c r="AF200" s="1">
        <f t="shared" si="79"/>
        <v>1</v>
      </c>
      <c r="AG200" s="1">
        <f t="shared" si="79"/>
        <v>1</v>
      </c>
      <c r="AH200" s="1">
        <f t="shared" si="79"/>
        <v>1</v>
      </c>
      <c r="AI200" s="44">
        <f t="shared" si="66"/>
        <v>97717.105150109986</v>
      </c>
      <c r="AJ200" s="44">
        <f t="shared" si="56"/>
        <v>98175.52410515456</v>
      </c>
      <c r="AK200" s="44" t="str">
        <f t="shared" si="74"/>
        <v>N</v>
      </c>
      <c r="AL200" s="4">
        <f t="shared" si="57"/>
        <v>122</v>
      </c>
      <c r="AM200" s="82">
        <f t="shared" si="67"/>
        <v>0</v>
      </c>
      <c r="AN200" s="82">
        <f t="shared" si="58"/>
        <v>0</v>
      </c>
      <c r="AO200" s="48">
        <f>0</f>
        <v>0</v>
      </c>
      <c r="AP200" s="91">
        <f t="shared" si="68"/>
        <v>-458.41895504457756</v>
      </c>
      <c r="AQ200" s="91">
        <f t="shared" si="69"/>
        <v>-458.41895504457756</v>
      </c>
      <c r="AV200" s="84"/>
    </row>
    <row r="201" spans="1:48">
      <c r="A201" s="190">
        <f t="shared" si="59"/>
        <v>75.970910335386719</v>
      </c>
      <c r="B201" s="82">
        <f t="shared" si="60"/>
        <v>11</v>
      </c>
      <c r="C201" s="83">
        <f t="shared" si="61"/>
        <v>123</v>
      </c>
      <c r="D201" s="14">
        <f t="shared" si="48"/>
        <v>4.8675505653430484E-3</v>
      </c>
      <c r="E201" s="16">
        <f t="shared" si="49"/>
        <v>0</v>
      </c>
      <c r="F201" s="127"/>
      <c r="G201" s="88">
        <f t="shared" si="50"/>
        <v>0</v>
      </c>
      <c r="H201" s="89">
        <f t="shared" si="62"/>
        <v>4.1666666666666666E-3</v>
      </c>
      <c r="I201" s="219"/>
      <c r="J201" s="219"/>
      <c r="K201" s="6">
        <f t="shared" si="70"/>
        <v>97717.105150109986</v>
      </c>
      <c r="M201" s="6">
        <f t="shared" si="51"/>
        <v>475.64295041710398</v>
      </c>
      <c r="N201" s="6">
        <f t="shared" si="63"/>
        <v>-110.67862184696521</v>
      </c>
      <c r="O201" s="90">
        <f t="shared" si="52"/>
        <v>406.3314733315857</v>
      </c>
      <c r="P201" s="91">
        <f t="shared" si="53"/>
        <v>0</v>
      </c>
      <c r="Q201" s="6">
        <f t="shared" si="54"/>
        <v>408.67528949450053</v>
      </c>
      <c r="R201" s="87">
        <f t="shared" si="73"/>
        <v>-458.21389439526587</v>
      </c>
      <c r="S201" s="6">
        <f t="shared" si="55"/>
        <v>-20.371369486973347</v>
      </c>
      <c r="T201" s="83">
        <f t="shared" si="64"/>
        <v>0</v>
      </c>
      <c r="U201" s="91">
        <f t="shared" si="71"/>
        <v>116641.42575005916</v>
      </c>
      <c r="V201" s="91">
        <f t="shared" si="65"/>
        <v>567.75803785211963</v>
      </c>
      <c r="W201" s="1">
        <f t="shared" si="79"/>
        <v>0</v>
      </c>
      <c r="X201" s="1">
        <f t="shared" si="79"/>
        <v>0</v>
      </c>
      <c r="Y201" s="1">
        <f t="shared" si="79"/>
        <v>0</v>
      </c>
      <c r="Z201" s="1">
        <f t="shared" si="79"/>
        <v>0</v>
      </c>
      <c r="AA201" s="1">
        <f t="shared" si="79"/>
        <v>0</v>
      </c>
      <c r="AB201" s="1">
        <f t="shared" si="79"/>
        <v>0</v>
      </c>
      <c r="AC201" s="1">
        <f t="shared" si="79"/>
        <v>1</v>
      </c>
      <c r="AD201" s="1">
        <f t="shared" si="79"/>
        <v>1</v>
      </c>
      <c r="AE201" s="1">
        <f t="shared" si="79"/>
        <v>1</v>
      </c>
      <c r="AF201" s="1">
        <f t="shared" si="79"/>
        <v>1</v>
      </c>
      <c r="AG201" s="1">
        <f t="shared" si="79"/>
        <v>1</v>
      </c>
      <c r="AH201" s="1">
        <f t="shared" si="79"/>
        <v>1</v>
      </c>
      <c r="AI201" s="44">
        <f t="shared" si="66"/>
        <v>97623.855584284873</v>
      </c>
      <c r="AJ201" s="44">
        <f t="shared" si="56"/>
        <v>98082.069478680132</v>
      </c>
      <c r="AK201" s="44" t="str">
        <f t="shared" si="74"/>
        <v>N</v>
      </c>
      <c r="AL201" s="4">
        <f t="shared" si="57"/>
        <v>123</v>
      </c>
      <c r="AM201" s="82">
        <f t="shared" si="67"/>
        <v>0</v>
      </c>
      <c r="AN201" s="82">
        <f t="shared" si="58"/>
        <v>0</v>
      </c>
      <c r="AO201" s="48">
        <f>0</f>
        <v>0</v>
      </c>
      <c r="AP201" s="91">
        <f t="shared" si="68"/>
        <v>-458.21389439526587</v>
      </c>
      <c r="AQ201" s="91">
        <f t="shared" si="69"/>
        <v>-458.21389439526587</v>
      </c>
      <c r="AV201" s="84"/>
    </row>
    <row r="202" spans="1:48">
      <c r="A202" s="190">
        <f t="shared" si="59"/>
        <v>76.054243668720048</v>
      </c>
      <c r="B202" s="82">
        <f t="shared" si="60"/>
        <v>11</v>
      </c>
      <c r="C202" s="83">
        <f t="shared" si="61"/>
        <v>124</v>
      </c>
      <c r="D202" s="14">
        <f t="shared" si="48"/>
        <v>4.8675505653430484E-3</v>
      </c>
      <c r="E202" s="16">
        <f t="shared" si="49"/>
        <v>0</v>
      </c>
      <c r="F202" s="127"/>
      <c r="G202" s="88">
        <f t="shared" si="50"/>
        <v>0</v>
      </c>
      <c r="H202" s="89">
        <f t="shared" si="62"/>
        <v>4.1666666666666666E-3</v>
      </c>
      <c r="I202" s="219"/>
      <c r="J202" s="219"/>
      <c r="K202" s="6">
        <f t="shared" si="70"/>
        <v>97623.855584284873</v>
      </c>
      <c r="M202" s="6">
        <f t="shared" si="51"/>
        <v>475.18905344025393</v>
      </c>
      <c r="N202" s="6">
        <f t="shared" si="63"/>
        <v>-110.57300335348349</v>
      </c>
      <c r="O202" s="90">
        <f t="shared" si="52"/>
        <v>406.3314733315857</v>
      </c>
      <c r="P202" s="91">
        <f t="shared" si="53"/>
        <v>0</v>
      </c>
      <c r="Q202" s="6">
        <f t="shared" si="54"/>
        <v>408.28529847654852</v>
      </c>
      <c r="R202" s="87">
        <f t="shared" si="73"/>
        <v>-469.6841079321706</v>
      </c>
      <c r="S202" s="6">
        <f t="shared" si="55"/>
        <v>-20.350687692574564</v>
      </c>
      <c r="T202" s="83">
        <f t="shared" si="64"/>
        <v>0</v>
      </c>
      <c r="U202" s="91">
        <f t="shared" si="71"/>
        <v>116750.96989351603</v>
      </c>
      <c r="V202" s="91">
        <f t="shared" si="65"/>
        <v>568.29124950953315</v>
      </c>
      <c r="W202" s="1">
        <f t="shared" si="79"/>
        <v>0</v>
      </c>
      <c r="X202" s="1">
        <f t="shared" si="79"/>
        <v>0</v>
      </c>
      <c r="Y202" s="1">
        <f t="shared" si="79"/>
        <v>0</v>
      </c>
      <c r="Z202" s="1">
        <f t="shared" si="79"/>
        <v>0</v>
      </c>
      <c r="AA202" s="1">
        <f t="shared" si="79"/>
        <v>0</v>
      </c>
      <c r="AB202" s="1">
        <f t="shared" si="79"/>
        <v>0</v>
      </c>
      <c r="AC202" s="1">
        <f t="shared" si="79"/>
        <v>1</v>
      </c>
      <c r="AD202" s="1">
        <f t="shared" si="79"/>
        <v>1</v>
      </c>
      <c r="AE202" s="1">
        <f t="shared" si="79"/>
        <v>1</v>
      </c>
      <c r="AF202" s="1">
        <f t="shared" si="79"/>
        <v>1</v>
      </c>
      <c r="AG202" s="1">
        <f t="shared" si="79"/>
        <v>1</v>
      </c>
      <c r="AH202" s="1">
        <f t="shared" si="79"/>
        <v>1</v>
      </c>
      <c r="AI202" s="44">
        <f t="shared" si="66"/>
        <v>97518.787526439468</v>
      </c>
      <c r="AJ202" s="44">
        <f t="shared" si="56"/>
        <v>97988.471634371643</v>
      </c>
      <c r="AK202" s="44" t="str">
        <f t="shared" si="74"/>
        <v>N</v>
      </c>
      <c r="AL202" s="4">
        <f t="shared" si="57"/>
        <v>124</v>
      </c>
      <c r="AM202" s="82">
        <f t="shared" si="67"/>
        <v>0</v>
      </c>
      <c r="AN202" s="82">
        <f t="shared" si="58"/>
        <v>0</v>
      </c>
      <c r="AO202" s="48">
        <f>0</f>
        <v>0</v>
      </c>
      <c r="AP202" s="91">
        <f t="shared" si="68"/>
        <v>-469.6841079321706</v>
      </c>
      <c r="AQ202" s="91">
        <f t="shared" si="69"/>
        <v>-469.6841079321706</v>
      </c>
      <c r="AV202" s="84"/>
    </row>
    <row r="203" spans="1:48">
      <c r="A203" s="190">
        <f t="shared" si="59"/>
        <v>76.137577002053376</v>
      </c>
      <c r="B203" s="82">
        <f t="shared" si="60"/>
        <v>11</v>
      </c>
      <c r="C203" s="83">
        <f t="shared" si="61"/>
        <v>125</v>
      </c>
      <c r="D203" s="14">
        <f t="shared" si="48"/>
        <v>4.8675505653430484E-3</v>
      </c>
      <c r="E203" s="16">
        <f t="shared" si="49"/>
        <v>0</v>
      </c>
      <c r="F203" s="127"/>
      <c r="G203" s="88">
        <f t="shared" si="50"/>
        <v>0</v>
      </c>
      <c r="H203" s="89">
        <f t="shared" si="62"/>
        <v>4.1666666666666666E-3</v>
      </c>
      <c r="I203" s="219"/>
      <c r="J203" s="219"/>
      <c r="K203" s="6">
        <f t="shared" si="70"/>
        <v>97518.787526439468</v>
      </c>
      <c r="M203" s="6">
        <f t="shared" si="51"/>
        <v>474.67762935588905</v>
      </c>
      <c r="N203" s="6">
        <f t="shared" si="63"/>
        <v>-110.45399872451291</v>
      </c>
      <c r="O203" s="90">
        <f t="shared" si="52"/>
        <v>406.3314733315857</v>
      </c>
      <c r="P203" s="91">
        <f t="shared" si="53"/>
        <v>0</v>
      </c>
      <c r="Q203" s="6">
        <f t="shared" si="54"/>
        <v>407.84587982112856</v>
      </c>
      <c r="R203" s="87">
        <f t="shared" si="73"/>
        <v>-469.47400813790136</v>
      </c>
      <c r="S203" s="6">
        <f t="shared" si="55"/>
        <v>-20.328754378945057</v>
      </c>
      <c r="T203" s="83">
        <f t="shared" si="64"/>
        <v>0</v>
      </c>
      <c r="U203" s="91">
        <f t="shared" si="71"/>
        <v>116849.57703509339</v>
      </c>
      <c r="V203" s="91">
        <f t="shared" si="65"/>
        <v>568.77122475726492</v>
      </c>
      <c r="W203" s="1">
        <f t="shared" si="79"/>
        <v>0</v>
      </c>
      <c r="X203" s="1">
        <f t="shared" si="79"/>
        <v>0</v>
      </c>
      <c r="Y203" s="1">
        <f t="shared" si="79"/>
        <v>0</v>
      </c>
      <c r="Z203" s="1">
        <f t="shared" si="79"/>
        <v>0</v>
      </c>
      <c r="AA203" s="1">
        <f t="shared" si="79"/>
        <v>0</v>
      </c>
      <c r="AB203" s="1">
        <f t="shared" si="79"/>
        <v>0</v>
      </c>
      <c r="AC203" s="1">
        <f t="shared" si="79"/>
        <v>1</v>
      </c>
      <c r="AD203" s="1">
        <f t="shared" si="79"/>
        <v>1</v>
      </c>
      <c r="AE203" s="1">
        <f t="shared" si="79"/>
        <v>1</v>
      </c>
      <c r="AF203" s="1">
        <f t="shared" si="79"/>
        <v>1</v>
      </c>
      <c r="AG203" s="1">
        <f t="shared" si="79"/>
        <v>1</v>
      </c>
      <c r="AH203" s="1">
        <f t="shared" si="79"/>
        <v>1</v>
      </c>
      <c r="AI203" s="44">
        <f t="shared" si="66"/>
        <v>97413.537148932955</v>
      </c>
      <c r="AJ203" s="44">
        <f t="shared" si="56"/>
        <v>97883.011157070854</v>
      </c>
      <c r="AK203" s="44" t="str">
        <f t="shared" si="74"/>
        <v>N</v>
      </c>
      <c r="AL203" s="4">
        <f t="shared" si="57"/>
        <v>125</v>
      </c>
      <c r="AM203" s="82">
        <f t="shared" si="67"/>
        <v>0</v>
      </c>
      <c r="AN203" s="82">
        <f t="shared" si="58"/>
        <v>0</v>
      </c>
      <c r="AO203" s="48">
        <f>0</f>
        <v>0</v>
      </c>
      <c r="AP203" s="91">
        <f t="shared" si="68"/>
        <v>-469.47400813790136</v>
      </c>
      <c r="AQ203" s="91">
        <f t="shared" si="69"/>
        <v>-469.47400813790136</v>
      </c>
      <c r="AV203" s="84"/>
    </row>
    <row r="204" spans="1:48">
      <c r="A204" s="190">
        <f t="shared" si="59"/>
        <v>76.220910335386719</v>
      </c>
      <c r="B204" s="82">
        <f t="shared" si="60"/>
        <v>11</v>
      </c>
      <c r="C204" s="83">
        <f t="shared" si="61"/>
        <v>126</v>
      </c>
      <c r="D204" s="14">
        <f t="shared" si="48"/>
        <v>4.8675505653430484E-3</v>
      </c>
      <c r="E204" s="16">
        <f t="shared" si="49"/>
        <v>0</v>
      </c>
      <c r="F204" s="127"/>
      <c r="G204" s="88">
        <f t="shared" si="50"/>
        <v>0</v>
      </c>
      <c r="H204" s="89">
        <f t="shared" si="62"/>
        <v>4.1666666666666666E-3</v>
      </c>
      <c r="I204" s="219"/>
      <c r="J204" s="219"/>
      <c r="K204" s="6">
        <f t="shared" si="70"/>
        <v>97413.537148932955</v>
      </c>
      <c r="M204" s="6">
        <f t="shared" si="51"/>
        <v>474.16531782135468</v>
      </c>
      <c r="N204" s="6">
        <f t="shared" si="63"/>
        <v>-110.33478759240457</v>
      </c>
      <c r="O204" s="90">
        <f t="shared" si="52"/>
        <v>406.3314733315857</v>
      </c>
      <c r="P204" s="91">
        <f t="shared" si="53"/>
        <v>0</v>
      </c>
      <c r="Q204" s="6">
        <f t="shared" si="54"/>
        <v>407.40569866317463</v>
      </c>
      <c r="R204" s="87">
        <f t="shared" si="73"/>
        <v>-469.26400232578499</v>
      </c>
      <c r="S204" s="6">
        <f t="shared" si="55"/>
        <v>-20.306782957646259</v>
      </c>
      <c r="T204" s="83">
        <f t="shared" si="64"/>
        <v>0</v>
      </c>
      <c r="U204" s="91">
        <f t="shared" si="71"/>
        <v>116948.87425171275</v>
      </c>
      <c r="V204" s="91">
        <f t="shared" si="65"/>
        <v>569.25455898015753</v>
      </c>
      <c r="W204" s="1">
        <f t="shared" si="79"/>
        <v>0</v>
      </c>
      <c r="X204" s="1">
        <f t="shared" si="79"/>
        <v>0</v>
      </c>
      <c r="Y204" s="1">
        <f t="shared" si="79"/>
        <v>0</v>
      </c>
      <c r="Z204" s="1">
        <f t="shared" si="79"/>
        <v>0</v>
      </c>
      <c r="AA204" s="1">
        <f t="shared" si="79"/>
        <v>0</v>
      </c>
      <c r="AB204" s="1">
        <f t="shared" si="79"/>
        <v>0</v>
      </c>
      <c r="AC204" s="1">
        <f t="shared" si="79"/>
        <v>1</v>
      </c>
      <c r="AD204" s="1">
        <f t="shared" si="79"/>
        <v>1</v>
      </c>
      <c r="AE204" s="1">
        <f t="shared" si="79"/>
        <v>1</v>
      </c>
      <c r="AF204" s="1">
        <f t="shared" si="79"/>
        <v>1</v>
      </c>
      <c r="AG204" s="1">
        <f t="shared" si="79"/>
        <v>1</v>
      </c>
      <c r="AH204" s="1">
        <f t="shared" si="79"/>
        <v>1</v>
      </c>
      <c r="AI204" s="44">
        <f t="shared" si="66"/>
        <v>97308.103676836123</v>
      </c>
      <c r="AJ204" s="44">
        <f t="shared" si="56"/>
        <v>97777.367679161907</v>
      </c>
      <c r="AK204" s="44" t="str">
        <f t="shared" si="74"/>
        <v>N</v>
      </c>
      <c r="AL204" s="4">
        <f t="shared" si="57"/>
        <v>126</v>
      </c>
      <c r="AM204" s="82">
        <f t="shared" si="67"/>
        <v>0</v>
      </c>
      <c r="AN204" s="82">
        <f t="shared" si="58"/>
        <v>0</v>
      </c>
      <c r="AO204" s="48">
        <f>0</f>
        <v>0</v>
      </c>
      <c r="AP204" s="91">
        <f t="shared" si="68"/>
        <v>-469.26400232578499</v>
      </c>
      <c r="AQ204" s="91">
        <f t="shared" si="69"/>
        <v>-469.26400232578499</v>
      </c>
      <c r="AV204" s="84"/>
    </row>
    <row r="205" spans="1:48">
      <c r="A205" s="190">
        <f t="shared" si="59"/>
        <v>76.304243668720048</v>
      </c>
      <c r="B205" s="82">
        <f t="shared" si="60"/>
        <v>11</v>
      </c>
      <c r="C205" s="83">
        <f t="shared" si="61"/>
        <v>127</v>
      </c>
      <c r="D205" s="14">
        <f t="shared" si="48"/>
        <v>4.8675505653430484E-3</v>
      </c>
      <c r="E205" s="16">
        <f t="shared" si="49"/>
        <v>0</v>
      </c>
      <c r="F205" s="127"/>
      <c r="G205" s="88">
        <f t="shared" si="50"/>
        <v>0</v>
      </c>
      <c r="H205" s="89">
        <f t="shared" si="62"/>
        <v>4.1666666666666666E-3</v>
      </c>
      <c r="I205" s="219"/>
      <c r="J205" s="219"/>
      <c r="K205" s="6">
        <f t="shared" si="70"/>
        <v>97308.103676836123</v>
      </c>
      <c r="M205" s="6">
        <f t="shared" si="51"/>
        <v>473.65211506464362</v>
      </c>
      <c r="N205" s="6">
        <f t="shared" si="63"/>
        <v>-110.21536907944012</v>
      </c>
      <c r="O205" s="90">
        <f t="shared" si="52"/>
        <v>406.3314733315857</v>
      </c>
      <c r="P205" s="91">
        <f t="shared" si="53"/>
        <v>0</v>
      </c>
      <c r="Q205" s="6">
        <f t="shared" si="54"/>
        <v>406.96475176175556</v>
      </c>
      <c r="R205" s="87">
        <f t="shared" si="73"/>
        <v>-469.05409045378093</v>
      </c>
      <c r="S205" s="6">
        <f t="shared" si="55"/>
        <v>-20.284773266751849</v>
      </c>
      <c r="T205" s="83">
        <f t="shared" si="64"/>
        <v>0</v>
      </c>
      <c r="U205" s="91">
        <f t="shared" si="71"/>
        <v>117048.86480836713</v>
      </c>
      <c r="V205" s="91">
        <f t="shared" si="65"/>
        <v>569.74126807072946</v>
      </c>
      <c r="W205" s="1">
        <f t="shared" si="79"/>
        <v>0</v>
      </c>
      <c r="X205" s="1">
        <f t="shared" si="79"/>
        <v>0</v>
      </c>
      <c r="Y205" s="1">
        <f t="shared" si="79"/>
        <v>0</v>
      </c>
      <c r="Z205" s="1">
        <f t="shared" si="79"/>
        <v>0</v>
      </c>
      <c r="AA205" s="1">
        <f t="shared" si="79"/>
        <v>0</v>
      </c>
      <c r="AB205" s="1">
        <f t="shared" si="79"/>
        <v>0</v>
      </c>
      <c r="AC205" s="1">
        <f t="shared" si="79"/>
        <v>1</v>
      </c>
      <c r="AD205" s="1">
        <f t="shared" si="79"/>
        <v>1</v>
      </c>
      <c r="AE205" s="1">
        <f t="shared" si="79"/>
        <v>1</v>
      </c>
      <c r="AF205" s="1">
        <f t="shared" si="79"/>
        <v>1</v>
      </c>
      <c r="AG205" s="1">
        <f t="shared" si="79"/>
        <v>1</v>
      </c>
      <c r="AH205" s="1">
        <f t="shared" si="79"/>
        <v>1</v>
      </c>
      <c r="AI205" s="44">
        <f t="shared" si="66"/>
        <v>97202.486332367553</v>
      </c>
      <c r="AJ205" s="44">
        <f t="shared" si="56"/>
        <v>97671.54042282133</v>
      </c>
      <c r="AK205" s="44" t="str">
        <f t="shared" si="74"/>
        <v>N</v>
      </c>
      <c r="AL205" s="4">
        <f t="shared" si="57"/>
        <v>127</v>
      </c>
      <c r="AM205" s="82">
        <f t="shared" si="67"/>
        <v>0</v>
      </c>
      <c r="AN205" s="82">
        <f t="shared" si="58"/>
        <v>0</v>
      </c>
      <c r="AO205" s="48">
        <f>0</f>
        <v>0</v>
      </c>
      <c r="AP205" s="91">
        <f t="shared" si="68"/>
        <v>-469.05409045378093</v>
      </c>
      <c r="AQ205" s="91">
        <f t="shared" si="69"/>
        <v>-469.05409045378093</v>
      </c>
      <c r="AV205" s="84"/>
    </row>
    <row r="206" spans="1:48">
      <c r="A206" s="190">
        <f t="shared" si="59"/>
        <v>76.387577002053376</v>
      </c>
      <c r="B206" s="82">
        <f t="shared" si="60"/>
        <v>11</v>
      </c>
      <c r="C206" s="83">
        <f t="shared" si="61"/>
        <v>128</v>
      </c>
      <c r="D206" s="14">
        <f t="shared" si="48"/>
        <v>4.8675505653430484E-3</v>
      </c>
      <c r="E206" s="16">
        <f t="shared" si="49"/>
        <v>0</v>
      </c>
      <c r="F206" s="127"/>
      <c r="G206" s="88">
        <f t="shared" si="50"/>
        <v>0</v>
      </c>
      <c r="H206" s="89">
        <f t="shared" si="62"/>
        <v>4.1666666666666666E-3</v>
      </c>
      <c r="I206" s="219"/>
      <c r="J206" s="219"/>
      <c r="K206" s="6">
        <f t="shared" si="70"/>
        <v>97202.486332367553</v>
      </c>
      <c r="M206" s="6">
        <f t="shared" si="51"/>
        <v>473.13801729986562</v>
      </c>
      <c r="N206" s="6">
        <f t="shared" si="63"/>
        <v>-110.09574230467065</v>
      </c>
      <c r="O206" s="90">
        <f t="shared" si="52"/>
        <v>406.3314733315857</v>
      </c>
      <c r="P206" s="91">
        <f t="shared" si="53"/>
        <v>0</v>
      </c>
      <c r="Q206" s="6">
        <f t="shared" si="54"/>
        <v>406.52303586401143</v>
      </c>
      <c r="R206" s="87">
        <f t="shared" si="73"/>
        <v>-468.84427247986804</v>
      </c>
      <c r="S206" s="6">
        <f t="shared" si="55"/>
        <v>-20.262725143739502</v>
      </c>
      <c r="T206" s="83">
        <f t="shared" si="64"/>
        <v>0</v>
      </c>
      <c r="U206" s="91">
        <f t="shared" si="71"/>
        <v>117149.55198598409</v>
      </c>
      <c r="V206" s="91">
        <f t="shared" si="65"/>
        <v>570.23136799906172</v>
      </c>
      <c r="W206" s="1">
        <f t="shared" si="79"/>
        <v>0</v>
      </c>
      <c r="X206" s="1">
        <f t="shared" si="79"/>
        <v>0</v>
      </c>
      <c r="Y206" s="1">
        <f t="shared" si="79"/>
        <v>0</v>
      </c>
      <c r="Z206" s="1">
        <f t="shared" si="79"/>
        <v>0</v>
      </c>
      <c r="AA206" s="1">
        <f t="shared" si="79"/>
        <v>0</v>
      </c>
      <c r="AB206" s="1">
        <f t="shared" si="79"/>
        <v>0</v>
      </c>
      <c r="AC206" s="1">
        <f t="shared" si="79"/>
        <v>1</v>
      </c>
      <c r="AD206" s="1">
        <f t="shared" si="79"/>
        <v>1</v>
      </c>
      <c r="AE206" s="1">
        <f t="shared" si="79"/>
        <v>1</v>
      </c>
      <c r="AF206" s="1">
        <f t="shared" si="79"/>
        <v>1</v>
      </c>
      <c r="AG206" s="1">
        <f t="shared" si="79"/>
        <v>1</v>
      </c>
      <c r="AH206" s="1">
        <f t="shared" si="79"/>
        <v>1</v>
      </c>
      <c r="AI206" s="44">
        <f t="shared" si="66"/>
        <v>97096.684334882884</v>
      </c>
      <c r="AJ206" s="44">
        <f t="shared" si="56"/>
        <v>97565.52860736275</v>
      </c>
      <c r="AK206" s="44" t="str">
        <f t="shared" si="74"/>
        <v>N</v>
      </c>
      <c r="AL206" s="4">
        <f t="shared" si="57"/>
        <v>128</v>
      </c>
      <c r="AM206" s="82">
        <f t="shared" si="67"/>
        <v>0</v>
      </c>
      <c r="AN206" s="82">
        <f t="shared" si="58"/>
        <v>0</v>
      </c>
      <c r="AO206" s="48">
        <f>0</f>
        <v>0</v>
      </c>
      <c r="AP206" s="91">
        <f t="shared" si="68"/>
        <v>-468.84427247986804</v>
      </c>
      <c r="AQ206" s="91">
        <f t="shared" si="69"/>
        <v>-468.84427247986804</v>
      </c>
      <c r="AV206" s="84"/>
    </row>
    <row r="207" spans="1:48">
      <c r="A207" s="190">
        <f t="shared" si="59"/>
        <v>76.470910335386719</v>
      </c>
      <c r="B207" s="82">
        <f t="shared" si="60"/>
        <v>11</v>
      </c>
      <c r="C207" s="83">
        <f t="shared" si="61"/>
        <v>129</v>
      </c>
      <c r="D207" s="14">
        <f t="shared" ref="D207:D270" si="80">Growth_Rate_1_Monthly</f>
        <v>4.8675505653430484E-3</v>
      </c>
      <c r="E207" s="16">
        <f t="shared" ref="E207:E270" si="81">IF(Gtee_Flag="on",1,0)</f>
        <v>0</v>
      </c>
      <c r="F207" s="127"/>
      <c r="G207" s="88">
        <f t="shared" ref="G207:G270" si="82">IF(ISERROR(VLOOKUP(Product_Code,Product_Parameters,B207+5,FALSE)),0,VLOOKUP(Product_Code,Product_Parameters,B207+5,FALSE))</f>
        <v>0</v>
      </c>
      <c r="H207" s="89">
        <f t="shared" si="62"/>
        <v>4.1666666666666666E-3</v>
      </c>
      <c r="I207" s="219"/>
      <c r="J207" s="219"/>
      <c r="K207" s="6">
        <f t="shared" si="70"/>
        <v>97096.684334882884</v>
      </c>
      <c r="M207" s="6">
        <f t="shared" ref="M207:M270" si="83">(K207+L207)*D207</f>
        <v>472.62302072719467</v>
      </c>
      <c r="N207" s="6">
        <f t="shared" si="63"/>
        <v>-109.97590638390456</v>
      </c>
      <c r="O207" s="90">
        <f t="shared" ref="O207:O270" si="84">IF(C207&gt;=Regular_Income_Start_Month,
MIN(Regular_Income_Amount/12*(1+Income_Escalation_Rate_Annual)^($B207-1),AJ207),0)</f>
        <v>406.3314733315857</v>
      </c>
      <c r="P207" s="91">
        <f t="shared" ref="P207:P270" si="85">MAX(IF(C207&gt;=Regular_Income_Start_Month,
MIN(IF(Income_Type="Fixed Percent",$C$51,0)/12*(K207+L207+M207+N207),AJ207),0),0)</f>
        <v>0</v>
      </c>
      <c r="Q207" s="6">
        <f t="shared" ref="Q207:Q270" si="86">MAX(IF(C207&gt;=Regular_Income_Start_Month,
MIN(H207*(K207+L207+M207+N207),AJ207),0),0)</f>
        <v>406.08054770510904</v>
      </c>
      <c r="R207" s="87">
        <f t="shared" si="73"/>
        <v>-468.6345483620434</v>
      </c>
      <c r="S207" s="6">
        <f t="shared" ref="S207:S270" si="87">-(($K207+I207+M207/2+N207/2+R207/2)*(Ongoing_Commission_Monthly)+(I207)*new_upfront_commission)</f>
        <v>-20.24063842548864</v>
      </c>
      <c r="T207" s="83">
        <f t="shared" si="64"/>
        <v>0</v>
      </c>
      <c r="U207" s="91">
        <f t="shared" si="71"/>
        <v>117250.93908150328</v>
      </c>
      <c r="V207" s="91">
        <f t="shared" si="65"/>
        <v>570.72487481317467</v>
      </c>
      <c r="W207" s="1">
        <f t="shared" si="79"/>
        <v>0</v>
      </c>
      <c r="X207" s="1">
        <f t="shared" si="79"/>
        <v>0</v>
      </c>
      <c r="Y207" s="1">
        <f t="shared" si="79"/>
        <v>0</v>
      </c>
      <c r="Z207" s="1">
        <f t="shared" si="79"/>
        <v>0</v>
      </c>
      <c r="AA207" s="1">
        <f t="shared" si="79"/>
        <v>0</v>
      </c>
      <c r="AB207" s="1">
        <f t="shared" si="79"/>
        <v>0</v>
      </c>
      <c r="AC207" s="1">
        <f t="shared" si="79"/>
        <v>1</v>
      </c>
      <c r="AD207" s="1">
        <f t="shared" si="79"/>
        <v>1</v>
      </c>
      <c r="AE207" s="1">
        <f t="shared" si="79"/>
        <v>1</v>
      </c>
      <c r="AF207" s="1">
        <f t="shared" si="79"/>
        <v>1</v>
      </c>
      <c r="AG207" s="1">
        <f t="shared" si="79"/>
        <v>1</v>
      </c>
      <c r="AH207" s="1">
        <f t="shared" si="79"/>
        <v>1</v>
      </c>
      <c r="AI207" s="44">
        <f t="shared" si="66"/>
        <v>96990.696900864132</v>
      </c>
      <c r="AJ207" s="44">
        <f t="shared" ref="AJ207:AJ270" si="88">MAX(0,SUM(K207:N207)-$C$66)</f>
        <v>97459.331449226171</v>
      </c>
      <c r="AK207" s="44" t="str">
        <f t="shared" si="74"/>
        <v>N</v>
      </c>
      <c r="AL207" s="4">
        <f t="shared" ref="AL207:AL270" si="89">C207</f>
        <v>129</v>
      </c>
      <c r="AM207" s="82">
        <f t="shared" si="67"/>
        <v>0</v>
      </c>
      <c r="AN207" s="82">
        <f t="shared" ref="AN207:AN270" si="90">IF(AND(B207=Fund_Zero_Year,K208=0,K207&gt;0),-U207,IF(AND(B207+1=Fund_Zero_Year,K208=0,K207&gt;0),-U207,0))</f>
        <v>0</v>
      </c>
      <c r="AO207" s="48">
        <f>0</f>
        <v>0</v>
      </c>
      <c r="AP207" s="91">
        <f t="shared" si="68"/>
        <v>-468.6345483620434</v>
      </c>
      <c r="AQ207" s="91">
        <f t="shared" si="69"/>
        <v>-468.6345483620434</v>
      </c>
      <c r="AV207" s="84"/>
    </row>
    <row r="208" spans="1:48">
      <c r="A208" s="190">
        <f t="shared" ref="A208:A271" si="91">$C$43+C207/12</f>
        <v>76.554243668720048</v>
      </c>
      <c r="B208" s="82">
        <f t="shared" ref="B208:B271" si="92">INT((C208-1)/12)+1</f>
        <v>11</v>
      </c>
      <c r="C208" s="83">
        <f t="shared" ref="C208:C271" si="93">C207+1</f>
        <v>130</v>
      </c>
      <c r="D208" s="14">
        <f t="shared" si="80"/>
        <v>4.8675505653430484E-3</v>
      </c>
      <c r="E208" s="16">
        <f t="shared" si="81"/>
        <v>0</v>
      </c>
      <c r="F208" s="127"/>
      <c r="G208" s="88">
        <f t="shared" si="82"/>
        <v>0</v>
      </c>
      <c r="H208" s="89">
        <f t="shared" ref="H208:H271" si="94">IF((K207+L207+M207+N207+R207)&gt;=2000000,VLOOKUP("&gt;=2000000",Default_IncomeRate_table,3,FALSE),
IF($A208&lt;71,VLOOKUP("&lt;71",Default_IncomeRate_table,3,FALSE),
IF($A208&gt;=71,VLOOKUP("&gt;=71",Default_IncomeRate_table,3,FALSE),"")))</f>
        <v>4.1666666666666666E-3</v>
      </c>
      <c r="I208" s="219"/>
      <c r="J208" s="219"/>
      <c r="K208" s="6">
        <f t="shared" si="70"/>
        <v>96990.696900864132</v>
      </c>
      <c r="M208" s="6">
        <f t="shared" si="83"/>
        <v>472.10712153281747</v>
      </c>
      <c r="N208" s="6">
        <f t="shared" ref="N208:N271" si="95">-(($K208+(L208)+M208/2)*(External_Fund_Charge_Monthly+Fund_Charge_Monthly+Gtee_Charge_Monthly*$E208))+MIN(J208,0)</f>
        <v>-109.8558604296955</v>
      </c>
      <c r="O208" s="90">
        <f t="shared" si="84"/>
        <v>406.3314733315857</v>
      </c>
      <c r="P208" s="91">
        <f t="shared" si="85"/>
        <v>0</v>
      </c>
      <c r="Q208" s="6">
        <f t="shared" si="86"/>
        <v>405.63728400819684</v>
      </c>
      <c r="R208" s="87">
        <f t="shared" si="73"/>
        <v>-468.42491805832333</v>
      </c>
      <c r="S208" s="6">
        <f t="shared" si="87"/>
        <v>-20.218512948278228</v>
      </c>
      <c r="T208" s="83">
        <f t="shared" ref="T208:T271" si="96">SUM(K208:N208,R208)*$G208</f>
        <v>0</v>
      </c>
      <c r="U208" s="91">
        <f t="shared" si="71"/>
        <v>117353.02940795441</v>
      </c>
      <c r="V208" s="91">
        <f t="shared" ref="V208:V271" si="97">U208*D208</f>
        <v>571.22180463940788</v>
      </c>
      <c r="W208" s="1">
        <f t="shared" si="79"/>
        <v>0</v>
      </c>
      <c r="X208" s="1">
        <f t="shared" si="79"/>
        <v>0</v>
      </c>
      <c r="Y208" s="1">
        <f t="shared" si="79"/>
        <v>0</v>
      </c>
      <c r="Z208" s="1">
        <f t="shared" si="79"/>
        <v>0</v>
      </c>
      <c r="AA208" s="1">
        <f t="shared" si="79"/>
        <v>0</v>
      </c>
      <c r="AB208" s="1">
        <f t="shared" si="79"/>
        <v>0</v>
      </c>
      <c r="AC208" s="1">
        <f t="shared" si="79"/>
        <v>1</v>
      </c>
      <c r="AD208" s="1">
        <f t="shared" si="79"/>
        <v>1</v>
      </c>
      <c r="AE208" s="1">
        <f t="shared" si="79"/>
        <v>1</v>
      </c>
      <c r="AF208" s="1">
        <f t="shared" si="79"/>
        <v>1</v>
      </c>
      <c r="AG208" s="1">
        <f t="shared" si="79"/>
        <v>1</v>
      </c>
      <c r="AH208" s="1">
        <f t="shared" si="79"/>
        <v>1</v>
      </c>
      <c r="AI208" s="44">
        <f t="shared" ref="AI208:AI271" si="98">SUM(K208:N208,R208)</f>
        <v>96884.523243908916</v>
      </c>
      <c r="AJ208" s="44">
        <f t="shared" si="88"/>
        <v>97352.948161967244</v>
      </c>
      <c r="AK208" s="44" t="str">
        <f t="shared" si="74"/>
        <v>N</v>
      </c>
      <c r="AL208" s="4">
        <f t="shared" si="89"/>
        <v>130</v>
      </c>
      <c r="AM208" s="82">
        <f t="shared" ref="AM208:AM271" si="99">I208</f>
        <v>0</v>
      </c>
      <c r="AN208" s="82">
        <f t="shared" si="90"/>
        <v>0</v>
      </c>
      <c r="AO208" s="48">
        <f>0</f>
        <v>0</v>
      </c>
      <c r="AP208" s="91">
        <f t="shared" ref="AP208:AP271" si="100">$R208+AN208+AM208</f>
        <v>-468.42491805832333</v>
      </c>
      <c r="AQ208" s="91">
        <f t="shared" ref="AQ208:AQ271" si="101">$R208+AO208+AM208</f>
        <v>-468.42491805832333</v>
      </c>
      <c r="AV208" s="84"/>
    </row>
    <row r="209" spans="1:48">
      <c r="A209" s="190">
        <f t="shared" si="91"/>
        <v>76.637577002053376</v>
      </c>
      <c r="B209" s="82">
        <f t="shared" si="92"/>
        <v>11</v>
      </c>
      <c r="C209" s="83">
        <f t="shared" si="93"/>
        <v>131</v>
      </c>
      <c r="D209" s="14">
        <f t="shared" si="80"/>
        <v>4.8675505653430484E-3</v>
      </c>
      <c r="E209" s="16">
        <f t="shared" si="81"/>
        <v>0</v>
      </c>
      <c r="F209" s="127"/>
      <c r="G209" s="88">
        <f t="shared" si="82"/>
        <v>0</v>
      </c>
      <c r="H209" s="89">
        <f t="shared" si="94"/>
        <v>4.1666666666666666E-3</v>
      </c>
      <c r="I209" s="219"/>
      <c r="J209" s="219"/>
      <c r="K209" s="6">
        <f t="shared" ref="K209:K272" si="102">SUM(K208:M208,N208,R208)</f>
        <v>96884.523243908916</v>
      </c>
      <c r="M209" s="6">
        <f t="shared" si="83"/>
        <v>471.59031588888058</v>
      </c>
      <c r="N209" s="6">
        <f t="shared" si="95"/>
        <v>-109.7356035513301</v>
      </c>
      <c r="O209" s="90">
        <f t="shared" si="84"/>
        <v>406.3314733315857</v>
      </c>
      <c r="P209" s="91">
        <f t="shared" si="85"/>
        <v>0</v>
      </c>
      <c r="Q209" s="6">
        <f t="shared" si="86"/>
        <v>405.19324148436027</v>
      </c>
      <c r="R209" s="87">
        <f t="shared" si="73"/>
        <v>-468.21538152674276</v>
      </c>
      <c r="S209" s="6">
        <f t="shared" si="87"/>
        <v>-20.196348547784467</v>
      </c>
      <c r="T209" s="83">
        <f t="shared" si="96"/>
        <v>0</v>
      </c>
      <c r="U209" s="91">
        <f t="shared" ref="U209:U272" si="103">IF(K209=0,0,SUM(U208,R208,V208))</f>
        <v>117455.82629453549</v>
      </c>
      <c r="V209" s="91">
        <f t="shared" si="97"/>
        <v>571.7221736828011</v>
      </c>
      <c r="W209" s="1">
        <f t="shared" ref="W209:AH218" si="104">IF($B209&lt;=W$78,1,0)</f>
        <v>0</v>
      </c>
      <c r="X209" s="1">
        <f t="shared" si="104"/>
        <v>0</v>
      </c>
      <c r="Y209" s="1">
        <f t="shared" si="104"/>
        <v>0</v>
      </c>
      <c r="Z209" s="1">
        <f t="shared" si="104"/>
        <v>0</v>
      </c>
      <c r="AA209" s="1">
        <f t="shared" si="104"/>
        <v>0</v>
      </c>
      <c r="AB209" s="1">
        <f t="shared" si="104"/>
        <v>0</v>
      </c>
      <c r="AC209" s="1">
        <f t="shared" si="104"/>
        <v>1</v>
      </c>
      <c r="AD209" s="1">
        <f t="shared" si="104"/>
        <v>1</v>
      </c>
      <c r="AE209" s="1">
        <f t="shared" si="104"/>
        <v>1</v>
      </c>
      <c r="AF209" s="1">
        <f t="shared" si="104"/>
        <v>1</v>
      </c>
      <c r="AG209" s="1">
        <f t="shared" si="104"/>
        <v>1</v>
      </c>
      <c r="AH209" s="1">
        <f t="shared" si="104"/>
        <v>1</v>
      </c>
      <c r="AI209" s="44">
        <f t="shared" si="98"/>
        <v>96778.162574719725</v>
      </c>
      <c r="AJ209" s="44">
        <f t="shared" si="88"/>
        <v>97246.377956246462</v>
      </c>
      <c r="AK209" s="44" t="str">
        <f t="shared" si="74"/>
        <v>N</v>
      </c>
      <c r="AL209" s="4">
        <f t="shared" si="89"/>
        <v>131</v>
      </c>
      <c r="AM209" s="82">
        <f t="shared" si="99"/>
        <v>0</v>
      </c>
      <c r="AN209" s="82">
        <f t="shared" si="90"/>
        <v>0</v>
      </c>
      <c r="AO209" s="48">
        <f>0</f>
        <v>0</v>
      </c>
      <c r="AP209" s="91">
        <f t="shared" si="100"/>
        <v>-468.21538152674276</v>
      </c>
      <c r="AQ209" s="91">
        <f t="shared" si="101"/>
        <v>-468.21538152674276</v>
      </c>
      <c r="AV209" s="84"/>
    </row>
    <row r="210" spans="1:48">
      <c r="A210" s="190">
        <f t="shared" si="91"/>
        <v>76.720910335386719</v>
      </c>
      <c r="B210" s="82">
        <f t="shared" si="92"/>
        <v>11</v>
      </c>
      <c r="C210" s="83">
        <f t="shared" si="93"/>
        <v>132</v>
      </c>
      <c r="D210" s="14">
        <f t="shared" si="80"/>
        <v>4.8675505653430484E-3</v>
      </c>
      <c r="E210" s="16">
        <f t="shared" si="81"/>
        <v>0</v>
      </c>
      <c r="F210" s="127"/>
      <c r="G210" s="88">
        <f t="shared" si="82"/>
        <v>0</v>
      </c>
      <c r="H210" s="89">
        <f t="shared" si="94"/>
        <v>4.1666666666666666E-3</v>
      </c>
      <c r="I210" s="219"/>
      <c r="J210" s="219"/>
      <c r="K210" s="6">
        <f t="shared" si="102"/>
        <v>96778.162574719725</v>
      </c>
      <c r="M210" s="6">
        <f t="shared" si="83"/>
        <v>471.07259995343844</v>
      </c>
      <c r="N210" s="6">
        <f t="shared" si="95"/>
        <v>-109.61513485481585</v>
      </c>
      <c r="O210" s="90">
        <f t="shared" si="84"/>
        <v>406.3314733315857</v>
      </c>
      <c r="P210" s="91">
        <f t="shared" si="85"/>
        <v>0</v>
      </c>
      <c r="Q210" s="6">
        <f t="shared" si="86"/>
        <v>404.74841683257642</v>
      </c>
      <c r="R210" s="87">
        <f t="shared" si="73"/>
        <v>-468.00593872535541</v>
      </c>
      <c r="S210" s="6">
        <f t="shared" si="87"/>
        <v>-20.174145059078608</v>
      </c>
      <c r="T210" s="83">
        <f t="shared" si="96"/>
        <v>0</v>
      </c>
      <c r="U210" s="91">
        <f t="shared" si="103"/>
        <v>117559.33308669156</v>
      </c>
      <c r="V210" s="91">
        <f t="shared" si="97"/>
        <v>572.22599822747725</v>
      </c>
      <c r="W210" s="1">
        <f t="shared" si="104"/>
        <v>0</v>
      </c>
      <c r="X210" s="1">
        <f t="shared" si="104"/>
        <v>0</v>
      </c>
      <c r="Y210" s="1">
        <f t="shared" si="104"/>
        <v>0</v>
      </c>
      <c r="Z210" s="1">
        <f t="shared" si="104"/>
        <v>0</v>
      </c>
      <c r="AA210" s="1">
        <f t="shared" si="104"/>
        <v>0</v>
      </c>
      <c r="AB210" s="1">
        <f t="shared" si="104"/>
        <v>0</v>
      </c>
      <c r="AC210" s="1">
        <f t="shared" si="104"/>
        <v>1</v>
      </c>
      <c r="AD210" s="1">
        <f t="shared" si="104"/>
        <v>1</v>
      </c>
      <c r="AE210" s="1">
        <f t="shared" si="104"/>
        <v>1</v>
      </c>
      <c r="AF210" s="1">
        <f t="shared" si="104"/>
        <v>1</v>
      </c>
      <c r="AG210" s="1">
        <f t="shared" si="104"/>
        <v>1</v>
      </c>
      <c r="AH210" s="1">
        <f t="shared" si="104"/>
        <v>1</v>
      </c>
      <c r="AI210" s="44">
        <f t="shared" si="98"/>
        <v>96671.614101092986</v>
      </c>
      <c r="AJ210" s="44">
        <f t="shared" si="88"/>
        <v>97139.620039818343</v>
      </c>
      <c r="AK210" s="44" t="str">
        <f t="shared" si="74"/>
        <v>N</v>
      </c>
      <c r="AL210" s="4">
        <f t="shared" si="89"/>
        <v>132</v>
      </c>
      <c r="AM210" s="82">
        <f t="shared" si="99"/>
        <v>0</v>
      </c>
      <c r="AN210" s="82">
        <f t="shared" si="90"/>
        <v>0</v>
      </c>
      <c r="AO210" s="48">
        <f>0</f>
        <v>0</v>
      </c>
      <c r="AP210" s="91">
        <f t="shared" si="100"/>
        <v>-468.00593872535541</v>
      </c>
      <c r="AQ210" s="91">
        <f t="shared" si="101"/>
        <v>-468.00593872535541</v>
      </c>
      <c r="AV210" s="84"/>
    </row>
    <row r="211" spans="1:48">
      <c r="A211" s="190">
        <f t="shared" si="91"/>
        <v>76.804243668720048</v>
      </c>
      <c r="B211" s="82">
        <f t="shared" si="92"/>
        <v>12</v>
      </c>
      <c r="C211" s="83">
        <f t="shared" si="93"/>
        <v>133</v>
      </c>
      <c r="D211" s="14">
        <f t="shared" si="80"/>
        <v>4.8675505653430484E-3</v>
      </c>
      <c r="E211" s="16">
        <f t="shared" si="81"/>
        <v>0</v>
      </c>
      <c r="F211" s="127"/>
      <c r="G211" s="88">
        <f t="shared" si="82"/>
        <v>0</v>
      </c>
      <c r="H211" s="89">
        <f t="shared" si="94"/>
        <v>4.1666666666666666E-3</v>
      </c>
      <c r="I211" s="219"/>
      <c r="J211" s="219"/>
      <c r="K211" s="6">
        <f t="shared" si="102"/>
        <v>96671.614101092986</v>
      </c>
      <c r="M211" s="6">
        <f t="shared" si="83"/>
        <v>470.55396987040018</v>
      </c>
      <c r="N211" s="6">
        <f t="shared" si="95"/>
        <v>-109.49445344286869</v>
      </c>
      <c r="O211" s="90">
        <f t="shared" si="84"/>
        <v>414.45810279821734</v>
      </c>
      <c r="P211" s="91">
        <f t="shared" si="85"/>
        <v>0</v>
      </c>
      <c r="Q211" s="6">
        <f t="shared" si="86"/>
        <v>404.30280673966882</v>
      </c>
      <c r="R211" s="87">
        <f t="shared" si="73"/>
        <v>-467.79658961223373</v>
      </c>
      <c r="S211" s="6">
        <f t="shared" si="87"/>
        <v>-20.151902316624636</v>
      </c>
      <c r="T211" s="83">
        <f t="shared" si="96"/>
        <v>0</v>
      </c>
      <c r="U211" s="91">
        <f t="shared" si="103"/>
        <v>117663.55314619368</v>
      </c>
      <c r="V211" s="91">
        <f t="shared" si="97"/>
        <v>572.7332946370268</v>
      </c>
      <c r="W211" s="1">
        <f t="shared" si="104"/>
        <v>0</v>
      </c>
      <c r="X211" s="1">
        <f t="shared" si="104"/>
        <v>0</v>
      </c>
      <c r="Y211" s="1">
        <f t="shared" si="104"/>
        <v>0</v>
      </c>
      <c r="Z211" s="1">
        <f t="shared" si="104"/>
        <v>0</v>
      </c>
      <c r="AA211" s="1">
        <f t="shared" si="104"/>
        <v>0</v>
      </c>
      <c r="AB211" s="1">
        <f t="shared" si="104"/>
        <v>0</v>
      </c>
      <c r="AC211" s="1">
        <f t="shared" si="104"/>
        <v>1</v>
      </c>
      <c r="AD211" s="1">
        <f t="shared" si="104"/>
        <v>1</v>
      </c>
      <c r="AE211" s="1">
        <f t="shared" si="104"/>
        <v>1</v>
      </c>
      <c r="AF211" s="1">
        <f t="shared" si="104"/>
        <v>1</v>
      </c>
      <c r="AG211" s="1">
        <f t="shared" si="104"/>
        <v>1</v>
      </c>
      <c r="AH211" s="1">
        <f t="shared" si="104"/>
        <v>1</v>
      </c>
      <c r="AI211" s="44">
        <f t="shared" si="98"/>
        <v>96564.877027908282</v>
      </c>
      <c r="AJ211" s="44">
        <f t="shared" si="88"/>
        <v>97032.673617520515</v>
      </c>
      <c r="AK211" s="44" t="str">
        <f t="shared" si="74"/>
        <v>N</v>
      </c>
      <c r="AL211" s="4">
        <f t="shared" si="89"/>
        <v>133</v>
      </c>
      <c r="AM211" s="82">
        <f t="shared" si="99"/>
        <v>0</v>
      </c>
      <c r="AN211" s="82">
        <f t="shared" si="90"/>
        <v>0</v>
      </c>
      <c r="AO211" s="48">
        <f>0</f>
        <v>0</v>
      </c>
      <c r="AP211" s="91">
        <f t="shared" si="100"/>
        <v>-467.79658961223373</v>
      </c>
      <c r="AQ211" s="91">
        <f t="shared" si="101"/>
        <v>-467.79658961223373</v>
      </c>
      <c r="AV211" s="84"/>
    </row>
    <row r="212" spans="1:48">
      <c r="A212" s="190">
        <f t="shared" si="91"/>
        <v>76.887577002053376</v>
      </c>
      <c r="B212" s="82">
        <f t="shared" si="92"/>
        <v>12</v>
      </c>
      <c r="C212" s="83">
        <f t="shared" si="93"/>
        <v>134</v>
      </c>
      <c r="D212" s="14">
        <f t="shared" si="80"/>
        <v>4.8675505653430484E-3</v>
      </c>
      <c r="E212" s="16">
        <f t="shared" si="81"/>
        <v>0</v>
      </c>
      <c r="F212" s="127"/>
      <c r="G212" s="88">
        <f t="shared" si="82"/>
        <v>0</v>
      </c>
      <c r="H212" s="89">
        <f t="shared" si="94"/>
        <v>4.1666666666666666E-3</v>
      </c>
      <c r="I212" s="219"/>
      <c r="J212" s="219"/>
      <c r="K212" s="6">
        <f t="shared" si="102"/>
        <v>96564.877027908282</v>
      </c>
      <c r="M212" s="6">
        <f t="shared" si="83"/>
        <v>470.03442176947692</v>
      </c>
      <c r="N212" s="6">
        <f t="shared" si="95"/>
        <v>-109.3735584149008</v>
      </c>
      <c r="O212" s="90">
        <f t="shared" si="84"/>
        <v>414.45810279821734</v>
      </c>
      <c r="P212" s="91">
        <f t="shared" si="85"/>
        <v>0</v>
      </c>
      <c r="Q212" s="6">
        <f t="shared" si="86"/>
        <v>403.85640788026194</v>
      </c>
      <c r="R212" s="87">
        <f t="shared" si="73"/>
        <v>-467.58733414546913</v>
      </c>
      <c r="S212" s="6">
        <f t="shared" si="87"/>
        <v>-20.129620154277017</v>
      </c>
      <c r="T212" s="83">
        <f t="shared" si="96"/>
        <v>0</v>
      </c>
      <c r="U212" s="91">
        <f t="shared" si="103"/>
        <v>117768.48985121847</v>
      </c>
      <c r="V212" s="91">
        <f t="shared" si="97"/>
        <v>573.24407935489558</v>
      </c>
      <c r="W212" s="1">
        <f t="shared" si="104"/>
        <v>0</v>
      </c>
      <c r="X212" s="1">
        <f t="shared" si="104"/>
        <v>0</v>
      </c>
      <c r="Y212" s="1">
        <f t="shared" si="104"/>
        <v>0</v>
      </c>
      <c r="Z212" s="1">
        <f t="shared" si="104"/>
        <v>0</v>
      </c>
      <c r="AA212" s="1">
        <f t="shared" si="104"/>
        <v>0</v>
      </c>
      <c r="AB212" s="1">
        <f t="shared" si="104"/>
        <v>0</v>
      </c>
      <c r="AC212" s="1">
        <f t="shared" si="104"/>
        <v>1</v>
      </c>
      <c r="AD212" s="1">
        <f t="shared" si="104"/>
        <v>1</v>
      </c>
      <c r="AE212" s="1">
        <f t="shared" si="104"/>
        <v>1</v>
      </c>
      <c r="AF212" s="1">
        <f t="shared" si="104"/>
        <v>1</v>
      </c>
      <c r="AG212" s="1">
        <f t="shared" si="104"/>
        <v>1</v>
      </c>
      <c r="AH212" s="1">
        <f t="shared" si="104"/>
        <v>1</v>
      </c>
      <c r="AI212" s="44">
        <f t="shared" si="98"/>
        <v>96457.950557117394</v>
      </c>
      <c r="AJ212" s="44">
        <f t="shared" si="88"/>
        <v>96925.537891262866</v>
      </c>
      <c r="AK212" s="44" t="str">
        <f t="shared" si="74"/>
        <v>N</v>
      </c>
      <c r="AL212" s="4">
        <f t="shared" si="89"/>
        <v>134</v>
      </c>
      <c r="AM212" s="82">
        <f t="shared" si="99"/>
        <v>0</v>
      </c>
      <c r="AN212" s="82">
        <f t="shared" si="90"/>
        <v>0</v>
      </c>
      <c r="AO212" s="48">
        <f>0</f>
        <v>0</v>
      </c>
      <c r="AP212" s="91">
        <f t="shared" si="100"/>
        <v>-467.58733414546913</v>
      </c>
      <c r="AQ212" s="91">
        <f t="shared" si="101"/>
        <v>-467.58733414546913</v>
      </c>
      <c r="AV212" s="84"/>
    </row>
    <row r="213" spans="1:48">
      <c r="A213" s="190">
        <f t="shared" si="91"/>
        <v>76.970910335386719</v>
      </c>
      <c r="B213" s="82">
        <f t="shared" si="92"/>
        <v>12</v>
      </c>
      <c r="C213" s="83">
        <f t="shared" si="93"/>
        <v>135</v>
      </c>
      <c r="D213" s="14">
        <f t="shared" si="80"/>
        <v>4.8675505653430484E-3</v>
      </c>
      <c r="E213" s="16">
        <f t="shared" si="81"/>
        <v>0</v>
      </c>
      <c r="F213" s="127"/>
      <c r="G213" s="88">
        <f t="shared" si="82"/>
        <v>0</v>
      </c>
      <c r="H213" s="89">
        <f t="shared" si="94"/>
        <v>4.1666666666666666E-3</v>
      </c>
      <c r="I213" s="219"/>
      <c r="J213" s="219"/>
      <c r="K213" s="6">
        <f t="shared" si="102"/>
        <v>96457.950557117394</v>
      </c>
      <c r="M213" s="6">
        <f t="shared" si="83"/>
        <v>469.51395176612857</v>
      </c>
      <c r="N213" s="6">
        <f t="shared" si="95"/>
        <v>-109.2524488670083</v>
      </c>
      <c r="O213" s="90">
        <f t="shared" si="84"/>
        <v>414.45810279821734</v>
      </c>
      <c r="P213" s="91">
        <f t="shared" si="85"/>
        <v>0</v>
      </c>
      <c r="Q213" s="6">
        <f t="shared" si="86"/>
        <v>403.40921691673549</v>
      </c>
      <c r="R213" s="87">
        <f t="shared" si="73"/>
        <v>-467.37817228317118</v>
      </c>
      <c r="S213" s="6">
        <f t="shared" si="87"/>
        <v>-20.107298405278431</v>
      </c>
      <c r="T213" s="83">
        <f t="shared" si="96"/>
        <v>0</v>
      </c>
      <c r="U213" s="91">
        <f t="shared" si="103"/>
        <v>117874.14659642789</v>
      </c>
      <c r="V213" s="91">
        <f t="shared" si="97"/>
        <v>573.75836890477194</v>
      </c>
      <c r="W213" s="1">
        <f t="shared" si="104"/>
        <v>0</v>
      </c>
      <c r="X213" s="1">
        <f t="shared" si="104"/>
        <v>0</v>
      </c>
      <c r="Y213" s="1">
        <f t="shared" si="104"/>
        <v>0</v>
      </c>
      <c r="Z213" s="1">
        <f t="shared" si="104"/>
        <v>0</v>
      </c>
      <c r="AA213" s="1">
        <f t="shared" si="104"/>
        <v>0</v>
      </c>
      <c r="AB213" s="1">
        <f t="shared" si="104"/>
        <v>0</v>
      </c>
      <c r="AC213" s="1">
        <f t="shared" si="104"/>
        <v>1</v>
      </c>
      <c r="AD213" s="1">
        <f t="shared" si="104"/>
        <v>1</v>
      </c>
      <c r="AE213" s="1">
        <f t="shared" si="104"/>
        <v>1</v>
      </c>
      <c r="AF213" s="1">
        <f t="shared" si="104"/>
        <v>1</v>
      </c>
      <c r="AG213" s="1">
        <f t="shared" si="104"/>
        <v>1</v>
      </c>
      <c r="AH213" s="1">
        <f t="shared" si="104"/>
        <v>1</v>
      </c>
      <c r="AI213" s="44">
        <f t="shared" si="98"/>
        <v>96350.833887733344</v>
      </c>
      <c r="AJ213" s="44">
        <f t="shared" si="88"/>
        <v>96818.212060016522</v>
      </c>
      <c r="AK213" s="44" t="str">
        <f t="shared" si="74"/>
        <v>N</v>
      </c>
      <c r="AL213" s="4">
        <f t="shared" si="89"/>
        <v>135</v>
      </c>
      <c r="AM213" s="82">
        <f t="shared" si="99"/>
        <v>0</v>
      </c>
      <c r="AN213" s="82">
        <f t="shared" si="90"/>
        <v>0</v>
      </c>
      <c r="AO213" s="48">
        <f>0</f>
        <v>0</v>
      </c>
      <c r="AP213" s="91">
        <f t="shared" si="100"/>
        <v>-467.37817228317118</v>
      </c>
      <c r="AQ213" s="91">
        <f t="shared" si="101"/>
        <v>-467.37817228317118</v>
      </c>
      <c r="AV213" s="84"/>
    </row>
    <row r="214" spans="1:48">
      <c r="A214" s="190">
        <f t="shared" si="91"/>
        <v>77.054243668720048</v>
      </c>
      <c r="B214" s="82">
        <f t="shared" si="92"/>
        <v>12</v>
      </c>
      <c r="C214" s="83">
        <f t="shared" si="93"/>
        <v>136</v>
      </c>
      <c r="D214" s="14">
        <f t="shared" si="80"/>
        <v>4.8675505653430484E-3</v>
      </c>
      <c r="E214" s="16">
        <f t="shared" si="81"/>
        <v>0</v>
      </c>
      <c r="F214" s="127"/>
      <c r="G214" s="88">
        <f t="shared" si="82"/>
        <v>0</v>
      </c>
      <c r="H214" s="89">
        <f t="shared" si="94"/>
        <v>4.1666666666666666E-3</v>
      </c>
      <c r="I214" s="219"/>
      <c r="J214" s="219"/>
      <c r="K214" s="6">
        <f t="shared" si="102"/>
        <v>96350.833887733344</v>
      </c>
      <c r="M214" s="6">
        <f t="shared" si="83"/>
        <v>468.99255596151056</v>
      </c>
      <c r="N214" s="6">
        <f t="shared" si="95"/>
        <v>-109.13112389195862</v>
      </c>
      <c r="O214" s="90">
        <f t="shared" si="84"/>
        <v>414.45810279821734</v>
      </c>
      <c r="P214" s="91">
        <f t="shared" si="85"/>
        <v>0</v>
      </c>
      <c r="Q214" s="6">
        <f t="shared" si="86"/>
        <v>402.96123049917873</v>
      </c>
      <c r="R214" s="87">
        <f t="shared" si="73"/>
        <v>-479.07779009081401</v>
      </c>
      <c r="S214" s="6">
        <f t="shared" si="87"/>
        <v>-20.083694990454198</v>
      </c>
      <c r="T214" s="83">
        <f t="shared" si="96"/>
        <v>0</v>
      </c>
      <c r="U214" s="91">
        <f t="shared" si="103"/>
        <v>117980.52679304949</v>
      </c>
      <c r="V214" s="91">
        <f t="shared" si="97"/>
        <v>574.27617989097871</v>
      </c>
      <c r="W214" s="1">
        <f t="shared" si="104"/>
        <v>0</v>
      </c>
      <c r="X214" s="1">
        <f t="shared" si="104"/>
        <v>0</v>
      </c>
      <c r="Y214" s="1">
        <f t="shared" si="104"/>
        <v>0</v>
      </c>
      <c r="Z214" s="1">
        <f t="shared" si="104"/>
        <v>0</v>
      </c>
      <c r="AA214" s="1">
        <f t="shared" si="104"/>
        <v>0</v>
      </c>
      <c r="AB214" s="1">
        <f t="shared" si="104"/>
        <v>0</v>
      </c>
      <c r="AC214" s="1">
        <f t="shared" si="104"/>
        <v>1</v>
      </c>
      <c r="AD214" s="1">
        <f t="shared" si="104"/>
        <v>1</v>
      </c>
      <c r="AE214" s="1">
        <f t="shared" si="104"/>
        <v>1</v>
      </c>
      <c r="AF214" s="1">
        <f t="shared" si="104"/>
        <v>1</v>
      </c>
      <c r="AG214" s="1">
        <f t="shared" si="104"/>
        <v>1</v>
      </c>
      <c r="AH214" s="1">
        <f t="shared" si="104"/>
        <v>1</v>
      </c>
      <c r="AI214" s="44">
        <f t="shared" si="98"/>
        <v>96231.617529712079</v>
      </c>
      <c r="AJ214" s="44">
        <f t="shared" si="88"/>
        <v>96710.695319802893</v>
      </c>
      <c r="AK214" s="44" t="str">
        <f t="shared" si="74"/>
        <v>N</v>
      </c>
      <c r="AL214" s="4">
        <f t="shared" si="89"/>
        <v>136</v>
      </c>
      <c r="AM214" s="82">
        <f t="shared" si="99"/>
        <v>0</v>
      </c>
      <c r="AN214" s="82">
        <f t="shared" si="90"/>
        <v>0</v>
      </c>
      <c r="AO214" s="48">
        <f>0</f>
        <v>0</v>
      </c>
      <c r="AP214" s="91">
        <f t="shared" si="100"/>
        <v>-479.07779009081401</v>
      </c>
      <c r="AQ214" s="91">
        <f t="shared" si="101"/>
        <v>-479.07779009081401</v>
      </c>
      <c r="AV214" s="84"/>
    </row>
    <row r="215" spans="1:48">
      <c r="A215" s="190">
        <f t="shared" si="91"/>
        <v>77.137577002053376</v>
      </c>
      <c r="B215" s="82">
        <f t="shared" si="92"/>
        <v>12</v>
      </c>
      <c r="C215" s="83">
        <f t="shared" si="93"/>
        <v>137</v>
      </c>
      <c r="D215" s="14">
        <f t="shared" si="80"/>
        <v>4.8675505653430484E-3</v>
      </c>
      <c r="E215" s="16">
        <f t="shared" si="81"/>
        <v>0</v>
      </c>
      <c r="F215" s="127"/>
      <c r="G215" s="88">
        <f t="shared" si="82"/>
        <v>0</v>
      </c>
      <c r="H215" s="89">
        <f t="shared" si="94"/>
        <v>4.1666666666666666E-3</v>
      </c>
      <c r="I215" s="219"/>
      <c r="J215" s="219"/>
      <c r="K215" s="6">
        <f t="shared" si="102"/>
        <v>96231.617529712079</v>
      </c>
      <c r="M215" s="6">
        <f t="shared" si="83"/>
        <v>468.41226431062603</v>
      </c>
      <c r="N215" s="6">
        <f t="shared" si="95"/>
        <v>-108.99609428596345</v>
      </c>
      <c r="O215" s="90">
        <f t="shared" si="84"/>
        <v>414.45810279821734</v>
      </c>
      <c r="P215" s="91">
        <f t="shared" si="85"/>
        <v>0</v>
      </c>
      <c r="Q215" s="6">
        <f t="shared" si="86"/>
        <v>402.46264041556975</v>
      </c>
      <c r="R215" s="87">
        <f t="shared" si="73"/>
        <v>-478.86348830065941</v>
      </c>
      <c r="S215" s="6">
        <f t="shared" si="87"/>
        <v>-20.058805658924893</v>
      </c>
      <c r="T215" s="83">
        <f t="shared" si="96"/>
        <v>0</v>
      </c>
      <c r="U215" s="91">
        <f t="shared" si="103"/>
        <v>118075.72518284965</v>
      </c>
      <c r="V215" s="91">
        <f t="shared" si="97"/>
        <v>574.73956286707028</v>
      </c>
      <c r="W215" s="1">
        <f t="shared" si="104"/>
        <v>0</v>
      </c>
      <c r="X215" s="1">
        <f t="shared" si="104"/>
        <v>0</v>
      </c>
      <c r="Y215" s="1">
        <f t="shared" si="104"/>
        <v>0</v>
      </c>
      <c r="Z215" s="1">
        <f t="shared" si="104"/>
        <v>0</v>
      </c>
      <c r="AA215" s="1">
        <f t="shared" si="104"/>
        <v>0</v>
      </c>
      <c r="AB215" s="1">
        <f t="shared" si="104"/>
        <v>0</v>
      </c>
      <c r="AC215" s="1">
        <f t="shared" si="104"/>
        <v>1</v>
      </c>
      <c r="AD215" s="1">
        <f t="shared" si="104"/>
        <v>1</v>
      </c>
      <c r="AE215" s="1">
        <f t="shared" si="104"/>
        <v>1</v>
      </c>
      <c r="AF215" s="1">
        <f t="shared" si="104"/>
        <v>1</v>
      </c>
      <c r="AG215" s="1">
        <f t="shared" si="104"/>
        <v>1</v>
      </c>
      <c r="AH215" s="1">
        <f t="shared" si="104"/>
        <v>1</v>
      </c>
      <c r="AI215" s="44">
        <f t="shared" si="98"/>
        <v>96112.170211436081</v>
      </c>
      <c r="AJ215" s="44">
        <f t="shared" si="88"/>
        <v>96591.033699736741</v>
      </c>
      <c r="AK215" s="44" t="str">
        <f t="shared" si="74"/>
        <v>N</v>
      </c>
      <c r="AL215" s="4">
        <f t="shared" si="89"/>
        <v>137</v>
      </c>
      <c r="AM215" s="82">
        <f t="shared" si="99"/>
        <v>0</v>
      </c>
      <c r="AN215" s="82">
        <f t="shared" si="90"/>
        <v>0</v>
      </c>
      <c r="AO215" s="48">
        <f>0</f>
        <v>0</v>
      </c>
      <c r="AP215" s="91">
        <f t="shared" si="100"/>
        <v>-478.86348830065941</v>
      </c>
      <c r="AQ215" s="91">
        <f t="shared" si="101"/>
        <v>-478.86348830065941</v>
      </c>
      <c r="AV215" s="84"/>
    </row>
    <row r="216" spans="1:48">
      <c r="A216" s="190">
        <f t="shared" si="91"/>
        <v>77.220910335386719</v>
      </c>
      <c r="B216" s="82">
        <f t="shared" si="92"/>
        <v>12</v>
      </c>
      <c r="C216" s="83">
        <f t="shared" si="93"/>
        <v>138</v>
      </c>
      <c r="D216" s="14">
        <f t="shared" si="80"/>
        <v>4.8675505653430484E-3</v>
      </c>
      <c r="E216" s="16">
        <f t="shared" si="81"/>
        <v>0</v>
      </c>
      <c r="F216" s="127"/>
      <c r="G216" s="88">
        <f t="shared" si="82"/>
        <v>0</v>
      </c>
      <c r="H216" s="89">
        <f t="shared" si="94"/>
        <v>4.1666666666666666E-3</v>
      </c>
      <c r="I216" s="219"/>
      <c r="J216" s="219"/>
      <c r="K216" s="6">
        <f t="shared" si="102"/>
        <v>96112.170211436081</v>
      </c>
      <c r="M216" s="6">
        <f t="shared" si="83"/>
        <v>467.83084844902299</v>
      </c>
      <c r="N216" s="6">
        <f t="shared" si="95"/>
        <v>-108.86080308438933</v>
      </c>
      <c r="O216" s="90">
        <f t="shared" si="84"/>
        <v>414.45810279821734</v>
      </c>
      <c r="P216" s="91">
        <f t="shared" si="85"/>
        <v>0</v>
      </c>
      <c r="Q216" s="6">
        <f t="shared" si="86"/>
        <v>401.96308440333632</v>
      </c>
      <c r="R216" s="87">
        <f t="shared" si="73"/>
        <v>-478.64928237230072</v>
      </c>
      <c r="S216" s="6">
        <f t="shared" si="87"/>
        <v>-20.033868055497958</v>
      </c>
      <c r="T216" s="83">
        <f t="shared" si="96"/>
        <v>0</v>
      </c>
      <c r="U216" s="91">
        <f t="shared" si="103"/>
        <v>118171.60125741606</v>
      </c>
      <c r="V216" s="91">
        <f t="shared" si="97"/>
        <v>575.20624450802882</v>
      </c>
      <c r="W216" s="1">
        <f t="shared" si="104"/>
        <v>0</v>
      </c>
      <c r="X216" s="1">
        <f t="shared" si="104"/>
        <v>0</v>
      </c>
      <c r="Y216" s="1">
        <f t="shared" si="104"/>
        <v>0</v>
      </c>
      <c r="Z216" s="1">
        <f t="shared" si="104"/>
        <v>0</v>
      </c>
      <c r="AA216" s="1">
        <f t="shared" si="104"/>
        <v>0</v>
      </c>
      <c r="AB216" s="1">
        <f t="shared" si="104"/>
        <v>0</v>
      </c>
      <c r="AC216" s="1">
        <f t="shared" si="104"/>
        <v>1</v>
      </c>
      <c r="AD216" s="1">
        <f t="shared" si="104"/>
        <v>1</v>
      </c>
      <c r="AE216" s="1">
        <f t="shared" si="104"/>
        <v>1</v>
      </c>
      <c r="AF216" s="1">
        <f t="shared" si="104"/>
        <v>1</v>
      </c>
      <c r="AG216" s="1">
        <f t="shared" si="104"/>
        <v>1</v>
      </c>
      <c r="AH216" s="1">
        <f t="shared" si="104"/>
        <v>1</v>
      </c>
      <c r="AI216" s="44">
        <f t="shared" si="98"/>
        <v>95992.490974428423</v>
      </c>
      <c r="AJ216" s="44">
        <f t="shared" si="88"/>
        <v>96471.140256800718</v>
      </c>
      <c r="AK216" s="44" t="str">
        <f t="shared" si="74"/>
        <v>N</v>
      </c>
      <c r="AL216" s="4">
        <f t="shared" si="89"/>
        <v>138</v>
      </c>
      <c r="AM216" s="82">
        <f t="shared" si="99"/>
        <v>0</v>
      </c>
      <c r="AN216" s="82">
        <f t="shared" si="90"/>
        <v>0</v>
      </c>
      <c r="AO216" s="48">
        <f>0</f>
        <v>0</v>
      </c>
      <c r="AP216" s="91">
        <f t="shared" si="100"/>
        <v>-478.64928237230072</v>
      </c>
      <c r="AQ216" s="91">
        <f t="shared" si="101"/>
        <v>-478.64928237230072</v>
      </c>
      <c r="AV216" s="84"/>
    </row>
    <row r="217" spans="1:48">
      <c r="A217" s="190">
        <f t="shared" si="91"/>
        <v>77.304243668720048</v>
      </c>
      <c r="B217" s="82">
        <f t="shared" si="92"/>
        <v>12</v>
      </c>
      <c r="C217" s="83">
        <f t="shared" si="93"/>
        <v>139</v>
      </c>
      <c r="D217" s="14">
        <f t="shared" si="80"/>
        <v>4.8675505653430484E-3</v>
      </c>
      <c r="E217" s="16">
        <f t="shared" si="81"/>
        <v>0</v>
      </c>
      <c r="F217" s="127"/>
      <c r="G217" s="88">
        <f t="shared" si="82"/>
        <v>0</v>
      </c>
      <c r="H217" s="89">
        <f t="shared" si="94"/>
        <v>4.1666666666666666E-3</v>
      </c>
      <c r="I217" s="219"/>
      <c r="J217" s="219"/>
      <c r="K217" s="6">
        <f t="shared" si="102"/>
        <v>95992.490974428423</v>
      </c>
      <c r="M217" s="6">
        <f t="shared" si="83"/>
        <v>467.24830371126654</v>
      </c>
      <c r="N217" s="6">
        <f t="shared" si="95"/>
        <v>-108.72524920162381</v>
      </c>
      <c r="O217" s="90">
        <f t="shared" si="84"/>
        <v>414.45810279821734</v>
      </c>
      <c r="P217" s="91">
        <f t="shared" si="85"/>
        <v>0</v>
      </c>
      <c r="Q217" s="6">
        <f t="shared" si="86"/>
        <v>401.46255845390863</v>
      </c>
      <c r="R217" s="87">
        <f t="shared" si="73"/>
        <v>-478.43517226285655</v>
      </c>
      <c r="S217" s="6">
        <f t="shared" si="87"/>
        <v>-20.008881979892678</v>
      </c>
      <c r="T217" s="83">
        <f t="shared" si="96"/>
        <v>0</v>
      </c>
      <c r="U217" s="91">
        <f t="shared" si="103"/>
        <v>118268.15821955178</v>
      </c>
      <c r="V217" s="91">
        <f t="shared" si="97"/>
        <v>575.67624040366036</v>
      </c>
      <c r="W217" s="1">
        <f t="shared" si="104"/>
        <v>0</v>
      </c>
      <c r="X217" s="1">
        <f t="shared" si="104"/>
        <v>0</v>
      </c>
      <c r="Y217" s="1">
        <f t="shared" si="104"/>
        <v>0</v>
      </c>
      <c r="Z217" s="1">
        <f t="shared" si="104"/>
        <v>0</v>
      </c>
      <c r="AA217" s="1">
        <f t="shared" si="104"/>
        <v>0</v>
      </c>
      <c r="AB217" s="1">
        <f t="shared" si="104"/>
        <v>0</v>
      </c>
      <c r="AC217" s="1">
        <f t="shared" si="104"/>
        <v>1</v>
      </c>
      <c r="AD217" s="1">
        <f t="shared" si="104"/>
        <v>1</v>
      </c>
      <c r="AE217" s="1">
        <f t="shared" si="104"/>
        <v>1</v>
      </c>
      <c r="AF217" s="1">
        <f t="shared" si="104"/>
        <v>1</v>
      </c>
      <c r="AG217" s="1">
        <f t="shared" si="104"/>
        <v>1</v>
      </c>
      <c r="AH217" s="1">
        <f t="shared" si="104"/>
        <v>1</v>
      </c>
      <c r="AI217" s="44">
        <f t="shared" si="98"/>
        <v>95872.578856675202</v>
      </c>
      <c r="AJ217" s="44">
        <f t="shared" si="88"/>
        <v>96351.014028938065</v>
      </c>
      <c r="AK217" s="44" t="str">
        <f t="shared" si="74"/>
        <v>N</v>
      </c>
      <c r="AL217" s="4">
        <f t="shared" si="89"/>
        <v>139</v>
      </c>
      <c r="AM217" s="82">
        <f t="shared" si="99"/>
        <v>0</v>
      </c>
      <c r="AN217" s="82">
        <f t="shared" si="90"/>
        <v>0</v>
      </c>
      <c r="AO217" s="48">
        <f>0</f>
        <v>0</v>
      </c>
      <c r="AP217" s="91">
        <f t="shared" si="100"/>
        <v>-478.43517226285655</v>
      </c>
      <c r="AQ217" s="91">
        <f t="shared" si="101"/>
        <v>-478.43517226285655</v>
      </c>
      <c r="AV217" s="84"/>
    </row>
    <row r="218" spans="1:48">
      <c r="A218" s="190">
        <f t="shared" si="91"/>
        <v>77.387577002053376</v>
      </c>
      <c r="B218" s="82">
        <f t="shared" si="92"/>
        <v>12</v>
      </c>
      <c r="C218" s="83">
        <f t="shared" si="93"/>
        <v>140</v>
      </c>
      <c r="D218" s="14">
        <f t="shared" si="80"/>
        <v>4.8675505653430484E-3</v>
      </c>
      <c r="E218" s="16">
        <f t="shared" si="81"/>
        <v>0</v>
      </c>
      <c r="F218" s="127"/>
      <c r="G218" s="88">
        <f t="shared" si="82"/>
        <v>0</v>
      </c>
      <c r="H218" s="89">
        <f t="shared" si="94"/>
        <v>4.1666666666666666E-3</v>
      </c>
      <c r="I218" s="219"/>
      <c r="J218" s="219"/>
      <c r="K218" s="6">
        <f t="shared" si="102"/>
        <v>95872.578856675202</v>
      </c>
      <c r="M218" s="6">
        <f t="shared" si="83"/>
        <v>466.66462541470537</v>
      </c>
      <c r="N218" s="6">
        <f t="shared" si="95"/>
        <v>-108.58943154804831</v>
      </c>
      <c r="O218" s="90">
        <f t="shared" si="84"/>
        <v>414.45810279821734</v>
      </c>
      <c r="P218" s="91">
        <f t="shared" si="85"/>
        <v>0</v>
      </c>
      <c r="Q218" s="6">
        <f t="shared" si="86"/>
        <v>400.96105854392437</v>
      </c>
      <c r="R218" s="87">
        <f t="shared" si="73"/>
        <v>-478.22115792946539</v>
      </c>
      <c r="S218" s="6">
        <f t="shared" si="87"/>
        <v>-19.983847231089236</v>
      </c>
      <c r="T218" s="83">
        <f t="shared" si="96"/>
        <v>0</v>
      </c>
      <c r="U218" s="91">
        <f t="shared" si="103"/>
        <v>118365.39928769258</v>
      </c>
      <c r="V218" s="91">
        <f t="shared" si="97"/>
        <v>576.14956621986369</v>
      </c>
      <c r="W218" s="1">
        <f t="shared" si="104"/>
        <v>0</v>
      </c>
      <c r="X218" s="1">
        <f t="shared" si="104"/>
        <v>0</v>
      </c>
      <c r="Y218" s="1">
        <f t="shared" si="104"/>
        <v>0</v>
      </c>
      <c r="Z218" s="1">
        <f t="shared" si="104"/>
        <v>0</v>
      </c>
      <c r="AA218" s="1">
        <f t="shared" si="104"/>
        <v>0</v>
      </c>
      <c r="AB218" s="1">
        <f t="shared" si="104"/>
        <v>0</v>
      </c>
      <c r="AC218" s="1">
        <f t="shared" si="104"/>
        <v>1</v>
      </c>
      <c r="AD218" s="1">
        <f t="shared" si="104"/>
        <v>1</v>
      </c>
      <c r="AE218" s="1">
        <f t="shared" si="104"/>
        <v>1</v>
      </c>
      <c r="AF218" s="1">
        <f t="shared" si="104"/>
        <v>1</v>
      </c>
      <c r="AG218" s="1">
        <f t="shared" si="104"/>
        <v>1</v>
      </c>
      <c r="AH218" s="1">
        <f t="shared" si="104"/>
        <v>1</v>
      </c>
      <c r="AI218" s="44">
        <f t="shared" si="98"/>
        <v>95752.432892612385</v>
      </c>
      <c r="AJ218" s="44">
        <f t="shared" si="88"/>
        <v>96230.654050541852</v>
      </c>
      <c r="AK218" s="44" t="str">
        <f t="shared" si="74"/>
        <v>N</v>
      </c>
      <c r="AL218" s="4">
        <f t="shared" si="89"/>
        <v>140</v>
      </c>
      <c r="AM218" s="82">
        <f t="shared" si="99"/>
        <v>0</v>
      </c>
      <c r="AN218" s="82">
        <f t="shared" si="90"/>
        <v>0</v>
      </c>
      <c r="AO218" s="48">
        <f>0</f>
        <v>0</v>
      </c>
      <c r="AP218" s="91">
        <f t="shared" si="100"/>
        <v>-478.22115792946539</v>
      </c>
      <c r="AQ218" s="91">
        <f t="shared" si="101"/>
        <v>-478.22115792946539</v>
      </c>
      <c r="AV218" s="84"/>
    </row>
    <row r="219" spans="1:48">
      <c r="A219" s="190">
        <f t="shared" si="91"/>
        <v>77.470910335386719</v>
      </c>
      <c r="B219" s="82">
        <f t="shared" si="92"/>
        <v>12</v>
      </c>
      <c r="C219" s="83">
        <f t="shared" si="93"/>
        <v>141</v>
      </c>
      <c r="D219" s="14">
        <f t="shared" si="80"/>
        <v>4.8675505653430484E-3</v>
      </c>
      <c r="E219" s="16">
        <f t="shared" si="81"/>
        <v>0</v>
      </c>
      <c r="F219" s="127"/>
      <c r="G219" s="88">
        <f t="shared" si="82"/>
        <v>0</v>
      </c>
      <c r="H219" s="89">
        <f t="shared" si="94"/>
        <v>4.1666666666666666E-3</v>
      </c>
      <c r="I219" s="219"/>
      <c r="J219" s="219"/>
      <c r="K219" s="6">
        <f t="shared" si="102"/>
        <v>95752.432892612385</v>
      </c>
      <c r="M219" s="6">
        <f t="shared" si="83"/>
        <v>466.07980885940771</v>
      </c>
      <c r="N219" s="6">
        <f t="shared" si="95"/>
        <v>-108.45334903002325</v>
      </c>
      <c r="O219" s="90">
        <f t="shared" si="84"/>
        <v>414.45810279821734</v>
      </c>
      <c r="P219" s="91">
        <f t="shared" si="85"/>
        <v>0</v>
      </c>
      <c r="Q219" s="6">
        <f t="shared" si="86"/>
        <v>400.45858063517403</v>
      </c>
      <c r="R219" s="87">
        <f t="shared" si="73"/>
        <v>-478.00723932928429</v>
      </c>
      <c r="S219" s="6">
        <f t="shared" si="87"/>
        <v>-19.958763607325977</v>
      </c>
      <c r="T219" s="83">
        <f t="shared" si="96"/>
        <v>0</v>
      </c>
      <c r="U219" s="91">
        <f t="shared" si="103"/>
        <v>118463.32769598297</v>
      </c>
      <c r="V219" s="91">
        <f t="shared" si="97"/>
        <v>576.62623769900074</v>
      </c>
      <c r="W219" s="1">
        <f t="shared" ref="W219:AH228" si="105">IF($B219&lt;=W$78,1,0)</f>
        <v>0</v>
      </c>
      <c r="X219" s="1">
        <f t="shared" si="105"/>
        <v>0</v>
      </c>
      <c r="Y219" s="1">
        <f t="shared" si="105"/>
        <v>0</v>
      </c>
      <c r="Z219" s="1">
        <f t="shared" si="105"/>
        <v>0</v>
      </c>
      <c r="AA219" s="1">
        <f t="shared" si="105"/>
        <v>0</v>
      </c>
      <c r="AB219" s="1">
        <f t="shared" si="105"/>
        <v>0</v>
      </c>
      <c r="AC219" s="1">
        <f t="shared" si="105"/>
        <v>1</v>
      </c>
      <c r="AD219" s="1">
        <f t="shared" si="105"/>
        <v>1</v>
      </c>
      <c r="AE219" s="1">
        <f t="shared" si="105"/>
        <v>1</v>
      </c>
      <c r="AF219" s="1">
        <f t="shared" si="105"/>
        <v>1</v>
      </c>
      <c r="AG219" s="1">
        <f t="shared" si="105"/>
        <v>1</v>
      </c>
      <c r="AH219" s="1">
        <f t="shared" si="105"/>
        <v>1</v>
      </c>
      <c r="AI219" s="44">
        <f t="shared" si="98"/>
        <v>95632.052113112484</v>
      </c>
      <c r="AJ219" s="44">
        <f t="shared" si="88"/>
        <v>96110.059352441764</v>
      </c>
      <c r="AK219" s="44" t="str">
        <f t="shared" si="74"/>
        <v>N</v>
      </c>
      <c r="AL219" s="4">
        <f t="shared" si="89"/>
        <v>141</v>
      </c>
      <c r="AM219" s="82">
        <f t="shared" si="99"/>
        <v>0</v>
      </c>
      <c r="AN219" s="82">
        <f t="shared" si="90"/>
        <v>0</v>
      </c>
      <c r="AO219" s="48">
        <f>0</f>
        <v>0</v>
      </c>
      <c r="AP219" s="91">
        <f t="shared" si="100"/>
        <v>-478.00723932928429</v>
      </c>
      <c r="AQ219" s="91">
        <f t="shared" si="101"/>
        <v>-478.00723932928429</v>
      </c>
      <c r="AV219" s="84"/>
    </row>
    <row r="220" spans="1:48">
      <c r="A220" s="190">
        <f t="shared" si="91"/>
        <v>77.554243668720048</v>
      </c>
      <c r="B220" s="82">
        <f t="shared" si="92"/>
        <v>12</v>
      </c>
      <c r="C220" s="83">
        <f t="shared" si="93"/>
        <v>142</v>
      </c>
      <c r="D220" s="14">
        <f t="shared" si="80"/>
        <v>4.8675505653430484E-3</v>
      </c>
      <c r="E220" s="16">
        <f t="shared" si="81"/>
        <v>0</v>
      </c>
      <c r="F220" s="127"/>
      <c r="G220" s="88">
        <f t="shared" si="82"/>
        <v>0</v>
      </c>
      <c r="H220" s="89">
        <f t="shared" si="94"/>
        <v>4.1666666666666666E-3</v>
      </c>
      <c r="I220" s="219"/>
      <c r="J220" s="219"/>
      <c r="K220" s="6">
        <f t="shared" si="102"/>
        <v>95632.052113112484</v>
      </c>
      <c r="M220" s="6">
        <f t="shared" si="83"/>
        <v>465.49384932809653</v>
      </c>
      <c r="N220" s="6">
        <f t="shared" si="95"/>
        <v>-108.31700054987287</v>
      </c>
      <c r="O220" s="90">
        <f t="shared" si="84"/>
        <v>414.45810279821734</v>
      </c>
      <c r="P220" s="91">
        <f t="shared" si="85"/>
        <v>0</v>
      </c>
      <c r="Q220" s="6">
        <f t="shared" si="86"/>
        <v>399.95512067454462</v>
      </c>
      <c r="R220" s="87">
        <f t="shared" ref="R220:R283" si="106">-MIN(MAX(O220,P220,Q220,-R208*1.02),AJ220)</f>
        <v>-477.7934164194898</v>
      </c>
      <c r="S220" s="6">
        <f t="shared" si="87"/>
        <v>-19.933630906096621</v>
      </c>
      <c r="T220" s="83">
        <f t="shared" si="96"/>
        <v>0</v>
      </c>
      <c r="U220" s="91">
        <f t="shared" si="103"/>
        <v>118561.94669435269</v>
      </c>
      <c r="V220" s="91">
        <f t="shared" si="97"/>
        <v>577.10627066026882</v>
      </c>
      <c r="W220" s="1">
        <f t="shared" si="105"/>
        <v>0</v>
      </c>
      <c r="X220" s="1">
        <f t="shared" si="105"/>
        <v>0</v>
      </c>
      <c r="Y220" s="1">
        <f t="shared" si="105"/>
        <v>0</v>
      </c>
      <c r="Z220" s="1">
        <f t="shared" si="105"/>
        <v>0</v>
      </c>
      <c r="AA220" s="1">
        <f t="shared" si="105"/>
        <v>0</v>
      </c>
      <c r="AB220" s="1">
        <f t="shared" si="105"/>
        <v>0</v>
      </c>
      <c r="AC220" s="1">
        <f t="shared" si="105"/>
        <v>1</v>
      </c>
      <c r="AD220" s="1">
        <f t="shared" si="105"/>
        <v>1</v>
      </c>
      <c r="AE220" s="1">
        <f t="shared" si="105"/>
        <v>1</v>
      </c>
      <c r="AF220" s="1">
        <f t="shared" si="105"/>
        <v>1</v>
      </c>
      <c r="AG220" s="1">
        <f t="shared" si="105"/>
        <v>1</v>
      </c>
      <c r="AH220" s="1">
        <f t="shared" si="105"/>
        <v>1</v>
      </c>
      <c r="AI220" s="44">
        <f t="shared" si="98"/>
        <v>95511.43554547122</v>
      </c>
      <c r="AJ220" s="44">
        <f t="shared" si="88"/>
        <v>95989.228961890709</v>
      </c>
      <c r="AK220" s="44" t="str">
        <f t="shared" ref="AK220:AK283" si="107">IF(R220=0,0,IF(R220&gt;R208,"Y","N"))</f>
        <v>N</v>
      </c>
      <c r="AL220" s="4">
        <f t="shared" si="89"/>
        <v>142</v>
      </c>
      <c r="AM220" s="82">
        <f t="shared" si="99"/>
        <v>0</v>
      </c>
      <c r="AN220" s="82">
        <f t="shared" si="90"/>
        <v>0</v>
      </c>
      <c r="AO220" s="48">
        <f>0</f>
        <v>0</v>
      </c>
      <c r="AP220" s="91">
        <f t="shared" si="100"/>
        <v>-477.7934164194898</v>
      </c>
      <c r="AQ220" s="91">
        <f t="shared" si="101"/>
        <v>-477.7934164194898</v>
      </c>
      <c r="AV220" s="84"/>
    </row>
    <row r="221" spans="1:48">
      <c r="A221" s="190">
        <f t="shared" si="91"/>
        <v>77.637577002053376</v>
      </c>
      <c r="B221" s="82">
        <f t="shared" si="92"/>
        <v>12</v>
      </c>
      <c r="C221" s="83">
        <f t="shared" si="93"/>
        <v>143</v>
      </c>
      <c r="D221" s="14">
        <f t="shared" si="80"/>
        <v>4.8675505653430484E-3</v>
      </c>
      <c r="E221" s="16">
        <f t="shared" si="81"/>
        <v>0</v>
      </c>
      <c r="F221" s="127"/>
      <c r="G221" s="88">
        <f t="shared" si="82"/>
        <v>0</v>
      </c>
      <c r="H221" s="89">
        <f t="shared" si="94"/>
        <v>4.1666666666666666E-3</v>
      </c>
      <c r="I221" s="219"/>
      <c r="J221" s="219"/>
      <c r="K221" s="6">
        <f t="shared" si="102"/>
        <v>95511.43554547122</v>
      </c>
      <c r="M221" s="6">
        <f t="shared" si="83"/>
        <v>464.90674208608459</v>
      </c>
      <c r="N221" s="6">
        <f t="shared" si="95"/>
        <v>-108.18038500587021</v>
      </c>
      <c r="O221" s="90">
        <f t="shared" si="84"/>
        <v>414.45810279821734</v>
      </c>
      <c r="P221" s="91">
        <f t="shared" si="85"/>
        <v>0</v>
      </c>
      <c r="Q221" s="6">
        <f t="shared" si="86"/>
        <v>399.45067459396432</v>
      </c>
      <c r="R221" s="87">
        <f t="shared" si="106"/>
        <v>-477.57968915727764</v>
      </c>
      <c r="S221" s="6">
        <f t="shared" si="87"/>
        <v>-19.908448924147464</v>
      </c>
      <c r="T221" s="83">
        <f t="shared" si="96"/>
        <v>0</v>
      </c>
      <c r="U221" s="91">
        <f t="shared" si="103"/>
        <v>118661.25954859347</v>
      </c>
      <c r="V221" s="91">
        <f t="shared" si="97"/>
        <v>577.58968100007439</v>
      </c>
      <c r="W221" s="1">
        <f t="shared" si="105"/>
        <v>0</v>
      </c>
      <c r="X221" s="1">
        <f t="shared" si="105"/>
        <v>0</v>
      </c>
      <c r="Y221" s="1">
        <f t="shared" si="105"/>
        <v>0</v>
      </c>
      <c r="Z221" s="1">
        <f t="shared" si="105"/>
        <v>0</v>
      </c>
      <c r="AA221" s="1">
        <f t="shared" si="105"/>
        <v>0</v>
      </c>
      <c r="AB221" s="1">
        <f t="shared" si="105"/>
        <v>0</v>
      </c>
      <c r="AC221" s="1">
        <f t="shared" si="105"/>
        <v>1</v>
      </c>
      <c r="AD221" s="1">
        <f t="shared" si="105"/>
        <v>1</v>
      </c>
      <c r="AE221" s="1">
        <f t="shared" si="105"/>
        <v>1</v>
      </c>
      <c r="AF221" s="1">
        <f t="shared" si="105"/>
        <v>1</v>
      </c>
      <c r="AG221" s="1">
        <f t="shared" si="105"/>
        <v>1</v>
      </c>
      <c r="AH221" s="1">
        <f t="shared" si="105"/>
        <v>1</v>
      </c>
      <c r="AI221" s="44">
        <f t="shared" si="98"/>
        <v>95390.582213394155</v>
      </c>
      <c r="AJ221" s="44">
        <f t="shared" si="88"/>
        <v>95868.161902551437</v>
      </c>
      <c r="AK221" s="44" t="str">
        <f t="shared" si="107"/>
        <v>N</v>
      </c>
      <c r="AL221" s="4">
        <f t="shared" si="89"/>
        <v>143</v>
      </c>
      <c r="AM221" s="82">
        <f t="shared" si="99"/>
        <v>0</v>
      </c>
      <c r="AN221" s="82">
        <f t="shared" si="90"/>
        <v>0</v>
      </c>
      <c r="AO221" s="48">
        <f>0</f>
        <v>0</v>
      </c>
      <c r="AP221" s="91">
        <f t="shared" si="100"/>
        <v>-477.57968915727764</v>
      </c>
      <c r="AQ221" s="91">
        <f t="shared" si="101"/>
        <v>-477.57968915727764</v>
      </c>
      <c r="AV221" s="84"/>
    </row>
    <row r="222" spans="1:48">
      <c r="A222" s="190">
        <f t="shared" si="91"/>
        <v>77.720910335386719</v>
      </c>
      <c r="B222" s="82">
        <f t="shared" si="92"/>
        <v>12</v>
      </c>
      <c r="C222" s="83">
        <f t="shared" si="93"/>
        <v>144</v>
      </c>
      <c r="D222" s="14">
        <f t="shared" si="80"/>
        <v>4.8675505653430484E-3</v>
      </c>
      <c r="E222" s="16">
        <f t="shared" si="81"/>
        <v>0</v>
      </c>
      <c r="F222" s="127"/>
      <c r="G222" s="88">
        <f t="shared" si="82"/>
        <v>0</v>
      </c>
      <c r="H222" s="89">
        <f t="shared" si="94"/>
        <v>4.1666666666666666E-3</v>
      </c>
      <c r="I222" s="219"/>
      <c r="J222" s="219"/>
      <c r="K222" s="6">
        <f t="shared" si="102"/>
        <v>95390.582213394155</v>
      </c>
      <c r="M222" s="6">
        <f t="shared" si="83"/>
        <v>464.31848238120926</v>
      </c>
      <c r="N222" s="6">
        <f t="shared" si="95"/>
        <v>-108.04350129222196</v>
      </c>
      <c r="O222" s="90">
        <f t="shared" si="84"/>
        <v>414.45810279821734</v>
      </c>
      <c r="P222" s="91">
        <f t="shared" si="85"/>
        <v>0</v>
      </c>
      <c r="Q222" s="6">
        <f t="shared" si="86"/>
        <v>398.94523831034638</v>
      </c>
      <c r="R222" s="87">
        <f t="shared" si="106"/>
        <v>-477.36605749986251</v>
      </c>
      <c r="S222" s="6">
        <f t="shared" si="87"/>
        <v>-19.883217457474601</v>
      </c>
      <c r="T222" s="83">
        <f t="shared" si="96"/>
        <v>0</v>
      </c>
      <c r="U222" s="91">
        <f t="shared" si="103"/>
        <v>118761.26954043626</v>
      </c>
      <c r="V222" s="91">
        <f t="shared" si="97"/>
        <v>578.07648469240871</v>
      </c>
      <c r="W222" s="1">
        <f t="shared" si="105"/>
        <v>0</v>
      </c>
      <c r="X222" s="1">
        <f t="shared" si="105"/>
        <v>0</v>
      </c>
      <c r="Y222" s="1">
        <f t="shared" si="105"/>
        <v>0</v>
      </c>
      <c r="Z222" s="1">
        <f t="shared" si="105"/>
        <v>0</v>
      </c>
      <c r="AA222" s="1">
        <f t="shared" si="105"/>
        <v>0</v>
      </c>
      <c r="AB222" s="1">
        <f t="shared" si="105"/>
        <v>0</v>
      </c>
      <c r="AC222" s="1">
        <f t="shared" si="105"/>
        <v>1</v>
      </c>
      <c r="AD222" s="1">
        <f t="shared" si="105"/>
        <v>1</v>
      </c>
      <c r="AE222" s="1">
        <f t="shared" si="105"/>
        <v>1</v>
      </c>
      <c r="AF222" s="1">
        <f t="shared" si="105"/>
        <v>1</v>
      </c>
      <c r="AG222" s="1">
        <f t="shared" si="105"/>
        <v>1</v>
      </c>
      <c r="AH222" s="1">
        <f t="shared" si="105"/>
        <v>1</v>
      </c>
      <c r="AI222" s="44">
        <f t="shared" si="98"/>
        <v>95269.49113698327</v>
      </c>
      <c r="AJ222" s="44">
        <f t="shared" si="88"/>
        <v>95746.857194483135</v>
      </c>
      <c r="AK222" s="44" t="str">
        <f t="shared" si="107"/>
        <v>N</v>
      </c>
      <c r="AL222" s="4">
        <f t="shared" si="89"/>
        <v>144</v>
      </c>
      <c r="AM222" s="82">
        <f t="shared" si="99"/>
        <v>0</v>
      </c>
      <c r="AN222" s="82">
        <f t="shared" si="90"/>
        <v>0</v>
      </c>
      <c r="AO222" s="48">
        <f>0</f>
        <v>0</v>
      </c>
      <c r="AP222" s="91">
        <f t="shared" si="100"/>
        <v>-477.36605749986251</v>
      </c>
      <c r="AQ222" s="91">
        <f t="shared" si="101"/>
        <v>-477.36605749986251</v>
      </c>
      <c r="AV222" s="84"/>
    </row>
    <row r="223" spans="1:48">
      <c r="A223" s="190">
        <f t="shared" si="91"/>
        <v>77.804243668720048</v>
      </c>
      <c r="B223" s="82">
        <f t="shared" si="92"/>
        <v>13</v>
      </c>
      <c r="C223" s="83">
        <f t="shared" si="93"/>
        <v>145</v>
      </c>
      <c r="D223" s="14">
        <f t="shared" si="80"/>
        <v>4.8675505653430484E-3</v>
      </c>
      <c r="E223" s="16">
        <f t="shared" si="81"/>
        <v>0</v>
      </c>
      <c r="F223" s="127"/>
      <c r="G223" s="88">
        <f t="shared" si="82"/>
        <v>0</v>
      </c>
      <c r="H223" s="89">
        <f t="shared" si="94"/>
        <v>4.1666666666666666E-3</v>
      </c>
      <c r="I223" s="219"/>
      <c r="J223" s="219"/>
      <c r="K223" s="6">
        <f t="shared" si="102"/>
        <v>95269.49113698327</v>
      </c>
      <c r="M223" s="6">
        <f t="shared" si="83"/>
        <v>463.72906544376747</v>
      </c>
      <c r="N223" s="6">
        <f t="shared" si="95"/>
        <v>-107.90634829905322</v>
      </c>
      <c r="O223" s="90">
        <f t="shared" si="84"/>
        <v>422.74726485418171</v>
      </c>
      <c r="P223" s="91">
        <f t="shared" si="85"/>
        <v>0</v>
      </c>
      <c r="Q223" s="6">
        <f t="shared" si="86"/>
        <v>398.43880772553325</v>
      </c>
      <c r="R223" s="87">
        <f t="shared" si="106"/>
        <v>-477.15252140447842</v>
      </c>
      <c r="S223" s="6">
        <f t="shared" si="87"/>
        <v>-19.857936301321107</v>
      </c>
      <c r="T223" s="83">
        <f t="shared" si="96"/>
        <v>0</v>
      </c>
      <c r="U223" s="91">
        <f t="shared" si="103"/>
        <v>118861.97996762881</v>
      </c>
      <c r="V223" s="91">
        <f t="shared" si="97"/>
        <v>578.56669778922571</v>
      </c>
      <c r="W223" s="1">
        <f t="shared" si="105"/>
        <v>0</v>
      </c>
      <c r="X223" s="1">
        <f t="shared" si="105"/>
        <v>0</v>
      </c>
      <c r="Y223" s="1">
        <f t="shared" si="105"/>
        <v>0</v>
      </c>
      <c r="Z223" s="1">
        <f t="shared" si="105"/>
        <v>0</v>
      </c>
      <c r="AA223" s="1">
        <f t="shared" si="105"/>
        <v>0</v>
      </c>
      <c r="AB223" s="1">
        <f t="shared" si="105"/>
        <v>0</v>
      </c>
      <c r="AC223" s="1">
        <f t="shared" si="105"/>
        <v>1</v>
      </c>
      <c r="AD223" s="1">
        <f t="shared" si="105"/>
        <v>1</v>
      </c>
      <c r="AE223" s="1">
        <f t="shared" si="105"/>
        <v>1</v>
      </c>
      <c r="AF223" s="1">
        <f t="shared" si="105"/>
        <v>1</v>
      </c>
      <c r="AG223" s="1">
        <f t="shared" si="105"/>
        <v>1</v>
      </c>
      <c r="AH223" s="1">
        <f t="shared" si="105"/>
        <v>1</v>
      </c>
      <c r="AI223" s="44">
        <f t="shared" si="98"/>
        <v>95148.161332723495</v>
      </c>
      <c r="AJ223" s="44">
        <f t="shared" si="88"/>
        <v>95625.313854127977</v>
      </c>
      <c r="AK223" s="44" t="str">
        <f t="shared" si="107"/>
        <v>N</v>
      </c>
      <c r="AL223" s="4">
        <f t="shared" si="89"/>
        <v>145</v>
      </c>
      <c r="AM223" s="82">
        <f t="shared" si="99"/>
        <v>0</v>
      </c>
      <c r="AN223" s="82">
        <f t="shared" si="90"/>
        <v>0</v>
      </c>
      <c r="AO223" s="48">
        <f>0</f>
        <v>0</v>
      </c>
      <c r="AP223" s="91">
        <f t="shared" si="100"/>
        <v>-477.15252140447842</v>
      </c>
      <c r="AQ223" s="91">
        <f t="shared" si="101"/>
        <v>-477.15252140447842</v>
      </c>
      <c r="AV223" s="84"/>
    </row>
    <row r="224" spans="1:48">
      <c r="A224" s="190">
        <f t="shared" si="91"/>
        <v>77.887577002053376</v>
      </c>
      <c r="B224" s="82">
        <f t="shared" si="92"/>
        <v>13</v>
      </c>
      <c r="C224" s="83">
        <f t="shared" si="93"/>
        <v>146</v>
      </c>
      <c r="D224" s="14">
        <f t="shared" si="80"/>
        <v>4.8675505653430484E-3</v>
      </c>
      <c r="E224" s="16">
        <f t="shared" si="81"/>
        <v>0</v>
      </c>
      <c r="F224" s="127"/>
      <c r="G224" s="88">
        <f t="shared" si="82"/>
        <v>0</v>
      </c>
      <c r="H224" s="89">
        <f t="shared" si="94"/>
        <v>4.1666666666666666E-3</v>
      </c>
      <c r="I224" s="219"/>
      <c r="J224" s="219"/>
      <c r="K224" s="6">
        <f t="shared" si="102"/>
        <v>95148.161332723495</v>
      </c>
      <c r="M224" s="6">
        <f t="shared" si="83"/>
        <v>463.13848648644984</v>
      </c>
      <c r="N224" s="6">
        <f t="shared" si="95"/>
        <v>-107.76892491239227</v>
      </c>
      <c r="O224" s="90">
        <f t="shared" si="84"/>
        <v>422.74726485418171</v>
      </c>
      <c r="P224" s="91">
        <f t="shared" si="85"/>
        <v>0</v>
      </c>
      <c r="Q224" s="6">
        <f t="shared" si="86"/>
        <v>397.93137872623981</v>
      </c>
      <c r="R224" s="87">
        <f t="shared" si="106"/>
        <v>-476.93908082837851</v>
      </c>
      <c r="S224" s="6">
        <f t="shared" si="87"/>
        <v>-19.83260525017424</v>
      </c>
      <c r="T224" s="83">
        <f t="shared" si="96"/>
        <v>0</v>
      </c>
      <c r="U224" s="91">
        <f t="shared" si="103"/>
        <v>118963.39414401355</v>
      </c>
      <c r="V224" s="91">
        <f t="shared" si="97"/>
        <v>579.06033642082105</v>
      </c>
      <c r="W224" s="1">
        <f t="shared" si="105"/>
        <v>0</v>
      </c>
      <c r="X224" s="1">
        <f t="shared" si="105"/>
        <v>0</v>
      </c>
      <c r="Y224" s="1">
        <f t="shared" si="105"/>
        <v>0</v>
      </c>
      <c r="Z224" s="1">
        <f t="shared" si="105"/>
        <v>0</v>
      </c>
      <c r="AA224" s="1">
        <f t="shared" si="105"/>
        <v>0</v>
      </c>
      <c r="AB224" s="1">
        <f t="shared" si="105"/>
        <v>0</v>
      </c>
      <c r="AC224" s="1">
        <f t="shared" si="105"/>
        <v>1</v>
      </c>
      <c r="AD224" s="1">
        <f t="shared" si="105"/>
        <v>1</v>
      </c>
      <c r="AE224" s="1">
        <f t="shared" si="105"/>
        <v>1</v>
      </c>
      <c r="AF224" s="1">
        <f t="shared" si="105"/>
        <v>1</v>
      </c>
      <c r="AG224" s="1">
        <f t="shared" si="105"/>
        <v>1</v>
      </c>
      <c r="AH224" s="1">
        <f t="shared" si="105"/>
        <v>1</v>
      </c>
      <c r="AI224" s="44">
        <f t="shared" si="98"/>
        <v>95026.591813469175</v>
      </c>
      <c r="AJ224" s="44">
        <f t="shared" si="88"/>
        <v>95503.530894297553</v>
      </c>
      <c r="AK224" s="44" t="str">
        <f t="shared" si="107"/>
        <v>N</v>
      </c>
      <c r="AL224" s="4">
        <f t="shared" si="89"/>
        <v>146</v>
      </c>
      <c r="AM224" s="82">
        <f t="shared" si="99"/>
        <v>0</v>
      </c>
      <c r="AN224" s="82">
        <f t="shared" si="90"/>
        <v>0</v>
      </c>
      <c r="AO224" s="48">
        <f>0</f>
        <v>0</v>
      </c>
      <c r="AP224" s="91">
        <f t="shared" si="100"/>
        <v>-476.93908082837851</v>
      </c>
      <c r="AQ224" s="91">
        <f t="shared" si="101"/>
        <v>-476.93908082837851</v>
      </c>
      <c r="AV224" s="84"/>
    </row>
    <row r="225" spans="1:48">
      <c r="A225" s="190">
        <f t="shared" si="91"/>
        <v>77.970910335386719</v>
      </c>
      <c r="B225" s="82">
        <f t="shared" si="92"/>
        <v>13</v>
      </c>
      <c r="C225" s="83">
        <f t="shared" si="93"/>
        <v>147</v>
      </c>
      <c r="D225" s="14">
        <f t="shared" si="80"/>
        <v>4.8675505653430484E-3</v>
      </c>
      <c r="E225" s="16">
        <f t="shared" si="81"/>
        <v>0</v>
      </c>
      <c r="F225" s="127"/>
      <c r="G225" s="88">
        <f t="shared" si="82"/>
        <v>0</v>
      </c>
      <c r="H225" s="89">
        <f t="shared" si="94"/>
        <v>4.1666666666666666E-3</v>
      </c>
      <c r="I225" s="219"/>
      <c r="J225" s="219"/>
      <c r="K225" s="6">
        <f t="shared" si="102"/>
        <v>95026.591813469175</v>
      </c>
      <c r="M225" s="6">
        <f t="shared" si="83"/>
        <v>462.54674070427495</v>
      </c>
      <c r="N225" s="6">
        <f t="shared" si="95"/>
        <v>-107.63123001415518</v>
      </c>
      <c r="O225" s="90">
        <f t="shared" si="84"/>
        <v>422.74726485418171</v>
      </c>
      <c r="P225" s="91">
        <f t="shared" si="85"/>
        <v>0</v>
      </c>
      <c r="Q225" s="6">
        <f t="shared" si="86"/>
        <v>397.42294718399705</v>
      </c>
      <c r="R225" s="87">
        <f t="shared" si="106"/>
        <v>-476.72573572883459</v>
      </c>
      <c r="S225" s="6">
        <f t="shared" si="87"/>
        <v>-19.807224097762585</v>
      </c>
      <c r="T225" s="83">
        <f t="shared" si="96"/>
        <v>0</v>
      </c>
      <c r="U225" s="91">
        <f t="shared" si="103"/>
        <v>119065.515399606</v>
      </c>
      <c r="V225" s="91">
        <f t="shared" si="97"/>
        <v>579.5574167962136</v>
      </c>
      <c r="W225" s="1">
        <f t="shared" si="105"/>
        <v>0</v>
      </c>
      <c r="X225" s="1">
        <f t="shared" si="105"/>
        <v>0</v>
      </c>
      <c r="Y225" s="1">
        <f t="shared" si="105"/>
        <v>0</v>
      </c>
      <c r="Z225" s="1">
        <f t="shared" si="105"/>
        <v>0</v>
      </c>
      <c r="AA225" s="1">
        <f t="shared" si="105"/>
        <v>0</v>
      </c>
      <c r="AB225" s="1">
        <f t="shared" si="105"/>
        <v>0</v>
      </c>
      <c r="AC225" s="1">
        <f t="shared" si="105"/>
        <v>1</v>
      </c>
      <c r="AD225" s="1">
        <f t="shared" si="105"/>
        <v>1</v>
      </c>
      <c r="AE225" s="1">
        <f t="shared" si="105"/>
        <v>1</v>
      </c>
      <c r="AF225" s="1">
        <f t="shared" si="105"/>
        <v>1</v>
      </c>
      <c r="AG225" s="1">
        <f t="shared" si="105"/>
        <v>1</v>
      </c>
      <c r="AH225" s="1">
        <f t="shared" si="105"/>
        <v>1</v>
      </c>
      <c r="AI225" s="44">
        <f t="shared" si="98"/>
        <v>94904.781588430458</v>
      </c>
      <c r="AJ225" s="44">
        <f t="shared" si="88"/>
        <v>95381.507324159291</v>
      </c>
      <c r="AK225" s="44" t="str">
        <f t="shared" si="107"/>
        <v>N</v>
      </c>
      <c r="AL225" s="4">
        <f t="shared" si="89"/>
        <v>147</v>
      </c>
      <c r="AM225" s="82">
        <f t="shared" si="99"/>
        <v>0</v>
      </c>
      <c r="AN225" s="82">
        <f t="shared" si="90"/>
        <v>0</v>
      </c>
      <c r="AO225" s="48">
        <f>0</f>
        <v>0</v>
      </c>
      <c r="AP225" s="91">
        <f t="shared" si="100"/>
        <v>-476.72573572883459</v>
      </c>
      <c r="AQ225" s="91">
        <f t="shared" si="101"/>
        <v>-476.72573572883459</v>
      </c>
      <c r="AV225" s="84"/>
    </row>
    <row r="226" spans="1:48">
      <c r="A226" s="190">
        <f t="shared" si="91"/>
        <v>78.054243668720048</v>
      </c>
      <c r="B226" s="82">
        <f t="shared" si="92"/>
        <v>13</v>
      </c>
      <c r="C226" s="83">
        <f t="shared" si="93"/>
        <v>148</v>
      </c>
      <c r="D226" s="14">
        <f t="shared" si="80"/>
        <v>4.8675505653430484E-3</v>
      </c>
      <c r="E226" s="16">
        <f t="shared" si="81"/>
        <v>0</v>
      </c>
      <c r="F226" s="127"/>
      <c r="G226" s="88">
        <f t="shared" si="82"/>
        <v>0</v>
      </c>
      <c r="H226" s="89">
        <f t="shared" si="94"/>
        <v>4.1666666666666666E-3</v>
      </c>
      <c r="I226" s="219"/>
      <c r="J226" s="219"/>
      <c r="K226" s="6">
        <f t="shared" si="102"/>
        <v>94904.781588430458</v>
      </c>
      <c r="M226" s="6">
        <f t="shared" si="83"/>
        <v>461.95382327452319</v>
      </c>
      <c r="N226" s="6">
        <f t="shared" si="95"/>
        <v>-107.49326248213053</v>
      </c>
      <c r="O226" s="90">
        <f t="shared" si="84"/>
        <v>422.74726485418171</v>
      </c>
      <c r="P226" s="91">
        <f t="shared" si="85"/>
        <v>0</v>
      </c>
      <c r="Q226" s="6">
        <f t="shared" si="86"/>
        <v>396.91350895509521</v>
      </c>
      <c r="R226" s="87">
        <f t="shared" si="106"/>
        <v>-488.65934589263031</v>
      </c>
      <c r="S226" s="6">
        <f t="shared" si="87"/>
        <v>-19.780525887013908</v>
      </c>
      <c r="T226" s="83">
        <f t="shared" si="96"/>
        <v>0</v>
      </c>
      <c r="U226" s="91">
        <f t="shared" si="103"/>
        <v>119168.34708067338</v>
      </c>
      <c r="V226" s="91">
        <f t="shared" si="97"/>
        <v>580.05795520352831</v>
      </c>
      <c r="W226" s="1">
        <f t="shared" si="105"/>
        <v>0</v>
      </c>
      <c r="X226" s="1">
        <f t="shared" si="105"/>
        <v>0</v>
      </c>
      <c r="Y226" s="1">
        <f t="shared" si="105"/>
        <v>0</v>
      </c>
      <c r="Z226" s="1">
        <f t="shared" si="105"/>
        <v>0</v>
      </c>
      <c r="AA226" s="1">
        <f t="shared" si="105"/>
        <v>0</v>
      </c>
      <c r="AB226" s="1">
        <f t="shared" si="105"/>
        <v>0</v>
      </c>
      <c r="AC226" s="1">
        <f t="shared" si="105"/>
        <v>1</v>
      </c>
      <c r="AD226" s="1">
        <f t="shared" si="105"/>
        <v>1</v>
      </c>
      <c r="AE226" s="1">
        <f t="shared" si="105"/>
        <v>1</v>
      </c>
      <c r="AF226" s="1">
        <f t="shared" si="105"/>
        <v>1</v>
      </c>
      <c r="AG226" s="1">
        <f t="shared" si="105"/>
        <v>1</v>
      </c>
      <c r="AH226" s="1">
        <f t="shared" si="105"/>
        <v>1</v>
      </c>
      <c r="AI226" s="44">
        <f t="shared" si="98"/>
        <v>94770.58280333021</v>
      </c>
      <c r="AJ226" s="44">
        <f t="shared" si="88"/>
        <v>95259.242149222846</v>
      </c>
      <c r="AK226" s="44" t="str">
        <f t="shared" si="107"/>
        <v>N</v>
      </c>
      <c r="AL226" s="4">
        <f t="shared" si="89"/>
        <v>148</v>
      </c>
      <c r="AM226" s="82">
        <f t="shared" si="99"/>
        <v>0</v>
      </c>
      <c r="AN226" s="82">
        <f t="shared" si="90"/>
        <v>0</v>
      </c>
      <c r="AO226" s="48">
        <f>0</f>
        <v>0</v>
      </c>
      <c r="AP226" s="91">
        <f t="shared" si="100"/>
        <v>-488.65934589263031</v>
      </c>
      <c r="AQ226" s="91">
        <f t="shared" si="101"/>
        <v>-488.65934589263031</v>
      </c>
      <c r="AV226" s="84"/>
    </row>
    <row r="227" spans="1:48">
      <c r="A227" s="190">
        <f t="shared" si="91"/>
        <v>78.137577002053376</v>
      </c>
      <c r="B227" s="82">
        <f t="shared" si="92"/>
        <v>13</v>
      </c>
      <c r="C227" s="83">
        <f t="shared" si="93"/>
        <v>149</v>
      </c>
      <c r="D227" s="14">
        <f t="shared" si="80"/>
        <v>4.8675505653430484E-3</v>
      </c>
      <c r="E227" s="16">
        <f t="shared" si="81"/>
        <v>0</v>
      </c>
      <c r="F227" s="127"/>
      <c r="G227" s="88">
        <f t="shared" si="82"/>
        <v>0</v>
      </c>
      <c r="H227" s="89">
        <f t="shared" si="94"/>
        <v>4.1666666666666666E-3</v>
      </c>
      <c r="I227" s="219"/>
      <c r="J227" s="219"/>
      <c r="K227" s="6">
        <f t="shared" si="102"/>
        <v>94770.58280333021</v>
      </c>
      <c r="M227" s="6">
        <f t="shared" si="83"/>
        <v>461.30060390224014</v>
      </c>
      <c r="N227" s="6">
        <f t="shared" si="95"/>
        <v>-107.34126313088474</v>
      </c>
      <c r="O227" s="90">
        <f t="shared" si="84"/>
        <v>422.74726485418171</v>
      </c>
      <c r="P227" s="91">
        <f t="shared" si="85"/>
        <v>0</v>
      </c>
      <c r="Q227" s="6">
        <f t="shared" si="86"/>
        <v>396.3522589337565</v>
      </c>
      <c r="R227" s="87">
        <f t="shared" si="106"/>
        <v>-488.44075806667263</v>
      </c>
      <c r="S227" s="6">
        <f t="shared" si="87"/>
        <v>-19.752506245581529</v>
      </c>
      <c r="T227" s="83">
        <f t="shared" si="96"/>
        <v>0</v>
      </c>
      <c r="U227" s="91">
        <f t="shared" si="103"/>
        <v>119259.74568998428</v>
      </c>
      <c r="V227" s="91">
        <f t="shared" si="97"/>
        <v>580.50284255595113</v>
      </c>
      <c r="W227" s="1">
        <f t="shared" si="105"/>
        <v>0</v>
      </c>
      <c r="X227" s="1">
        <f t="shared" si="105"/>
        <v>0</v>
      </c>
      <c r="Y227" s="1">
        <f t="shared" si="105"/>
        <v>0</v>
      </c>
      <c r="Z227" s="1">
        <f t="shared" si="105"/>
        <v>0</v>
      </c>
      <c r="AA227" s="1">
        <f t="shared" si="105"/>
        <v>0</v>
      </c>
      <c r="AB227" s="1">
        <f t="shared" si="105"/>
        <v>0</v>
      </c>
      <c r="AC227" s="1">
        <f t="shared" si="105"/>
        <v>1</v>
      </c>
      <c r="AD227" s="1">
        <f t="shared" si="105"/>
        <v>1</v>
      </c>
      <c r="AE227" s="1">
        <f t="shared" si="105"/>
        <v>1</v>
      </c>
      <c r="AF227" s="1">
        <f t="shared" si="105"/>
        <v>1</v>
      </c>
      <c r="AG227" s="1">
        <f t="shared" si="105"/>
        <v>1</v>
      </c>
      <c r="AH227" s="1">
        <f t="shared" si="105"/>
        <v>1</v>
      </c>
      <c r="AI227" s="44">
        <f t="shared" si="98"/>
        <v>94636.10138603489</v>
      </c>
      <c r="AJ227" s="44">
        <f t="shared" si="88"/>
        <v>95124.542144101564</v>
      </c>
      <c r="AK227" s="44" t="str">
        <f t="shared" si="107"/>
        <v>N</v>
      </c>
      <c r="AL227" s="4">
        <f t="shared" si="89"/>
        <v>149</v>
      </c>
      <c r="AM227" s="82">
        <f t="shared" si="99"/>
        <v>0</v>
      </c>
      <c r="AN227" s="82">
        <f t="shared" si="90"/>
        <v>0</v>
      </c>
      <c r="AO227" s="48">
        <f>0</f>
        <v>0</v>
      </c>
      <c r="AP227" s="91">
        <f t="shared" si="100"/>
        <v>-488.44075806667263</v>
      </c>
      <c r="AQ227" s="91">
        <f t="shared" si="101"/>
        <v>-488.44075806667263</v>
      </c>
      <c r="AV227" s="84"/>
    </row>
    <row r="228" spans="1:48">
      <c r="A228" s="190">
        <f t="shared" si="91"/>
        <v>78.220910335386719</v>
      </c>
      <c r="B228" s="82">
        <f t="shared" si="92"/>
        <v>13</v>
      </c>
      <c r="C228" s="83">
        <f t="shared" si="93"/>
        <v>150</v>
      </c>
      <c r="D228" s="14">
        <f t="shared" si="80"/>
        <v>4.8675505653430484E-3</v>
      </c>
      <c r="E228" s="16">
        <f t="shared" si="81"/>
        <v>0</v>
      </c>
      <c r="F228" s="127"/>
      <c r="G228" s="88">
        <f t="shared" si="82"/>
        <v>0</v>
      </c>
      <c r="H228" s="89">
        <f t="shared" si="94"/>
        <v>4.1666666666666666E-3</v>
      </c>
      <c r="I228" s="219"/>
      <c r="J228" s="219"/>
      <c r="K228" s="6">
        <f t="shared" si="102"/>
        <v>94636.10138603489</v>
      </c>
      <c r="M228" s="6">
        <f t="shared" si="83"/>
        <v>460.6460088034562</v>
      </c>
      <c r="N228" s="6">
        <f t="shared" si="95"/>
        <v>-107.18894365818436</v>
      </c>
      <c r="O228" s="90">
        <f t="shared" si="84"/>
        <v>422.74726485418171</v>
      </c>
      <c r="P228" s="91">
        <f t="shared" si="85"/>
        <v>0</v>
      </c>
      <c r="Q228" s="6">
        <f t="shared" si="86"/>
        <v>395.78982687991731</v>
      </c>
      <c r="R228" s="87">
        <f t="shared" si="106"/>
        <v>-488.22226801974676</v>
      </c>
      <c r="S228" s="6">
        <f t="shared" si="87"/>
        <v>-19.724427534583192</v>
      </c>
      <c r="T228" s="83">
        <f t="shared" si="96"/>
        <v>0</v>
      </c>
      <c r="U228" s="91">
        <f t="shared" si="103"/>
        <v>119351.80777447356</v>
      </c>
      <c r="V228" s="91">
        <f t="shared" si="97"/>
        <v>580.95095940735359</v>
      </c>
      <c r="W228" s="1">
        <f t="shared" si="105"/>
        <v>0</v>
      </c>
      <c r="X228" s="1">
        <f t="shared" si="105"/>
        <v>0</v>
      </c>
      <c r="Y228" s="1">
        <f t="shared" si="105"/>
        <v>0</v>
      </c>
      <c r="Z228" s="1">
        <f t="shared" si="105"/>
        <v>0</v>
      </c>
      <c r="AA228" s="1">
        <f t="shared" si="105"/>
        <v>0</v>
      </c>
      <c r="AB228" s="1">
        <f t="shared" si="105"/>
        <v>0</v>
      </c>
      <c r="AC228" s="1">
        <f t="shared" si="105"/>
        <v>1</v>
      </c>
      <c r="AD228" s="1">
        <f t="shared" si="105"/>
        <v>1</v>
      </c>
      <c r="AE228" s="1">
        <f t="shared" si="105"/>
        <v>1</v>
      </c>
      <c r="AF228" s="1">
        <f t="shared" si="105"/>
        <v>1</v>
      </c>
      <c r="AG228" s="1">
        <f t="shared" si="105"/>
        <v>1</v>
      </c>
      <c r="AH228" s="1">
        <f t="shared" si="105"/>
        <v>1</v>
      </c>
      <c r="AI228" s="44">
        <f t="shared" si="98"/>
        <v>94501.336183160412</v>
      </c>
      <c r="AJ228" s="44">
        <f t="shared" si="88"/>
        <v>94989.558451180157</v>
      </c>
      <c r="AK228" s="44" t="str">
        <f t="shared" si="107"/>
        <v>N</v>
      </c>
      <c r="AL228" s="4">
        <f t="shared" si="89"/>
        <v>150</v>
      </c>
      <c r="AM228" s="82">
        <f t="shared" si="99"/>
        <v>0</v>
      </c>
      <c r="AN228" s="82">
        <f t="shared" si="90"/>
        <v>0</v>
      </c>
      <c r="AO228" s="48">
        <f>0</f>
        <v>0</v>
      </c>
      <c r="AP228" s="91">
        <f t="shared" si="100"/>
        <v>-488.22226801974676</v>
      </c>
      <c r="AQ228" s="91">
        <f t="shared" si="101"/>
        <v>-488.22226801974676</v>
      </c>
      <c r="AV228" s="84"/>
    </row>
    <row r="229" spans="1:48">
      <c r="A229" s="190">
        <f t="shared" si="91"/>
        <v>78.304243668720048</v>
      </c>
      <c r="B229" s="82">
        <f t="shared" si="92"/>
        <v>13</v>
      </c>
      <c r="C229" s="83">
        <f t="shared" si="93"/>
        <v>151</v>
      </c>
      <c r="D229" s="14">
        <f t="shared" si="80"/>
        <v>4.8675505653430484E-3</v>
      </c>
      <c r="E229" s="16">
        <f t="shared" si="81"/>
        <v>0</v>
      </c>
      <c r="F229" s="127"/>
      <c r="G229" s="88">
        <f t="shared" si="82"/>
        <v>0</v>
      </c>
      <c r="H229" s="89">
        <f t="shared" si="94"/>
        <v>4.1666666666666666E-3</v>
      </c>
      <c r="I229" s="219"/>
      <c r="J229" s="219"/>
      <c r="K229" s="6">
        <f t="shared" si="102"/>
        <v>94501.336183160412</v>
      </c>
      <c r="M229" s="6">
        <f t="shared" si="83"/>
        <v>459.99003236401592</v>
      </c>
      <c r="N229" s="6">
        <f t="shared" si="95"/>
        <v>-107.03630275765664</v>
      </c>
      <c r="O229" s="90">
        <f t="shared" si="84"/>
        <v>422.74726485418171</v>
      </c>
      <c r="P229" s="91">
        <f t="shared" si="85"/>
        <v>0</v>
      </c>
      <c r="Q229" s="6">
        <f t="shared" si="86"/>
        <v>395.22620796986155</v>
      </c>
      <c r="R229" s="87">
        <f t="shared" si="106"/>
        <v>-488.0038757081137</v>
      </c>
      <c r="S229" s="6">
        <f t="shared" si="87"/>
        <v>-19.696289513010107</v>
      </c>
      <c r="T229" s="83">
        <f t="shared" si="96"/>
        <v>0</v>
      </c>
      <c r="U229" s="91">
        <f t="shared" si="103"/>
        <v>119444.53646586118</v>
      </c>
      <c r="V229" s="91">
        <f t="shared" si="97"/>
        <v>581.40232100154094</v>
      </c>
      <c r="W229" s="1">
        <f t="shared" ref="W229:AH238" si="108">IF($B229&lt;=W$78,1,0)</f>
        <v>0</v>
      </c>
      <c r="X229" s="1">
        <f t="shared" si="108"/>
        <v>0</v>
      </c>
      <c r="Y229" s="1">
        <f t="shared" si="108"/>
        <v>0</v>
      </c>
      <c r="Z229" s="1">
        <f t="shared" si="108"/>
        <v>0</v>
      </c>
      <c r="AA229" s="1">
        <f t="shared" si="108"/>
        <v>0</v>
      </c>
      <c r="AB229" s="1">
        <f t="shared" si="108"/>
        <v>0</v>
      </c>
      <c r="AC229" s="1">
        <f t="shared" si="108"/>
        <v>1</v>
      </c>
      <c r="AD229" s="1">
        <f t="shared" si="108"/>
        <v>1</v>
      </c>
      <c r="AE229" s="1">
        <f t="shared" si="108"/>
        <v>1</v>
      </c>
      <c r="AF229" s="1">
        <f t="shared" si="108"/>
        <v>1</v>
      </c>
      <c r="AG229" s="1">
        <f t="shared" si="108"/>
        <v>1</v>
      </c>
      <c r="AH229" s="1">
        <f t="shared" si="108"/>
        <v>1</v>
      </c>
      <c r="AI229" s="44">
        <f t="shared" si="98"/>
        <v>94366.286037058657</v>
      </c>
      <c r="AJ229" s="44">
        <f t="shared" si="88"/>
        <v>94854.289912766777</v>
      </c>
      <c r="AK229" s="44" t="str">
        <f t="shared" si="107"/>
        <v>N</v>
      </c>
      <c r="AL229" s="4">
        <f t="shared" si="89"/>
        <v>151</v>
      </c>
      <c r="AM229" s="82">
        <f t="shared" si="99"/>
        <v>0</v>
      </c>
      <c r="AN229" s="82">
        <f t="shared" si="90"/>
        <v>0</v>
      </c>
      <c r="AO229" s="48">
        <f>0</f>
        <v>0</v>
      </c>
      <c r="AP229" s="91">
        <f t="shared" si="100"/>
        <v>-488.0038757081137</v>
      </c>
      <c r="AQ229" s="91">
        <f t="shared" si="101"/>
        <v>-488.0038757081137</v>
      </c>
      <c r="AV229" s="84"/>
    </row>
    <row r="230" spans="1:48">
      <c r="A230" s="190">
        <f t="shared" si="91"/>
        <v>78.387577002053376</v>
      </c>
      <c r="B230" s="82">
        <f t="shared" si="92"/>
        <v>13</v>
      </c>
      <c r="C230" s="83">
        <f t="shared" si="93"/>
        <v>152</v>
      </c>
      <c r="D230" s="14">
        <f t="shared" si="80"/>
        <v>4.8675505653430484E-3</v>
      </c>
      <c r="E230" s="16">
        <f t="shared" si="81"/>
        <v>0</v>
      </c>
      <c r="F230" s="127"/>
      <c r="G230" s="88">
        <f t="shared" si="82"/>
        <v>0</v>
      </c>
      <c r="H230" s="89">
        <f t="shared" si="94"/>
        <v>4.1666666666666666E-3</v>
      </c>
      <c r="I230" s="219"/>
      <c r="J230" s="219"/>
      <c r="K230" s="6">
        <f t="shared" si="102"/>
        <v>94366.286037058657</v>
      </c>
      <c r="M230" s="6">
        <f t="shared" si="83"/>
        <v>459.33266894900868</v>
      </c>
      <c r="N230" s="6">
        <f t="shared" si="95"/>
        <v>-106.88333911809926</v>
      </c>
      <c r="O230" s="90">
        <f t="shared" si="84"/>
        <v>422.74726485418171</v>
      </c>
      <c r="P230" s="91">
        <f t="shared" si="85"/>
        <v>0</v>
      </c>
      <c r="Q230" s="6">
        <f t="shared" si="86"/>
        <v>394.66139736203985</v>
      </c>
      <c r="R230" s="87">
        <f t="shared" si="106"/>
        <v>-487.7855810880547</v>
      </c>
      <c r="S230" s="6">
        <f t="shared" si="87"/>
        <v>-19.668091938962448</v>
      </c>
      <c r="T230" s="83">
        <f t="shared" si="96"/>
        <v>0</v>
      </c>
      <c r="U230" s="91">
        <f t="shared" si="103"/>
        <v>119537.9349111546</v>
      </c>
      <c r="V230" s="91">
        <f t="shared" si="97"/>
        <v>581.85694265673112</v>
      </c>
      <c r="W230" s="1">
        <f t="shared" si="108"/>
        <v>0</v>
      </c>
      <c r="X230" s="1">
        <f t="shared" si="108"/>
        <v>0</v>
      </c>
      <c r="Y230" s="1">
        <f t="shared" si="108"/>
        <v>0</v>
      </c>
      <c r="Z230" s="1">
        <f t="shared" si="108"/>
        <v>0</v>
      </c>
      <c r="AA230" s="1">
        <f t="shared" si="108"/>
        <v>0</v>
      </c>
      <c r="AB230" s="1">
        <f t="shared" si="108"/>
        <v>0</v>
      </c>
      <c r="AC230" s="1">
        <f t="shared" si="108"/>
        <v>1</v>
      </c>
      <c r="AD230" s="1">
        <f t="shared" si="108"/>
        <v>1</v>
      </c>
      <c r="AE230" s="1">
        <f t="shared" si="108"/>
        <v>1</v>
      </c>
      <c r="AF230" s="1">
        <f t="shared" si="108"/>
        <v>1</v>
      </c>
      <c r="AG230" s="1">
        <f t="shared" si="108"/>
        <v>1</v>
      </c>
      <c r="AH230" s="1">
        <f t="shared" si="108"/>
        <v>1</v>
      </c>
      <c r="AI230" s="44">
        <f t="shared" si="98"/>
        <v>94230.949785801509</v>
      </c>
      <c r="AJ230" s="44">
        <f t="shared" si="88"/>
        <v>94718.735366889567</v>
      </c>
      <c r="AK230" s="44" t="str">
        <f t="shared" si="107"/>
        <v>N</v>
      </c>
      <c r="AL230" s="4">
        <f t="shared" si="89"/>
        <v>152</v>
      </c>
      <c r="AM230" s="82">
        <f t="shared" si="99"/>
        <v>0</v>
      </c>
      <c r="AN230" s="82">
        <f t="shared" si="90"/>
        <v>0</v>
      </c>
      <c r="AO230" s="48">
        <f>0</f>
        <v>0</v>
      </c>
      <c r="AP230" s="91">
        <f t="shared" si="100"/>
        <v>-487.7855810880547</v>
      </c>
      <c r="AQ230" s="91">
        <f t="shared" si="101"/>
        <v>-487.7855810880547</v>
      </c>
      <c r="AV230" s="84"/>
    </row>
    <row r="231" spans="1:48">
      <c r="A231" s="190">
        <f t="shared" si="91"/>
        <v>78.470910335386719</v>
      </c>
      <c r="B231" s="82">
        <f t="shared" si="92"/>
        <v>13</v>
      </c>
      <c r="C231" s="83">
        <f t="shared" si="93"/>
        <v>153</v>
      </c>
      <c r="D231" s="14">
        <f t="shared" si="80"/>
        <v>4.8675505653430484E-3</v>
      </c>
      <c r="E231" s="16">
        <f t="shared" si="81"/>
        <v>0</v>
      </c>
      <c r="F231" s="127"/>
      <c r="G231" s="88">
        <f t="shared" si="82"/>
        <v>0</v>
      </c>
      <c r="H231" s="89">
        <f t="shared" si="94"/>
        <v>4.1666666666666666E-3</v>
      </c>
      <c r="I231" s="219"/>
      <c r="J231" s="219"/>
      <c r="K231" s="6">
        <f t="shared" si="102"/>
        <v>94230.949785801509</v>
      </c>
      <c r="M231" s="6">
        <f t="shared" si="83"/>
        <v>458.67391290269052</v>
      </c>
      <c r="N231" s="6">
        <f t="shared" si="95"/>
        <v>-106.73005142346211</v>
      </c>
      <c r="O231" s="90">
        <f t="shared" si="84"/>
        <v>422.74726485418171</v>
      </c>
      <c r="P231" s="91">
        <f t="shared" si="85"/>
        <v>0</v>
      </c>
      <c r="Q231" s="6">
        <f t="shared" si="86"/>
        <v>394.0953901970031</v>
      </c>
      <c r="R231" s="87">
        <f t="shared" si="106"/>
        <v>-487.56738411586997</v>
      </c>
      <c r="S231" s="6">
        <f t="shared" si="87"/>
        <v>-19.639834569646023</v>
      </c>
      <c r="T231" s="83">
        <f t="shared" si="96"/>
        <v>0</v>
      </c>
      <c r="U231" s="91">
        <f t="shared" si="103"/>
        <v>119632.00627272327</v>
      </c>
      <c r="V231" s="91">
        <f t="shared" si="97"/>
        <v>582.31483976591733</v>
      </c>
      <c r="W231" s="1">
        <f t="shared" si="108"/>
        <v>0</v>
      </c>
      <c r="X231" s="1">
        <f t="shared" si="108"/>
        <v>0</v>
      </c>
      <c r="Y231" s="1">
        <f t="shared" si="108"/>
        <v>0</v>
      </c>
      <c r="Z231" s="1">
        <f t="shared" si="108"/>
        <v>0</v>
      </c>
      <c r="AA231" s="1">
        <f t="shared" si="108"/>
        <v>0</v>
      </c>
      <c r="AB231" s="1">
        <f t="shared" si="108"/>
        <v>0</v>
      </c>
      <c r="AC231" s="1">
        <f t="shared" si="108"/>
        <v>1</v>
      </c>
      <c r="AD231" s="1">
        <f t="shared" si="108"/>
        <v>1</v>
      </c>
      <c r="AE231" s="1">
        <f t="shared" si="108"/>
        <v>1</v>
      </c>
      <c r="AF231" s="1">
        <f t="shared" si="108"/>
        <v>1</v>
      </c>
      <c r="AG231" s="1">
        <f t="shared" si="108"/>
        <v>1</v>
      </c>
      <c r="AH231" s="1">
        <f t="shared" si="108"/>
        <v>1</v>
      </c>
      <c r="AI231" s="44">
        <f t="shared" si="98"/>
        <v>94095.326263164869</v>
      </c>
      <c r="AJ231" s="44">
        <f t="shared" si="88"/>
        <v>94582.89364728074</v>
      </c>
      <c r="AK231" s="44" t="str">
        <f t="shared" si="107"/>
        <v>N</v>
      </c>
      <c r="AL231" s="4">
        <f t="shared" si="89"/>
        <v>153</v>
      </c>
      <c r="AM231" s="82">
        <f t="shared" si="99"/>
        <v>0</v>
      </c>
      <c r="AN231" s="82">
        <f t="shared" si="90"/>
        <v>0</v>
      </c>
      <c r="AO231" s="48">
        <f>0</f>
        <v>0</v>
      </c>
      <c r="AP231" s="91">
        <f t="shared" si="100"/>
        <v>-487.56738411586997</v>
      </c>
      <c r="AQ231" s="91">
        <f t="shared" si="101"/>
        <v>-487.56738411586997</v>
      </c>
      <c r="AV231" s="84"/>
    </row>
    <row r="232" spans="1:48">
      <c r="A232" s="190">
        <f t="shared" si="91"/>
        <v>78.554243668720048</v>
      </c>
      <c r="B232" s="82">
        <f t="shared" si="92"/>
        <v>13</v>
      </c>
      <c r="C232" s="83">
        <f t="shared" si="93"/>
        <v>154</v>
      </c>
      <c r="D232" s="14">
        <f t="shared" si="80"/>
        <v>4.8675505653430484E-3</v>
      </c>
      <c r="E232" s="16">
        <f t="shared" si="81"/>
        <v>0</v>
      </c>
      <c r="F232" s="127"/>
      <c r="G232" s="88">
        <f t="shared" si="82"/>
        <v>0</v>
      </c>
      <c r="H232" s="89">
        <f t="shared" si="94"/>
        <v>4.1666666666666666E-3</v>
      </c>
      <c r="I232" s="219"/>
      <c r="J232" s="219"/>
      <c r="K232" s="6">
        <f t="shared" si="102"/>
        <v>94095.326263164869</v>
      </c>
      <c r="M232" s="6">
        <f t="shared" si="83"/>
        <v>458.01375854840677</v>
      </c>
      <c r="N232" s="6">
        <f t="shared" si="95"/>
        <v>-106.57643835282934</v>
      </c>
      <c r="O232" s="90">
        <f t="shared" si="84"/>
        <v>422.74726485418171</v>
      </c>
      <c r="P232" s="91">
        <f t="shared" si="85"/>
        <v>0</v>
      </c>
      <c r="Q232" s="6">
        <f t="shared" si="86"/>
        <v>393.52818159733516</v>
      </c>
      <c r="R232" s="87">
        <f t="shared" si="106"/>
        <v>-487.34928474787961</v>
      </c>
      <c r="S232" s="6">
        <f t="shared" si="87"/>
        <v>-19.611517161368951</v>
      </c>
      <c r="T232" s="83">
        <f t="shared" si="96"/>
        <v>0</v>
      </c>
      <c r="U232" s="91">
        <f t="shared" si="103"/>
        <v>119726.75372837333</v>
      </c>
      <c r="V232" s="91">
        <f t="shared" si="97"/>
        <v>582.77602779723156</v>
      </c>
      <c r="W232" s="1">
        <f t="shared" si="108"/>
        <v>0</v>
      </c>
      <c r="X232" s="1">
        <f t="shared" si="108"/>
        <v>0</v>
      </c>
      <c r="Y232" s="1">
        <f t="shared" si="108"/>
        <v>0</v>
      </c>
      <c r="Z232" s="1">
        <f t="shared" si="108"/>
        <v>0</v>
      </c>
      <c r="AA232" s="1">
        <f t="shared" si="108"/>
        <v>0</v>
      </c>
      <c r="AB232" s="1">
        <f t="shared" si="108"/>
        <v>0</v>
      </c>
      <c r="AC232" s="1">
        <f t="shared" si="108"/>
        <v>1</v>
      </c>
      <c r="AD232" s="1">
        <f t="shared" si="108"/>
        <v>1</v>
      </c>
      <c r="AE232" s="1">
        <f t="shared" si="108"/>
        <v>1</v>
      </c>
      <c r="AF232" s="1">
        <f t="shared" si="108"/>
        <v>1</v>
      </c>
      <c r="AG232" s="1">
        <f t="shared" si="108"/>
        <v>1</v>
      </c>
      <c r="AH232" s="1">
        <f t="shared" si="108"/>
        <v>1</v>
      </c>
      <c r="AI232" s="44">
        <f t="shared" si="98"/>
        <v>93959.414298612566</v>
      </c>
      <c r="AJ232" s="44">
        <f t="shared" si="88"/>
        <v>94446.763583360444</v>
      </c>
      <c r="AK232" s="44" t="str">
        <f t="shared" si="107"/>
        <v>N</v>
      </c>
      <c r="AL232" s="4">
        <f t="shared" si="89"/>
        <v>154</v>
      </c>
      <c r="AM232" s="82">
        <f t="shared" si="99"/>
        <v>0</v>
      </c>
      <c r="AN232" s="82">
        <f t="shared" si="90"/>
        <v>0</v>
      </c>
      <c r="AO232" s="48">
        <f>0</f>
        <v>0</v>
      </c>
      <c r="AP232" s="91">
        <f t="shared" si="100"/>
        <v>-487.34928474787961</v>
      </c>
      <c r="AQ232" s="91">
        <f t="shared" si="101"/>
        <v>-487.34928474787961</v>
      </c>
      <c r="AV232" s="84"/>
    </row>
    <row r="233" spans="1:48">
      <c r="A233" s="190">
        <f t="shared" si="91"/>
        <v>78.637577002053376</v>
      </c>
      <c r="B233" s="82">
        <f t="shared" si="92"/>
        <v>13</v>
      </c>
      <c r="C233" s="83">
        <f t="shared" si="93"/>
        <v>155</v>
      </c>
      <c r="D233" s="14">
        <f t="shared" si="80"/>
        <v>4.8675505653430484E-3</v>
      </c>
      <c r="E233" s="16">
        <f t="shared" si="81"/>
        <v>0</v>
      </c>
      <c r="F233" s="127"/>
      <c r="G233" s="88">
        <f t="shared" si="82"/>
        <v>0</v>
      </c>
      <c r="H233" s="89">
        <f t="shared" si="94"/>
        <v>4.1666666666666666E-3</v>
      </c>
      <c r="I233" s="219"/>
      <c r="J233" s="219"/>
      <c r="K233" s="6">
        <f t="shared" si="102"/>
        <v>93959.414298612566</v>
      </c>
      <c r="M233" s="6">
        <f t="shared" si="83"/>
        <v>457.35220018851328</v>
      </c>
      <c r="N233" s="6">
        <f t="shared" si="95"/>
        <v>-106.42249858040101</v>
      </c>
      <c r="O233" s="90">
        <f t="shared" si="84"/>
        <v>422.74726485418171</v>
      </c>
      <c r="P233" s="91">
        <f t="shared" si="85"/>
        <v>0</v>
      </c>
      <c r="Q233" s="6">
        <f t="shared" si="86"/>
        <v>392.95976666758617</v>
      </c>
      <c r="R233" s="87">
        <f t="shared" si="106"/>
        <v>-487.1312829404232</v>
      </c>
      <c r="S233" s="6">
        <f t="shared" si="87"/>
        <v>-19.583139469538288</v>
      </c>
      <c r="T233" s="83">
        <f t="shared" si="96"/>
        <v>0</v>
      </c>
      <c r="U233" s="91">
        <f t="shared" si="103"/>
        <v>119822.18047142267</v>
      </c>
      <c r="V233" s="91">
        <f t="shared" si="97"/>
        <v>583.24052229431027</v>
      </c>
      <c r="W233" s="1">
        <f t="shared" si="108"/>
        <v>0</v>
      </c>
      <c r="X233" s="1">
        <f t="shared" si="108"/>
        <v>0</v>
      </c>
      <c r="Y233" s="1">
        <f t="shared" si="108"/>
        <v>0</v>
      </c>
      <c r="Z233" s="1">
        <f t="shared" si="108"/>
        <v>0</v>
      </c>
      <c r="AA233" s="1">
        <f t="shared" si="108"/>
        <v>0</v>
      </c>
      <c r="AB233" s="1">
        <f t="shared" si="108"/>
        <v>0</v>
      </c>
      <c r="AC233" s="1">
        <f t="shared" si="108"/>
        <v>1</v>
      </c>
      <c r="AD233" s="1">
        <f t="shared" si="108"/>
        <v>1</v>
      </c>
      <c r="AE233" s="1">
        <f t="shared" si="108"/>
        <v>1</v>
      </c>
      <c r="AF233" s="1">
        <f t="shared" si="108"/>
        <v>1</v>
      </c>
      <c r="AG233" s="1">
        <f t="shared" si="108"/>
        <v>1</v>
      </c>
      <c r="AH233" s="1">
        <f t="shared" si="108"/>
        <v>1</v>
      </c>
      <c r="AI233" s="44">
        <f t="shared" si="98"/>
        <v>93823.212717280257</v>
      </c>
      <c r="AJ233" s="44">
        <f t="shared" si="88"/>
        <v>94310.344000220677</v>
      </c>
      <c r="AK233" s="44" t="str">
        <f t="shared" si="107"/>
        <v>N</v>
      </c>
      <c r="AL233" s="4">
        <f t="shared" si="89"/>
        <v>155</v>
      </c>
      <c r="AM233" s="82">
        <f t="shared" si="99"/>
        <v>0</v>
      </c>
      <c r="AN233" s="82">
        <f t="shared" si="90"/>
        <v>0</v>
      </c>
      <c r="AO233" s="48">
        <f>0</f>
        <v>0</v>
      </c>
      <c r="AP233" s="91">
        <f t="shared" si="100"/>
        <v>-487.1312829404232</v>
      </c>
      <c r="AQ233" s="91">
        <f t="shared" si="101"/>
        <v>-487.1312829404232</v>
      </c>
      <c r="AV233" s="84"/>
    </row>
    <row r="234" spans="1:48">
      <c r="A234" s="190">
        <f t="shared" si="91"/>
        <v>78.720910335386719</v>
      </c>
      <c r="B234" s="82">
        <f t="shared" si="92"/>
        <v>13</v>
      </c>
      <c r="C234" s="83">
        <f t="shared" si="93"/>
        <v>156</v>
      </c>
      <c r="D234" s="14">
        <f t="shared" si="80"/>
        <v>4.8675505653430484E-3</v>
      </c>
      <c r="E234" s="16">
        <f t="shared" si="81"/>
        <v>0</v>
      </c>
      <c r="F234" s="127"/>
      <c r="G234" s="88">
        <f t="shared" si="82"/>
        <v>0</v>
      </c>
      <c r="H234" s="89">
        <f t="shared" si="94"/>
        <v>4.1666666666666666E-3</v>
      </c>
      <c r="I234" s="219"/>
      <c r="J234" s="219"/>
      <c r="K234" s="6">
        <f t="shared" si="102"/>
        <v>93823.212717280257</v>
      </c>
      <c r="M234" s="6">
        <f t="shared" si="83"/>
        <v>456.68923210429858</v>
      </c>
      <c r="N234" s="6">
        <f t="shared" si="95"/>
        <v>-106.26823077547496</v>
      </c>
      <c r="O234" s="90">
        <f t="shared" si="84"/>
        <v>422.74726485418171</v>
      </c>
      <c r="P234" s="91">
        <f t="shared" si="85"/>
        <v>0</v>
      </c>
      <c r="Q234" s="6">
        <f t="shared" si="86"/>
        <v>392.3901404942045</v>
      </c>
      <c r="R234" s="87">
        <f t="shared" si="106"/>
        <v>-486.91337864985974</v>
      </c>
      <c r="S234" s="6">
        <f t="shared" si="87"/>
        <v>-19.55470124865667</v>
      </c>
      <c r="T234" s="83">
        <f t="shared" si="96"/>
        <v>0</v>
      </c>
      <c r="U234" s="91">
        <f t="shared" si="103"/>
        <v>119918.28971077656</v>
      </c>
      <c r="V234" s="91">
        <f t="shared" si="97"/>
        <v>583.70833887666186</v>
      </c>
      <c r="W234" s="1">
        <f t="shared" si="108"/>
        <v>0</v>
      </c>
      <c r="X234" s="1">
        <f t="shared" si="108"/>
        <v>0</v>
      </c>
      <c r="Y234" s="1">
        <f t="shared" si="108"/>
        <v>0</v>
      </c>
      <c r="Z234" s="1">
        <f t="shared" si="108"/>
        <v>0</v>
      </c>
      <c r="AA234" s="1">
        <f t="shared" si="108"/>
        <v>0</v>
      </c>
      <c r="AB234" s="1">
        <f t="shared" si="108"/>
        <v>0</v>
      </c>
      <c r="AC234" s="1">
        <f t="shared" si="108"/>
        <v>1</v>
      </c>
      <c r="AD234" s="1">
        <f t="shared" si="108"/>
        <v>1</v>
      </c>
      <c r="AE234" s="1">
        <f t="shared" si="108"/>
        <v>1</v>
      </c>
      <c r="AF234" s="1">
        <f t="shared" si="108"/>
        <v>1</v>
      </c>
      <c r="AG234" s="1">
        <f t="shared" si="108"/>
        <v>1</v>
      </c>
      <c r="AH234" s="1">
        <f t="shared" si="108"/>
        <v>1</v>
      </c>
      <c r="AI234" s="44">
        <f t="shared" si="98"/>
        <v>93686.720339959225</v>
      </c>
      <c r="AJ234" s="44">
        <f t="shared" si="88"/>
        <v>94173.633718609082</v>
      </c>
      <c r="AK234" s="44" t="str">
        <f t="shared" si="107"/>
        <v>N</v>
      </c>
      <c r="AL234" s="4">
        <f t="shared" si="89"/>
        <v>156</v>
      </c>
      <c r="AM234" s="82">
        <f t="shared" si="99"/>
        <v>0</v>
      </c>
      <c r="AN234" s="82">
        <f t="shared" si="90"/>
        <v>0</v>
      </c>
      <c r="AO234" s="48">
        <f>0</f>
        <v>0</v>
      </c>
      <c r="AP234" s="91">
        <f t="shared" si="100"/>
        <v>-486.91337864985974</v>
      </c>
      <c r="AQ234" s="91">
        <f t="shared" si="101"/>
        <v>-486.91337864985974</v>
      </c>
      <c r="AV234" s="84"/>
    </row>
    <row r="235" spans="1:48">
      <c r="A235" s="190">
        <f t="shared" si="91"/>
        <v>78.804243668720048</v>
      </c>
      <c r="B235" s="82">
        <f t="shared" si="92"/>
        <v>14</v>
      </c>
      <c r="C235" s="83">
        <f t="shared" si="93"/>
        <v>157</v>
      </c>
      <c r="D235" s="14">
        <f t="shared" si="80"/>
        <v>4.8675505653430484E-3</v>
      </c>
      <c r="E235" s="16">
        <f t="shared" si="81"/>
        <v>0</v>
      </c>
      <c r="F235" s="127"/>
      <c r="G235" s="88">
        <f t="shared" si="82"/>
        <v>0</v>
      </c>
      <c r="H235" s="89">
        <f t="shared" si="94"/>
        <v>4.1666666666666666E-3</v>
      </c>
      <c r="I235" s="219"/>
      <c r="J235" s="219"/>
      <c r="K235" s="6">
        <f t="shared" si="102"/>
        <v>93686.720339959225</v>
      </c>
      <c r="M235" s="6">
        <f t="shared" si="83"/>
        <v>456.02484855590461</v>
      </c>
      <c r="N235" s="6">
        <f t="shared" si="95"/>
        <v>-106.11363360242832</v>
      </c>
      <c r="O235" s="90">
        <f t="shared" si="84"/>
        <v>431.20221015126532</v>
      </c>
      <c r="P235" s="91">
        <f t="shared" si="85"/>
        <v>0</v>
      </c>
      <c r="Q235" s="6">
        <f t="shared" si="86"/>
        <v>391.81929814546953</v>
      </c>
      <c r="R235" s="87">
        <f t="shared" si="106"/>
        <v>-486.69557183256802</v>
      </c>
      <c r="S235" s="6">
        <f t="shared" si="87"/>
        <v>-19.52620225231891</v>
      </c>
      <c r="T235" s="83">
        <f t="shared" si="96"/>
        <v>0</v>
      </c>
      <c r="U235" s="91">
        <f t="shared" si="103"/>
        <v>120015.08467100337</v>
      </c>
      <c r="V235" s="91">
        <f t="shared" si="97"/>
        <v>584.17949324003621</v>
      </c>
      <c r="W235" s="1">
        <f t="shared" si="108"/>
        <v>0</v>
      </c>
      <c r="X235" s="1">
        <f t="shared" si="108"/>
        <v>0</v>
      </c>
      <c r="Y235" s="1">
        <f t="shared" si="108"/>
        <v>0</v>
      </c>
      <c r="Z235" s="1">
        <f t="shared" si="108"/>
        <v>0</v>
      </c>
      <c r="AA235" s="1">
        <f t="shared" si="108"/>
        <v>0</v>
      </c>
      <c r="AB235" s="1">
        <f t="shared" si="108"/>
        <v>0</v>
      </c>
      <c r="AC235" s="1">
        <f t="shared" si="108"/>
        <v>1</v>
      </c>
      <c r="AD235" s="1">
        <f t="shared" si="108"/>
        <v>1</v>
      </c>
      <c r="AE235" s="1">
        <f t="shared" si="108"/>
        <v>1</v>
      </c>
      <c r="AF235" s="1">
        <f t="shared" si="108"/>
        <v>1</v>
      </c>
      <c r="AG235" s="1">
        <f t="shared" si="108"/>
        <v>1</v>
      </c>
      <c r="AH235" s="1">
        <f t="shared" si="108"/>
        <v>1</v>
      </c>
      <c r="AI235" s="44">
        <f t="shared" si="98"/>
        <v>93549.935983080126</v>
      </c>
      <c r="AJ235" s="44">
        <f t="shared" si="88"/>
        <v>94036.631554912688</v>
      </c>
      <c r="AK235" s="44" t="str">
        <f t="shared" si="107"/>
        <v>N</v>
      </c>
      <c r="AL235" s="4">
        <f t="shared" si="89"/>
        <v>157</v>
      </c>
      <c r="AM235" s="82">
        <f t="shared" si="99"/>
        <v>0</v>
      </c>
      <c r="AN235" s="82">
        <f t="shared" si="90"/>
        <v>0</v>
      </c>
      <c r="AO235" s="48">
        <f>0</f>
        <v>0</v>
      </c>
      <c r="AP235" s="91">
        <f t="shared" si="100"/>
        <v>-486.69557183256802</v>
      </c>
      <c r="AQ235" s="91">
        <f t="shared" si="101"/>
        <v>-486.69557183256802</v>
      </c>
      <c r="AV235" s="84"/>
    </row>
    <row r="236" spans="1:48">
      <c r="A236" s="190">
        <f t="shared" si="91"/>
        <v>78.887577002053376</v>
      </c>
      <c r="B236" s="82">
        <f t="shared" si="92"/>
        <v>14</v>
      </c>
      <c r="C236" s="83">
        <f t="shared" si="93"/>
        <v>158</v>
      </c>
      <c r="D236" s="14">
        <f t="shared" si="80"/>
        <v>4.8675505653430484E-3</v>
      </c>
      <c r="E236" s="16">
        <f t="shared" si="81"/>
        <v>0</v>
      </c>
      <c r="F236" s="127"/>
      <c r="G236" s="88">
        <f t="shared" si="82"/>
        <v>0</v>
      </c>
      <c r="H236" s="89">
        <f t="shared" si="94"/>
        <v>4.1666666666666666E-3</v>
      </c>
      <c r="I236" s="219"/>
      <c r="J236" s="219"/>
      <c r="K236" s="6">
        <f t="shared" si="102"/>
        <v>93549.935983080126</v>
      </c>
      <c r="M236" s="6">
        <f t="shared" si="83"/>
        <v>455.35904378224768</v>
      </c>
      <c r="N236" s="6">
        <f t="shared" si="95"/>
        <v>-105.95870572069926</v>
      </c>
      <c r="O236" s="90">
        <f t="shared" si="84"/>
        <v>431.20221015126532</v>
      </c>
      <c r="P236" s="91">
        <f t="shared" si="85"/>
        <v>0</v>
      </c>
      <c r="Q236" s="6">
        <f t="shared" si="86"/>
        <v>391.24723467142366</v>
      </c>
      <c r="R236" s="87">
        <f t="shared" si="106"/>
        <v>-486.47786244494608</v>
      </c>
      <c r="S236" s="6">
        <f t="shared" si="87"/>
        <v>-19.497642233208623</v>
      </c>
      <c r="T236" s="83">
        <f t="shared" si="96"/>
        <v>0</v>
      </c>
      <c r="U236" s="91">
        <f t="shared" si="103"/>
        <v>120112.56859241084</v>
      </c>
      <c r="V236" s="91">
        <f t="shared" si="97"/>
        <v>584.65400115679506</v>
      </c>
      <c r="W236" s="1">
        <f t="shared" si="108"/>
        <v>0</v>
      </c>
      <c r="X236" s="1">
        <f t="shared" si="108"/>
        <v>0</v>
      </c>
      <c r="Y236" s="1">
        <f t="shared" si="108"/>
        <v>0</v>
      </c>
      <c r="Z236" s="1">
        <f t="shared" si="108"/>
        <v>0</v>
      </c>
      <c r="AA236" s="1">
        <f t="shared" si="108"/>
        <v>0</v>
      </c>
      <c r="AB236" s="1">
        <f t="shared" si="108"/>
        <v>0</v>
      </c>
      <c r="AC236" s="1">
        <f t="shared" si="108"/>
        <v>1</v>
      </c>
      <c r="AD236" s="1">
        <f t="shared" si="108"/>
        <v>1</v>
      </c>
      <c r="AE236" s="1">
        <f t="shared" si="108"/>
        <v>1</v>
      </c>
      <c r="AF236" s="1">
        <f t="shared" si="108"/>
        <v>1</v>
      </c>
      <c r="AG236" s="1">
        <f t="shared" si="108"/>
        <v>1</v>
      </c>
      <c r="AH236" s="1">
        <f t="shared" si="108"/>
        <v>1</v>
      </c>
      <c r="AI236" s="44">
        <f t="shared" si="98"/>
        <v>93412.858458696734</v>
      </c>
      <c r="AJ236" s="44">
        <f t="shared" si="88"/>
        <v>93899.336321141673</v>
      </c>
      <c r="AK236" s="44" t="str">
        <f t="shared" si="107"/>
        <v>N</v>
      </c>
      <c r="AL236" s="4">
        <f t="shared" si="89"/>
        <v>158</v>
      </c>
      <c r="AM236" s="82">
        <f t="shared" si="99"/>
        <v>0</v>
      </c>
      <c r="AN236" s="82">
        <f t="shared" si="90"/>
        <v>0</v>
      </c>
      <c r="AO236" s="48">
        <f>0</f>
        <v>0</v>
      </c>
      <c r="AP236" s="91">
        <f t="shared" si="100"/>
        <v>-486.47786244494608</v>
      </c>
      <c r="AQ236" s="91">
        <f t="shared" si="101"/>
        <v>-486.47786244494608</v>
      </c>
      <c r="AV236" s="84"/>
    </row>
    <row r="237" spans="1:48">
      <c r="A237" s="190">
        <f t="shared" si="91"/>
        <v>78.970910335386719</v>
      </c>
      <c r="B237" s="82">
        <f t="shared" si="92"/>
        <v>14</v>
      </c>
      <c r="C237" s="83">
        <f t="shared" si="93"/>
        <v>159</v>
      </c>
      <c r="D237" s="14">
        <f t="shared" si="80"/>
        <v>4.8675505653430484E-3</v>
      </c>
      <c r="E237" s="16">
        <f t="shared" si="81"/>
        <v>0</v>
      </c>
      <c r="F237" s="127"/>
      <c r="G237" s="88">
        <f t="shared" si="82"/>
        <v>0</v>
      </c>
      <c r="H237" s="89">
        <f t="shared" si="94"/>
        <v>4.1666666666666666E-3</v>
      </c>
      <c r="I237" s="219"/>
      <c r="J237" s="219"/>
      <c r="K237" s="6">
        <f t="shared" si="102"/>
        <v>93412.858458696734</v>
      </c>
      <c r="M237" s="6">
        <f t="shared" si="83"/>
        <v>454.69181200093942</v>
      </c>
      <c r="N237" s="6">
        <f t="shared" si="95"/>
        <v>-105.80344578476847</v>
      </c>
      <c r="O237" s="90">
        <f t="shared" si="84"/>
        <v>431.20221015126532</v>
      </c>
      <c r="P237" s="91">
        <f t="shared" si="85"/>
        <v>0</v>
      </c>
      <c r="Q237" s="6">
        <f t="shared" si="86"/>
        <v>390.67394510380376</v>
      </c>
      <c r="R237" s="87">
        <f t="shared" si="106"/>
        <v>-486.26025044341128</v>
      </c>
      <c r="S237" s="6">
        <f t="shared" si="87"/>
        <v>-19.469020943094815</v>
      </c>
      <c r="T237" s="83">
        <f t="shared" si="96"/>
        <v>0</v>
      </c>
      <c r="U237" s="91">
        <f t="shared" si="103"/>
        <v>120210.7447311227</v>
      </c>
      <c r="V237" s="91">
        <f t="shared" si="97"/>
        <v>585.13187847628512</v>
      </c>
      <c r="W237" s="1">
        <f t="shared" si="108"/>
        <v>0</v>
      </c>
      <c r="X237" s="1">
        <f t="shared" si="108"/>
        <v>0</v>
      </c>
      <c r="Y237" s="1">
        <f t="shared" si="108"/>
        <v>0</v>
      </c>
      <c r="Z237" s="1">
        <f t="shared" si="108"/>
        <v>0</v>
      </c>
      <c r="AA237" s="1">
        <f t="shared" si="108"/>
        <v>0</v>
      </c>
      <c r="AB237" s="1">
        <f t="shared" si="108"/>
        <v>0</v>
      </c>
      <c r="AC237" s="1">
        <f t="shared" si="108"/>
        <v>1</v>
      </c>
      <c r="AD237" s="1">
        <f t="shared" si="108"/>
        <v>1</v>
      </c>
      <c r="AE237" s="1">
        <f t="shared" si="108"/>
        <v>1</v>
      </c>
      <c r="AF237" s="1">
        <f t="shared" si="108"/>
        <v>1</v>
      </c>
      <c r="AG237" s="1">
        <f t="shared" si="108"/>
        <v>1</v>
      </c>
      <c r="AH237" s="1">
        <f t="shared" si="108"/>
        <v>1</v>
      </c>
      <c r="AI237" s="44">
        <f t="shared" si="98"/>
        <v>93275.486574469483</v>
      </c>
      <c r="AJ237" s="44">
        <f t="shared" si="88"/>
        <v>93761.746824912902</v>
      </c>
      <c r="AK237" s="44" t="str">
        <f t="shared" si="107"/>
        <v>N</v>
      </c>
      <c r="AL237" s="4">
        <f t="shared" si="89"/>
        <v>159</v>
      </c>
      <c r="AM237" s="82">
        <f t="shared" si="99"/>
        <v>0</v>
      </c>
      <c r="AN237" s="82">
        <f t="shared" si="90"/>
        <v>0</v>
      </c>
      <c r="AO237" s="48">
        <f>0</f>
        <v>0</v>
      </c>
      <c r="AP237" s="91">
        <f t="shared" si="100"/>
        <v>-486.26025044341128</v>
      </c>
      <c r="AQ237" s="91">
        <f t="shared" si="101"/>
        <v>-486.26025044341128</v>
      </c>
      <c r="AV237" s="84"/>
    </row>
    <row r="238" spans="1:48">
      <c r="A238" s="190">
        <f t="shared" si="91"/>
        <v>79.054243668720048</v>
      </c>
      <c r="B238" s="82">
        <f t="shared" si="92"/>
        <v>14</v>
      </c>
      <c r="C238" s="83">
        <f t="shared" si="93"/>
        <v>160</v>
      </c>
      <c r="D238" s="14">
        <f t="shared" si="80"/>
        <v>4.8675505653430484E-3</v>
      </c>
      <c r="E238" s="16">
        <f t="shared" si="81"/>
        <v>0</v>
      </c>
      <c r="F238" s="127"/>
      <c r="G238" s="88">
        <f t="shared" si="82"/>
        <v>0</v>
      </c>
      <c r="H238" s="89">
        <f t="shared" si="94"/>
        <v>4.1666666666666666E-3</v>
      </c>
      <c r="I238" s="219"/>
      <c r="J238" s="219"/>
      <c r="K238" s="6">
        <f t="shared" si="102"/>
        <v>93275.486574469483</v>
      </c>
      <c r="M238" s="6">
        <f t="shared" si="83"/>
        <v>454.02314740820685</v>
      </c>
      <c r="N238" s="6">
        <f t="shared" si="95"/>
        <v>-105.64785244414058</v>
      </c>
      <c r="O238" s="90">
        <f t="shared" si="84"/>
        <v>431.20221015126532</v>
      </c>
      <c r="P238" s="91">
        <f t="shared" si="85"/>
        <v>0</v>
      </c>
      <c r="Q238" s="6">
        <f t="shared" si="86"/>
        <v>390.09942445597318</v>
      </c>
      <c r="R238" s="87">
        <f t="shared" si="106"/>
        <v>-498.43253281048294</v>
      </c>
      <c r="S238" s="6">
        <f t="shared" si="87"/>
        <v>-19.439046047788342</v>
      </c>
      <c r="T238" s="83">
        <f t="shared" si="96"/>
        <v>0</v>
      </c>
      <c r="U238" s="91">
        <f t="shared" si="103"/>
        <v>120309.61635915557</v>
      </c>
      <c r="V238" s="91">
        <f t="shared" si="97"/>
        <v>585.61314112521291</v>
      </c>
      <c r="W238" s="1">
        <f t="shared" si="108"/>
        <v>0</v>
      </c>
      <c r="X238" s="1">
        <f t="shared" si="108"/>
        <v>0</v>
      </c>
      <c r="Y238" s="1">
        <f t="shared" si="108"/>
        <v>0</v>
      </c>
      <c r="Z238" s="1">
        <f t="shared" si="108"/>
        <v>0</v>
      </c>
      <c r="AA238" s="1">
        <f t="shared" si="108"/>
        <v>0</v>
      </c>
      <c r="AB238" s="1">
        <f t="shared" si="108"/>
        <v>0</v>
      </c>
      <c r="AC238" s="1">
        <f t="shared" si="108"/>
        <v>1</v>
      </c>
      <c r="AD238" s="1">
        <f t="shared" si="108"/>
        <v>1</v>
      </c>
      <c r="AE238" s="1">
        <f t="shared" si="108"/>
        <v>1</v>
      </c>
      <c r="AF238" s="1">
        <f t="shared" si="108"/>
        <v>1</v>
      </c>
      <c r="AG238" s="1">
        <f t="shared" si="108"/>
        <v>1</v>
      </c>
      <c r="AH238" s="1">
        <f t="shared" si="108"/>
        <v>1</v>
      </c>
      <c r="AI238" s="44">
        <f t="shared" si="98"/>
        <v>93125.42933662307</v>
      </c>
      <c r="AJ238" s="44">
        <f t="shared" si="88"/>
        <v>93623.86186943356</v>
      </c>
      <c r="AK238" s="44" t="str">
        <f t="shared" si="107"/>
        <v>N</v>
      </c>
      <c r="AL238" s="4">
        <f t="shared" si="89"/>
        <v>160</v>
      </c>
      <c r="AM238" s="82">
        <f t="shared" si="99"/>
        <v>0</v>
      </c>
      <c r="AN238" s="82">
        <f t="shared" si="90"/>
        <v>0</v>
      </c>
      <c r="AO238" s="48">
        <f>0</f>
        <v>0</v>
      </c>
      <c r="AP238" s="91">
        <f t="shared" si="100"/>
        <v>-498.43253281048294</v>
      </c>
      <c r="AQ238" s="91">
        <f t="shared" si="101"/>
        <v>-498.43253281048294</v>
      </c>
      <c r="AV238" s="84"/>
    </row>
    <row r="239" spans="1:48">
      <c r="A239" s="190">
        <f t="shared" si="91"/>
        <v>79.137577002053376</v>
      </c>
      <c r="B239" s="82">
        <f t="shared" si="92"/>
        <v>14</v>
      </c>
      <c r="C239" s="83">
        <f t="shared" si="93"/>
        <v>161</v>
      </c>
      <c r="D239" s="14">
        <f t="shared" si="80"/>
        <v>4.8675505653430484E-3</v>
      </c>
      <c r="E239" s="16">
        <f t="shared" si="81"/>
        <v>0</v>
      </c>
      <c r="F239" s="127"/>
      <c r="G239" s="88">
        <f t="shared" si="82"/>
        <v>0</v>
      </c>
      <c r="H239" s="89">
        <f t="shared" si="94"/>
        <v>4.1666666666666666E-3</v>
      </c>
      <c r="I239" s="219"/>
      <c r="J239" s="219"/>
      <c r="K239" s="6">
        <f t="shared" si="102"/>
        <v>93125.42933662307</v>
      </c>
      <c r="M239" s="6">
        <f t="shared" si="83"/>
        <v>453.29273621529376</v>
      </c>
      <c r="N239" s="6">
        <f t="shared" si="95"/>
        <v>-105.47789112306489</v>
      </c>
      <c r="O239" s="90">
        <f t="shared" si="84"/>
        <v>431.20221015126532</v>
      </c>
      <c r="P239" s="91">
        <f t="shared" si="85"/>
        <v>0</v>
      </c>
      <c r="Q239" s="6">
        <f t="shared" si="86"/>
        <v>389.47185075714708</v>
      </c>
      <c r="R239" s="87">
        <f t="shared" si="106"/>
        <v>-498.20957322800609</v>
      </c>
      <c r="S239" s="6">
        <f t="shared" si="87"/>
        <v>-19.40771304937828</v>
      </c>
      <c r="T239" s="83">
        <f t="shared" si="96"/>
        <v>0</v>
      </c>
      <c r="U239" s="91">
        <f t="shared" si="103"/>
        <v>120396.79696747029</v>
      </c>
      <c r="V239" s="91">
        <f t="shared" si="97"/>
        <v>586.03749714450225</v>
      </c>
      <c r="W239" s="1">
        <f t="shared" ref="W239:AH248" si="109">IF($B239&lt;=W$78,1,0)</f>
        <v>0</v>
      </c>
      <c r="X239" s="1">
        <f t="shared" si="109"/>
        <v>0</v>
      </c>
      <c r="Y239" s="1">
        <f t="shared" si="109"/>
        <v>0</v>
      </c>
      <c r="Z239" s="1">
        <f t="shared" si="109"/>
        <v>0</v>
      </c>
      <c r="AA239" s="1">
        <f t="shared" si="109"/>
        <v>0</v>
      </c>
      <c r="AB239" s="1">
        <f t="shared" si="109"/>
        <v>0</v>
      </c>
      <c r="AC239" s="1">
        <f t="shared" si="109"/>
        <v>1</v>
      </c>
      <c r="AD239" s="1">
        <f t="shared" si="109"/>
        <v>1</v>
      </c>
      <c r="AE239" s="1">
        <f t="shared" si="109"/>
        <v>1</v>
      </c>
      <c r="AF239" s="1">
        <f t="shared" si="109"/>
        <v>1</v>
      </c>
      <c r="AG239" s="1">
        <f t="shared" si="109"/>
        <v>1</v>
      </c>
      <c r="AH239" s="1">
        <f t="shared" si="109"/>
        <v>1</v>
      </c>
      <c r="AI239" s="44">
        <f t="shared" si="98"/>
        <v>92975.034608487302</v>
      </c>
      <c r="AJ239" s="44">
        <f t="shared" si="88"/>
        <v>93473.244181715301</v>
      </c>
      <c r="AK239" s="44" t="str">
        <f t="shared" si="107"/>
        <v>N</v>
      </c>
      <c r="AL239" s="4">
        <f t="shared" si="89"/>
        <v>161</v>
      </c>
      <c r="AM239" s="82">
        <f t="shared" si="99"/>
        <v>0</v>
      </c>
      <c r="AN239" s="82">
        <f t="shared" si="90"/>
        <v>0</v>
      </c>
      <c r="AO239" s="48">
        <f>0</f>
        <v>0</v>
      </c>
      <c r="AP239" s="91">
        <f t="shared" si="100"/>
        <v>-498.20957322800609</v>
      </c>
      <c r="AQ239" s="91">
        <f t="shared" si="101"/>
        <v>-498.20957322800609</v>
      </c>
      <c r="AV239" s="84"/>
    </row>
    <row r="240" spans="1:48">
      <c r="A240" s="190">
        <f t="shared" si="91"/>
        <v>79.220910335386719</v>
      </c>
      <c r="B240" s="82">
        <f t="shared" si="92"/>
        <v>14</v>
      </c>
      <c r="C240" s="83">
        <f t="shared" si="93"/>
        <v>162</v>
      </c>
      <c r="D240" s="14">
        <f t="shared" si="80"/>
        <v>4.8675505653430484E-3</v>
      </c>
      <c r="E240" s="16">
        <f t="shared" si="81"/>
        <v>0</v>
      </c>
      <c r="F240" s="127"/>
      <c r="G240" s="88">
        <f t="shared" si="82"/>
        <v>0</v>
      </c>
      <c r="H240" s="89">
        <f t="shared" si="94"/>
        <v>4.1666666666666666E-3</v>
      </c>
      <c r="I240" s="219"/>
      <c r="J240" s="219"/>
      <c r="K240" s="6">
        <f t="shared" si="102"/>
        <v>92975.034608487302</v>
      </c>
      <c r="M240" s="6">
        <f t="shared" si="83"/>
        <v>452.56068227133187</v>
      </c>
      <c r="N240" s="6">
        <f t="shared" si="95"/>
        <v>-105.30754754588315</v>
      </c>
      <c r="O240" s="90">
        <f t="shared" si="84"/>
        <v>431.20221015126532</v>
      </c>
      <c r="P240" s="91">
        <f t="shared" si="85"/>
        <v>0</v>
      </c>
      <c r="Q240" s="6">
        <f t="shared" si="86"/>
        <v>388.84286559671978</v>
      </c>
      <c r="R240" s="87">
        <f t="shared" si="106"/>
        <v>-497.98671338014168</v>
      </c>
      <c r="S240" s="6">
        <f t="shared" si="87"/>
        <v>-19.376309517945081</v>
      </c>
      <c r="T240" s="83">
        <f t="shared" si="96"/>
        <v>0</v>
      </c>
      <c r="U240" s="91">
        <f t="shared" si="103"/>
        <v>120484.62489138679</v>
      </c>
      <c r="V240" s="91">
        <f t="shared" si="97"/>
        <v>586.46500400521484</v>
      </c>
      <c r="W240" s="1">
        <f t="shared" si="109"/>
        <v>0</v>
      </c>
      <c r="X240" s="1">
        <f t="shared" si="109"/>
        <v>0</v>
      </c>
      <c r="Y240" s="1">
        <f t="shared" si="109"/>
        <v>0</v>
      </c>
      <c r="Z240" s="1">
        <f t="shared" si="109"/>
        <v>0</v>
      </c>
      <c r="AA240" s="1">
        <f t="shared" si="109"/>
        <v>0</v>
      </c>
      <c r="AB240" s="1">
        <f t="shared" si="109"/>
        <v>0</v>
      </c>
      <c r="AC240" s="1">
        <f t="shared" si="109"/>
        <v>1</v>
      </c>
      <c r="AD240" s="1">
        <f t="shared" si="109"/>
        <v>1</v>
      </c>
      <c r="AE240" s="1">
        <f t="shared" si="109"/>
        <v>1</v>
      </c>
      <c r="AF240" s="1">
        <f t="shared" si="109"/>
        <v>1</v>
      </c>
      <c r="AG240" s="1">
        <f t="shared" si="109"/>
        <v>1</v>
      </c>
      <c r="AH240" s="1">
        <f t="shared" si="109"/>
        <v>1</v>
      </c>
      <c r="AI240" s="44">
        <f t="shared" si="98"/>
        <v>92824.301029832597</v>
      </c>
      <c r="AJ240" s="44">
        <f t="shared" si="88"/>
        <v>93322.287743212742</v>
      </c>
      <c r="AK240" s="44" t="str">
        <f t="shared" si="107"/>
        <v>N</v>
      </c>
      <c r="AL240" s="4">
        <f t="shared" si="89"/>
        <v>162</v>
      </c>
      <c r="AM240" s="82">
        <f t="shared" si="99"/>
        <v>0</v>
      </c>
      <c r="AN240" s="82">
        <f t="shared" si="90"/>
        <v>0</v>
      </c>
      <c r="AO240" s="48">
        <f>0</f>
        <v>0</v>
      </c>
      <c r="AP240" s="91">
        <f t="shared" si="100"/>
        <v>-497.98671338014168</v>
      </c>
      <c r="AQ240" s="91">
        <f t="shared" si="101"/>
        <v>-497.98671338014168</v>
      </c>
      <c r="AV240" s="84"/>
    </row>
    <row r="241" spans="1:48">
      <c r="A241" s="190">
        <f t="shared" si="91"/>
        <v>79.304243668720048</v>
      </c>
      <c r="B241" s="82">
        <f t="shared" si="92"/>
        <v>14</v>
      </c>
      <c r="C241" s="83">
        <f t="shared" si="93"/>
        <v>163</v>
      </c>
      <c r="D241" s="14">
        <f t="shared" si="80"/>
        <v>4.8675505653430484E-3</v>
      </c>
      <c r="E241" s="16">
        <f t="shared" si="81"/>
        <v>0</v>
      </c>
      <c r="F241" s="127"/>
      <c r="G241" s="88">
        <f t="shared" si="82"/>
        <v>0</v>
      </c>
      <c r="H241" s="89">
        <f t="shared" si="94"/>
        <v>4.1666666666666666E-3</v>
      </c>
      <c r="I241" s="219"/>
      <c r="J241" s="219"/>
      <c r="K241" s="6">
        <f t="shared" si="102"/>
        <v>92824.301029832597</v>
      </c>
      <c r="M241" s="6">
        <f t="shared" si="83"/>
        <v>451.82697895533499</v>
      </c>
      <c r="N241" s="6">
        <f t="shared" si="95"/>
        <v>-105.13682017194041</v>
      </c>
      <c r="O241" s="90">
        <f t="shared" si="84"/>
        <v>431.20221015126532</v>
      </c>
      <c r="P241" s="91">
        <f t="shared" si="85"/>
        <v>0</v>
      </c>
      <c r="Q241" s="6">
        <f t="shared" si="86"/>
        <v>388.2124632858999</v>
      </c>
      <c r="R241" s="87">
        <f t="shared" si="106"/>
        <v>-497.76395322227597</v>
      </c>
      <c r="S241" s="6">
        <f t="shared" si="87"/>
        <v>-19.344835169257184</v>
      </c>
      <c r="T241" s="83">
        <f t="shared" si="96"/>
        <v>0</v>
      </c>
      <c r="U241" s="91">
        <f t="shared" si="103"/>
        <v>120573.10318201187</v>
      </c>
      <c r="V241" s="91">
        <f t="shared" si="97"/>
        <v>586.8956765587676</v>
      </c>
      <c r="W241" s="1">
        <f t="shared" si="109"/>
        <v>0</v>
      </c>
      <c r="X241" s="1">
        <f t="shared" si="109"/>
        <v>0</v>
      </c>
      <c r="Y241" s="1">
        <f t="shared" si="109"/>
        <v>0</v>
      </c>
      <c r="Z241" s="1">
        <f t="shared" si="109"/>
        <v>0</v>
      </c>
      <c r="AA241" s="1">
        <f t="shared" si="109"/>
        <v>0</v>
      </c>
      <c r="AB241" s="1">
        <f t="shared" si="109"/>
        <v>0</v>
      </c>
      <c r="AC241" s="1">
        <f t="shared" si="109"/>
        <v>1</v>
      </c>
      <c r="AD241" s="1">
        <f t="shared" si="109"/>
        <v>1</v>
      </c>
      <c r="AE241" s="1">
        <f t="shared" si="109"/>
        <v>1</v>
      </c>
      <c r="AF241" s="1">
        <f t="shared" si="109"/>
        <v>1</v>
      </c>
      <c r="AG241" s="1">
        <f t="shared" si="109"/>
        <v>1</v>
      </c>
      <c r="AH241" s="1">
        <f t="shared" si="109"/>
        <v>1</v>
      </c>
      <c r="AI241" s="44">
        <f t="shared" si="98"/>
        <v>92673.227235393701</v>
      </c>
      <c r="AJ241" s="44">
        <f t="shared" si="88"/>
        <v>93170.991188615983</v>
      </c>
      <c r="AK241" s="44" t="str">
        <f t="shared" si="107"/>
        <v>N</v>
      </c>
      <c r="AL241" s="4">
        <f t="shared" si="89"/>
        <v>163</v>
      </c>
      <c r="AM241" s="82">
        <f t="shared" si="99"/>
        <v>0</v>
      </c>
      <c r="AN241" s="82">
        <f t="shared" si="90"/>
        <v>0</v>
      </c>
      <c r="AO241" s="48">
        <f>0</f>
        <v>0</v>
      </c>
      <c r="AP241" s="91">
        <f t="shared" si="100"/>
        <v>-497.76395322227597</v>
      </c>
      <c r="AQ241" s="91">
        <f t="shared" si="101"/>
        <v>-497.76395322227597</v>
      </c>
      <c r="AV241" s="84"/>
    </row>
    <row r="242" spans="1:48">
      <c r="A242" s="190">
        <f t="shared" si="91"/>
        <v>79.387577002053376</v>
      </c>
      <c r="B242" s="82">
        <f t="shared" si="92"/>
        <v>14</v>
      </c>
      <c r="C242" s="83">
        <f t="shared" si="93"/>
        <v>164</v>
      </c>
      <c r="D242" s="14">
        <f t="shared" si="80"/>
        <v>4.8675505653430484E-3</v>
      </c>
      <c r="E242" s="16">
        <f t="shared" si="81"/>
        <v>0</v>
      </c>
      <c r="F242" s="127"/>
      <c r="G242" s="88">
        <f t="shared" si="82"/>
        <v>0</v>
      </c>
      <c r="H242" s="89">
        <f t="shared" si="94"/>
        <v>4.1666666666666666E-3</v>
      </c>
      <c r="I242" s="219"/>
      <c r="J242" s="219"/>
      <c r="K242" s="6">
        <f t="shared" si="102"/>
        <v>92673.227235393701</v>
      </c>
      <c r="M242" s="6">
        <f t="shared" si="83"/>
        <v>451.09161962180542</v>
      </c>
      <c r="N242" s="6">
        <f t="shared" si="95"/>
        <v>-104.96570745487821</v>
      </c>
      <c r="O242" s="90">
        <f t="shared" si="84"/>
        <v>431.20221015126532</v>
      </c>
      <c r="P242" s="91">
        <f t="shared" si="85"/>
        <v>0</v>
      </c>
      <c r="Q242" s="6">
        <f t="shared" si="86"/>
        <v>387.58063811483595</v>
      </c>
      <c r="R242" s="87">
        <f t="shared" si="106"/>
        <v>-497.54129270981582</v>
      </c>
      <c r="S242" s="6">
        <f t="shared" si="87"/>
        <v>-19.313289718030788</v>
      </c>
      <c r="T242" s="83">
        <f t="shared" si="96"/>
        <v>0</v>
      </c>
      <c r="U242" s="91">
        <f t="shared" si="103"/>
        <v>120662.23490534835</v>
      </c>
      <c r="V242" s="91">
        <f t="shared" si="97"/>
        <v>587.32952972908402</v>
      </c>
      <c r="W242" s="1">
        <f t="shared" si="109"/>
        <v>0</v>
      </c>
      <c r="X242" s="1">
        <f t="shared" si="109"/>
        <v>0</v>
      </c>
      <c r="Y242" s="1">
        <f t="shared" si="109"/>
        <v>0</v>
      </c>
      <c r="Z242" s="1">
        <f t="shared" si="109"/>
        <v>0</v>
      </c>
      <c r="AA242" s="1">
        <f t="shared" si="109"/>
        <v>0</v>
      </c>
      <c r="AB242" s="1">
        <f t="shared" si="109"/>
        <v>0</v>
      </c>
      <c r="AC242" s="1">
        <f t="shared" si="109"/>
        <v>1</v>
      </c>
      <c r="AD242" s="1">
        <f t="shared" si="109"/>
        <v>1</v>
      </c>
      <c r="AE242" s="1">
        <f t="shared" si="109"/>
        <v>1</v>
      </c>
      <c r="AF242" s="1">
        <f t="shared" si="109"/>
        <v>1</v>
      </c>
      <c r="AG242" s="1">
        <f t="shared" si="109"/>
        <v>1</v>
      </c>
      <c r="AH242" s="1">
        <f t="shared" si="109"/>
        <v>1</v>
      </c>
      <c r="AI242" s="44">
        <f t="shared" si="98"/>
        <v>92521.811854850806</v>
      </c>
      <c r="AJ242" s="44">
        <f t="shared" si="88"/>
        <v>93019.353147560629</v>
      </c>
      <c r="AK242" s="44" t="str">
        <f t="shared" si="107"/>
        <v>N</v>
      </c>
      <c r="AL242" s="4">
        <f t="shared" si="89"/>
        <v>164</v>
      </c>
      <c r="AM242" s="82">
        <f t="shared" si="99"/>
        <v>0</v>
      </c>
      <c r="AN242" s="82">
        <f t="shared" si="90"/>
        <v>0</v>
      </c>
      <c r="AO242" s="48">
        <f>0</f>
        <v>0</v>
      </c>
      <c r="AP242" s="91">
        <f t="shared" si="100"/>
        <v>-497.54129270981582</v>
      </c>
      <c r="AQ242" s="91">
        <f t="shared" si="101"/>
        <v>-497.54129270981582</v>
      </c>
      <c r="AV242" s="84"/>
    </row>
    <row r="243" spans="1:48">
      <c r="A243" s="190">
        <f t="shared" si="91"/>
        <v>79.470910335386719</v>
      </c>
      <c r="B243" s="82">
        <f t="shared" si="92"/>
        <v>14</v>
      </c>
      <c r="C243" s="83">
        <f t="shared" si="93"/>
        <v>165</v>
      </c>
      <c r="D243" s="14">
        <f t="shared" si="80"/>
        <v>4.8675505653430484E-3</v>
      </c>
      <c r="E243" s="16">
        <f t="shared" si="81"/>
        <v>0</v>
      </c>
      <c r="F243" s="127"/>
      <c r="G243" s="88">
        <f t="shared" si="82"/>
        <v>0</v>
      </c>
      <c r="H243" s="89">
        <f t="shared" si="94"/>
        <v>4.1666666666666666E-3</v>
      </c>
      <c r="I243" s="219"/>
      <c r="J243" s="219"/>
      <c r="K243" s="6">
        <f t="shared" si="102"/>
        <v>92521.811854850806</v>
      </c>
      <c r="M243" s="6">
        <f t="shared" si="83"/>
        <v>450.35459760064219</v>
      </c>
      <c r="N243" s="6">
        <f t="shared" si="95"/>
        <v>-104.79420784261301</v>
      </c>
      <c r="O243" s="90">
        <f t="shared" si="84"/>
        <v>431.20221015126532</v>
      </c>
      <c r="P243" s="91">
        <f t="shared" si="85"/>
        <v>0</v>
      </c>
      <c r="Q243" s="6">
        <f t="shared" si="86"/>
        <v>386.9473843525368</v>
      </c>
      <c r="R243" s="87">
        <f t="shared" si="106"/>
        <v>-497.3187317981874</v>
      </c>
      <c r="S243" s="6">
        <f t="shared" si="87"/>
        <v>-19.281672877925871</v>
      </c>
      <c r="T243" s="83">
        <f t="shared" si="96"/>
        <v>0</v>
      </c>
      <c r="U243" s="91">
        <f t="shared" si="103"/>
        <v>120752.02314236762</v>
      </c>
      <c r="V243" s="91">
        <f t="shared" si="97"/>
        <v>587.7665785129484</v>
      </c>
      <c r="W243" s="1">
        <f t="shared" si="109"/>
        <v>0</v>
      </c>
      <c r="X243" s="1">
        <f t="shared" si="109"/>
        <v>0</v>
      </c>
      <c r="Y243" s="1">
        <f t="shared" si="109"/>
        <v>0</v>
      </c>
      <c r="Z243" s="1">
        <f t="shared" si="109"/>
        <v>0</v>
      </c>
      <c r="AA243" s="1">
        <f t="shared" si="109"/>
        <v>0</v>
      </c>
      <c r="AB243" s="1">
        <f t="shared" si="109"/>
        <v>0</v>
      </c>
      <c r="AC243" s="1">
        <f t="shared" si="109"/>
        <v>1</v>
      </c>
      <c r="AD243" s="1">
        <f t="shared" si="109"/>
        <v>1</v>
      </c>
      <c r="AE243" s="1">
        <f t="shared" si="109"/>
        <v>1</v>
      </c>
      <c r="AF243" s="1">
        <f t="shared" si="109"/>
        <v>1</v>
      </c>
      <c r="AG243" s="1">
        <f t="shared" si="109"/>
        <v>1</v>
      </c>
      <c r="AH243" s="1">
        <f t="shared" si="109"/>
        <v>1</v>
      </c>
      <c r="AI243" s="44">
        <f t="shared" si="98"/>
        <v>92370.053512810642</v>
      </c>
      <c r="AJ243" s="44">
        <f t="shared" si="88"/>
        <v>92867.372244608836</v>
      </c>
      <c r="AK243" s="44" t="str">
        <f t="shared" si="107"/>
        <v>N</v>
      </c>
      <c r="AL243" s="4">
        <f t="shared" si="89"/>
        <v>165</v>
      </c>
      <c r="AM243" s="82">
        <f t="shared" si="99"/>
        <v>0</v>
      </c>
      <c r="AN243" s="82">
        <f t="shared" si="90"/>
        <v>0</v>
      </c>
      <c r="AO243" s="48">
        <f>0</f>
        <v>0</v>
      </c>
      <c r="AP243" s="91">
        <f t="shared" si="100"/>
        <v>-497.3187317981874</v>
      </c>
      <c r="AQ243" s="91">
        <f t="shared" si="101"/>
        <v>-497.3187317981874</v>
      </c>
      <c r="AV243" s="84"/>
    </row>
    <row r="244" spans="1:48">
      <c r="A244" s="190">
        <f t="shared" si="91"/>
        <v>79.554243668720048</v>
      </c>
      <c r="B244" s="82">
        <f t="shared" si="92"/>
        <v>14</v>
      </c>
      <c r="C244" s="83">
        <f t="shared" si="93"/>
        <v>166</v>
      </c>
      <c r="D244" s="14">
        <f t="shared" si="80"/>
        <v>4.8675505653430484E-3</v>
      </c>
      <c r="E244" s="16">
        <f t="shared" si="81"/>
        <v>0</v>
      </c>
      <c r="F244" s="127"/>
      <c r="G244" s="88">
        <f t="shared" si="82"/>
        <v>0</v>
      </c>
      <c r="H244" s="89">
        <f t="shared" si="94"/>
        <v>4.1666666666666666E-3</v>
      </c>
      <c r="I244" s="219"/>
      <c r="J244" s="219"/>
      <c r="K244" s="6">
        <f t="shared" si="102"/>
        <v>92370.053512810642</v>
      </c>
      <c r="M244" s="6">
        <f t="shared" si="83"/>
        <v>449.61590619704907</v>
      </c>
      <c r="N244" s="6">
        <f t="shared" si="95"/>
        <v>-104.62231977731489</v>
      </c>
      <c r="O244" s="90">
        <f t="shared" si="84"/>
        <v>431.20221015126532</v>
      </c>
      <c r="P244" s="91">
        <f t="shared" si="85"/>
        <v>0</v>
      </c>
      <c r="Q244" s="6">
        <f t="shared" si="86"/>
        <v>386.31269624679322</v>
      </c>
      <c r="R244" s="87">
        <f t="shared" si="106"/>
        <v>-497.09627044283718</v>
      </c>
      <c r="S244" s="6">
        <f t="shared" si="87"/>
        <v>-19.249984361542243</v>
      </c>
      <c r="T244" s="83">
        <f t="shared" si="96"/>
        <v>0</v>
      </c>
      <c r="U244" s="91">
        <f t="shared" si="103"/>
        <v>120842.47098908237</v>
      </c>
      <c r="V244" s="91">
        <f t="shared" si="97"/>
        <v>588.20683798035884</v>
      </c>
      <c r="W244" s="1">
        <f t="shared" si="109"/>
        <v>0</v>
      </c>
      <c r="X244" s="1">
        <f t="shared" si="109"/>
        <v>0</v>
      </c>
      <c r="Y244" s="1">
        <f t="shared" si="109"/>
        <v>0</v>
      </c>
      <c r="Z244" s="1">
        <f t="shared" si="109"/>
        <v>0</v>
      </c>
      <c r="AA244" s="1">
        <f t="shared" si="109"/>
        <v>0</v>
      </c>
      <c r="AB244" s="1">
        <f t="shared" si="109"/>
        <v>0</v>
      </c>
      <c r="AC244" s="1">
        <f t="shared" si="109"/>
        <v>1</v>
      </c>
      <c r="AD244" s="1">
        <f t="shared" si="109"/>
        <v>1</v>
      </c>
      <c r="AE244" s="1">
        <f t="shared" si="109"/>
        <v>1</v>
      </c>
      <c r="AF244" s="1">
        <f t="shared" si="109"/>
        <v>1</v>
      </c>
      <c r="AG244" s="1">
        <f t="shared" si="109"/>
        <v>1</v>
      </c>
      <c r="AH244" s="1">
        <f t="shared" si="109"/>
        <v>1</v>
      </c>
      <c r="AI244" s="44">
        <f t="shared" si="98"/>
        <v>92217.950828787536</v>
      </c>
      <c r="AJ244" s="44">
        <f t="shared" si="88"/>
        <v>92715.047099230374</v>
      </c>
      <c r="AK244" s="44" t="str">
        <f t="shared" si="107"/>
        <v>N</v>
      </c>
      <c r="AL244" s="4">
        <f t="shared" si="89"/>
        <v>166</v>
      </c>
      <c r="AM244" s="82">
        <f t="shared" si="99"/>
        <v>0</v>
      </c>
      <c r="AN244" s="82">
        <f t="shared" si="90"/>
        <v>0</v>
      </c>
      <c r="AO244" s="48">
        <f>0</f>
        <v>0</v>
      </c>
      <c r="AP244" s="91">
        <f t="shared" si="100"/>
        <v>-497.09627044283718</v>
      </c>
      <c r="AQ244" s="91">
        <f t="shared" si="101"/>
        <v>-497.09627044283718</v>
      </c>
      <c r="AV244" s="84"/>
    </row>
    <row r="245" spans="1:48">
      <c r="A245" s="190">
        <f t="shared" si="91"/>
        <v>79.637577002053376</v>
      </c>
      <c r="B245" s="82">
        <f t="shared" si="92"/>
        <v>14</v>
      </c>
      <c r="C245" s="83">
        <f t="shared" si="93"/>
        <v>167</v>
      </c>
      <c r="D245" s="14">
        <f t="shared" si="80"/>
        <v>4.8675505653430484E-3</v>
      </c>
      <c r="E245" s="16">
        <f t="shared" si="81"/>
        <v>0</v>
      </c>
      <c r="F245" s="127"/>
      <c r="G245" s="88">
        <f t="shared" si="82"/>
        <v>0</v>
      </c>
      <c r="H245" s="89">
        <f t="shared" si="94"/>
        <v>4.1666666666666666E-3</v>
      </c>
      <c r="I245" s="219"/>
      <c r="J245" s="219"/>
      <c r="K245" s="6">
        <f t="shared" si="102"/>
        <v>92217.950828787536</v>
      </c>
      <c r="M245" s="6">
        <f t="shared" si="83"/>
        <v>448.87553869144222</v>
      </c>
      <c r="N245" s="6">
        <f t="shared" si="95"/>
        <v>-104.45004169538602</v>
      </c>
      <c r="O245" s="90">
        <f t="shared" si="84"/>
        <v>431.20221015126532</v>
      </c>
      <c r="P245" s="91">
        <f t="shared" si="85"/>
        <v>0</v>
      </c>
      <c r="Q245" s="6">
        <f t="shared" si="86"/>
        <v>385.67656802409829</v>
      </c>
      <c r="R245" s="87">
        <f t="shared" si="106"/>
        <v>-496.8739085992317</v>
      </c>
      <c r="S245" s="6">
        <f t="shared" si="87"/>
        <v>-19.218223880415596</v>
      </c>
      <c r="T245" s="83">
        <f t="shared" si="96"/>
        <v>0</v>
      </c>
      <c r="U245" s="91">
        <f t="shared" si="103"/>
        <v>120933.58155661989</v>
      </c>
      <c r="V245" s="91">
        <f t="shared" si="97"/>
        <v>588.65032327488484</v>
      </c>
      <c r="W245" s="1">
        <f t="shared" si="109"/>
        <v>0</v>
      </c>
      <c r="X245" s="1">
        <f t="shared" si="109"/>
        <v>0</v>
      </c>
      <c r="Y245" s="1">
        <f t="shared" si="109"/>
        <v>0</v>
      </c>
      <c r="Z245" s="1">
        <f t="shared" si="109"/>
        <v>0</v>
      </c>
      <c r="AA245" s="1">
        <f t="shared" si="109"/>
        <v>0</v>
      </c>
      <c r="AB245" s="1">
        <f t="shared" si="109"/>
        <v>0</v>
      </c>
      <c r="AC245" s="1">
        <f t="shared" si="109"/>
        <v>1</v>
      </c>
      <c r="AD245" s="1">
        <f t="shared" si="109"/>
        <v>1</v>
      </c>
      <c r="AE245" s="1">
        <f t="shared" si="109"/>
        <v>1</v>
      </c>
      <c r="AF245" s="1">
        <f t="shared" si="109"/>
        <v>1</v>
      </c>
      <c r="AG245" s="1">
        <f t="shared" si="109"/>
        <v>1</v>
      </c>
      <c r="AH245" s="1">
        <f t="shared" si="109"/>
        <v>1</v>
      </c>
      <c r="AI245" s="44">
        <f t="shared" si="98"/>
        <v>92065.502417184369</v>
      </c>
      <c r="AJ245" s="44">
        <f t="shared" si="88"/>
        <v>92562.376325783596</v>
      </c>
      <c r="AK245" s="44" t="str">
        <f t="shared" si="107"/>
        <v>N</v>
      </c>
      <c r="AL245" s="4">
        <f t="shared" si="89"/>
        <v>167</v>
      </c>
      <c r="AM245" s="82">
        <f t="shared" si="99"/>
        <v>0</v>
      </c>
      <c r="AN245" s="82">
        <f t="shared" si="90"/>
        <v>0</v>
      </c>
      <c r="AO245" s="48">
        <f>0</f>
        <v>0</v>
      </c>
      <c r="AP245" s="91">
        <f t="shared" si="100"/>
        <v>-496.8739085992317</v>
      </c>
      <c r="AQ245" s="91">
        <f t="shared" si="101"/>
        <v>-496.8739085992317</v>
      </c>
      <c r="AV245" s="84"/>
    </row>
    <row r="246" spans="1:48">
      <c r="A246" s="190">
        <f t="shared" si="91"/>
        <v>79.720910335386719</v>
      </c>
      <c r="B246" s="82">
        <f t="shared" si="92"/>
        <v>14</v>
      </c>
      <c r="C246" s="83">
        <f t="shared" si="93"/>
        <v>168</v>
      </c>
      <c r="D246" s="14">
        <f t="shared" si="80"/>
        <v>4.8675505653430484E-3</v>
      </c>
      <c r="E246" s="16">
        <f t="shared" si="81"/>
        <v>0</v>
      </c>
      <c r="F246" s="127"/>
      <c r="G246" s="88">
        <f t="shared" si="82"/>
        <v>0</v>
      </c>
      <c r="H246" s="89">
        <f t="shared" si="94"/>
        <v>4.1666666666666666E-3</v>
      </c>
      <c r="I246" s="219"/>
      <c r="J246" s="219"/>
      <c r="K246" s="6">
        <f t="shared" si="102"/>
        <v>92065.502417184369</v>
      </c>
      <c r="M246" s="6">
        <f t="shared" si="83"/>
        <v>448.13348833935754</v>
      </c>
      <c r="N246" s="6">
        <f t="shared" si="95"/>
        <v>-104.27737202743917</v>
      </c>
      <c r="O246" s="90">
        <f t="shared" si="84"/>
        <v>431.20221015126532</v>
      </c>
      <c r="P246" s="91">
        <f t="shared" si="85"/>
        <v>0</v>
      </c>
      <c r="Q246" s="6">
        <f t="shared" si="86"/>
        <v>385.03899388956785</v>
      </c>
      <c r="R246" s="87">
        <f t="shared" si="106"/>
        <v>-496.65164622285693</v>
      </c>
      <c r="S246" s="6">
        <f t="shared" si="87"/>
        <v>-19.18639114501353</v>
      </c>
      <c r="T246" s="83">
        <f t="shared" si="96"/>
        <v>0</v>
      </c>
      <c r="U246" s="91">
        <f t="shared" si="103"/>
        <v>121025.35797129554</v>
      </c>
      <c r="V246" s="91">
        <f t="shared" si="97"/>
        <v>589.0970496140244</v>
      </c>
      <c r="W246" s="1">
        <f t="shared" si="109"/>
        <v>0</v>
      </c>
      <c r="X246" s="1">
        <f t="shared" si="109"/>
        <v>0</v>
      </c>
      <c r="Y246" s="1">
        <f t="shared" si="109"/>
        <v>0</v>
      </c>
      <c r="Z246" s="1">
        <f t="shared" si="109"/>
        <v>0</v>
      </c>
      <c r="AA246" s="1">
        <f t="shared" si="109"/>
        <v>0</v>
      </c>
      <c r="AB246" s="1">
        <f t="shared" si="109"/>
        <v>0</v>
      </c>
      <c r="AC246" s="1">
        <f t="shared" si="109"/>
        <v>1</v>
      </c>
      <c r="AD246" s="1">
        <f t="shared" si="109"/>
        <v>1</v>
      </c>
      <c r="AE246" s="1">
        <f t="shared" si="109"/>
        <v>1</v>
      </c>
      <c r="AF246" s="1">
        <f t="shared" si="109"/>
        <v>1</v>
      </c>
      <c r="AG246" s="1">
        <f t="shared" si="109"/>
        <v>1</v>
      </c>
      <c r="AH246" s="1">
        <f t="shared" si="109"/>
        <v>1</v>
      </c>
      <c r="AI246" s="44">
        <f t="shared" si="98"/>
        <v>91912.706887273423</v>
      </c>
      <c r="AJ246" s="44">
        <f t="shared" si="88"/>
        <v>92409.358533496285</v>
      </c>
      <c r="AK246" s="44" t="str">
        <f t="shared" si="107"/>
        <v>N</v>
      </c>
      <c r="AL246" s="4">
        <f t="shared" si="89"/>
        <v>168</v>
      </c>
      <c r="AM246" s="82">
        <f t="shared" si="99"/>
        <v>0</v>
      </c>
      <c r="AN246" s="82">
        <f t="shared" si="90"/>
        <v>0</v>
      </c>
      <c r="AO246" s="48">
        <f>0</f>
        <v>0</v>
      </c>
      <c r="AP246" s="91">
        <f t="shared" si="100"/>
        <v>-496.65164622285693</v>
      </c>
      <c r="AQ246" s="91">
        <f t="shared" si="101"/>
        <v>-496.65164622285693</v>
      </c>
      <c r="AV246" s="84"/>
    </row>
    <row r="247" spans="1:48">
      <c r="A247" s="190">
        <f t="shared" si="91"/>
        <v>79.804243668720048</v>
      </c>
      <c r="B247" s="82">
        <f t="shared" si="92"/>
        <v>15</v>
      </c>
      <c r="C247" s="83">
        <f t="shared" si="93"/>
        <v>169</v>
      </c>
      <c r="D247" s="14">
        <f t="shared" si="80"/>
        <v>4.8675505653430484E-3</v>
      </c>
      <c r="E247" s="16">
        <f t="shared" si="81"/>
        <v>0</v>
      </c>
      <c r="F247" s="127"/>
      <c r="G247" s="88">
        <f t="shared" si="82"/>
        <v>0</v>
      </c>
      <c r="H247" s="89">
        <f t="shared" si="94"/>
        <v>4.1666666666666666E-3</v>
      </c>
      <c r="I247" s="219"/>
      <c r="J247" s="219"/>
      <c r="K247" s="6">
        <f t="shared" si="102"/>
        <v>91912.706887273423</v>
      </c>
      <c r="M247" s="6">
        <f t="shared" si="83"/>
        <v>447.38974837135765</v>
      </c>
      <c r="N247" s="6">
        <f t="shared" si="95"/>
        <v>-104.10430919827593</v>
      </c>
      <c r="O247" s="90">
        <f t="shared" si="84"/>
        <v>439.82625435429071</v>
      </c>
      <c r="P247" s="91">
        <f t="shared" si="85"/>
        <v>0</v>
      </c>
      <c r="Q247" s="6">
        <f t="shared" si="86"/>
        <v>384.39996802686045</v>
      </c>
      <c r="R247" s="87">
        <f t="shared" si="106"/>
        <v>-496.42948326921942</v>
      </c>
      <c r="S247" s="6">
        <f t="shared" si="87"/>
        <v>-19.154485864731527</v>
      </c>
      <c r="T247" s="83">
        <f t="shared" si="96"/>
        <v>0</v>
      </c>
      <c r="U247" s="91">
        <f t="shared" si="103"/>
        <v>121117.8033746867</v>
      </c>
      <c r="V247" s="91">
        <f t="shared" si="97"/>
        <v>589.54703228956441</v>
      </c>
      <c r="W247" s="1">
        <f t="shared" si="109"/>
        <v>0</v>
      </c>
      <c r="X247" s="1">
        <f t="shared" si="109"/>
        <v>0</v>
      </c>
      <c r="Y247" s="1">
        <f t="shared" si="109"/>
        <v>0</v>
      </c>
      <c r="Z247" s="1">
        <f t="shared" si="109"/>
        <v>0</v>
      </c>
      <c r="AA247" s="1">
        <f t="shared" si="109"/>
        <v>0</v>
      </c>
      <c r="AB247" s="1">
        <f t="shared" si="109"/>
        <v>0</v>
      </c>
      <c r="AC247" s="1">
        <f t="shared" si="109"/>
        <v>1</v>
      </c>
      <c r="AD247" s="1">
        <f t="shared" si="109"/>
        <v>1</v>
      </c>
      <c r="AE247" s="1">
        <f t="shared" si="109"/>
        <v>1</v>
      </c>
      <c r="AF247" s="1">
        <f t="shared" si="109"/>
        <v>1</v>
      </c>
      <c r="AG247" s="1">
        <f t="shared" si="109"/>
        <v>1</v>
      </c>
      <c r="AH247" s="1">
        <f t="shared" si="109"/>
        <v>1</v>
      </c>
      <c r="AI247" s="44">
        <f t="shared" si="98"/>
        <v>91759.562843177278</v>
      </c>
      <c r="AJ247" s="44">
        <f t="shared" si="88"/>
        <v>92255.992326446503</v>
      </c>
      <c r="AK247" s="44" t="str">
        <f t="shared" si="107"/>
        <v>N</v>
      </c>
      <c r="AL247" s="4">
        <f t="shared" si="89"/>
        <v>169</v>
      </c>
      <c r="AM247" s="82">
        <f t="shared" si="99"/>
        <v>0</v>
      </c>
      <c r="AN247" s="82">
        <f t="shared" si="90"/>
        <v>0</v>
      </c>
      <c r="AO247" s="48">
        <f>0</f>
        <v>0</v>
      </c>
      <c r="AP247" s="91">
        <f t="shared" si="100"/>
        <v>-496.42948326921942</v>
      </c>
      <c r="AQ247" s="91">
        <f t="shared" si="101"/>
        <v>-496.42948326921942</v>
      </c>
      <c r="AV247" s="84"/>
    </row>
    <row r="248" spans="1:48">
      <c r="A248" s="190">
        <f t="shared" si="91"/>
        <v>79.887577002053376</v>
      </c>
      <c r="B248" s="82">
        <f t="shared" si="92"/>
        <v>15</v>
      </c>
      <c r="C248" s="83">
        <f t="shared" si="93"/>
        <v>170</v>
      </c>
      <c r="D248" s="14">
        <f t="shared" si="80"/>
        <v>4.8675505653430484E-3</v>
      </c>
      <c r="E248" s="16">
        <f t="shared" si="81"/>
        <v>0</v>
      </c>
      <c r="F248" s="127"/>
      <c r="G248" s="88">
        <f t="shared" si="82"/>
        <v>0</v>
      </c>
      <c r="H248" s="89">
        <f t="shared" si="94"/>
        <v>4.1666666666666666E-3</v>
      </c>
      <c r="I248" s="219"/>
      <c r="J248" s="219"/>
      <c r="K248" s="6">
        <f t="shared" si="102"/>
        <v>91759.562843177278</v>
      </c>
      <c r="M248" s="6">
        <f t="shared" si="83"/>
        <v>446.64431199293853</v>
      </c>
      <c r="N248" s="6">
        <f t="shared" si="95"/>
        <v>-103.93085162686512</v>
      </c>
      <c r="O248" s="90">
        <f t="shared" si="84"/>
        <v>439.82625435429071</v>
      </c>
      <c r="P248" s="91">
        <f t="shared" si="85"/>
        <v>0</v>
      </c>
      <c r="Q248" s="6">
        <f t="shared" si="86"/>
        <v>383.75948459809729</v>
      </c>
      <c r="R248" s="87">
        <f t="shared" si="106"/>
        <v>-496.207419693845</v>
      </c>
      <c r="S248" s="6">
        <f t="shared" si="87"/>
        <v>-19.122507747888999</v>
      </c>
      <c r="T248" s="83">
        <f t="shared" si="96"/>
        <v>0</v>
      </c>
      <c r="U248" s="91">
        <f t="shared" si="103"/>
        <v>121210.92092370705</v>
      </c>
      <c r="V248" s="91">
        <f t="shared" si="97"/>
        <v>590.00028666794174</v>
      </c>
      <c r="W248" s="1">
        <f t="shared" si="109"/>
        <v>0</v>
      </c>
      <c r="X248" s="1">
        <f t="shared" si="109"/>
        <v>0</v>
      </c>
      <c r="Y248" s="1">
        <f t="shared" si="109"/>
        <v>0</v>
      </c>
      <c r="Z248" s="1">
        <f t="shared" si="109"/>
        <v>0</v>
      </c>
      <c r="AA248" s="1">
        <f t="shared" si="109"/>
        <v>0</v>
      </c>
      <c r="AB248" s="1">
        <f t="shared" si="109"/>
        <v>0</v>
      </c>
      <c r="AC248" s="1">
        <f t="shared" si="109"/>
        <v>1</v>
      </c>
      <c r="AD248" s="1">
        <f t="shared" si="109"/>
        <v>1</v>
      </c>
      <c r="AE248" s="1">
        <f t="shared" si="109"/>
        <v>1</v>
      </c>
      <c r="AF248" s="1">
        <f t="shared" si="109"/>
        <v>1</v>
      </c>
      <c r="AG248" s="1">
        <f t="shared" si="109"/>
        <v>1</v>
      </c>
      <c r="AH248" s="1">
        <f t="shared" si="109"/>
        <v>1</v>
      </c>
      <c r="AI248" s="44">
        <f t="shared" si="98"/>
        <v>91606.068883849497</v>
      </c>
      <c r="AJ248" s="44">
        <f t="shared" si="88"/>
        <v>92102.276303543345</v>
      </c>
      <c r="AK248" s="44" t="str">
        <f t="shared" si="107"/>
        <v>N</v>
      </c>
      <c r="AL248" s="4">
        <f t="shared" si="89"/>
        <v>170</v>
      </c>
      <c r="AM248" s="82">
        <f t="shared" si="99"/>
        <v>0</v>
      </c>
      <c r="AN248" s="82">
        <f t="shared" si="90"/>
        <v>0</v>
      </c>
      <c r="AO248" s="48">
        <f>0</f>
        <v>0</v>
      </c>
      <c r="AP248" s="91">
        <f t="shared" si="100"/>
        <v>-496.207419693845</v>
      </c>
      <c r="AQ248" s="91">
        <f t="shared" si="101"/>
        <v>-496.207419693845</v>
      </c>
      <c r="AV248" s="84"/>
    </row>
    <row r="249" spans="1:48">
      <c r="A249" s="190">
        <f t="shared" si="91"/>
        <v>79.970910335386719</v>
      </c>
      <c r="B249" s="82">
        <f t="shared" si="92"/>
        <v>15</v>
      </c>
      <c r="C249" s="83">
        <f t="shared" si="93"/>
        <v>171</v>
      </c>
      <c r="D249" s="14">
        <f t="shared" si="80"/>
        <v>4.8675505653430484E-3</v>
      </c>
      <c r="E249" s="16">
        <f t="shared" si="81"/>
        <v>0</v>
      </c>
      <c r="F249" s="127"/>
      <c r="G249" s="88">
        <f t="shared" si="82"/>
        <v>0</v>
      </c>
      <c r="H249" s="89">
        <f t="shared" si="94"/>
        <v>4.1666666666666666E-3</v>
      </c>
      <c r="I249" s="219"/>
      <c r="J249" s="219"/>
      <c r="K249" s="6">
        <f t="shared" si="102"/>
        <v>91606.068883849497</v>
      </c>
      <c r="M249" s="6">
        <f t="shared" si="83"/>
        <v>445.89717238443586</v>
      </c>
      <c r="N249" s="6">
        <f t="shared" si="95"/>
        <v>-103.75699772632093</v>
      </c>
      <c r="O249" s="90">
        <f t="shared" si="84"/>
        <v>439.82625435429071</v>
      </c>
      <c r="P249" s="91">
        <f t="shared" si="85"/>
        <v>0</v>
      </c>
      <c r="Q249" s="6">
        <f t="shared" si="86"/>
        <v>383.11753774378167</v>
      </c>
      <c r="R249" s="87">
        <f t="shared" si="106"/>
        <v>-495.9854554522795</v>
      </c>
      <c r="S249" s="6">
        <f t="shared" si="87"/>
        <v>-19.090456501725203</v>
      </c>
      <c r="T249" s="83">
        <f t="shared" si="96"/>
        <v>0</v>
      </c>
      <c r="U249" s="91">
        <f t="shared" si="103"/>
        <v>121304.71379068114</v>
      </c>
      <c r="V249" s="91">
        <f t="shared" si="97"/>
        <v>590.45682819060664</v>
      </c>
      <c r="W249" s="1">
        <f t="shared" ref="W249:AH258" si="110">IF($B249&lt;=W$78,1,0)</f>
        <v>0</v>
      </c>
      <c r="X249" s="1">
        <f t="shared" si="110"/>
        <v>0</v>
      </c>
      <c r="Y249" s="1">
        <f t="shared" si="110"/>
        <v>0</v>
      </c>
      <c r="Z249" s="1">
        <f t="shared" si="110"/>
        <v>0</v>
      </c>
      <c r="AA249" s="1">
        <f t="shared" si="110"/>
        <v>0</v>
      </c>
      <c r="AB249" s="1">
        <f t="shared" si="110"/>
        <v>0</v>
      </c>
      <c r="AC249" s="1">
        <f t="shared" si="110"/>
        <v>1</v>
      </c>
      <c r="AD249" s="1">
        <f t="shared" si="110"/>
        <v>1</v>
      </c>
      <c r="AE249" s="1">
        <f t="shared" si="110"/>
        <v>1</v>
      </c>
      <c r="AF249" s="1">
        <f t="shared" si="110"/>
        <v>1</v>
      </c>
      <c r="AG249" s="1">
        <f t="shared" si="110"/>
        <v>1</v>
      </c>
      <c r="AH249" s="1">
        <f t="shared" si="110"/>
        <v>1</v>
      </c>
      <c r="AI249" s="44">
        <f t="shared" si="98"/>
        <v>91452.223603055332</v>
      </c>
      <c r="AJ249" s="44">
        <f t="shared" si="88"/>
        <v>91948.209058507608</v>
      </c>
      <c r="AK249" s="44" t="str">
        <f t="shared" si="107"/>
        <v>N</v>
      </c>
      <c r="AL249" s="4">
        <f t="shared" si="89"/>
        <v>171</v>
      </c>
      <c r="AM249" s="82">
        <f t="shared" si="99"/>
        <v>0</v>
      </c>
      <c r="AN249" s="82">
        <f t="shared" si="90"/>
        <v>0</v>
      </c>
      <c r="AO249" s="48">
        <f>0</f>
        <v>0</v>
      </c>
      <c r="AP249" s="91">
        <f t="shared" si="100"/>
        <v>-495.9854554522795</v>
      </c>
      <c r="AQ249" s="91">
        <f t="shared" si="101"/>
        <v>-495.9854554522795</v>
      </c>
      <c r="AV249" s="84"/>
    </row>
    <row r="250" spans="1:48">
      <c r="A250" s="190">
        <f t="shared" si="91"/>
        <v>80.054243668720048</v>
      </c>
      <c r="B250" s="82">
        <f t="shared" si="92"/>
        <v>15</v>
      </c>
      <c r="C250" s="83">
        <f t="shared" si="93"/>
        <v>172</v>
      </c>
      <c r="D250" s="14">
        <f t="shared" si="80"/>
        <v>4.8675505653430484E-3</v>
      </c>
      <c r="E250" s="16">
        <f t="shared" si="81"/>
        <v>0</v>
      </c>
      <c r="F250" s="127"/>
      <c r="G250" s="88">
        <f t="shared" si="82"/>
        <v>0</v>
      </c>
      <c r="H250" s="89">
        <f t="shared" si="94"/>
        <v>4.1666666666666666E-3</v>
      </c>
      <c r="I250" s="219"/>
      <c r="J250" s="219"/>
      <c r="K250" s="6">
        <f t="shared" si="102"/>
        <v>91452.223603055332</v>
      </c>
      <c r="M250" s="6">
        <f t="shared" si="83"/>
        <v>445.14832270093086</v>
      </c>
      <c r="N250" s="6">
        <f t="shared" si="95"/>
        <v>-103.58274590388103</v>
      </c>
      <c r="O250" s="90">
        <f t="shared" si="84"/>
        <v>439.82625435429071</v>
      </c>
      <c r="P250" s="91">
        <f t="shared" si="85"/>
        <v>0</v>
      </c>
      <c r="Q250" s="6">
        <f t="shared" si="86"/>
        <v>382.47412158271823</v>
      </c>
      <c r="R250" s="87">
        <f t="shared" si="106"/>
        <v>-508.4011834666926</v>
      </c>
      <c r="S250" s="6">
        <f t="shared" si="87"/>
        <v>-19.057013905654337</v>
      </c>
      <c r="T250" s="83">
        <f t="shared" si="96"/>
        <v>0</v>
      </c>
      <c r="U250" s="91">
        <f t="shared" si="103"/>
        <v>121399.18516341948</v>
      </c>
      <c r="V250" s="91">
        <f t="shared" si="97"/>
        <v>590.91667237438787</v>
      </c>
      <c r="W250" s="1">
        <f t="shared" si="110"/>
        <v>0</v>
      </c>
      <c r="X250" s="1">
        <f t="shared" si="110"/>
        <v>0</v>
      </c>
      <c r="Y250" s="1">
        <f t="shared" si="110"/>
        <v>0</v>
      </c>
      <c r="Z250" s="1">
        <f t="shared" si="110"/>
        <v>0</v>
      </c>
      <c r="AA250" s="1">
        <f t="shared" si="110"/>
        <v>0</v>
      </c>
      <c r="AB250" s="1">
        <f t="shared" si="110"/>
        <v>0</v>
      </c>
      <c r="AC250" s="1">
        <f t="shared" si="110"/>
        <v>1</v>
      </c>
      <c r="AD250" s="1">
        <f t="shared" si="110"/>
        <v>1</v>
      </c>
      <c r="AE250" s="1">
        <f t="shared" si="110"/>
        <v>1</v>
      </c>
      <c r="AF250" s="1">
        <f t="shared" si="110"/>
        <v>1</v>
      </c>
      <c r="AG250" s="1">
        <f t="shared" si="110"/>
        <v>1</v>
      </c>
      <c r="AH250" s="1">
        <f t="shared" si="110"/>
        <v>1</v>
      </c>
      <c r="AI250" s="44">
        <f t="shared" si="98"/>
        <v>91285.387996385689</v>
      </c>
      <c r="AJ250" s="44">
        <f t="shared" si="88"/>
        <v>91793.789179852378</v>
      </c>
      <c r="AK250" s="44" t="str">
        <f t="shared" si="107"/>
        <v>N</v>
      </c>
      <c r="AL250" s="4">
        <f t="shared" si="89"/>
        <v>172</v>
      </c>
      <c r="AM250" s="82">
        <f t="shared" si="99"/>
        <v>0</v>
      </c>
      <c r="AN250" s="82">
        <f t="shared" si="90"/>
        <v>0</v>
      </c>
      <c r="AO250" s="48">
        <f>0</f>
        <v>0</v>
      </c>
      <c r="AP250" s="91">
        <f t="shared" si="100"/>
        <v>-508.4011834666926</v>
      </c>
      <c r="AQ250" s="91">
        <f t="shared" si="101"/>
        <v>-508.4011834666926</v>
      </c>
      <c r="AV250" s="84"/>
    </row>
    <row r="251" spans="1:48">
      <c r="A251" s="190">
        <f t="shared" si="91"/>
        <v>80.137577002053376</v>
      </c>
      <c r="B251" s="82">
        <f t="shared" si="92"/>
        <v>15</v>
      </c>
      <c r="C251" s="83">
        <f t="shared" si="93"/>
        <v>173</v>
      </c>
      <c r="D251" s="14">
        <f t="shared" si="80"/>
        <v>4.8675505653430484E-3</v>
      </c>
      <c r="E251" s="16">
        <f t="shared" si="81"/>
        <v>0</v>
      </c>
      <c r="F251" s="127"/>
      <c r="G251" s="88">
        <f t="shared" si="82"/>
        <v>0</v>
      </c>
      <c r="H251" s="89">
        <f t="shared" si="94"/>
        <v>4.1666666666666666E-3</v>
      </c>
      <c r="I251" s="219"/>
      <c r="J251" s="219"/>
      <c r="K251" s="6">
        <f t="shared" si="102"/>
        <v>91285.387996385689</v>
      </c>
      <c r="M251" s="6">
        <f t="shared" si="83"/>
        <v>444.33624194936669</v>
      </c>
      <c r="N251" s="6">
        <f t="shared" si="95"/>
        <v>-103.39378067621867</v>
      </c>
      <c r="O251" s="90">
        <f t="shared" si="84"/>
        <v>439.82625435429071</v>
      </c>
      <c r="P251" s="91">
        <f t="shared" si="85"/>
        <v>0</v>
      </c>
      <c r="Q251" s="6">
        <f t="shared" si="86"/>
        <v>381.77637690691182</v>
      </c>
      <c r="R251" s="87">
        <f t="shared" si="106"/>
        <v>-508.17376469256624</v>
      </c>
      <c r="S251" s="6">
        <f t="shared" si="87"/>
        <v>-19.022175331946038</v>
      </c>
      <c r="T251" s="83">
        <f t="shared" si="96"/>
        <v>0</v>
      </c>
      <c r="U251" s="91">
        <f t="shared" si="103"/>
        <v>121481.70065232717</v>
      </c>
      <c r="V251" s="91">
        <f t="shared" si="97"/>
        <v>591.31832068907011</v>
      </c>
      <c r="W251" s="1">
        <f t="shared" si="110"/>
        <v>0</v>
      </c>
      <c r="X251" s="1">
        <f t="shared" si="110"/>
        <v>0</v>
      </c>
      <c r="Y251" s="1">
        <f t="shared" si="110"/>
        <v>0</v>
      </c>
      <c r="Z251" s="1">
        <f t="shared" si="110"/>
        <v>0</v>
      </c>
      <c r="AA251" s="1">
        <f t="shared" si="110"/>
        <v>0</v>
      </c>
      <c r="AB251" s="1">
        <f t="shared" si="110"/>
        <v>0</v>
      </c>
      <c r="AC251" s="1">
        <f t="shared" si="110"/>
        <v>1</v>
      </c>
      <c r="AD251" s="1">
        <f t="shared" si="110"/>
        <v>1</v>
      </c>
      <c r="AE251" s="1">
        <f t="shared" si="110"/>
        <v>1</v>
      </c>
      <c r="AF251" s="1">
        <f t="shared" si="110"/>
        <v>1</v>
      </c>
      <c r="AG251" s="1">
        <f t="shared" si="110"/>
        <v>1</v>
      </c>
      <c r="AH251" s="1">
        <f t="shared" si="110"/>
        <v>1</v>
      </c>
      <c r="AI251" s="44">
        <f t="shared" si="98"/>
        <v>91118.15669296628</v>
      </c>
      <c r="AJ251" s="44">
        <f t="shared" si="88"/>
        <v>91626.330457658842</v>
      </c>
      <c r="AK251" s="44" t="str">
        <f t="shared" si="107"/>
        <v>N</v>
      </c>
      <c r="AL251" s="4">
        <f t="shared" si="89"/>
        <v>173</v>
      </c>
      <c r="AM251" s="82">
        <f t="shared" si="99"/>
        <v>0</v>
      </c>
      <c r="AN251" s="82">
        <f t="shared" si="90"/>
        <v>0</v>
      </c>
      <c r="AO251" s="48">
        <f>0</f>
        <v>0</v>
      </c>
      <c r="AP251" s="91">
        <f t="shared" si="100"/>
        <v>-508.17376469256624</v>
      </c>
      <c r="AQ251" s="91">
        <f t="shared" si="101"/>
        <v>-508.17376469256624</v>
      </c>
      <c r="AV251" s="84"/>
    </row>
    <row r="252" spans="1:48">
      <c r="A252" s="190">
        <f t="shared" si="91"/>
        <v>80.220910335386719</v>
      </c>
      <c r="B252" s="82">
        <f t="shared" si="92"/>
        <v>15</v>
      </c>
      <c r="C252" s="83">
        <f t="shared" si="93"/>
        <v>174</v>
      </c>
      <c r="D252" s="14">
        <f t="shared" si="80"/>
        <v>4.8675505653430484E-3</v>
      </c>
      <c r="E252" s="16">
        <f t="shared" si="81"/>
        <v>0</v>
      </c>
      <c r="F252" s="127"/>
      <c r="G252" s="88">
        <f t="shared" si="82"/>
        <v>0</v>
      </c>
      <c r="H252" s="89">
        <f t="shared" si="94"/>
        <v>4.1666666666666666E-3</v>
      </c>
      <c r="I252" s="219"/>
      <c r="J252" s="219"/>
      <c r="K252" s="6">
        <f t="shared" si="102"/>
        <v>91118.15669296628</v>
      </c>
      <c r="M252" s="6">
        <f t="shared" si="83"/>
        <v>443.5222351238645</v>
      </c>
      <c r="N252" s="6">
        <f t="shared" si="95"/>
        <v>-103.20436726529437</v>
      </c>
      <c r="O252" s="90">
        <f t="shared" si="84"/>
        <v>439.82625435429071</v>
      </c>
      <c r="P252" s="91">
        <f t="shared" si="85"/>
        <v>0</v>
      </c>
      <c r="Q252" s="6">
        <f t="shared" si="86"/>
        <v>381.0769773367702</v>
      </c>
      <c r="R252" s="87">
        <f t="shared" si="106"/>
        <v>-507.94644764774455</v>
      </c>
      <c r="S252" s="6">
        <f t="shared" si="87"/>
        <v>-18.987254062072271</v>
      </c>
      <c r="T252" s="83">
        <f t="shared" si="96"/>
        <v>0</v>
      </c>
      <c r="U252" s="91">
        <f t="shared" si="103"/>
        <v>121564.84520832368</v>
      </c>
      <c r="V252" s="91">
        <f t="shared" si="97"/>
        <v>591.72303101961609</v>
      </c>
      <c r="W252" s="1">
        <f t="shared" si="110"/>
        <v>0</v>
      </c>
      <c r="X252" s="1">
        <f t="shared" si="110"/>
        <v>0</v>
      </c>
      <c r="Y252" s="1">
        <f t="shared" si="110"/>
        <v>0</v>
      </c>
      <c r="Z252" s="1">
        <f t="shared" si="110"/>
        <v>0</v>
      </c>
      <c r="AA252" s="1">
        <f t="shared" si="110"/>
        <v>0</v>
      </c>
      <c r="AB252" s="1">
        <f t="shared" si="110"/>
        <v>0</v>
      </c>
      <c r="AC252" s="1">
        <f t="shared" si="110"/>
        <v>1</v>
      </c>
      <c r="AD252" s="1">
        <f t="shared" si="110"/>
        <v>1</v>
      </c>
      <c r="AE252" s="1">
        <f t="shared" si="110"/>
        <v>1</v>
      </c>
      <c r="AF252" s="1">
        <f t="shared" si="110"/>
        <v>1</v>
      </c>
      <c r="AG252" s="1">
        <f t="shared" si="110"/>
        <v>1</v>
      </c>
      <c r="AH252" s="1">
        <f t="shared" si="110"/>
        <v>1</v>
      </c>
      <c r="AI252" s="44">
        <f t="shared" si="98"/>
        <v>90950.528113177104</v>
      </c>
      <c r="AJ252" s="44">
        <f t="shared" si="88"/>
        <v>91458.474560824849</v>
      </c>
      <c r="AK252" s="44" t="str">
        <f t="shared" si="107"/>
        <v>N</v>
      </c>
      <c r="AL252" s="4">
        <f t="shared" si="89"/>
        <v>174</v>
      </c>
      <c r="AM252" s="82">
        <f t="shared" si="99"/>
        <v>0</v>
      </c>
      <c r="AN252" s="82">
        <f t="shared" si="90"/>
        <v>0</v>
      </c>
      <c r="AO252" s="48">
        <f>0</f>
        <v>0</v>
      </c>
      <c r="AP252" s="91">
        <f t="shared" si="100"/>
        <v>-507.94644764774455</v>
      </c>
      <c r="AQ252" s="91">
        <f t="shared" si="101"/>
        <v>-507.94644764774455</v>
      </c>
      <c r="AV252" s="84"/>
    </row>
    <row r="253" spans="1:48">
      <c r="A253" s="190">
        <f t="shared" si="91"/>
        <v>80.304243668720048</v>
      </c>
      <c r="B253" s="82">
        <f t="shared" si="92"/>
        <v>15</v>
      </c>
      <c r="C253" s="83">
        <f t="shared" si="93"/>
        <v>175</v>
      </c>
      <c r="D253" s="14">
        <f t="shared" si="80"/>
        <v>4.8675505653430484E-3</v>
      </c>
      <c r="E253" s="16">
        <f t="shared" si="81"/>
        <v>0</v>
      </c>
      <c r="F253" s="127"/>
      <c r="G253" s="88">
        <f t="shared" si="82"/>
        <v>0</v>
      </c>
      <c r="H253" s="89">
        <f t="shared" si="94"/>
        <v>4.1666666666666666E-3</v>
      </c>
      <c r="I253" s="219"/>
      <c r="J253" s="219"/>
      <c r="K253" s="6">
        <f t="shared" si="102"/>
        <v>90950.528113177104</v>
      </c>
      <c r="M253" s="6">
        <f t="shared" si="83"/>
        <v>442.70629453554403</v>
      </c>
      <c r="N253" s="6">
        <f t="shared" si="95"/>
        <v>-103.01450388196214</v>
      </c>
      <c r="O253" s="90">
        <f t="shared" si="84"/>
        <v>439.82625435429071</v>
      </c>
      <c r="P253" s="91">
        <f t="shared" si="85"/>
        <v>0</v>
      </c>
      <c r="Q253" s="6">
        <f t="shared" si="86"/>
        <v>380.37591626596117</v>
      </c>
      <c r="R253" s="87">
        <f t="shared" si="106"/>
        <v>-507.71923228672148</v>
      </c>
      <c r="S253" s="6">
        <f t="shared" si="87"/>
        <v>-18.952249765957337</v>
      </c>
      <c r="T253" s="83">
        <f t="shared" si="96"/>
        <v>0</v>
      </c>
      <c r="U253" s="91">
        <f t="shared" si="103"/>
        <v>121648.62179169555</v>
      </c>
      <c r="V253" s="91">
        <f t="shared" si="97"/>
        <v>592.13081777537036</v>
      </c>
      <c r="W253" s="1">
        <f t="shared" si="110"/>
        <v>0</v>
      </c>
      <c r="X253" s="1">
        <f t="shared" si="110"/>
        <v>0</v>
      </c>
      <c r="Y253" s="1">
        <f t="shared" si="110"/>
        <v>0</v>
      </c>
      <c r="Z253" s="1">
        <f t="shared" si="110"/>
        <v>0</v>
      </c>
      <c r="AA253" s="1">
        <f t="shared" si="110"/>
        <v>0</v>
      </c>
      <c r="AB253" s="1">
        <f t="shared" si="110"/>
        <v>0</v>
      </c>
      <c r="AC253" s="1">
        <f t="shared" si="110"/>
        <v>1</v>
      </c>
      <c r="AD253" s="1">
        <f t="shared" si="110"/>
        <v>1</v>
      </c>
      <c r="AE253" s="1">
        <f t="shared" si="110"/>
        <v>1</v>
      </c>
      <c r="AF253" s="1">
        <f t="shared" si="110"/>
        <v>1</v>
      </c>
      <c r="AG253" s="1">
        <f t="shared" si="110"/>
        <v>1</v>
      </c>
      <c r="AH253" s="1">
        <f t="shared" si="110"/>
        <v>1</v>
      </c>
      <c r="AI253" s="44">
        <f t="shared" si="98"/>
        <v>90782.500671543967</v>
      </c>
      <c r="AJ253" s="44">
        <f t="shared" si="88"/>
        <v>91290.219903830686</v>
      </c>
      <c r="AK253" s="44" t="str">
        <f t="shared" si="107"/>
        <v>N</v>
      </c>
      <c r="AL253" s="4">
        <f t="shared" si="89"/>
        <v>175</v>
      </c>
      <c r="AM253" s="82">
        <f t="shared" si="99"/>
        <v>0</v>
      </c>
      <c r="AN253" s="82">
        <f t="shared" si="90"/>
        <v>0</v>
      </c>
      <c r="AO253" s="48">
        <f>0</f>
        <v>0</v>
      </c>
      <c r="AP253" s="91">
        <f t="shared" si="100"/>
        <v>-507.71923228672148</v>
      </c>
      <c r="AQ253" s="91">
        <f t="shared" si="101"/>
        <v>-507.71923228672148</v>
      </c>
      <c r="AV253" s="84"/>
    </row>
    <row r="254" spans="1:48">
      <c r="A254" s="190">
        <f t="shared" si="91"/>
        <v>80.387577002053376</v>
      </c>
      <c r="B254" s="82">
        <f t="shared" si="92"/>
        <v>15</v>
      </c>
      <c r="C254" s="83">
        <f t="shared" si="93"/>
        <v>176</v>
      </c>
      <c r="D254" s="14">
        <f t="shared" si="80"/>
        <v>4.8675505653430484E-3</v>
      </c>
      <c r="E254" s="16">
        <f t="shared" si="81"/>
        <v>0</v>
      </c>
      <c r="F254" s="127"/>
      <c r="G254" s="88">
        <f t="shared" si="82"/>
        <v>0</v>
      </c>
      <c r="H254" s="89">
        <f t="shared" si="94"/>
        <v>4.1666666666666666E-3</v>
      </c>
      <c r="I254" s="219"/>
      <c r="J254" s="219"/>
      <c r="K254" s="6">
        <f t="shared" si="102"/>
        <v>90782.500671543967</v>
      </c>
      <c r="M254" s="6">
        <f t="shared" si="83"/>
        <v>441.88841246702953</v>
      </c>
      <c r="N254" s="6">
        <f t="shared" si="95"/>
        <v>-102.82418873044533</v>
      </c>
      <c r="O254" s="90">
        <f t="shared" si="84"/>
        <v>439.82625435429071</v>
      </c>
      <c r="P254" s="91">
        <f t="shared" si="85"/>
        <v>0</v>
      </c>
      <c r="Q254" s="6">
        <f t="shared" si="86"/>
        <v>379.67318706366893</v>
      </c>
      <c r="R254" s="87">
        <f t="shared" si="106"/>
        <v>-507.49211856401217</v>
      </c>
      <c r="S254" s="6">
        <f t="shared" si="87"/>
        <v>-18.917162112302247</v>
      </c>
      <c r="T254" s="83">
        <f t="shared" si="96"/>
        <v>0</v>
      </c>
      <c r="U254" s="91">
        <f t="shared" si="103"/>
        <v>121733.0333771842</v>
      </c>
      <c r="V254" s="91">
        <f t="shared" si="97"/>
        <v>592.54169543603712</v>
      </c>
      <c r="W254" s="1">
        <f t="shared" si="110"/>
        <v>0</v>
      </c>
      <c r="X254" s="1">
        <f t="shared" si="110"/>
        <v>0</v>
      </c>
      <c r="Y254" s="1">
        <f t="shared" si="110"/>
        <v>0</v>
      </c>
      <c r="Z254" s="1">
        <f t="shared" si="110"/>
        <v>0</v>
      </c>
      <c r="AA254" s="1">
        <f t="shared" si="110"/>
        <v>0</v>
      </c>
      <c r="AB254" s="1">
        <f t="shared" si="110"/>
        <v>0</v>
      </c>
      <c r="AC254" s="1">
        <f t="shared" si="110"/>
        <v>1</v>
      </c>
      <c r="AD254" s="1">
        <f t="shared" si="110"/>
        <v>1</v>
      </c>
      <c r="AE254" s="1">
        <f t="shared" si="110"/>
        <v>1</v>
      </c>
      <c r="AF254" s="1">
        <f t="shared" si="110"/>
        <v>1</v>
      </c>
      <c r="AG254" s="1">
        <f t="shared" si="110"/>
        <v>1</v>
      </c>
      <c r="AH254" s="1">
        <f t="shared" si="110"/>
        <v>1</v>
      </c>
      <c r="AI254" s="44">
        <f t="shared" si="98"/>
        <v>90614.072776716537</v>
      </c>
      <c r="AJ254" s="44">
        <f t="shared" si="88"/>
        <v>91121.56489528055</v>
      </c>
      <c r="AK254" s="44" t="str">
        <f t="shared" si="107"/>
        <v>N</v>
      </c>
      <c r="AL254" s="4">
        <f t="shared" si="89"/>
        <v>176</v>
      </c>
      <c r="AM254" s="82">
        <f t="shared" si="99"/>
        <v>0</v>
      </c>
      <c r="AN254" s="82">
        <f t="shared" si="90"/>
        <v>0</v>
      </c>
      <c r="AO254" s="48">
        <f>0</f>
        <v>0</v>
      </c>
      <c r="AP254" s="91">
        <f t="shared" si="100"/>
        <v>-507.49211856401217</v>
      </c>
      <c r="AQ254" s="91">
        <f t="shared" si="101"/>
        <v>-507.49211856401217</v>
      </c>
      <c r="AV254" s="84"/>
    </row>
    <row r="255" spans="1:48">
      <c r="A255" s="190">
        <f t="shared" si="91"/>
        <v>80.470910335386719</v>
      </c>
      <c r="B255" s="82">
        <f t="shared" si="92"/>
        <v>15</v>
      </c>
      <c r="C255" s="83">
        <f t="shared" si="93"/>
        <v>177</v>
      </c>
      <c r="D255" s="14">
        <f t="shared" si="80"/>
        <v>4.8675505653430484E-3</v>
      </c>
      <c r="E255" s="16">
        <f t="shared" si="81"/>
        <v>0</v>
      </c>
      <c r="F255" s="127"/>
      <c r="G255" s="88">
        <f t="shared" si="82"/>
        <v>0</v>
      </c>
      <c r="H255" s="89">
        <f t="shared" si="94"/>
        <v>4.1666666666666666E-3</v>
      </c>
      <c r="I255" s="219"/>
      <c r="J255" s="219"/>
      <c r="K255" s="6">
        <f t="shared" si="102"/>
        <v>90614.072776716537</v>
      </c>
      <c r="M255" s="6">
        <f t="shared" si="83"/>
        <v>441.0685811723427</v>
      </c>
      <c r="N255" s="6">
        <f t="shared" si="95"/>
        <v>-102.63342000831169</v>
      </c>
      <c r="O255" s="90">
        <f t="shared" si="84"/>
        <v>439.82625435429071</v>
      </c>
      <c r="P255" s="91">
        <f t="shared" si="85"/>
        <v>0</v>
      </c>
      <c r="Q255" s="6">
        <f t="shared" si="86"/>
        <v>378.96878307450237</v>
      </c>
      <c r="R255" s="87">
        <f t="shared" si="106"/>
        <v>-507.26510643415116</v>
      </c>
      <c r="S255" s="6">
        <f t="shared" si="87"/>
        <v>-18.881990768580089</v>
      </c>
      <c r="T255" s="83">
        <f t="shared" si="96"/>
        <v>0</v>
      </c>
      <c r="U255" s="91">
        <f t="shared" si="103"/>
        <v>121818.08295405623</v>
      </c>
      <c r="V255" s="91">
        <f t="shared" si="97"/>
        <v>592.95567855202273</v>
      </c>
      <c r="W255" s="1">
        <f t="shared" si="110"/>
        <v>0</v>
      </c>
      <c r="X255" s="1">
        <f t="shared" si="110"/>
        <v>0</v>
      </c>
      <c r="Y255" s="1">
        <f t="shared" si="110"/>
        <v>0</v>
      </c>
      <c r="Z255" s="1">
        <f t="shared" si="110"/>
        <v>0</v>
      </c>
      <c r="AA255" s="1">
        <f t="shared" si="110"/>
        <v>0</v>
      </c>
      <c r="AB255" s="1">
        <f t="shared" si="110"/>
        <v>0</v>
      </c>
      <c r="AC255" s="1">
        <f t="shared" si="110"/>
        <v>1</v>
      </c>
      <c r="AD255" s="1">
        <f t="shared" si="110"/>
        <v>1</v>
      </c>
      <c r="AE255" s="1">
        <f t="shared" si="110"/>
        <v>1</v>
      </c>
      <c r="AF255" s="1">
        <f t="shared" si="110"/>
        <v>1</v>
      </c>
      <c r="AG255" s="1">
        <f t="shared" si="110"/>
        <v>1</v>
      </c>
      <c r="AH255" s="1">
        <f t="shared" si="110"/>
        <v>1</v>
      </c>
      <c r="AI255" s="44">
        <f t="shared" si="98"/>
        <v>90445.24283144642</v>
      </c>
      <c r="AJ255" s="44">
        <f t="shared" si="88"/>
        <v>90952.507937880568</v>
      </c>
      <c r="AK255" s="44" t="str">
        <f t="shared" si="107"/>
        <v>N</v>
      </c>
      <c r="AL255" s="4">
        <f t="shared" si="89"/>
        <v>177</v>
      </c>
      <c r="AM255" s="82">
        <f t="shared" si="99"/>
        <v>0</v>
      </c>
      <c r="AN255" s="82">
        <f t="shared" si="90"/>
        <v>0</v>
      </c>
      <c r="AO255" s="48">
        <f>0</f>
        <v>0</v>
      </c>
      <c r="AP255" s="91">
        <f t="shared" si="100"/>
        <v>-507.26510643415116</v>
      </c>
      <c r="AQ255" s="91">
        <f t="shared" si="101"/>
        <v>-507.26510643415116</v>
      </c>
      <c r="AV255" s="84"/>
    </row>
    <row r="256" spans="1:48">
      <c r="A256" s="190">
        <f t="shared" si="91"/>
        <v>80.554243668720048</v>
      </c>
      <c r="B256" s="82">
        <f t="shared" si="92"/>
        <v>15</v>
      </c>
      <c r="C256" s="83">
        <f t="shared" si="93"/>
        <v>178</v>
      </c>
      <c r="D256" s="14">
        <f t="shared" si="80"/>
        <v>4.8675505653430484E-3</v>
      </c>
      <c r="E256" s="16">
        <f t="shared" si="81"/>
        <v>0</v>
      </c>
      <c r="F256" s="127"/>
      <c r="G256" s="88">
        <f t="shared" si="82"/>
        <v>0</v>
      </c>
      <c r="H256" s="89">
        <f t="shared" si="94"/>
        <v>4.1666666666666666E-3</v>
      </c>
      <c r="I256" s="219"/>
      <c r="J256" s="219"/>
      <c r="K256" s="6">
        <f t="shared" si="102"/>
        <v>90445.24283144642</v>
      </c>
      <c r="M256" s="6">
        <f t="shared" si="83"/>
        <v>440.24679287679629</v>
      </c>
      <c r="N256" s="6">
        <f t="shared" si="95"/>
        <v>-102.44219590644856</v>
      </c>
      <c r="O256" s="90">
        <f t="shared" si="84"/>
        <v>439.82625435429071</v>
      </c>
      <c r="P256" s="91">
        <f t="shared" si="85"/>
        <v>0</v>
      </c>
      <c r="Q256" s="6">
        <f t="shared" si="86"/>
        <v>378.26269761840319</v>
      </c>
      <c r="R256" s="87">
        <f t="shared" si="106"/>
        <v>-507.03819585169396</v>
      </c>
      <c r="S256" s="6">
        <f t="shared" si="87"/>
        <v>-18.846735401031502</v>
      </c>
      <c r="T256" s="83">
        <f t="shared" si="96"/>
        <v>0</v>
      </c>
      <c r="U256" s="91">
        <f t="shared" si="103"/>
        <v>121903.7735261741</v>
      </c>
      <c r="V256" s="91">
        <f t="shared" si="97"/>
        <v>593.37278174477967</v>
      </c>
      <c r="W256" s="1">
        <f t="shared" si="110"/>
        <v>0</v>
      </c>
      <c r="X256" s="1">
        <f t="shared" si="110"/>
        <v>0</v>
      </c>
      <c r="Y256" s="1">
        <f t="shared" si="110"/>
        <v>0</v>
      </c>
      <c r="Z256" s="1">
        <f t="shared" si="110"/>
        <v>0</v>
      </c>
      <c r="AA256" s="1">
        <f t="shared" si="110"/>
        <v>0</v>
      </c>
      <c r="AB256" s="1">
        <f t="shared" si="110"/>
        <v>0</v>
      </c>
      <c r="AC256" s="1">
        <f t="shared" si="110"/>
        <v>1</v>
      </c>
      <c r="AD256" s="1">
        <f t="shared" si="110"/>
        <v>1</v>
      </c>
      <c r="AE256" s="1">
        <f t="shared" si="110"/>
        <v>1</v>
      </c>
      <c r="AF256" s="1">
        <f t="shared" si="110"/>
        <v>1</v>
      </c>
      <c r="AG256" s="1">
        <f t="shared" si="110"/>
        <v>1</v>
      </c>
      <c r="AH256" s="1">
        <f t="shared" si="110"/>
        <v>1</v>
      </c>
      <c r="AI256" s="44">
        <f t="shared" si="98"/>
        <v>90276.009232565077</v>
      </c>
      <c r="AJ256" s="44">
        <f t="shared" si="88"/>
        <v>90783.047428416772</v>
      </c>
      <c r="AK256" s="44" t="str">
        <f t="shared" si="107"/>
        <v>N</v>
      </c>
      <c r="AL256" s="4">
        <f t="shared" si="89"/>
        <v>178</v>
      </c>
      <c r="AM256" s="82">
        <f t="shared" si="99"/>
        <v>0</v>
      </c>
      <c r="AN256" s="82">
        <f t="shared" si="90"/>
        <v>0</v>
      </c>
      <c r="AO256" s="48">
        <f>0</f>
        <v>0</v>
      </c>
      <c r="AP256" s="91">
        <f t="shared" si="100"/>
        <v>-507.03819585169396</v>
      </c>
      <c r="AQ256" s="91">
        <f t="shared" si="101"/>
        <v>-507.03819585169396</v>
      </c>
      <c r="AV256" s="84"/>
    </row>
    <row r="257" spans="1:48">
      <c r="A257" s="190">
        <f t="shared" si="91"/>
        <v>80.637577002053376</v>
      </c>
      <c r="B257" s="82">
        <f t="shared" si="92"/>
        <v>15</v>
      </c>
      <c r="C257" s="83">
        <f t="shared" si="93"/>
        <v>179</v>
      </c>
      <c r="D257" s="14">
        <f t="shared" si="80"/>
        <v>4.8675505653430484E-3</v>
      </c>
      <c r="E257" s="16">
        <f t="shared" si="81"/>
        <v>0</v>
      </c>
      <c r="F257" s="127"/>
      <c r="G257" s="88">
        <f t="shared" si="82"/>
        <v>0</v>
      </c>
      <c r="H257" s="89">
        <f t="shared" si="94"/>
        <v>4.1666666666666666E-3</v>
      </c>
      <c r="I257" s="219"/>
      <c r="J257" s="219"/>
      <c r="K257" s="6">
        <f t="shared" si="102"/>
        <v>90276.009232565077</v>
      </c>
      <c r="M257" s="6">
        <f t="shared" si="83"/>
        <v>439.42303977688641</v>
      </c>
      <c r="N257" s="6">
        <f t="shared" si="95"/>
        <v>-102.25051460903786</v>
      </c>
      <c r="O257" s="90">
        <f t="shared" si="84"/>
        <v>439.82625435429071</v>
      </c>
      <c r="P257" s="91">
        <f t="shared" si="85"/>
        <v>0</v>
      </c>
      <c r="Q257" s="6">
        <f t="shared" si="86"/>
        <v>377.55492399055385</v>
      </c>
      <c r="R257" s="87">
        <f t="shared" si="106"/>
        <v>-506.81138677121635</v>
      </c>
      <c r="S257" s="6">
        <f t="shared" si="87"/>
        <v>-18.81139567466003</v>
      </c>
      <c r="T257" s="83">
        <f t="shared" si="96"/>
        <v>0</v>
      </c>
      <c r="U257" s="91">
        <f t="shared" si="103"/>
        <v>121990.10811206719</v>
      </c>
      <c r="V257" s="91">
        <f t="shared" si="97"/>
        <v>593.79301970715221</v>
      </c>
      <c r="W257" s="1">
        <f t="shared" si="110"/>
        <v>0</v>
      </c>
      <c r="X257" s="1">
        <f t="shared" si="110"/>
        <v>0</v>
      </c>
      <c r="Y257" s="1">
        <f t="shared" si="110"/>
        <v>0</v>
      </c>
      <c r="Z257" s="1">
        <f t="shared" si="110"/>
        <v>0</v>
      </c>
      <c r="AA257" s="1">
        <f t="shared" si="110"/>
        <v>0</v>
      </c>
      <c r="AB257" s="1">
        <f t="shared" si="110"/>
        <v>0</v>
      </c>
      <c r="AC257" s="1">
        <f t="shared" si="110"/>
        <v>1</v>
      </c>
      <c r="AD257" s="1">
        <f t="shared" si="110"/>
        <v>1</v>
      </c>
      <c r="AE257" s="1">
        <f t="shared" si="110"/>
        <v>1</v>
      </c>
      <c r="AF257" s="1">
        <f t="shared" si="110"/>
        <v>1</v>
      </c>
      <c r="AG257" s="1">
        <f t="shared" si="110"/>
        <v>1</v>
      </c>
      <c r="AH257" s="1">
        <f t="shared" si="110"/>
        <v>1</v>
      </c>
      <c r="AI257" s="44">
        <f t="shared" si="98"/>
        <v>90106.370370961697</v>
      </c>
      <c r="AJ257" s="44">
        <f t="shared" si="88"/>
        <v>90613.18175773292</v>
      </c>
      <c r="AK257" s="44" t="str">
        <f t="shared" si="107"/>
        <v>N</v>
      </c>
      <c r="AL257" s="4">
        <f t="shared" si="89"/>
        <v>179</v>
      </c>
      <c r="AM257" s="82">
        <f t="shared" si="99"/>
        <v>0</v>
      </c>
      <c r="AN257" s="82">
        <f t="shared" si="90"/>
        <v>0</v>
      </c>
      <c r="AO257" s="48">
        <f>0</f>
        <v>0</v>
      </c>
      <c r="AP257" s="91">
        <f t="shared" si="100"/>
        <v>-506.81138677121635</v>
      </c>
      <c r="AQ257" s="91">
        <f t="shared" si="101"/>
        <v>-506.81138677121635</v>
      </c>
      <c r="AV257" s="84"/>
    </row>
    <row r="258" spans="1:48">
      <c r="A258" s="190">
        <f t="shared" si="91"/>
        <v>80.720910335386719</v>
      </c>
      <c r="B258" s="82">
        <f t="shared" si="92"/>
        <v>15</v>
      </c>
      <c r="C258" s="83">
        <f t="shared" si="93"/>
        <v>180</v>
      </c>
      <c r="D258" s="14">
        <f t="shared" si="80"/>
        <v>4.8675505653430484E-3</v>
      </c>
      <c r="E258" s="16">
        <f t="shared" si="81"/>
        <v>0</v>
      </c>
      <c r="F258" s="127"/>
      <c r="G258" s="88">
        <f t="shared" si="82"/>
        <v>0</v>
      </c>
      <c r="H258" s="89">
        <f t="shared" si="94"/>
        <v>4.1666666666666666E-3</v>
      </c>
      <c r="I258" s="219"/>
      <c r="J258" s="219"/>
      <c r="K258" s="6">
        <f t="shared" si="102"/>
        <v>90106.370370961697</v>
      </c>
      <c r="M258" s="6">
        <f t="shared" si="83"/>
        <v>438.5973140401847</v>
      </c>
      <c r="N258" s="6">
        <f t="shared" si="95"/>
        <v>-102.0583742935311</v>
      </c>
      <c r="O258" s="90">
        <f t="shared" si="84"/>
        <v>439.82625435429071</v>
      </c>
      <c r="P258" s="91">
        <f t="shared" si="85"/>
        <v>0</v>
      </c>
      <c r="Q258" s="6">
        <f t="shared" si="86"/>
        <v>376.84545546128481</v>
      </c>
      <c r="R258" s="87">
        <f t="shared" si="106"/>
        <v>-506.58467914731409</v>
      </c>
      <c r="S258" s="6">
        <f t="shared" si="87"/>
        <v>-18.775971253227507</v>
      </c>
      <c r="T258" s="83">
        <f t="shared" si="96"/>
        <v>0</v>
      </c>
      <c r="U258" s="91">
        <f t="shared" si="103"/>
        <v>122077.08974500313</v>
      </c>
      <c r="V258" s="91">
        <f t="shared" si="97"/>
        <v>594.21640720372409</v>
      </c>
      <c r="W258" s="1">
        <f t="shared" si="110"/>
        <v>0</v>
      </c>
      <c r="X258" s="1">
        <f t="shared" si="110"/>
        <v>0</v>
      </c>
      <c r="Y258" s="1">
        <f t="shared" si="110"/>
        <v>0</v>
      </c>
      <c r="Z258" s="1">
        <f t="shared" si="110"/>
        <v>0</v>
      </c>
      <c r="AA258" s="1">
        <f t="shared" si="110"/>
        <v>0</v>
      </c>
      <c r="AB258" s="1">
        <f t="shared" si="110"/>
        <v>0</v>
      </c>
      <c r="AC258" s="1">
        <f t="shared" si="110"/>
        <v>1</v>
      </c>
      <c r="AD258" s="1">
        <f t="shared" si="110"/>
        <v>1</v>
      </c>
      <c r="AE258" s="1">
        <f t="shared" si="110"/>
        <v>1</v>
      </c>
      <c r="AF258" s="1">
        <f t="shared" si="110"/>
        <v>1</v>
      </c>
      <c r="AG258" s="1">
        <f t="shared" si="110"/>
        <v>1</v>
      </c>
      <c r="AH258" s="1">
        <f t="shared" si="110"/>
        <v>1</v>
      </c>
      <c r="AI258" s="44">
        <f t="shared" si="98"/>
        <v>89936.324631561045</v>
      </c>
      <c r="AJ258" s="44">
        <f t="shared" si="88"/>
        <v>90442.909310708361</v>
      </c>
      <c r="AK258" s="44" t="str">
        <f t="shared" si="107"/>
        <v>N</v>
      </c>
      <c r="AL258" s="4">
        <f t="shared" si="89"/>
        <v>180</v>
      </c>
      <c r="AM258" s="82">
        <f t="shared" si="99"/>
        <v>0</v>
      </c>
      <c r="AN258" s="82">
        <f t="shared" si="90"/>
        <v>0</v>
      </c>
      <c r="AO258" s="48">
        <f>0</f>
        <v>0</v>
      </c>
      <c r="AP258" s="91">
        <f t="shared" si="100"/>
        <v>-506.58467914731409</v>
      </c>
      <c r="AQ258" s="91">
        <f t="shared" si="101"/>
        <v>-506.58467914731409</v>
      </c>
      <c r="AV258" s="84"/>
    </row>
    <row r="259" spans="1:48">
      <c r="A259" s="190">
        <f t="shared" si="91"/>
        <v>80.804243668720048</v>
      </c>
      <c r="B259" s="82">
        <f t="shared" si="92"/>
        <v>16</v>
      </c>
      <c r="C259" s="83">
        <f t="shared" si="93"/>
        <v>181</v>
      </c>
      <c r="D259" s="14">
        <f t="shared" si="80"/>
        <v>4.8675505653430484E-3</v>
      </c>
      <c r="E259" s="16">
        <f t="shared" si="81"/>
        <v>0</v>
      </c>
      <c r="F259" s="127"/>
      <c r="G259" s="88">
        <f t="shared" si="82"/>
        <v>0</v>
      </c>
      <c r="H259" s="89">
        <f t="shared" si="94"/>
        <v>4.1666666666666666E-3</v>
      </c>
      <c r="I259" s="219"/>
      <c r="J259" s="219"/>
      <c r="K259" s="6">
        <f t="shared" si="102"/>
        <v>89936.324631561045</v>
      </c>
      <c r="M259" s="6">
        <f t="shared" si="83"/>
        <v>437.76960780523092</v>
      </c>
      <c r="N259" s="6">
        <f t="shared" si="95"/>
        <v>-101.86577313062415</v>
      </c>
      <c r="O259" s="90">
        <f t="shared" si="84"/>
        <v>448.62277944137639</v>
      </c>
      <c r="P259" s="91">
        <f t="shared" si="85"/>
        <v>0</v>
      </c>
      <c r="Q259" s="6">
        <f t="shared" si="86"/>
        <v>376.13428527598182</v>
      </c>
      <c r="R259" s="87">
        <f t="shared" si="106"/>
        <v>-506.3580729346038</v>
      </c>
      <c r="S259" s="6">
        <f t="shared" si="87"/>
        <v>-18.740461799249434</v>
      </c>
      <c r="T259" s="83">
        <f t="shared" si="96"/>
        <v>0</v>
      </c>
      <c r="U259" s="91">
        <f t="shared" si="103"/>
        <v>122164.72147305954</v>
      </c>
      <c r="V259" s="91">
        <f t="shared" si="97"/>
        <v>594.64295907116707</v>
      </c>
      <c r="W259" s="1">
        <f t="shared" ref="W259:AH268" si="111">IF($B259&lt;=W$78,1,0)</f>
        <v>0</v>
      </c>
      <c r="X259" s="1">
        <f t="shared" si="111"/>
        <v>0</v>
      </c>
      <c r="Y259" s="1">
        <f t="shared" si="111"/>
        <v>0</v>
      </c>
      <c r="Z259" s="1">
        <f t="shared" si="111"/>
        <v>0</v>
      </c>
      <c r="AA259" s="1">
        <f t="shared" si="111"/>
        <v>0</v>
      </c>
      <c r="AB259" s="1">
        <f t="shared" si="111"/>
        <v>0</v>
      </c>
      <c r="AC259" s="1">
        <f t="shared" si="111"/>
        <v>0</v>
      </c>
      <c r="AD259" s="1">
        <f t="shared" si="111"/>
        <v>1</v>
      </c>
      <c r="AE259" s="1">
        <f t="shared" si="111"/>
        <v>1</v>
      </c>
      <c r="AF259" s="1">
        <f t="shared" si="111"/>
        <v>1</v>
      </c>
      <c r="AG259" s="1">
        <f t="shared" si="111"/>
        <v>1</v>
      </c>
      <c r="AH259" s="1">
        <f t="shared" si="111"/>
        <v>1</v>
      </c>
      <c r="AI259" s="44">
        <f t="shared" si="98"/>
        <v>89765.87039330104</v>
      </c>
      <c r="AJ259" s="44">
        <f t="shared" si="88"/>
        <v>90272.22846623564</v>
      </c>
      <c r="AK259" s="44" t="str">
        <f t="shared" si="107"/>
        <v>N</v>
      </c>
      <c r="AL259" s="4">
        <f t="shared" si="89"/>
        <v>181</v>
      </c>
      <c r="AM259" s="82">
        <f t="shared" si="99"/>
        <v>0</v>
      </c>
      <c r="AN259" s="82">
        <f t="shared" si="90"/>
        <v>0</v>
      </c>
      <c r="AO259" s="48">
        <f>0</f>
        <v>0</v>
      </c>
      <c r="AP259" s="91">
        <f t="shared" si="100"/>
        <v>-506.3580729346038</v>
      </c>
      <c r="AQ259" s="91">
        <f t="shared" si="101"/>
        <v>-506.3580729346038</v>
      </c>
      <c r="AV259" s="84"/>
    </row>
    <row r="260" spans="1:48">
      <c r="A260" s="190">
        <f t="shared" si="91"/>
        <v>80.887577002053376</v>
      </c>
      <c r="B260" s="82">
        <f t="shared" si="92"/>
        <v>16</v>
      </c>
      <c r="C260" s="83">
        <f t="shared" si="93"/>
        <v>182</v>
      </c>
      <c r="D260" s="14">
        <f t="shared" si="80"/>
        <v>4.8675505653430484E-3</v>
      </c>
      <c r="E260" s="16">
        <f t="shared" si="81"/>
        <v>0</v>
      </c>
      <c r="F260" s="127"/>
      <c r="G260" s="88">
        <f t="shared" si="82"/>
        <v>0</v>
      </c>
      <c r="H260" s="89">
        <f t="shared" si="94"/>
        <v>4.1666666666666666E-3</v>
      </c>
      <c r="I260" s="219"/>
      <c r="J260" s="219"/>
      <c r="K260" s="6">
        <f t="shared" si="102"/>
        <v>89765.87039330104</v>
      </c>
      <c r="M260" s="6">
        <f t="shared" si="83"/>
        <v>436.93991318142326</v>
      </c>
      <c r="N260" s="6">
        <f t="shared" si="95"/>
        <v>-101.67270928423194</v>
      </c>
      <c r="O260" s="90">
        <f t="shared" si="84"/>
        <v>448.62277944137639</v>
      </c>
      <c r="P260" s="91">
        <f t="shared" si="85"/>
        <v>0</v>
      </c>
      <c r="Q260" s="6">
        <f t="shared" si="86"/>
        <v>375.42140665499267</v>
      </c>
      <c r="R260" s="87">
        <f t="shared" si="106"/>
        <v>-506.13156808772192</v>
      </c>
      <c r="S260" s="6">
        <f t="shared" si="87"/>
        <v>-18.704866973990271</v>
      </c>
      <c r="T260" s="83">
        <f t="shared" si="96"/>
        <v>0</v>
      </c>
      <c r="U260" s="91">
        <f t="shared" si="103"/>
        <v>122253.00635919611</v>
      </c>
      <c r="V260" s="91">
        <f t="shared" si="97"/>
        <v>595.07269021859236</v>
      </c>
      <c r="W260" s="1">
        <f t="shared" si="111"/>
        <v>0</v>
      </c>
      <c r="X260" s="1">
        <f t="shared" si="111"/>
        <v>0</v>
      </c>
      <c r="Y260" s="1">
        <f t="shared" si="111"/>
        <v>0</v>
      </c>
      <c r="Z260" s="1">
        <f t="shared" si="111"/>
        <v>0</v>
      </c>
      <c r="AA260" s="1">
        <f t="shared" si="111"/>
        <v>0</v>
      </c>
      <c r="AB260" s="1">
        <f t="shared" si="111"/>
        <v>0</v>
      </c>
      <c r="AC260" s="1">
        <f t="shared" si="111"/>
        <v>0</v>
      </c>
      <c r="AD260" s="1">
        <f t="shared" si="111"/>
        <v>1</v>
      </c>
      <c r="AE260" s="1">
        <f t="shared" si="111"/>
        <v>1</v>
      </c>
      <c r="AF260" s="1">
        <f t="shared" si="111"/>
        <v>1</v>
      </c>
      <c r="AG260" s="1">
        <f t="shared" si="111"/>
        <v>1</v>
      </c>
      <c r="AH260" s="1">
        <f t="shared" si="111"/>
        <v>1</v>
      </c>
      <c r="AI260" s="44">
        <f t="shared" si="98"/>
        <v>89595.006029110518</v>
      </c>
      <c r="AJ260" s="44">
        <f t="shared" si="88"/>
        <v>90101.137597198234</v>
      </c>
      <c r="AK260" s="44" t="str">
        <f t="shared" si="107"/>
        <v>N</v>
      </c>
      <c r="AL260" s="4">
        <f t="shared" si="89"/>
        <v>182</v>
      </c>
      <c r="AM260" s="82">
        <f t="shared" si="99"/>
        <v>0</v>
      </c>
      <c r="AN260" s="82">
        <f t="shared" si="90"/>
        <v>0</v>
      </c>
      <c r="AO260" s="48">
        <f>0</f>
        <v>0</v>
      </c>
      <c r="AP260" s="91">
        <f t="shared" si="100"/>
        <v>-506.13156808772192</v>
      </c>
      <c r="AQ260" s="91">
        <f t="shared" si="101"/>
        <v>-506.13156808772192</v>
      </c>
      <c r="AV260" s="84"/>
    </row>
    <row r="261" spans="1:48">
      <c r="A261" s="190">
        <f t="shared" si="91"/>
        <v>80.970910335386719</v>
      </c>
      <c r="B261" s="82">
        <f t="shared" si="92"/>
        <v>16</v>
      </c>
      <c r="C261" s="83">
        <f t="shared" si="93"/>
        <v>183</v>
      </c>
      <c r="D261" s="14">
        <f t="shared" si="80"/>
        <v>4.8675505653430484E-3</v>
      </c>
      <c r="E261" s="16">
        <f t="shared" si="81"/>
        <v>0</v>
      </c>
      <c r="F261" s="127"/>
      <c r="G261" s="88">
        <f t="shared" si="82"/>
        <v>0</v>
      </c>
      <c r="H261" s="89">
        <f t="shared" si="94"/>
        <v>4.1666666666666666E-3</v>
      </c>
      <c r="I261" s="219"/>
      <c r="J261" s="219"/>
      <c r="K261" s="6">
        <f t="shared" si="102"/>
        <v>89595.006029110518</v>
      </c>
      <c r="M261" s="6">
        <f t="shared" si="83"/>
        <v>436.10822224891075</v>
      </c>
      <c r="N261" s="6">
        <f t="shared" si="95"/>
        <v>-101.47918091146327</v>
      </c>
      <c r="O261" s="90">
        <f t="shared" si="84"/>
        <v>448.62277944137639</v>
      </c>
      <c r="P261" s="91">
        <f t="shared" si="85"/>
        <v>0</v>
      </c>
      <c r="Q261" s="6">
        <f t="shared" si="86"/>
        <v>374.70681279353312</v>
      </c>
      <c r="R261" s="87">
        <f t="shared" si="106"/>
        <v>-505.90516456132508</v>
      </c>
      <c r="S261" s="6">
        <f t="shared" si="87"/>
        <v>-18.669186437458823</v>
      </c>
      <c r="T261" s="83">
        <f t="shared" si="96"/>
        <v>0</v>
      </c>
      <c r="U261" s="91">
        <f t="shared" si="103"/>
        <v>122341.94748132698</v>
      </c>
      <c r="V261" s="91">
        <f t="shared" si="97"/>
        <v>595.50561562790267</v>
      </c>
      <c r="W261" s="1">
        <f t="shared" si="111"/>
        <v>0</v>
      </c>
      <c r="X261" s="1">
        <f t="shared" si="111"/>
        <v>0</v>
      </c>
      <c r="Y261" s="1">
        <f t="shared" si="111"/>
        <v>0</v>
      </c>
      <c r="Z261" s="1">
        <f t="shared" si="111"/>
        <v>0</v>
      </c>
      <c r="AA261" s="1">
        <f t="shared" si="111"/>
        <v>0</v>
      </c>
      <c r="AB261" s="1">
        <f t="shared" si="111"/>
        <v>0</v>
      </c>
      <c r="AC261" s="1">
        <f t="shared" si="111"/>
        <v>0</v>
      </c>
      <c r="AD261" s="1">
        <f t="shared" si="111"/>
        <v>1</v>
      </c>
      <c r="AE261" s="1">
        <f t="shared" si="111"/>
        <v>1</v>
      </c>
      <c r="AF261" s="1">
        <f t="shared" si="111"/>
        <v>1</v>
      </c>
      <c r="AG261" s="1">
        <f t="shared" si="111"/>
        <v>1</v>
      </c>
      <c r="AH261" s="1">
        <f t="shared" si="111"/>
        <v>1</v>
      </c>
      <c r="AI261" s="44">
        <f t="shared" si="98"/>
        <v>89423.729905886634</v>
      </c>
      <c r="AJ261" s="44">
        <f t="shared" si="88"/>
        <v>89929.635070447956</v>
      </c>
      <c r="AK261" s="44" t="str">
        <f t="shared" si="107"/>
        <v>N</v>
      </c>
      <c r="AL261" s="4">
        <f t="shared" si="89"/>
        <v>183</v>
      </c>
      <c r="AM261" s="82">
        <f t="shared" si="99"/>
        <v>0</v>
      </c>
      <c r="AN261" s="82">
        <f t="shared" si="90"/>
        <v>0</v>
      </c>
      <c r="AO261" s="48">
        <f>0</f>
        <v>0</v>
      </c>
      <c r="AP261" s="91">
        <f t="shared" si="100"/>
        <v>-505.90516456132508</v>
      </c>
      <c r="AQ261" s="91">
        <f t="shared" si="101"/>
        <v>-505.90516456132508</v>
      </c>
      <c r="AV261" s="84"/>
    </row>
    <row r="262" spans="1:48">
      <c r="A262" s="190">
        <f t="shared" si="91"/>
        <v>81.054243668720048</v>
      </c>
      <c r="B262" s="82">
        <f t="shared" si="92"/>
        <v>16</v>
      </c>
      <c r="C262" s="83">
        <f t="shared" si="93"/>
        <v>184</v>
      </c>
      <c r="D262" s="14">
        <f t="shared" si="80"/>
        <v>4.8675505653430484E-3</v>
      </c>
      <c r="E262" s="16">
        <f t="shared" si="81"/>
        <v>0</v>
      </c>
      <c r="F262" s="127"/>
      <c r="G262" s="88">
        <f t="shared" si="82"/>
        <v>0</v>
      </c>
      <c r="H262" s="89">
        <f t="shared" si="94"/>
        <v>4.1666666666666666E-3</v>
      </c>
      <c r="I262" s="219"/>
      <c r="J262" s="219"/>
      <c r="K262" s="6">
        <f t="shared" si="102"/>
        <v>89423.729905886634</v>
      </c>
      <c r="M262" s="6">
        <f t="shared" si="83"/>
        <v>435.27452705848253</v>
      </c>
      <c r="N262" s="6">
        <f t="shared" si="95"/>
        <v>-101.28518616259521</v>
      </c>
      <c r="O262" s="90">
        <f t="shared" si="84"/>
        <v>448.62277944137639</v>
      </c>
      <c r="P262" s="91">
        <f t="shared" si="85"/>
        <v>0</v>
      </c>
      <c r="Q262" s="6">
        <f t="shared" si="86"/>
        <v>373.99049686159384</v>
      </c>
      <c r="R262" s="87">
        <f t="shared" si="106"/>
        <v>-518.56920713602642</v>
      </c>
      <c r="S262" s="6">
        <f t="shared" si="87"/>
        <v>-18.632075563127756</v>
      </c>
      <c r="T262" s="83">
        <f t="shared" si="96"/>
        <v>0</v>
      </c>
      <c r="U262" s="91">
        <f t="shared" si="103"/>
        <v>122431.54793239356</v>
      </c>
      <c r="V262" s="91">
        <f t="shared" si="97"/>
        <v>595.94175035414685</v>
      </c>
      <c r="W262" s="1">
        <f t="shared" si="111"/>
        <v>0</v>
      </c>
      <c r="X262" s="1">
        <f t="shared" si="111"/>
        <v>0</v>
      </c>
      <c r="Y262" s="1">
        <f t="shared" si="111"/>
        <v>0</v>
      </c>
      <c r="Z262" s="1">
        <f t="shared" si="111"/>
        <v>0</v>
      </c>
      <c r="AA262" s="1">
        <f t="shared" si="111"/>
        <v>0</v>
      </c>
      <c r="AB262" s="1">
        <f t="shared" si="111"/>
        <v>0</v>
      </c>
      <c r="AC262" s="1">
        <f t="shared" si="111"/>
        <v>0</v>
      </c>
      <c r="AD262" s="1">
        <f t="shared" si="111"/>
        <v>1</v>
      </c>
      <c r="AE262" s="1">
        <f t="shared" si="111"/>
        <v>1</v>
      </c>
      <c r="AF262" s="1">
        <f t="shared" si="111"/>
        <v>1</v>
      </c>
      <c r="AG262" s="1">
        <f t="shared" si="111"/>
        <v>1</v>
      </c>
      <c r="AH262" s="1">
        <f t="shared" si="111"/>
        <v>1</v>
      </c>
      <c r="AI262" s="44">
        <f t="shared" si="98"/>
        <v>89239.150039646498</v>
      </c>
      <c r="AJ262" s="44">
        <f t="shared" si="88"/>
        <v>89757.719246782523</v>
      </c>
      <c r="AK262" s="44" t="str">
        <f t="shared" si="107"/>
        <v>N</v>
      </c>
      <c r="AL262" s="4">
        <f t="shared" si="89"/>
        <v>184</v>
      </c>
      <c r="AM262" s="82">
        <f t="shared" si="99"/>
        <v>0</v>
      </c>
      <c r="AN262" s="82">
        <f t="shared" si="90"/>
        <v>0</v>
      </c>
      <c r="AO262" s="48">
        <f>0</f>
        <v>0</v>
      </c>
      <c r="AP262" s="91">
        <f t="shared" si="100"/>
        <v>-518.56920713602642</v>
      </c>
      <c r="AQ262" s="91">
        <f t="shared" si="101"/>
        <v>-518.56920713602642</v>
      </c>
      <c r="AV262" s="84"/>
    </row>
    <row r="263" spans="1:48">
      <c r="A263" s="190">
        <f t="shared" si="91"/>
        <v>81.137577002053376</v>
      </c>
      <c r="B263" s="82">
        <f t="shared" si="92"/>
        <v>16</v>
      </c>
      <c r="C263" s="83">
        <f t="shared" si="93"/>
        <v>185</v>
      </c>
      <c r="D263" s="14">
        <f t="shared" si="80"/>
        <v>4.8675505653430484E-3</v>
      </c>
      <c r="E263" s="16">
        <f t="shared" si="81"/>
        <v>0</v>
      </c>
      <c r="F263" s="127"/>
      <c r="G263" s="88">
        <f t="shared" si="82"/>
        <v>0</v>
      </c>
      <c r="H263" s="89">
        <f t="shared" si="94"/>
        <v>4.1666666666666666E-3</v>
      </c>
      <c r="I263" s="219"/>
      <c r="J263" s="219"/>
      <c r="K263" s="6">
        <f t="shared" si="102"/>
        <v>89239.150039646498</v>
      </c>
      <c r="M263" s="6">
        <f t="shared" si="83"/>
        <v>434.37607522621443</v>
      </c>
      <c r="N263" s="6">
        <f t="shared" si="95"/>
        <v>-101.07612301868838</v>
      </c>
      <c r="O263" s="90">
        <f t="shared" si="84"/>
        <v>448.62277944137639</v>
      </c>
      <c r="P263" s="91">
        <f t="shared" si="85"/>
        <v>0</v>
      </c>
      <c r="Q263" s="6">
        <f t="shared" si="86"/>
        <v>373.21854163272508</v>
      </c>
      <c r="R263" s="87">
        <f t="shared" si="106"/>
        <v>-518.33723998641756</v>
      </c>
      <c r="S263" s="6">
        <f t="shared" si="87"/>
        <v>-18.593529589027199</v>
      </c>
      <c r="T263" s="83">
        <f t="shared" si="96"/>
        <v>0</v>
      </c>
      <c r="U263" s="91">
        <f t="shared" si="103"/>
        <v>122508.92047561168</v>
      </c>
      <c r="V263" s="91">
        <f t="shared" si="97"/>
        <v>596.31836512063023</v>
      </c>
      <c r="W263" s="1">
        <f t="shared" si="111"/>
        <v>0</v>
      </c>
      <c r="X263" s="1">
        <f t="shared" si="111"/>
        <v>0</v>
      </c>
      <c r="Y263" s="1">
        <f t="shared" si="111"/>
        <v>0</v>
      </c>
      <c r="Z263" s="1">
        <f t="shared" si="111"/>
        <v>0</v>
      </c>
      <c r="AA263" s="1">
        <f t="shared" si="111"/>
        <v>0</v>
      </c>
      <c r="AB263" s="1">
        <f t="shared" si="111"/>
        <v>0</v>
      </c>
      <c r="AC263" s="1">
        <f t="shared" si="111"/>
        <v>0</v>
      </c>
      <c r="AD263" s="1">
        <f t="shared" si="111"/>
        <v>1</v>
      </c>
      <c r="AE263" s="1">
        <f t="shared" si="111"/>
        <v>1</v>
      </c>
      <c r="AF263" s="1">
        <f t="shared" si="111"/>
        <v>1</v>
      </c>
      <c r="AG263" s="1">
        <f t="shared" si="111"/>
        <v>1</v>
      </c>
      <c r="AH263" s="1">
        <f t="shared" si="111"/>
        <v>1</v>
      </c>
      <c r="AI263" s="44">
        <f t="shared" si="98"/>
        <v>89054.112751867608</v>
      </c>
      <c r="AJ263" s="44">
        <f t="shared" si="88"/>
        <v>89572.449991854024</v>
      </c>
      <c r="AK263" s="44" t="str">
        <f t="shared" si="107"/>
        <v>N</v>
      </c>
      <c r="AL263" s="4">
        <f t="shared" si="89"/>
        <v>185</v>
      </c>
      <c r="AM263" s="82">
        <f t="shared" si="99"/>
        <v>0</v>
      </c>
      <c r="AN263" s="82">
        <f t="shared" si="90"/>
        <v>0</v>
      </c>
      <c r="AO263" s="48">
        <f>0</f>
        <v>0</v>
      </c>
      <c r="AP263" s="91">
        <f t="shared" si="100"/>
        <v>-518.33723998641756</v>
      </c>
      <c r="AQ263" s="91">
        <f t="shared" si="101"/>
        <v>-518.33723998641756</v>
      </c>
      <c r="AV263" s="84"/>
    </row>
    <row r="264" spans="1:48">
      <c r="A264" s="190">
        <f t="shared" si="91"/>
        <v>81.220910335386719</v>
      </c>
      <c r="B264" s="82">
        <f t="shared" si="92"/>
        <v>16</v>
      </c>
      <c r="C264" s="83">
        <f t="shared" si="93"/>
        <v>186</v>
      </c>
      <c r="D264" s="14">
        <f t="shared" si="80"/>
        <v>4.8675505653430484E-3</v>
      </c>
      <c r="E264" s="16">
        <f t="shared" si="81"/>
        <v>0</v>
      </c>
      <c r="F264" s="127"/>
      <c r="G264" s="88">
        <f t="shared" si="82"/>
        <v>0</v>
      </c>
      <c r="H264" s="89">
        <f t="shared" si="94"/>
        <v>4.1666666666666666E-3</v>
      </c>
      <c r="I264" s="219"/>
      <c r="J264" s="219"/>
      <c r="K264" s="6">
        <f t="shared" si="102"/>
        <v>89054.112751867608</v>
      </c>
      <c r="M264" s="6">
        <f t="shared" si="83"/>
        <v>433.47539687147673</v>
      </c>
      <c r="N264" s="6">
        <f t="shared" si="95"/>
        <v>-100.86654177935259</v>
      </c>
      <c r="O264" s="90">
        <f t="shared" si="84"/>
        <v>448.62277944137639</v>
      </c>
      <c r="P264" s="91">
        <f t="shared" si="85"/>
        <v>0</v>
      </c>
      <c r="Q264" s="6">
        <f t="shared" si="86"/>
        <v>372.4446733623322</v>
      </c>
      <c r="R264" s="87">
        <f t="shared" si="106"/>
        <v>-518.1053766006994</v>
      </c>
      <c r="S264" s="6">
        <f t="shared" si="87"/>
        <v>-18.554888020417977</v>
      </c>
      <c r="T264" s="83">
        <f t="shared" si="96"/>
        <v>0</v>
      </c>
      <c r="U264" s="91">
        <f t="shared" si="103"/>
        <v>122586.9016007459</v>
      </c>
      <c r="V264" s="91">
        <f t="shared" si="97"/>
        <v>596.69794219036339</v>
      </c>
      <c r="W264" s="1">
        <f t="shared" si="111"/>
        <v>0</v>
      </c>
      <c r="X264" s="1">
        <f t="shared" si="111"/>
        <v>0</v>
      </c>
      <c r="Y264" s="1">
        <f t="shared" si="111"/>
        <v>0</v>
      </c>
      <c r="Z264" s="1">
        <f t="shared" si="111"/>
        <v>0</v>
      </c>
      <c r="AA264" s="1">
        <f t="shared" si="111"/>
        <v>0</v>
      </c>
      <c r="AB264" s="1">
        <f t="shared" si="111"/>
        <v>0</v>
      </c>
      <c r="AC264" s="1">
        <f t="shared" si="111"/>
        <v>0</v>
      </c>
      <c r="AD264" s="1">
        <f t="shared" si="111"/>
        <v>1</v>
      </c>
      <c r="AE264" s="1">
        <f t="shared" si="111"/>
        <v>1</v>
      </c>
      <c r="AF264" s="1">
        <f t="shared" si="111"/>
        <v>1</v>
      </c>
      <c r="AG264" s="1">
        <f t="shared" si="111"/>
        <v>1</v>
      </c>
      <c r="AH264" s="1">
        <f t="shared" si="111"/>
        <v>1</v>
      </c>
      <c r="AI264" s="44">
        <f t="shared" si="98"/>
        <v>88868.616230359039</v>
      </c>
      <c r="AJ264" s="44">
        <f t="shared" si="88"/>
        <v>89386.721606959734</v>
      </c>
      <c r="AK264" s="44" t="str">
        <f t="shared" si="107"/>
        <v>N</v>
      </c>
      <c r="AL264" s="4">
        <f t="shared" si="89"/>
        <v>186</v>
      </c>
      <c r="AM264" s="82">
        <f t="shared" si="99"/>
        <v>0</v>
      </c>
      <c r="AN264" s="82">
        <f t="shared" si="90"/>
        <v>0</v>
      </c>
      <c r="AO264" s="48">
        <f>0</f>
        <v>0</v>
      </c>
      <c r="AP264" s="91">
        <f t="shared" si="100"/>
        <v>-518.1053766006994</v>
      </c>
      <c r="AQ264" s="91">
        <f t="shared" si="101"/>
        <v>-518.1053766006994</v>
      </c>
      <c r="AV264" s="84"/>
    </row>
    <row r="265" spans="1:48">
      <c r="A265" s="190">
        <f t="shared" si="91"/>
        <v>81.304243668720048</v>
      </c>
      <c r="B265" s="82">
        <f t="shared" si="92"/>
        <v>16</v>
      </c>
      <c r="C265" s="83">
        <f t="shared" si="93"/>
        <v>187</v>
      </c>
      <c r="D265" s="14">
        <f t="shared" si="80"/>
        <v>4.8675505653430484E-3</v>
      </c>
      <c r="E265" s="16">
        <f t="shared" si="81"/>
        <v>0</v>
      </c>
      <c r="F265" s="127"/>
      <c r="G265" s="88">
        <f t="shared" si="82"/>
        <v>0</v>
      </c>
      <c r="H265" s="89">
        <f t="shared" si="94"/>
        <v>4.1666666666666666E-3</v>
      </c>
      <c r="I265" s="219"/>
      <c r="J265" s="219"/>
      <c r="K265" s="6">
        <f t="shared" si="102"/>
        <v>88868.616230359039</v>
      </c>
      <c r="M265" s="6">
        <f t="shared" si="83"/>
        <v>432.57248317333853</v>
      </c>
      <c r="N265" s="6">
        <f t="shared" si="95"/>
        <v>-100.65644039202192</v>
      </c>
      <c r="O265" s="90">
        <f t="shared" si="84"/>
        <v>448.62277944137639</v>
      </c>
      <c r="P265" s="91">
        <f t="shared" si="85"/>
        <v>0</v>
      </c>
      <c r="Q265" s="6">
        <f t="shared" si="86"/>
        <v>371.66888447141815</v>
      </c>
      <c r="R265" s="87">
        <f t="shared" si="106"/>
        <v>-517.87361693245589</v>
      </c>
      <c r="S265" s="6">
        <f t="shared" si="87"/>
        <v>-18.516150478625999</v>
      </c>
      <c r="T265" s="83">
        <f t="shared" si="96"/>
        <v>0</v>
      </c>
      <c r="U265" s="91">
        <f t="shared" si="103"/>
        <v>122665.49416633557</v>
      </c>
      <c r="V265" s="91">
        <f t="shared" si="97"/>
        <v>597.0804954774311</v>
      </c>
      <c r="W265" s="1">
        <f t="shared" si="111"/>
        <v>0</v>
      </c>
      <c r="X265" s="1">
        <f t="shared" si="111"/>
        <v>0</v>
      </c>
      <c r="Y265" s="1">
        <f t="shared" si="111"/>
        <v>0</v>
      </c>
      <c r="Z265" s="1">
        <f t="shared" si="111"/>
        <v>0</v>
      </c>
      <c r="AA265" s="1">
        <f t="shared" si="111"/>
        <v>0</v>
      </c>
      <c r="AB265" s="1">
        <f t="shared" si="111"/>
        <v>0</v>
      </c>
      <c r="AC265" s="1">
        <f t="shared" si="111"/>
        <v>0</v>
      </c>
      <c r="AD265" s="1">
        <f t="shared" si="111"/>
        <v>1</v>
      </c>
      <c r="AE265" s="1">
        <f t="shared" si="111"/>
        <v>1</v>
      </c>
      <c r="AF265" s="1">
        <f t="shared" si="111"/>
        <v>1</v>
      </c>
      <c r="AG265" s="1">
        <f t="shared" si="111"/>
        <v>1</v>
      </c>
      <c r="AH265" s="1">
        <f t="shared" si="111"/>
        <v>1</v>
      </c>
      <c r="AI265" s="44">
        <f t="shared" si="98"/>
        <v>88682.658656207903</v>
      </c>
      <c r="AJ265" s="44">
        <f t="shared" si="88"/>
        <v>89200.532273140358</v>
      </c>
      <c r="AK265" s="44" t="str">
        <f t="shared" si="107"/>
        <v>N</v>
      </c>
      <c r="AL265" s="4">
        <f t="shared" si="89"/>
        <v>187</v>
      </c>
      <c r="AM265" s="82">
        <f t="shared" si="99"/>
        <v>0</v>
      </c>
      <c r="AN265" s="82">
        <f t="shared" si="90"/>
        <v>0</v>
      </c>
      <c r="AO265" s="48">
        <f>0</f>
        <v>0</v>
      </c>
      <c r="AP265" s="91">
        <f t="shared" si="100"/>
        <v>-517.87361693245589</v>
      </c>
      <c r="AQ265" s="91">
        <f t="shared" si="101"/>
        <v>-517.87361693245589</v>
      </c>
      <c r="AV265" s="84"/>
    </row>
    <row r="266" spans="1:48">
      <c r="A266" s="190">
        <f t="shared" si="91"/>
        <v>81.387577002053376</v>
      </c>
      <c r="B266" s="82">
        <f t="shared" si="92"/>
        <v>16</v>
      </c>
      <c r="C266" s="83">
        <f t="shared" si="93"/>
        <v>188</v>
      </c>
      <c r="D266" s="14">
        <f t="shared" si="80"/>
        <v>4.8675505653430484E-3</v>
      </c>
      <c r="E266" s="16">
        <f t="shared" si="81"/>
        <v>0</v>
      </c>
      <c r="F266" s="127"/>
      <c r="G266" s="88">
        <f t="shared" si="82"/>
        <v>0</v>
      </c>
      <c r="H266" s="89">
        <f t="shared" si="94"/>
        <v>4.1666666666666666E-3</v>
      </c>
      <c r="I266" s="219"/>
      <c r="J266" s="219"/>
      <c r="K266" s="6">
        <f t="shared" si="102"/>
        <v>88682.658656207903</v>
      </c>
      <c r="M266" s="6">
        <f t="shared" si="83"/>
        <v>431.66732527814935</v>
      </c>
      <c r="N266" s="6">
        <f t="shared" si="95"/>
        <v>-100.44581679651697</v>
      </c>
      <c r="O266" s="90">
        <f t="shared" si="84"/>
        <v>448.62277944137639</v>
      </c>
      <c r="P266" s="91">
        <f t="shared" si="85"/>
        <v>0</v>
      </c>
      <c r="Q266" s="6">
        <f t="shared" si="86"/>
        <v>370.89116735287303</v>
      </c>
      <c r="R266" s="87">
        <f t="shared" si="106"/>
        <v>-517.64196093529245</v>
      </c>
      <c r="S266" s="6">
        <f t="shared" si="87"/>
        <v>-18.47731658357257</v>
      </c>
      <c r="T266" s="83">
        <f t="shared" si="96"/>
        <v>0</v>
      </c>
      <c r="U266" s="91">
        <f t="shared" si="103"/>
        <v>122744.70104488055</v>
      </c>
      <c r="V266" s="91">
        <f t="shared" si="97"/>
        <v>597.46603896387182</v>
      </c>
      <c r="W266" s="1">
        <f t="shared" si="111"/>
        <v>0</v>
      </c>
      <c r="X266" s="1">
        <f t="shared" si="111"/>
        <v>0</v>
      </c>
      <c r="Y266" s="1">
        <f t="shared" si="111"/>
        <v>0</v>
      </c>
      <c r="Z266" s="1">
        <f t="shared" si="111"/>
        <v>0</v>
      </c>
      <c r="AA266" s="1">
        <f t="shared" si="111"/>
        <v>0</v>
      </c>
      <c r="AB266" s="1">
        <f t="shared" si="111"/>
        <v>0</v>
      </c>
      <c r="AC266" s="1">
        <f t="shared" si="111"/>
        <v>0</v>
      </c>
      <c r="AD266" s="1">
        <f t="shared" si="111"/>
        <v>1</v>
      </c>
      <c r="AE266" s="1">
        <f t="shared" si="111"/>
        <v>1</v>
      </c>
      <c r="AF266" s="1">
        <f t="shared" si="111"/>
        <v>1</v>
      </c>
      <c r="AG266" s="1">
        <f t="shared" si="111"/>
        <v>1</v>
      </c>
      <c r="AH266" s="1">
        <f t="shared" si="111"/>
        <v>1</v>
      </c>
      <c r="AI266" s="44">
        <f t="shared" si="98"/>
        <v>88496.238203754241</v>
      </c>
      <c r="AJ266" s="44">
        <f t="shared" si="88"/>
        <v>89013.88016468953</v>
      </c>
      <c r="AK266" s="44" t="str">
        <f t="shared" si="107"/>
        <v>N</v>
      </c>
      <c r="AL266" s="4">
        <f t="shared" si="89"/>
        <v>188</v>
      </c>
      <c r="AM266" s="82">
        <f t="shared" si="99"/>
        <v>0</v>
      </c>
      <c r="AN266" s="82">
        <f t="shared" si="90"/>
        <v>0</v>
      </c>
      <c r="AO266" s="48">
        <f>0</f>
        <v>0</v>
      </c>
      <c r="AP266" s="91">
        <f t="shared" si="100"/>
        <v>-517.64196093529245</v>
      </c>
      <c r="AQ266" s="91">
        <f t="shared" si="101"/>
        <v>-517.64196093529245</v>
      </c>
      <c r="AV266" s="84"/>
    </row>
    <row r="267" spans="1:48">
      <c r="A267" s="190">
        <f t="shared" si="91"/>
        <v>81.470910335386719</v>
      </c>
      <c r="B267" s="82">
        <f t="shared" si="92"/>
        <v>16</v>
      </c>
      <c r="C267" s="83">
        <f t="shared" si="93"/>
        <v>189</v>
      </c>
      <c r="D267" s="14">
        <f t="shared" si="80"/>
        <v>4.8675505653430484E-3</v>
      </c>
      <c r="E267" s="16">
        <f t="shared" si="81"/>
        <v>0</v>
      </c>
      <c r="F267" s="127"/>
      <c r="G267" s="88">
        <f t="shared" si="82"/>
        <v>0</v>
      </c>
      <c r="H267" s="89">
        <f t="shared" si="94"/>
        <v>4.1666666666666666E-3</v>
      </c>
      <c r="I267" s="219"/>
      <c r="J267" s="219"/>
      <c r="K267" s="6">
        <f t="shared" si="102"/>
        <v>88496.238203754241</v>
      </c>
      <c r="M267" s="6">
        <f t="shared" si="83"/>
        <v>430.75991429941706</v>
      </c>
      <c r="N267" s="6">
        <f t="shared" si="95"/>
        <v>-100.23466892501622</v>
      </c>
      <c r="O267" s="90">
        <f t="shared" si="84"/>
        <v>448.62277944137639</v>
      </c>
      <c r="P267" s="91">
        <f t="shared" si="85"/>
        <v>0</v>
      </c>
      <c r="Q267" s="6">
        <f t="shared" si="86"/>
        <v>370.11151437136937</v>
      </c>
      <c r="R267" s="87">
        <f t="shared" si="106"/>
        <v>-517.41040856283416</v>
      </c>
      <c r="S267" s="6">
        <f t="shared" si="87"/>
        <v>-18.438385953769082</v>
      </c>
      <c r="T267" s="83">
        <f t="shared" si="96"/>
        <v>0</v>
      </c>
      <c r="U267" s="91">
        <f t="shared" si="103"/>
        <v>122824.52512290914</v>
      </c>
      <c r="V267" s="91">
        <f t="shared" si="97"/>
        <v>597.85458670000787</v>
      </c>
      <c r="W267" s="1">
        <f t="shared" si="111"/>
        <v>0</v>
      </c>
      <c r="X267" s="1">
        <f t="shared" si="111"/>
        <v>0</v>
      </c>
      <c r="Y267" s="1">
        <f t="shared" si="111"/>
        <v>0</v>
      </c>
      <c r="Z267" s="1">
        <f t="shared" si="111"/>
        <v>0</v>
      </c>
      <c r="AA267" s="1">
        <f t="shared" si="111"/>
        <v>0</v>
      </c>
      <c r="AB267" s="1">
        <f t="shared" si="111"/>
        <v>0</v>
      </c>
      <c r="AC267" s="1">
        <f t="shared" si="111"/>
        <v>0</v>
      </c>
      <c r="AD267" s="1">
        <f t="shared" si="111"/>
        <v>1</v>
      </c>
      <c r="AE267" s="1">
        <f t="shared" si="111"/>
        <v>1</v>
      </c>
      <c r="AF267" s="1">
        <f t="shared" si="111"/>
        <v>1</v>
      </c>
      <c r="AG267" s="1">
        <f t="shared" si="111"/>
        <v>1</v>
      </c>
      <c r="AH267" s="1">
        <f t="shared" si="111"/>
        <v>1</v>
      </c>
      <c r="AI267" s="44">
        <f t="shared" si="98"/>
        <v>88309.353040565809</v>
      </c>
      <c r="AJ267" s="44">
        <f t="shared" si="88"/>
        <v>88826.763449128644</v>
      </c>
      <c r="AK267" s="44" t="str">
        <f t="shared" si="107"/>
        <v>N</v>
      </c>
      <c r="AL267" s="4">
        <f t="shared" si="89"/>
        <v>189</v>
      </c>
      <c r="AM267" s="82">
        <f t="shared" si="99"/>
        <v>0</v>
      </c>
      <c r="AN267" s="82">
        <f t="shared" si="90"/>
        <v>0</v>
      </c>
      <c r="AO267" s="48">
        <f>0</f>
        <v>0</v>
      </c>
      <c r="AP267" s="91">
        <f t="shared" si="100"/>
        <v>-517.41040856283416</v>
      </c>
      <c r="AQ267" s="91">
        <f t="shared" si="101"/>
        <v>-517.41040856283416</v>
      </c>
      <c r="AV267" s="84"/>
    </row>
    <row r="268" spans="1:48">
      <c r="A268" s="190">
        <f t="shared" si="91"/>
        <v>81.554243668720048</v>
      </c>
      <c r="B268" s="82">
        <f t="shared" si="92"/>
        <v>16</v>
      </c>
      <c r="C268" s="83">
        <f t="shared" si="93"/>
        <v>190</v>
      </c>
      <c r="D268" s="14">
        <f t="shared" si="80"/>
        <v>4.8675505653430484E-3</v>
      </c>
      <c r="E268" s="16">
        <f t="shared" si="81"/>
        <v>0</v>
      </c>
      <c r="F268" s="127"/>
      <c r="G268" s="88">
        <f t="shared" si="82"/>
        <v>0</v>
      </c>
      <c r="H268" s="89">
        <f t="shared" si="94"/>
        <v>4.1666666666666666E-3</v>
      </c>
      <c r="I268" s="219"/>
      <c r="J268" s="219"/>
      <c r="K268" s="6">
        <f t="shared" si="102"/>
        <v>88309.353040565809</v>
      </c>
      <c r="M268" s="6">
        <f t="shared" si="83"/>
        <v>429.85024131768495</v>
      </c>
      <c r="N268" s="6">
        <f t="shared" si="95"/>
        <v>-100.02299470202766</v>
      </c>
      <c r="O268" s="90">
        <f t="shared" si="84"/>
        <v>448.62277944137639</v>
      </c>
      <c r="P268" s="91">
        <f t="shared" si="85"/>
        <v>0</v>
      </c>
      <c r="Q268" s="6">
        <f t="shared" si="86"/>
        <v>369.32991786325613</v>
      </c>
      <c r="R268" s="87">
        <f t="shared" si="106"/>
        <v>-517.17895976872785</v>
      </c>
      <c r="S268" s="6">
        <f t="shared" si="87"/>
        <v>-18.399358206311806</v>
      </c>
      <c r="T268" s="83">
        <f t="shared" si="96"/>
        <v>0</v>
      </c>
      <c r="U268" s="91">
        <f t="shared" si="103"/>
        <v>122904.96930104631</v>
      </c>
      <c r="V268" s="91">
        <f t="shared" si="97"/>
        <v>598.24615280477792</v>
      </c>
      <c r="W268" s="1">
        <f t="shared" si="111"/>
        <v>0</v>
      </c>
      <c r="X268" s="1">
        <f t="shared" si="111"/>
        <v>0</v>
      </c>
      <c r="Y268" s="1">
        <f t="shared" si="111"/>
        <v>0</v>
      </c>
      <c r="Z268" s="1">
        <f t="shared" si="111"/>
        <v>0</v>
      </c>
      <c r="AA268" s="1">
        <f t="shared" si="111"/>
        <v>0</v>
      </c>
      <c r="AB268" s="1">
        <f t="shared" si="111"/>
        <v>0</v>
      </c>
      <c r="AC268" s="1">
        <f t="shared" si="111"/>
        <v>0</v>
      </c>
      <c r="AD268" s="1">
        <f t="shared" si="111"/>
        <v>1</v>
      </c>
      <c r="AE268" s="1">
        <f t="shared" si="111"/>
        <v>1</v>
      </c>
      <c r="AF268" s="1">
        <f t="shared" si="111"/>
        <v>1</v>
      </c>
      <c r="AG268" s="1">
        <f t="shared" si="111"/>
        <v>1</v>
      </c>
      <c r="AH268" s="1">
        <f t="shared" si="111"/>
        <v>1</v>
      </c>
      <c r="AI268" s="44">
        <f t="shared" si="98"/>
        <v>88122.001327412741</v>
      </c>
      <c r="AJ268" s="44">
        <f t="shared" si="88"/>
        <v>88639.180287181473</v>
      </c>
      <c r="AK268" s="44" t="str">
        <f t="shared" si="107"/>
        <v>N</v>
      </c>
      <c r="AL268" s="4">
        <f t="shared" si="89"/>
        <v>190</v>
      </c>
      <c r="AM268" s="82">
        <f t="shared" si="99"/>
        <v>0</v>
      </c>
      <c r="AN268" s="82">
        <f t="shared" si="90"/>
        <v>0</v>
      </c>
      <c r="AO268" s="48">
        <f>0</f>
        <v>0</v>
      </c>
      <c r="AP268" s="91">
        <f t="shared" si="100"/>
        <v>-517.17895976872785</v>
      </c>
      <c r="AQ268" s="91">
        <f t="shared" si="101"/>
        <v>-517.17895976872785</v>
      </c>
      <c r="AV268" s="84"/>
    </row>
    <row r="269" spans="1:48">
      <c r="A269" s="190">
        <f t="shared" si="91"/>
        <v>81.637577002053376</v>
      </c>
      <c r="B269" s="82">
        <f t="shared" si="92"/>
        <v>16</v>
      </c>
      <c r="C269" s="83">
        <f t="shared" si="93"/>
        <v>191</v>
      </c>
      <c r="D269" s="14">
        <f t="shared" si="80"/>
        <v>4.8675505653430484E-3</v>
      </c>
      <c r="E269" s="16">
        <f t="shared" si="81"/>
        <v>0</v>
      </c>
      <c r="F269" s="127"/>
      <c r="G269" s="88">
        <f t="shared" si="82"/>
        <v>0</v>
      </c>
      <c r="H269" s="89">
        <f t="shared" si="94"/>
        <v>4.1666666666666666E-3</v>
      </c>
      <c r="I269" s="219"/>
      <c r="J269" s="219"/>
      <c r="K269" s="6">
        <f t="shared" si="102"/>
        <v>88122.001327412741</v>
      </c>
      <c r="M269" s="6">
        <f t="shared" si="83"/>
        <v>428.93829738040876</v>
      </c>
      <c r="N269" s="6">
        <f t="shared" si="95"/>
        <v>-99.810792044359943</v>
      </c>
      <c r="O269" s="90">
        <f t="shared" si="84"/>
        <v>448.62277944137639</v>
      </c>
      <c r="P269" s="91">
        <f t="shared" si="85"/>
        <v>0</v>
      </c>
      <c r="Q269" s="6">
        <f t="shared" si="86"/>
        <v>368.54637013645328</v>
      </c>
      <c r="R269" s="87">
        <f t="shared" si="106"/>
        <v>-516.94761450664066</v>
      </c>
      <c r="S269" s="6">
        <f t="shared" si="87"/>
        <v>-18.360232956876548</v>
      </c>
      <c r="T269" s="83">
        <f t="shared" si="96"/>
        <v>0</v>
      </c>
      <c r="U269" s="91">
        <f t="shared" si="103"/>
        <v>122986.03649408235</v>
      </c>
      <c r="V269" s="91">
        <f t="shared" si="97"/>
        <v>598.64075146607138</v>
      </c>
      <c r="W269" s="1">
        <f t="shared" ref="W269:AH278" si="112">IF($B269&lt;=W$78,1,0)</f>
        <v>0</v>
      </c>
      <c r="X269" s="1">
        <f t="shared" si="112"/>
        <v>0</v>
      </c>
      <c r="Y269" s="1">
        <f t="shared" si="112"/>
        <v>0</v>
      </c>
      <c r="Z269" s="1">
        <f t="shared" si="112"/>
        <v>0</v>
      </c>
      <c r="AA269" s="1">
        <f t="shared" si="112"/>
        <v>0</v>
      </c>
      <c r="AB269" s="1">
        <f t="shared" si="112"/>
        <v>0</v>
      </c>
      <c r="AC269" s="1">
        <f t="shared" si="112"/>
        <v>0</v>
      </c>
      <c r="AD269" s="1">
        <f t="shared" si="112"/>
        <v>1</v>
      </c>
      <c r="AE269" s="1">
        <f t="shared" si="112"/>
        <v>1</v>
      </c>
      <c r="AF269" s="1">
        <f t="shared" si="112"/>
        <v>1</v>
      </c>
      <c r="AG269" s="1">
        <f t="shared" si="112"/>
        <v>1</v>
      </c>
      <c r="AH269" s="1">
        <f t="shared" si="112"/>
        <v>1</v>
      </c>
      <c r="AI269" s="44">
        <f t="shared" si="98"/>
        <v>87934.181218242142</v>
      </c>
      <c r="AJ269" s="44">
        <f t="shared" si="88"/>
        <v>88451.128832748785</v>
      </c>
      <c r="AK269" s="44" t="str">
        <f t="shared" si="107"/>
        <v>N</v>
      </c>
      <c r="AL269" s="4">
        <f t="shared" si="89"/>
        <v>191</v>
      </c>
      <c r="AM269" s="82">
        <f t="shared" si="99"/>
        <v>0</v>
      </c>
      <c r="AN269" s="82">
        <f t="shared" si="90"/>
        <v>0</v>
      </c>
      <c r="AO269" s="48">
        <f>0</f>
        <v>0</v>
      </c>
      <c r="AP269" s="91">
        <f t="shared" si="100"/>
        <v>-516.94761450664066</v>
      </c>
      <c r="AQ269" s="91">
        <f t="shared" si="101"/>
        <v>-516.94761450664066</v>
      </c>
      <c r="AV269" s="84"/>
    </row>
    <row r="270" spans="1:48">
      <c r="A270" s="190">
        <f t="shared" si="91"/>
        <v>81.720910335386719</v>
      </c>
      <c r="B270" s="82">
        <f t="shared" si="92"/>
        <v>16</v>
      </c>
      <c r="C270" s="83">
        <f t="shared" si="93"/>
        <v>192</v>
      </c>
      <c r="D270" s="14">
        <f t="shared" si="80"/>
        <v>4.8675505653430484E-3</v>
      </c>
      <c r="E270" s="16">
        <f t="shared" si="81"/>
        <v>0</v>
      </c>
      <c r="F270" s="127"/>
      <c r="G270" s="88">
        <f t="shared" si="82"/>
        <v>0</v>
      </c>
      <c r="H270" s="89">
        <f t="shared" si="94"/>
        <v>4.1666666666666666E-3</v>
      </c>
      <c r="I270" s="219"/>
      <c r="J270" s="219"/>
      <c r="K270" s="6">
        <f t="shared" si="102"/>
        <v>87934.181218242142</v>
      </c>
      <c r="M270" s="6">
        <f t="shared" si="83"/>
        <v>428.02407350183262</v>
      </c>
      <c r="N270" s="6">
        <f t="shared" si="95"/>
        <v>-99.598058861093676</v>
      </c>
      <c r="O270" s="90">
        <f t="shared" si="84"/>
        <v>448.62277944137639</v>
      </c>
      <c r="P270" s="91">
        <f t="shared" si="85"/>
        <v>0</v>
      </c>
      <c r="Q270" s="6">
        <f t="shared" si="86"/>
        <v>367.76086347034533</v>
      </c>
      <c r="R270" s="87">
        <f t="shared" si="106"/>
        <v>-516.71637273026033</v>
      </c>
      <c r="S270" s="6">
        <f t="shared" si="87"/>
        <v>-18.32100981971336</v>
      </c>
      <c r="T270" s="83">
        <f t="shared" si="96"/>
        <v>0</v>
      </c>
      <c r="U270" s="91">
        <f t="shared" si="103"/>
        <v>123067.72963104177</v>
      </c>
      <c r="V270" s="91">
        <f t="shared" si="97"/>
        <v>599.03839694106284</v>
      </c>
      <c r="W270" s="1">
        <f t="shared" si="112"/>
        <v>0</v>
      </c>
      <c r="X270" s="1">
        <f t="shared" si="112"/>
        <v>0</v>
      </c>
      <c r="Y270" s="1">
        <f t="shared" si="112"/>
        <v>0</v>
      </c>
      <c r="Z270" s="1">
        <f t="shared" si="112"/>
        <v>0</v>
      </c>
      <c r="AA270" s="1">
        <f t="shared" si="112"/>
        <v>0</v>
      </c>
      <c r="AB270" s="1">
        <f t="shared" si="112"/>
        <v>0</v>
      </c>
      <c r="AC270" s="1">
        <f t="shared" si="112"/>
        <v>0</v>
      </c>
      <c r="AD270" s="1">
        <f t="shared" si="112"/>
        <v>1</v>
      </c>
      <c r="AE270" s="1">
        <f t="shared" si="112"/>
        <v>1</v>
      </c>
      <c r="AF270" s="1">
        <f t="shared" si="112"/>
        <v>1</v>
      </c>
      <c r="AG270" s="1">
        <f t="shared" si="112"/>
        <v>1</v>
      </c>
      <c r="AH270" s="1">
        <f t="shared" si="112"/>
        <v>1</v>
      </c>
      <c r="AI270" s="44">
        <f t="shared" si="98"/>
        <v>87745.89086015262</v>
      </c>
      <c r="AJ270" s="44">
        <f t="shared" si="88"/>
        <v>88262.607232882874</v>
      </c>
      <c r="AK270" s="44" t="str">
        <f t="shared" si="107"/>
        <v>N</v>
      </c>
      <c r="AL270" s="4">
        <f t="shared" si="89"/>
        <v>192</v>
      </c>
      <c r="AM270" s="82">
        <f t="shared" si="99"/>
        <v>0</v>
      </c>
      <c r="AN270" s="82">
        <f t="shared" si="90"/>
        <v>0</v>
      </c>
      <c r="AO270" s="48">
        <f>0</f>
        <v>0</v>
      </c>
      <c r="AP270" s="91">
        <f t="shared" si="100"/>
        <v>-516.71637273026033</v>
      </c>
      <c r="AQ270" s="91">
        <f t="shared" si="101"/>
        <v>-516.71637273026033</v>
      </c>
      <c r="AV270" s="84"/>
    </row>
    <row r="271" spans="1:48">
      <c r="A271" s="190">
        <f t="shared" si="91"/>
        <v>81.804243668720048</v>
      </c>
      <c r="B271" s="82">
        <f t="shared" si="92"/>
        <v>17</v>
      </c>
      <c r="C271" s="83">
        <f t="shared" si="93"/>
        <v>193</v>
      </c>
      <c r="D271" s="14">
        <f t="shared" ref="D271:D334" si="113">Growth_Rate_1_Monthly</f>
        <v>4.8675505653430484E-3</v>
      </c>
      <c r="E271" s="16">
        <f t="shared" ref="E271:E334" si="114">IF(Gtee_Flag="on",1,0)</f>
        <v>0</v>
      </c>
      <c r="F271" s="127"/>
      <c r="G271" s="88">
        <f t="shared" ref="G271:G334" si="115">IF(ISERROR(VLOOKUP(Product_Code,Product_Parameters,B271+5,FALSE)),0,VLOOKUP(Product_Code,Product_Parameters,B271+5,FALSE))</f>
        <v>0</v>
      </c>
      <c r="H271" s="89">
        <f t="shared" si="94"/>
        <v>4.1666666666666666E-3</v>
      </c>
      <c r="I271" s="219"/>
      <c r="J271" s="219"/>
      <c r="K271" s="6">
        <f t="shared" si="102"/>
        <v>87745.89086015262</v>
      </c>
      <c r="M271" s="6">
        <f t="shared" ref="M271:M334" si="116">(K271+L271)*D271</f>
        <v>427.1075606628653</v>
      </c>
      <c r="N271" s="6">
        <f t="shared" si="95"/>
        <v>-99.384793053552542</v>
      </c>
      <c r="O271" s="90">
        <f t="shared" ref="O271:O334" si="117">IF(C271&gt;=Regular_Income_Start_Month,
MIN(Regular_Income_Amount/12*(1+Income_Escalation_Rate_Annual)^($B271-1),AJ271),0)</f>
        <v>457.59523503020398</v>
      </c>
      <c r="P271" s="91">
        <f t="shared" ref="P271:P334" si="118">MAX(IF(C271&gt;=Regular_Income_Start_Month,
MIN(IF(Income_Type="Fixed Percent",$C$51,0)/12*(K271+L271+M271+N271),AJ271),0),0)</f>
        <v>0</v>
      </c>
      <c r="Q271" s="6">
        <f t="shared" ref="Q271:Q334" si="119">MAX(IF(C271&gt;=Regular_Income_Start_Month,
MIN(H271*(K271+L271+M271+N271),AJ271),0),0)</f>
        <v>366.97339011567465</v>
      </c>
      <c r="R271" s="87">
        <f t="shared" si="106"/>
        <v>-516.48523439329585</v>
      </c>
      <c r="S271" s="6">
        <f t="shared" ref="S271:S334" si="120">-(($K271+I271+M271/2+N271/2+R271/2)*(Ongoing_Commission_Monthly)+(I271)*new_upfront_commission)</f>
        <v>-18.281688407641219</v>
      </c>
      <c r="T271" s="83">
        <f t="shared" si="96"/>
        <v>0</v>
      </c>
      <c r="U271" s="91">
        <f t="shared" si="103"/>
        <v>123150.05165525258</v>
      </c>
      <c r="V271" s="91">
        <f t="shared" si="97"/>
        <v>599.43910355655032</v>
      </c>
      <c r="W271" s="1">
        <f t="shared" si="112"/>
        <v>0</v>
      </c>
      <c r="X271" s="1">
        <f t="shared" si="112"/>
        <v>0</v>
      </c>
      <c r="Y271" s="1">
        <f t="shared" si="112"/>
        <v>0</v>
      </c>
      <c r="Z271" s="1">
        <f t="shared" si="112"/>
        <v>0</v>
      </c>
      <c r="AA271" s="1">
        <f t="shared" si="112"/>
        <v>0</v>
      </c>
      <c r="AB271" s="1">
        <f t="shared" si="112"/>
        <v>0</v>
      </c>
      <c r="AC271" s="1">
        <f t="shared" si="112"/>
        <v>0</v>
      </c>
      <c r="AD271" s="1">
        <f t="shared" si="112"/>
        <v>1</v>
      </c>
      <c r="AE271" s="1">
        <f t="shared" si="112"/>
        <v>1</v>
      </c>
      <c r="AF271" s="1">
        <f t="shared" si="112"/>
        <v>1</v>
      </c>
      <c r="AG271" s="1">
        <f t="shared" si="112"/>
        <v>1</v>
      </c>
      <c r="AH271" s="1">
        <f t="shared" si="112"/>
        <v>1</v>
      </c>
      <c r="AI271" s="44">
        <f t="shared" si="98"/>
        <v>87557.128393368621</v>
      </c>
      <c r="AJ271" s="44">
        <f t="shared" ref="AJ271:AJ334" si="121">MAX(0,SUM(K271:N271)-$C$66)</f>
        <v>88073.613627761923</v>
      </c>
      <c r="AK271" s="44" t="str">
        <f t="shared" si="107"/>
        <v>N</v>
      </c>
      <c r="AL271" s="4">
        <f t="shared" ref="AL271:AL334" si="122">C271</f>
        <v>193</v>
      </c>
      <c r="AM271" s="82">
        <f t="shared" si="99"/>
        <v>0</v>
      </c>
      <c r="AN271" s="82">
        <f t="shared" ref="AN271:AN334" si="123">IF(AND(B271=Fund_Zero_Year,K272=0,K271&gt;0),-U271,IF(AND(B271+1=Fund_Zero_Year,K272=0,K271&gt;0),-U271,0))</f>
        <v>0</v>
      </c>
      <c r="AO271" s="48">
        <f>0</f>
        <v>0</v>
      </c>
      <c r="AP271" s="91">
        <f t="shared" si="100"/>
        <v>-516.48523439329585</v>
      </c>
      <c r="AQ271" s="91">
        <f t="shared" si="101"/>
        <v>-516.48523439329585</v>
      </c>
      <c r="AV271" s="84"/>
    </row>
    <row r="272" spans="1:48">
      <c r="A272" s="190">
        <f t="shared" ref="A272:A335" si="124">$C$43+C271/12</f>
        <v>81.887577002053376</v>
      </c>
      <c r="B272" s="82">
        <f t="shared" ref="B272:B335" si="125">INT((C272-1)/12)+1</f>
        <v>17</v>
      </c>
      <c r="C272" s="83">
        <f t="shared" ref="C272:C335" si="126">C271+1</f>
        <v>194</v>
      </c>
      <c r="D272" s="14">
        <f t="shared" si="113"/>
        <v>4.8675505653430484E-3</v>
      </c>
      <c r="E272" s="16">
        <f t="shared" si="114"/>
        <v>0</v>
      </c>
      <c r="F272" s="127"/>
      <c r="G272" s="88">
        <f t="shared" si="115"/>
        <v>0</v>
      </c>
      <c r="H272" s="89">
        <f t="shared" ref="H272:H335" si="127">IF((K271+L271+M271+N271+R271)&gt;=2000000,VLOOKUP("&gt;=2000000",Default_IncomeRate_table,3,FALSE),
IF($A272&lt;71,VLOOKUP("&lt;71",Default_IncomeRate_table,3,FALSE),
IF($A272&gt;=71,VLOOKUP("&gt;=71",Default_IncomeRate_table,3,FALSE),"")))</f>
        <v>4.1666666666666666E-3</v>
      </c>
      <c r="I272" s="219"/>
      <c r="J272" s="219"/>
      <c r="K272" s="6">
        <f t="shared" si="102"/>
        <v>87557.128393368621</v>
      </c>
      <c r="M272" s="6">
        <f t="shared" si="116"/>
        <v>426.1887498109553</v>
      </c>
      <c r="N272" s="6">
        <f t="shared" ref="N272:N335" si="128">-(($K272+(L272)+M272/2)*(External_Fund_Charge_Monthly+Fund_Charge_Monthly+Gtee_Charge_Monthly*$E272))+MIN(J272,0)</f>
        <v>-99.170992515274264</v>
      </c>
      <c r="O272" s="90">
        <f t="shared" si="117"/>
        <v>457.59523503020398</v>
      </c>
      <c r="P272" s="91">
        <f t="shared" si="118"/>
        <v>0</v>
      </c>
      <c r="Q272" s="6">
        <f t="shared" si="119"/>
        <v>366.18394229443464</v>
      </c>
      <c r="R272" s="87">
        <f t="shared" si="106"/>
        <v>-516.25419944947635</v>
      </c>
      <c r="S272" s="6">
        <f t="shared" si="120"/>
        <v>-18.242268332042659</v>
      </c>
      <c r="T272" s="83">
        <f t="shared" ref="T272:T335" si="129">SUM(K272:N272,R272)*$G272</f>
        <v>0</v>
      </c>
      <c r="U272" s="91">
        <f t="shared" si="103"/>
        <v>123233.00552441583</v>
      </c>
      <c r="V272" s="91">
        <f t="shared" ref="V272:V335" si="130">U272*D272</f>
        <v>599.84288570929323</v>
      </c>
      <c r="W272" s="1">
        <f t="shared" si="112"/>
        <v>0</v>
      </c>
      <c r="X272" s="1">
        <f t="shared" si="112"/>
        <v>0</v>
      </c>
      <c r="Y272" s="1">
        <f t="shared" si="112"/>
        <v>0</v>
      </c>
      <c r="Z272" s="1">
        <f t="shared" si="112"/>
        <v>0</v>
      </c>
      <c r="AA272" s="1">
        <f t="shared" si="112"/>
        <v>0</v>
      </c>
      <c r="AB272" s="1">
        <f t="shared" si="112"/>
        <v>0</v>
      </c>
      <c r="AC272" s="1">
        <f t="shared" si="112"/>
        <v>0</v>
      </c>
      <c r="AD272" s="1">
        <f t="shared" si="112"/>
        <v>1</v>
      </c>
      <c r="AE272" s="1">
        <f t="shared" si="112"/>
        <v>1</v>
      </c>
      <c r="AF272" s="1">
        <f t="shared" si="112"/>
        <v>1</v>
      </c>
      <c r="AG272" s="1">
        <f t="shared" si="112"/>
        <v>1</v>
      </c>
      <c r="AH272" s="1">
        <f t="shared" si="112"/>
        <v>1</v>
      </c>
      <c r="AI272" s="44">
        <f t="shared" ref="AI272:AI335" si="131">SUM(K272:N272,R272)</f>
        <v>87367.891951214828</v>
      </c>
      <c r="AJ272" s="44">
        <f t="shared" si="121"/>
        <v>87884.14615066431</v>
      </c>
      <c r="AK272" s="44" t="str">
        <f t="shared" si="107"/>
        <v>N</v>
      </c>
      <c r="AL272" s="4">
        <f t="shared" si="122"/>
        <v>194</v>
      </c>
      <c r="AM272" s="82">
        <f t="shared" ref="AM272:AM335" si="132">I272</f>
        <v>0</v>
      </c>
      <c r="AN272" s="82">
        <f t="shared" si="123"/>
        <v>0</v>
      </c>
      <c r="AO272" s="48">
        <f>0</f>
        <v>0</v>
      </c>
      <c r="AP272" s="91">
        <f t="shared" ref="AP272:AP335" si="133">$R272+AN272+AM272</f>
        <v>-516.25419944947635</v>
      </c>
      <c r="AQ272" s="91">
        <f t="shared" ref="AQ272:AQ335" si="134">$R272+AO272+AM272</f>
        <v>-516.25419944947635</v>
      </c>
      <c r="AV272" s="84"/>
    </row>
    <row r="273" spans="1:48">
      <c r="A273" s="190">
        <f t="shared" si="124"/>
        <v>81.970910335386719</v>
      </c>
      <c r="B273" s="82">
        <f t="shared" si="125"/>
        <v>17</v>
      </c>
      <c r="C273" s="83">
        <f t="shared" si="126"/>
        <v>195</v>
      </c>
      <c r="D273" s="14">
        <f t="shared" si="113"/>
        <v>4.8675505653430484E-3</v>
      </c>
      <c r="E273" s="16">
        <f t="shared" si="114"/>
        <v>0</v>
      </c>
      <c r="F273" s="127"/>
      <c r="G273" s="88">
        <f t="shared" si="115"/>
        <v>0</v>
      </c>
      <c r="H273" s="89">
        <f t="shared" si="127"/>
        <v>4.1666666666666666E-3</v>
      </c>
      <c r="I273" s="219"/>
      <c r="J273" s="219"/>
      <c r="K273" s="6">
        <f t="shared" ref="K273:K336" si="135">SUM(K272:M272,N272,R272)</f>
        <v>87367.891951214828</v>
      </c>
      <c r="M273" s="6">
        <f t="shared" si="116"/>
        <v>425.26763185996612</v>
      </c>
      <c r="N273" s="6">
        <f t="shared" si="128"/>
        <v>-98.956655131981648</v>
      </c>
      <c r="O273" s="90">
        <f t="shared" si="117"/>
        <v>457.59523503020398</v>
      </c>
      <c r="P273" s="91">
        <f t="shared" si="118"/>
        <v>0</v>
      </c>
      <c r="Q273" s="6">
        <f t="shared" si="119"/>
        <v>365.39251219976171</v>
      </c>
      <c r="R273" s="87">
        <f t="shared" si="106"/>
        <v>-516.02326785255161</v>
      </c>
      <c r="S273" s="6">
        <f t="shared" si="120"/>
        <v>-18.202749202858431</v>
      </c>
      <c r="T273" s="83">
        <f t="shared" si="129"/>
        <v>0</v>
      </c>
      <c r="U273" s="91">
        <f t="shared" ref="U273:U336" si="136">IF(K273=0,0,SUM(U272,R272,V272))</f>
        <v>123316.59421067564</v>
      </c>
      <c r="V273" s="91">
        <f t="shared" si="130"/>
        <v>600.24975786635355</v>
      </c>
      <c r="W273" s="1">
        <f t="shared" si="112"/>
        <v>0</v>
      </c>
      <c r="X273" s="1">
        <f t="shared" si="112"/>
        <v>0</v>
      </c>
      <c r="Y273" s="1">
        <f t="shared" si="112"/>
        <v>0</v>
      </c>
      <c r="Z273" s="1">
        <f t="shared" si="112"/>
        <v>0</v>
      </c>
      <c r="AA273" s="1">
        <f t="shared" si="112"/>
        <v>0</v>
      </c>
      <c r="AB273" s="1">
        <f t="shared" si="112"/>
        <v>0</v>
      </c>
      <c r="AC273" s="1">
        <f t="shared" si="112"/>
        <v>0</v>
      </c>
      <c r="AD273" s="1">
        <f t="shared" si="112"/>
        <v>1</v>
      </c>
      <c r="AE273" s="1">
        <f t="shared" si="112"/>
        <v>1</v>
      </c>
      <c r="AF273" s="1">
        <f t="shared" si="112"/>
        <v>1</v>
      </c>
      <c r="AG273" s="1">
        <f t="shared" si="112"/>
        <v>1</v>
      </c>
      <c r="AH273" s="1">
        <f t="shared" si="112"/>
        <v>1</v>
      </c>
      <c r="AI273" s="44">
        <f t="shared" si="131"/>
        <v>87178.17966009026</v>
      </c>
      <c r="AJ273" s="44">
        <f t="shared" si="121"/>
        <v>87694.20292794281</v>
      </c>
      <c r="AK273" s="44" t="str">
        <f t="shared" si="107"/>
        <v>N</v>
      </c>
      <c r="AL273" s="4">
        <f t="shared" si="122"/>
        <v>195</v>
      </c>
      <c r="AM273" s="82">
        <f t="shared" si="132"/>
        <v>0</v>
      </c>
      <c r="AN273" s="82">
        <f t="shared" si="123"/>
        <v>0</v>
      </c>
      <c r="AO273" s="48">
        <f>0</f>
        <v>0</v>
      </c>
      <c r="AP273" s="91">
        <f t="shared" si="133"/>
        <v>-516.02326785255161</v>
      </c>
      <c r="AQ273" s="91">
        <f t="shared" si="134"/>
        <v>-516.02326785255161</v>
      </c>
      <c r="AV273" s="84"/>
    </row>
    <row r="274" spans="1:48">
      <c r="A274" s="190">
        <f t="shared" si="124"/>
        <v>82.054243668720048</v>
      </c>
      <c r="B274" s="82">
        <f t="shared" si="125"/>
        <v>17</v>
      </c>
      <c r="C274" s="83">
        <f t="shared" si="126"/>
        <v>196</v>
      </c>
      <c r="D274" s="14">
        <f t="shared" si="113"/>
        <v>4.8675505653430484E-3</v>
      </c>
      <c r="E274" s="16">
        <f t="shared" si="114"/>
        <v>0</v>
      </c>
      <c r="F274" s="127"/>
      <c r="G274" s="88">
        <f t="shared" si="115"/>
        <v>0</v>
      </c>
      <c r="H274" s="89">
        <f t="shared" si="127"/>
        <v>4.1666666666666666E-3</v>
      </c>
      <c r="I274" s="219"/>
      <c r="J274" s="219"/>
      <c r="K274" s="6">
        <f t="shared" si="135"/>
        <v>87178.17966009026</v>
      </c>
      <c r="M274" s="6">
        <f t="shared" si="116"/>
        <v>424.34419769005018</v>
      </c>
      <c r="N274" s="6">
        <f t="shared" si="128"/>
        <v>-98.741778781553109</v>
      </c>
      <c r="O274" s="90">
        <f t="shared" si="117"/>
        <v>457.59523503020398</v>
      </c>
      <c r="P274" s="91">
        <f t="shared" si="118"/>
        <v>0</v>
      </c>
      <c r="Q274" s="6">
        <f t="shared" si="119"/>
        <v>364.59909199582819</v>
      </c>
      <c r="R274" s="87">
        <f t="shared" si="106"/>
        <v>-528.94059127874698</v>
      </c>
      <c r="S274" s="6">
        <f t="shared" si="120"/>
        <v>-18.161759457600827</v>
      </c>
      <c r="T274" s="83">
        <f t="shared" si="129"/>
        <v>0</v>
      </c>
      <c r="U274" s="91">
        <f t="shared" si="136"/>
        <v>123400.82070068945</v>
      </c>
      <c r="V274" s="91">
        <f t="shared" si="130"/>
        <v>600.65973456543713</v>
      </c>
      <c r="W274" s="1">
        <f t="shared" si="112"/>
        <v>0</v>
      </c>
      <c r="X274" s="1">
        <f t="shared" si="112"/>
        <v>0</v>
      </c>
      <c r="Y274" s="1">
        <f t="shared" si="112"/>
        <v>0</v>
      </c>
      <c r="Z274" s="1">
        <f t="shared" si="112"/>
        <v>0</v>
      </c>
      <c r="AA274" s="1">
        <f t="shared" si="112"/>
        <v>0</v>
      </c>
      <c r="AB274" s="1">
        <f t="shared" si="112"/>
        <v>0</v>
      </c>
      <c r="AC274" s="1">
        <f t="shared" si="112"/>
        <v>0</v>
      </c>
      <c r="AD274" s="1">
        <f t="shared" si="112"/>
        <v>1</v>
      </c>
      <c r="AE274" s="1">
        <f t="shared" si="112"/>
        <v>1</v>
      </c>
      <c r="AF274" s="1">
        <f t="shared" si="112"/>
        <v>1</v>
      </c>
      <c r="AG274" s="1">
        <f t="shared" si="112"/>
        <v>1</v>
      </c>
      <c r="AH274" s="1">
        <f t="shared" si="112"/>
        <v>1</v>
      </c>
      <c r="AI274" s="44">
        <f t="shared" si="131"/>
        <v>86974.841487720012</v>
      </c>
      <c r="AJ274" s="44">
        <f t="shared" si="121"/>
        <v>87503.78207899876</v>
      </c>
      <c r="AK274" s="44" t="str">
        <f t="shared" si="107"/>
        <v>N</v>
      </c>
      <c r="AL274" s="4">
        <f t="shared" si="122"/>
        <v>196</v>
      </c>
      <c r="AM274" s="82">
        <f t="shared" si="132"/>
        <v>0</v>
      </c>
      <c r="AN274" s="82">
        <f t="shared" si="123"/>
        <v>0</v>
      </c>
      <c r="AO274" s="48">
        <f>0</f>
        <v>0</v>
      </c>
      <c r="AP274" s="91">
        <f t="shared" si="133"/>
        <v>-528.94059127874698</v>
      </c>
      <c r="AQ274" s="91">
        <f t="shared" si="134"/>
        <v>-528.94059127874698</v>
      </c>
      <c r="AV274" s="84"/>
    </row>
    <row r="275" spans="1:48">
      <c r="A275" s="190">
        <f t="shared" si="124"/>
        <v>82.137577002053376</v>
      </c>
      <c r="B275" s="82">
        <f t="shared" si="125"/>
        <v>17</v>
      </c>
      <c r="C275" s="83">
        <f t="shared" si="126"/>
        <v>197</v>
      </c>
      <c r="D275" s="14">
        <f t="shared" si="113"/>
        <v>4.8675505653430484E-3</v>
      </c>
      <c r="E275" s="16">
        <f t="shared" si="114"/>
        <v>0</v>
      </c>
      <c r="F275" s="127"/>
      <c r="G275" s="88">
        <f t="shared" si="115"/>
        <v>0</v>
      </c>
      <c r="H275" s="89">
        <f t="shared" si="127"/>
        <v>4.1666666666666666E-3</v>
      </c>
      <c r="I275" s="219"/>
      <c r="J275" s="219"/>
      <c r="K275" s="6">
        <f t="shared" si="135"/>
        <v>86974.841487720012</v>
      </c>
      <c r="M275" s="6">
        <f t="shared" si="116"/>
        <v>423.35443885417357</v>
      </c>
      <c r="N275" s="6">
        <f t="shared" si="128"/>
        <v>-98.511469168387151</v>
      </c>
      <c r="O275" s="90">
        <f t="shared" si="117"/>
        <v>457.59523503020398</v>
      </c>
      <c r="P275" s="91">
        <f t="shared" si="118"/>
        <v>0</v>
      </c>
      <c r="Q275" s="6">
        <f t="shared" si="119"/>
        <v>363.74868523919088</v>
      </c>
      <c r="R275" s="87">
        <f t="shared" si="106"/>
        <v>-528.70398478614595</v>
      </c>
      <c r="S275" s="6">
        <f t="shared" si="120"/>
        <v>-18.119294195468537</v>
      </c>
      <c r="T275" s="83">
        <f t="shared" si="129"/>
        <v>0</v>
      </c>
      <c r="U275" s="91">
        <f t="shared" si="136"/>
        <v>123472.53984397613</v>
      </c>
      <c r="V275" s="91">
        <f t="shared" si="130"/>
        <v>601.00883112188808</v>
      </c>
      <c r="W275" s="1">
        <f t="shared" si="112"/>
        <v>0</v>
      </c>
      <c r="X275" s="1">
        <f t="shared" si="112"/>
        <v>0</v>
      </c>
      <c r="Y275" s="1">
        <f t="shared" si="112"/>
        <v>0</v>
      </c>
      <c r="Z275" s="1">
        <f t="shared" si="112"/>
        <v>0</v>
      </c>
      <c r="AA275" s="1">
        <f t="shared" si="112"/>
        <v>0</v>
      </c>
      <c r="AB275" s="1">
        <f t="shared" si="112"/>
        <v>0</v>
      </c>
      <c r="AC275" s="1">
        <f t="shared" si="112"/>
        <v>0</v>
      </c>
      <c r="AD275" s="1">
        <f t="shared" si="112"/>
        <v>1</v>
      </c>
      <c r="AE275" s="1">
        <f t="shared" si="112"/>
        <v>1</v>
      </c>
      <c r="AF275" s="1">
        <f t="shared" si="112"/>
        <v>1</v>
      </c>
      <c r="AG275" s="1">
        <f t="shared" si="112"/>
        <v>1</v>
      </c>
      <c r="AH275" s="1">
        <f t="shared" si="112"/>
        <v>1</v>
      </c>
      <c r="AI275" s="44">
        <f t="shared" si="131"/>
        <v>86770.98047261966</v>
      </c>
      <c r="AJ275" s="44">
        <f t="shared" si="121"/>
        <v>87299.684457405805</v>
      </c>
      <c r="AK275" s="44" t="str">
        <f t="shared" si="107"/>
        <v>N</v>
      </c>
      <c r="AL275" s="4">
        <f t="shared" si="122"/>
        <v>197</v>
      </c>
      <c r="AM275" s="82">
        <f t="shared" si="132"/>
        <v>0</v>
      </c>
      <c r="AN275" s="82">
        <f t="shared" si="123"/>
        <v>0</v>
      </c>
      <c r="AO275" s="48">
        <f>0</f>
        <v>0</v>
      </c>
      <c r="AP275" s="91">
        <f t="shared" si="133"/>
        <v>-528.70398478614595</v>
      </c>
      <c r="AQ275" s="91">
        <f t="shared" si="134"/>
        <v>-528.70398478614595</v>
      </c>
      <c r="AV275" s="84"/>
    </row>
    <row r="276" spans="1:48">
      <c r="A276" s="190">
        <f t="shared" si="124"/>
        <v>82.220910335386719</v>
      </c>
      <c r="B276" s="82">
        <f t="shared" si="125"/>
        <v>17</v>
      </c>
      <c r="C276" s="83">
        <f t="shared" si="126"/>
        <v>198</v>
      </c>
      <c r="D276" s="14">
        <f t="shared" si="113"/>
        <v>4.8675505653430484E-3</v>
      </c>
      <c r="E276" s="16">
        <f t="shared" si="114"/>
        <v>0</v>
      </c>
      <c r="F276" s="127"/>
      <c r="G276" s="88">
        <f t="shared" si="115"/>
        <v>0</v>
      </c>
      <c r="H276" s="89">
        <f t="shared" si="127"/>
        <v>4.1666666666666666E-3</v>
      </c>
      <c r="I276" s="219"/>
      <c r="J276" s="219"/>
      <c r="K276" s="6">
        <f t="shared" si="135"/>
        <v>86770.98047261966</v>
      </c>
      <c r="M276" s="6">
        <f t="shared" si="116"/>
        <v>422.36213505487046</v>
      </c>
      <c r="N276" s="6">
        <f t="shared" si="128"/>
        <v>-98.280567360919875</v>
      </c>
      <c r="O276" s="90">
        <f t="shared" si="117"/>
        <v>457.59523503020398</v>
      </c>
      <c r="P276" s="91">
        <f t="shared" si="118"/>
        <v>0</v>
      </c>
      <c r="Q276" s="6">
        <f t="shared" si="119"/>
        <v>362.89609183464</v>
      </c>
      <c r="R276" s="87">
        <f t="shared" si="106"/>
        <v>-528.46748413271337</v>
      </c>
      <c r="S276" s="6">
        <f t="shared" si="120"/>
        <v>-18.076719668072748</v>
      </c>
      <c r="T276" s="83">
        <f t="shared" si="129"/>
        <v>0</v>
      </c>
      <c r="U276" s="91">
        <f t="shared" si="136"/>
        <v>123544.84469031187</v>
      </c>
      <c r="V276" s="91">
        <f t="shared" si="130"/>
        <v>601.36077861754666</v>
      </c>
      <c r="W276" s="1">
        <f t="shared" si="112"/>
        <v>0</v>
      </c>
      <c r="X276" s="1">
        <f t="shared" si="112"/>
        <v>0</v>
      </c>
      <c r="Y276" s="1">
        <f t="shared" si="112"/>
        <v>0</v>
      </c>
      <c r="Z276" s="1">
        <f t="shared" si="112"/>
        <v>0</v>
      </c>
      <c r="AA276" s="1">
        <f t="shared" si="112"/>
        <v>0</v>
      </c>
      <c r="AB276" s="1">
        <f t="shared" si="112"/>
        <v>0</v>
      </c>
      <c r="AC276" s="1">
        <f t="shared" si="112"/>
        <v>0</v>
      </c>
      <c r="AD276" s="1">
        <f t="shared" si="112"/>
        <v>1</v>
      </c>
      <c r="AE276" s="1">
        <f t="shared" si="112"/>
        <v>1</v>
      </c>
      <c r="AF276" s="1">
        <f t="shared" si="112"/>
        <v>1</v>
      </c>
      <c r="AG276" s="1">
        <f t="shared" si="112"/>
        <v>1</v>
      </c>
      <c r="AH276" s="1">
        <f t="shared" si="112"/>
        <v>1</v>
      </c>
      <c r="AI276" s="44">
        <f t="shared" si="131"/>
        <v>86566.594556180891</v>
      </c>
      <c r="AJ276" s="44">
        <f t="shared" si="121"/>
        <v>87095.062040313598</v>
      </c>
      <c r="AK276" s="44" t="str">
        <f t="shared" si="107"/>
        <v>N</v>
      </c>
      <c r="AL276" s="4">
        <f t="shared" si="122"/>
        <v>198</v>
      </c>
      <c r="AM276" s="82">
        <f t="shared" si="132"/>
        <v>0</v>
      </c>
      <c r="AN276" s="82">
        <f t="shared" si="123"/>
        <v>0</v>
      </c>
      <c r="AO276" s="48">
        <f>0</f>
        <v>0</v>
      </c>
      <c r="AP276" s="91">
        <f t="shared" si="133"/>
        <v>-528.46748413271337</v>
      </c>
      <c r="AQ276" s="91">
        <f t="shared" si="134"/>
        <v>-528.46748413271337</v>
      </c>
      <c r="AV276" s="84"/>
    </row>
    <row r="277" spans="1:48">
      <c r="A277" s="190">
        <f t="shared" si="124"/>
        <v>82.304243668720048</v>
      </c>
      <c r="B277" s="82">
        <f t="shared" si="125"/>
        <v>17</v>
      </c>
      <c r="C277" s="83">
        <f t="shared" si="126"/>
        <v>199</v>
      </c>
      <c r="D277" s="14">
        <f t="shared" si="113"/>
        <v>4.8675505653430484E-3</v>
      </c>
      <c r="E277" s="16">
        <f t="shared" si="114"/>
        <v>0</v>
      </c>
      <c r="F277" s="127"/>
      <c r="G277" s="88">
        <f t="shared" si="115"/>
        <v>0</v>
      </c>
      <c r="H277" s="89">
        <f t="shared" si="127"/>
        <v>4.1666666666666666E-3</v>
      </c>
      <c r="I277" s="219"/>
      <c r="J277" s="219"/>
      <c r="K277" s="6">
        <f t="shared" si="135"/>
        <v>86566.594556180891</v>
      </c>
      <c r="M277" s="6">
        <f t="shared" si="116"/>
        <v>421.36727627176077</v>
      </c>
      <c r="N277" s="6">
        <f t="shared" si="128"/>
        <v>-98.049071027482412</v>
      </c>
      <c r="O277" s="90">
        <f t="shared" si="117"/>
        <v>457.59523503020398</v>
      </c>
      <c r="P277" s="91">
        <f t="shared" si="118"/>
        <v>0</v>
      </c>
      <c r="Q277" s="6">
        <f t="shared" si="119"/>
        <v>362.0413031726049</v>
      </c>
      <c r="R277" s="87">
        <f t="shared" si="106"/>
        <v>-528.23108927110502</v>
      </c>
      <c r="S277" s="6">
        <f t="shared" si="120"/>
        <v>-18.034035445247625</v>
      </c>
      <c r="T277" s="83">
        <f t="shared" si="129"/>
        <v>0</v>
      </c>
      <c r="U277" s="91">
        <f t="shared" si="136"/>
        <v>123617.73798479671</v>
      </c>
      <c r="V277" s="91">
        <f t="shared" si="130"/>
        <v>601.71559041432602</v>
      </c>
      <c r="W277" s="1">
        <f t="shared" si="112"/>
        <v>0</v>
      </c>
      <c r="X277" s="1">
        <f t="shared" si="112"/>
        <v>0</v>
      </c>
      <c r="Y277" s="1">
        <f t="shared" si="112"/>
        <v>0</v>
      </c>
      <c r="Z277" s="1">
        <f t="shared" si="112"/>
        <v>0</v>
      </c>
      <c r="AA277" s="1">
        <f t="shared" si="112"/>
        <v>0</v>
      </c>
      <c r="AB277" s="1">
        <f t="shared" si="112"/>
        <v>0</v>
      </c>
      <c r="AC277" s="1">
        <f t="shared" si="112"/>
        <v>0</v>
      </c>
      <c r="AD277" s="1">
        <f t="shared" si="112"/>
        <v>1</v>
      </c>
      <c r="AE277" s="1">
        <f t="shared" si="112"/>
        <v>1</v>
      </c>
      <c r="AF277" s="1">
        <f t="shared" si="112"/>
        <v>1</v>
      </c>
      <c r="AG277" s="1">
        <f t="shared" si="112"/>
        <v>1</v>
      </c>
      <c r="AH277" s="1">
        <f t="shared" si="112"/>
        <v>1</v>
      </c>
      <c r="AI277" s="44">
        <f t="shared" si="131"/>
        <v>86361.681672154067</v>
      </c>
      <c r="AJ277" s="44">
        <f t="shared" si="121"/>
        <v>86889.912761425177</v>
      </c>
      <c r="AK277" s="44" t="str">
        <f t="shared" si="107"/>
        <v>N</v>
      </c>
      <c r="AL277" s="4">
        <f t="shared" si="122"/>
        <v>199</v>
      </c>
      <c r="AM277" s="82">
        <f t="shared" si="132"/>
        <v>0</v>
      </c>
      <c r="AN277" s="82">
        <f t="shared" si="123"/>
        <v>0</v>
      </c>
      <c r="AO277" s="48">
        <f>0</f>
        <v>0</v>
      </c>
      <c r="AP277" s="91">
        <f t="shared" si="133"/>
        <v>-528.23108927110502</v>
      </c>
      <c r="AQ277" s="91">
        <f t="shared" si="134"/>
        <v>-528.23108927110502</v>
      </c>
      <c r="AV277" s="84"/>
    </row>
    <row r="278" spans="1:48">
      <c r="A278" s="190">
        <f t="shared" si="124"/>
        <v>82.387577002053376</v>
      </c>
      <c r="B278" s="82">
        <f t="shared" si="125"/>
        <v>17</v>
      </c>
      <c r="C278" s="83">
        <f t="shared" si="126"/>
        <v>200</v>
      </c>
      <c r="D278" s="14">
        <f t="shared" si="113"/>
        <v>4.8675505653430484E-3</v>
      </c>
      <c r="E278" s="16">
        <f t="shared" si="114"/>
        <v>0</v>
      </c>
      <c r="F278" s="127"/>
      <c r="G278" s="88">
        <f t="shared" si="115"/>
        <v>0</v>
      </c>
      <c r="H278" s="89">
        <f t="shared" si="127"/>
        <v>4.1666666666666666E-3</v>
      </c>
      <c r="I278" s="219"/>
      <c r="J278" s="219"/>
      <c r="K278" s="6">
        <f t="shared" si="135"/>
        <v>86361.681672154067</v>
      </c>
      <c r="M278" s="6">
        <f t="shared" si="116"/>
        <v>420.36985244726992</v>
      </c>
      <c r="N278" s="6">
        <f t="shared" si="128"/>
        <v>-97.81697782775106</v>
      </c>
      <c r="O278" s="90">
        <f t="shared" si="117"/>
        <v>457.59523503020398</v>
      </c>
      <c r="P278" s="91">
        <f t="shared" si="118"/>
        <v>0</v>
      </c>
      <c r="Q278" s="6">
        <f t="shared" si="119"/>
        <v>361.18431061155661</v>
      </c>
      <c r="R278" s="87">
        <f t="shared" si="106"/>
        <v>-527.99480015399831</v>
      </c>
      <c r="S278" s="6">
        <f t="shared" si="120"/>
        <v>-17.991241095230603</v>
      </c>
      <c r="T278" s="83">
        <f t="shared" si="129"/>
        <v>0</v>
      </c>
      <c r="U278" s="91">
        <f t="shared" si="136"/>
        <v>123691.22248593993</v>
      </c>
      <c r="V278" s="91">
        <f t="shared" si="130"/>
        <v>602.07327993940964</v>
      </c>
      <c r="W278" s="1">
        <f t="shared" si="112"/>
        <v>0</v>
      </c>
      <c r="X278" s="1">
        <f t="shared" si="112"/>
        <v>0</v>
      </c>
      <c r="Y278" s="1">
        <f t="shared" si="112"/>
        <v>0</v>
      </c>
      <c r="Z278" s="1">
        <f t="shared" si="112"/>
        <v>0</v>
      </c>
      <c r="AA278" s="1">
        <f t="shared" si="112"/>
        <v>0</v>
      </c>
      <c r="AB278" s="1">
        <f t="shared" si="112"/>
        <v>0</v>
      </c>
      <c r="AC278" s="1">
        <f t="shared" si="112"/>
        <v>0</v>
      </c>
      <c r="AD278" s="1">
        <f t="shared" si="112"/>
        <v>1</v>
      </c>
      <c r="AE278" s="1">
        <f t="shared" si="112"/>
        <v>1</v>
      </c>
      <c r="AF278" s="1">
        <f t="shared" si="112"/>
        <v>1</v>
      </c>
      <c r="AG278" s="1">
        <f t="shared" si="112"/>
        <v>1</v>
      </c>
      <c r="AH278" s="1">
        <f t="shared" si="112"/>
        <v>1</v>
      </c>
      <c r="AI278" s="44">
        <f t="shared" si="131"/>
        <v>86156.239746619583</v>
      </c>
      <c r="AJ278" s="44">
        <f t="shared" si="121"/>
        <v>86684.234546773587</v>
      </c>
      <c r="AK278" s="44" t="str">
        <f t="shared" si="107"/>
        <v>N</v>
      </c>
      <c r="AL278" s="4">
        <f t="shared" si="122"/>
        <v>200</v>
      </c>
      <c r="AM278" s="82">
        <f t="shared" si="132"/>
        <v>0</v>
      </c>
      <c r="AN278" s="82">
        <f t="shared" si="123"/>
        <v>0</v>
      </c>
      <c r="AO278" s="48">
        <f>0</f>
        <v>0</v>
      </c>
      <c r="AP278" s="91">
        <f t="shared" si="133"/>
        <v>-527.99480015399831</v>
      </c>
      <c r="AQ278" s="91">
        <f t="shared" si="134"/>
        <v>-527.99480015399831</v>
      </c>
      <c r="AV278" s="84"/>
    </row>
    <row r="279" spans="1:48">
      <c r="A279" s="190">
        <f t="shared" si="124"/>
        <v>82.470910335386719</v>
      </c>
      <c r="B279" s="82">
        <f t="shared" si="125"/>
        <v>17</v>
      </c>
      <c r="C279" s="83">
        <f t="shared" si="126"/>
        <v>201</v>
      </c>
      <c r="D279" s="14">
        <f t="shared" si="113"/>
        <v>4.8675505653430484E-3</v>
      </c>
      <c r="E279" s="16">
        <f t="shared" si="114"/>
        <v>0</v>
      </c>
      <c r="F279" s="127"/>
      <c r="G279" s="88">
        <f t="shared" si="115"/>
        <v>0</v>
      </c>
      <c r="H279" s="89">
        <f t="shared" si="127"/>
        <v>4.1666666666666666E-3</v>
      </c>
      <c r="I279" s="219"/>
      <c r="J279" s="219"/>
      <c r="K279" s="6">
        <f t="shared" si="135"/>
        <v>86156.239746619583</v>
      </c>
      <c r="M279" s="6">
        <f t="shared" si="116"/>
        <v>419.36985348648938</v>
      </c>
      <c r="N279" s="6">
        <f t="shared" si="128"/>
        <v>-97.584285412714664</v>
      </c>
      <c r="O279" s="90">
        <f t="shared" si="117"/>
        <v>457.59523503020398</v>
      </c>
      <c r="P279" s="91">
        <f t="shared" si="118"/>
        <v>0</v>
      </c>
      <c r="Q279" s="6">
        <f t="shared" si="119"/>
        <v>360.32510547788905</v>
      </c>
      <c r="R279" s="87">
        <f t="shared" si="106"/>
        <v>-527.75861673409088</v>
      </c>
      <c r="S279" s="6">
        <f t="shared" si="120"/>
        <v>-17.948336184656359</v>
      </c>
      <c r="T279" s="83">
        <f t="shared" si="129"/>
        <v>0</v>
      </c>
      <c r="U279" s="91">
        <f t="shared" si="136"/>
        <v>123765.30096572533</v>
      </c>
      <c r="V279" s="91">
        <f t="shared" si="130"/>
        <v>602.4338606855689</v>
      </c>
      <c r="W279" s="1">
        <f t="shared" ref="W279:AH288" si="137">IF($B279&lt;=W$78,1,0)</f>
        <v>0</v>
      </c>
      <c r="X279" s="1">
        <f t="shared" si="137"/>
        <v>0</v>
      </c>
      <c r="Y279" s="1">
        <f t="shared" si="137"/>
        <v>0</v>
      </c>
      <c r="Z279" s="1">
        <f t="shared" si="137"/>
        <v>0</v>
      </c>
      <c r="AA279" s="1">
        <f t="shared" si="137"/>
        <v>0</v>
      </c>
      <c r="AB279" s="1">
        <f t="shared" si="137"/>
        <v>0</v>
      </c>
      <c r="AC279" s="1">
        <f t="shared" si="137"/>
        <v>0</v>
      </c>
      <c r="AD279" s="1">
        <f t="shared" si="137"/>
        <v>1</v>
      </c>
      <c r="AE279" s="1">
        <f t="shared" si="137"/>
        <v>1</v>
      </c>
      <c r="AF279" s="1">
        <f t="shared" si="137"/>
        <v>1</v>
      </c>
      <c r="AG279" s="1">
        <f t="shared" si="137"/>
        <v>1</v>
      </c>
      <c r="AH279" s="1">
        <f t="shared" si="137"/>
        <v>1</v>
      </c>
      <c r="AI279" s="44">
        <f t="shared" si="131"/>
        <v>85950.266697959276</v>
      </c>
      <c r="AJ279" s="44">
        <f t="shared" si="121"/>
        <v>86478.025314693368</v>
      </c>
      <c r="AK279" s="44" t="str">
        <f t="shared" si="107"/>
        <v>N</v>
      </c>
      <c r="AL279" s="4">
        <f t="shared" si="122"/>
        <v>201</v>
      </c>
      <c r="AM279" s="82">
        <f t="shared" si="132"/>
        <v>0</v>
      </c>
      <c r="AN279" s="82">
        <f t="shared" si="123"/>
        <v>0</v>
      </c>
      <c r="AO279" s="48">
        <f>0</f>
        <v>0</v>
      </c>
      <c r="AP279" s="91">
        <f t="shared" si="133"/>
        <v>-527.75861673409088</v>
      </c>
      <c r="AQ279" s="91">
        <f t="shared" si="134"/>
        <v>-527.75861673409088</v>
      </c>
      <c r="AV279" s="84"/>
    </row>
    <row r="280" spans="1:48">
      <c r="A280" s="190">
        <f t="shared" si="124"/>
        <v>82.554243668720048</v>
      </c>
      <c r="B280" s="82">
        <f t="shared" si="125"/>
        <v>17</v>
      </c>
      <c r="C280" s="83">
        <f t="shared" si="126"/>
        <v>202</v>
      </c>
      <c r="D280" s="14">
        <f t="shared" si="113"/>
        <v>4.8675505653430484E-3</v>
      </c>
      <c r="E280" s="16">
        <f t="shared" si="114"/>
        <v>0</v>
      </c>
      <c r="F280" s="127"/>
      <c r="G280" s="88">
        <f t="shared" si="115"/>
        <v>0</v>
      </c>
      <c r="H280" s="89">
        <f t="shared" si="127"/>
        <v>4.1666666666666666E-3</v>
      </c>
      <c r="I280" s="219"/>
      <c r="J280" s="219"/>
      <c r="K280" s="6">
        <f t="shared" si="135"/>
        <v>85950.266697959276</v>
      </c>
      <c r="M280" s="6">
        <f t="shared" si="116"/>
        <v>418.36726925703744</v>
      </c>
      <c r="N280" s="6">
        <f t="shared" si="128"/>
        <v>-97.350991424642444</v>
      </c>
      <c r="O280" s="90">
        <f t="shared" si="117"/>
        <v>457.59523503020398</v>
      </c>
      <c r="P280" s="91">
        <f t="shared" si="118"/>
        <v>0</v>
      </c>
      <c r="Q280" s="6">
        <f t="shared" si="119"/>
        <v>359.46367906579866</v>
      </c>
      <c r="R280" s="87">
        <f t="shared" si="106"/>
        <v>-527.52253896410241</v>
      </c>
      <c r="S280" s="6">
        <f t="shared" si="120"/>
        <v>-17.905320278550878</v>
      </c>
      <c r="T280" s="83">
        <f t="shared" si="129"/>
        <v>0</v>
      </c>
      <c r="U280" s="91">
        <f t="shared" si="136"/>
        <v>123839.97620967681</v>
      </c>
      <c r="V280" s="91">
        <f t="shared" si="130"/>
        <v>602.79734621148202</v>
      </c>
      <c r="W280" s="1">
        <f t="shared" si="137"/>
        <v>0</v>
      </c>
      <c r="X280" s="1">
        <f t="shared" si="137"/>
        <v>0</v>
      </c>
      <c r="Y280" s="1">
        <f t="shared" si="137"/>
        <v>0</v>
      </c>
      <c r="Z280" s="1">
        <f t="shared" si="137"/>
        <v>0</v>
      </c>
      <c r="AA280" s="1">
        <f t="shared" si="137"/>
        <v>0</v>
      </c>
      <c r="AB280" s="1">
        <f t="shared" si="137"/>
        <v>0</v>
      </c>
      <c r="AC280" s="1">
        <f t="shared" si="137"/>
        <v>0</v>
      </c>
      <c r="AD280" s="1">
        <f t="shared" si="137"/>
        <v>1</v>
      </c>
      <c r="AE280" s="1">
        <f t="shared" si="137"/>
        <v>1</v>
      </c>
      <c r="AF280" s="1">
        <f t="shared" si="137"/>
        <v>1</v>
      </c>
      <c r="AG280" s="1">
        <f t="shared" si="137"/>
        <v>1</v>
      </c>
      <c r="AH280" s="1">
        <f t="shared" si="137"/>
        <v>1</v>
      </c>
      <c r="AI280" s="44">
        <f t="shared" si="131"/>
        <v>85743.760436827579</v>
      </c>
      <c r="AJ280" s="44">
        <f t="shared" si="121"/>
        <v>86271.282975791677</v>
      </c>
      <c r="AK280" s="44" t="str">
        <f t="shared" si="107"/>
        <v>N</v>
      </c>
      <c r="AL280" s="4">
        <f t="shared" si="122"/>
        <v>202</v>
      </c>
      <c r="AM280" s="82">
        <f t="shared" si="132"/>
        <v>0</v>
      </c>
      <c r="AN280" s="82">
        <f t="shared" si="123"/>
        <v>0</v>
      </c>
      <c r="AO280" s="48">
        <f>0</f>
        <v>0</v>
      </c>
      <c r="AP280" s="91">
        <f t="shared" si="133"/>
        <v>-527.52253896410241</v>
      </c>
      <c r="AQ280" s="91">
        <f t="shared" si="134"/>
        <v>-527.52253896410241</v>
      </c>
      <c r="AV280" s="84"/>
    </row>
    <row r="281" spans="1:48">
      <c r="A281" s="190">
        <f t="shared" si="124"/>
        <v>82.637577002053376</v>
      </c>
      <c r="B281" s="82">
        <f t="shared" si="125"/>
        <v>17</v>
      </c>
      <c r="C281" s="83">
        <f t="shared" si="126"/>
        <v>203</v>
      </c>
      <c r="D281" s="14">
        <f t="shared" si="113"/>
        <v>4.8675505653430484E-3</v>
      </c>
      <c r="E281" s="16">
        <f t="shared" si="114"/>
        <v>0</v>
      </c>
      <c r="F281" s="127"/>
      <c r="G281" s="88">
        <f t="shared" si="115"/>
        <v>0</v>
      </c>
      <c r="H281" s="89">
        <f t="shared" si="127"/>
        <v>4.1666666666666666E-3</v>
      </c>
      <c r="I281" s="219"/>
      <c r="J281" s="219"/>
      <c r="K281" s="6">
        <f t="shared" si="135"/>
        <v>85743.760436827579</v>
      </c>
      <c r="M281" s="6">
        <f t="shared" si="116"/>
        <v>417.36208958891899</v>
      </c>
      <c r="N281" s="6">
        <f t="shared" si="128"/>
        <v>-97.117093497051215</v>
      </c>
      <c r="O281" s="90">
        <f t="shared" si="117"/>
        <v>457.59523503020398</v>
      </c>
      <c r="P281" s="91">
        <f t="shared" si="118"/>
        <v>0</v>
      </c>
      <c r="Q281" s="6">
        <f t="shared" si="119"/>
        <v>358.60002263716433</v>
      </c>
      <c r="R281" s="87">
        <f t="shared" si="106"/>
        <v>-527.28656679677351</v>
      </c>
      <c r="S281" s="6">
        <f t="shared" si="120"/>
        <v>-17.862192940325414</v>
      </c>
      <c r="T281" s="83">
        <f t="shared" si="129"/>
        <v>0</v>
      </c>
      <c r="U281" s="91">
        <f t="shared" si="136"/>
        <v>123915.25101692419</v>
      </c>
      <c r="V281" s="91">
        <f t="shared" si="130"/>
        <v>603.16375014205505</v>
      </c>
      <c r="W281" s="1">
        <f t="shared" si="137"/>
        <v>0</v>
      </c>
      <c r="X281" s="1">
        <f t="shared" si="137"/>
        <v>0</v>
      </c>
      <c r="Y281" s="1">
        <f t="shared" si="137"/>
        <v>0</v>
      </c>
      <c r="Z281" s="1">
        <f t="shared" si="137"/>
        <v>0</v>
      </c>
      <c r="AA281" s="1">
        <f t="shared" si="137"/>
        <v>0</v>
      </c>
      <c r="AB281" s="1">
        <f t="shared" si="137"/>
        <v>0</v>
      </c>
      <c r="AC281" s="1">
        <f t="shared" si="137"/>
        <v>0</v>
      </c>
      <c r="AD281" s="1">
        <f t="shared" si="137"/>
        <v>1</v>
      </c>
      <c r="AE281" s="1">
        <f t="shared" si="137"/>
        <v>1</v>
      </c>
      <c r="AF281" s="1">
        <f t="shared" si="137"/>
        <v>1</v>
      </c>
      <c r="AG281" s="1">
        <f t="shared" si="137"/>
        <v>1</v>
      </c>
      <c r="AH281" s="1">
        <f t="shared" si="137"/>
        <v>1</v>
      </c>
      <c r="AI281" s="44">
        <f t="shared" si="131"/>
        <v>85536.718866122668</v>
      </c>
      <c r="AJ281" s="44">
        <f t="shared" si="121"/>
        <v>86064.005432919439</v>
      </c>
      <c r="AK281" s="44" t="str">
        <f t="shared" si="107"/>
        <v>N</v>
      </c>
      <c r="AL281" s="4">
        <f t="shared" si="122"/>
        <v>203</v>
      </c>
      <c r="AM281" s="82">
        <f t="shared" si="132"/>
        <v>0</v>
      </c>
      <c r="AN281" s="82">
        <f t="shared" si="123"/>
        <v>0</v>
      </c>
      <c r="AO281" s="48">
        <f>0</f>
        <v>0</v>
      </c>
      <c r="AP281" s="91">
        <f t="shared" si="133"/>
        <v>-527.28656679677351</v>
      </c>
      <c r="AQ281" s="91">
        <f t="shared" si="134"/>
        <v>-527.28656679677351</v>
      </c>
      <c r="AV281" s="84"/>
    </row>
    <row r="282" spans="1:48">
      <c r="A282" s="190">
        <f t="shared" si="124"/>
        <v>82.720910335386719</v>
      </c>
      <c r="B282" s="82">
        <f t="shared" si="125"/>
        <v>17</v>
      </c>
      <c r="C282" s="83">
        <f t="shared" si="126"/>
        <v>204</v>
      </c>
      <c r="D282" s="14">
        <f t="shared" si="113"/>
        <v>4.8675505653430484E-3</v>
      </c>
      <c r="E282" s="16">
        <f t="shared" si="114"/>
        <v>0</v>
      </c>
      <c r="F282" s="127"/>
      <c r="G282" s="88">
        <f t="shared" si="115"/>
        <v>0</v>
      </c>
      <c r="H282" s="89">
        <f t="shared" si="127"/>
        <v>4.1666666666666666E-3</v>
      </c>
      <c r="I282" s="219"/>
      <c r="J282" s="219"/>
      <c r="K282" s="6">
        <f t="shared" si="135"/>
        <v>85536.718866122668</v>
      </c>
      <c r="M282" s="6">
        <f t="shared" si="116"/>
        <v>416.35430427438479</v>
      </c>
      <c r="N282" s="6">
        <f t="shared" si="128"/>
        <v>-96.882589254672695</v>
      </c>
      <c r="O282" s="90">
        <f t="shared" si="117"/>
        <v>457.59523503020398</v>
      </c>
      <c r="P282" s="91">
        <f t="shared" si="118"/>
        <v>0</v>
      </c>
      <c r="Q282" s="6">
        <f t="shared" si="119"/>
        <v>357.73412742142659</v>
      </c>
      <c r="R282" s="87">
        <f t="shared" si="106"/>
        <v>-527.0507001848656</v>
      </c>
      <c r="S282" s="6">
        <f t="shared" si="120"/>
        <v>-17.818953731770442</v>
      </c>
      <c r="T282" s="83">
        <f t="shared" si="129"/>
        <v>0</v>
      </c>
      <c r="U282" s="91">
        <f t="shared" si="136"/>
        <v>123991.12820026946</v>
      </c>
      <c r="V282" s="91">
        <f t="shared" si="130"/>
        <v>603.53308616874403</v>
      </c>
      <c r="W282" s="1">
        <f t="shared" si="137"/>
        <v>0</v>
      </c>
      <c r="X282" s="1">
        <f t="shared" si="137"/>
        <v>0</v>
      </c>
      <c r="Y282" s="1">
        <f t="shared" si="137"/>
        <v>0</v>
      </c>
      <c r="Z282" s="1">
        <f t="shared" si="137"/>
        <v>0</v>
      </c>
      <c r="AA282" s="1">
        <f t="shared" si="137"/>
        <v>0</v>
      </c>
      <c r="AB282" s="1">
        <f t="shared" si="137"/>
        <v>0</v>
      </c>
      <c r="AC282" s="1">
        <f t="shared" si="137"/>
        <v>0</v>
      </c>
      <c r="AD282" s="1">
        <f t="shared" si="137"/>
        <v>1</v>
      </c>
      <c r="AE282" s="1">
        <f t="shared" si="137"/>
        <v>1</v>
      </c>
      <c r="AF282" s="1">
        <f t="shared" si="137"/>
        <v>1</v>
      </c>
      <c r="AG282" s="1">
        <f t="shared" si="137"/>
        <v>1</v>
      </c>
      <c r="AH282" s="1">
        <f t="shared" si="137"/>
        <v>1</v>
      </c>
      <c r="AI282" s="44">
        <f t="shared" si="131"/>
        <v>85329.139880957518</v>
      </c>
      <c r="AJ282" s="44">
        <f t="shared" si="121"/>
        <v>85856.190581142379</v>
      </c>
      <c r="AK282" s="44" t="str">
        <f t="shared" si="107"/>
        <v>N</v>
      </c>
      <c r="AL282" s="4">
        <f t="shared" si="122"/>
        <v>204</v>
      </c>
      <c r="AM282" s="82">
        <f t="shared" si="132"/>
        <v>0</v>
      </c>
      <c r="AN282" s="82">
        <f t="shared" si="123"/>
        <v>0</v>
      </c>
      <c r="AO282" s="48">
        <f>0</f>
        <v>0</v>
      </c>
      <c r="AP282" s="91">
        <f t="shared" si="133"/>
        <v>-527.0507001848656</v>
      </c>
      <c r="AQ282" s="91">
        <f t="shared" si="134"/>
        <v>-527.0507001848656</v>
      </c>
      <c r="AV282" s="84"/>
    </row>
    <row r="283" spans="1:48">
      <c r="A283" s="190">
        <f t="shared" si="124"/>
        <v>82.804243668720048</v>
      </c>
      <c r="B283" s="82">
        <f t="shared" si="125"/>
        <v>18</v>
      </c>
      <c r="C283" s="83">
        <f t="shared" si="126"/>
        <v>205</v>
      </c>
      <c r="D283" s="14">
        <f t="shared" si="113"/>
        <v>4.8675505653430484E-3</v>
      </c>
      <c r="E283" s="16">
        <f t="shared" si="114"/>
        <v>0</v>
      </c>
      <c r="F283" s="127"/>
      <c r="G283" s="88">
        <f t="shared" si="115"/>
        <v>0</v>
      </c>
      <c r="H283" s="89">
        <f t="shared" si="127"/>
        <v>4.1666666666666666E-3</v>
      </c>
      <c r="I283" s="219"/>
      <c r="J283" s="219"/>
      <c r="K283" s="6">
        <f t="shared" si="135"/>
        <v>85329.139880957518</v>
      </c>
      <c r="M283" s="6">
        <f t="shared" si="116"/>
        <v>415.34390306779085</v>
      </c>
      <c r="N283" s="6">
        <f t="shared" si="128"/>
        <v>-96.647476313420711</v>
      </c>
      <c r="O283" s="90">
        <f t="shared" si="117"/>
        <v>466.7471397308081</v>
      </c>
      <c r="P283" s="91">
        <f t="shared" si="118"/>
        <v>0</v>
      </c>
      <c r="Q283" s="6">
        <f t="shared" si="119"/>
        <v>356.86598461546618</v>
      </c>
      <c r="R283" s="87">
        <f t="shared" si="106"/>
        <v>-526.81493908116181</v>
      </c>
      <c r="S283" s="6">
        <f t="shared" si="120"/>
        <v>-17.775602213049623</v>
      </c>
      <c r="T283" s="83">
        <f t="shared" si="129"/>
        <v>0</v>
      </c>
      <c r="U283" s="91">
        <f t="shared" si="136"/>
        <v>124067.61058625334</v>
      </c>
      <c r="V283" s="91">
        <f t="shared" si="130"/>
        <v>603.90536804987869</v>
      </c>
      <c r="W283" s="1">
        <f t="shared" si="137"/>
        <v>0</v>
      </c>
      <c r="X283" s="1">
        <f t="shared" si="137"/>
        <v>0</v>
      </c>
      <c r="Y283" s="1">
        <f t="shared" si="137"/>
        <v>0</v>
      </c>
      <c r="Z283" s="1">
        <f t="shared" si="137"/>
        <v>0</v>
      </c>
      <c r="AA283" s="1">
        <f t="shared" si="137"/>
        <v>0</v>
      </c>
      <c r="AB283" s="1">
        <f t="shared" si="137"/>
        <v>0</v>
      </c>
      <c r="AC283" s="1">
        <f t="shared" si="137"/>
        <v>0</v>
      </c>
      <c r="AD283" s="1">
        <f t="shared" si="137"/>
        <v>1</v>
      </c>
      <c r="AE283" s="1">
        <f t="shared" si="137"/>
        <v>1</v>
      </c>
      <c r="AF283" s="1">
        <f t="shared" si="137"/>
        <v>1</v>
      </c>
      <c r="AG283" s="1">
        <f t="shared" si="137"/>
        <v>1</v>
      </c>
      <c r="AH283" s="1">
        <f t="shared" si="137"/>
        <v>1</v>
      </c>
      <c r="AI283" s="44">
        <f t="shared" si="131"/>
        <v>85121.021368630725</v>
      </c>
      <c r="AJ283" s="44">
        <f t="shared" si="121"/>
        <v>85647.836307711885</v>
      </c>
      <c r="AK283" s="44" t="str">
        <f t="shared" si="107"/>
        <v>N</v>
      </c>
      <c r="AL283" s="4">
        <f t="shared" si="122"/>
        <v>205</v>
      </c>
      <c r="AM283" s="82">
        <f t="shared" si="132"/>
        <v>0</v>
      </c>
      <c r="AN283" s="82">
        <f t="shared" si="123"/>
        <v>0</v>
      </c>
      <c r="AO283" s="48">
        <f>0</f>
        <v>0</v>
      </c>
      <c r="AP283" s="91">
        <f t="shared" si="133"/>
        <v>-526.81493908116181</v>
      </c>
      <c r="AQ283" s="91">
        <f t="shared" si="134"/>
        <v>-526.81493908116181</v>
      </c>
      <c r="AV283" s="84"/>
    </row>
    <row r="284" spans="1:48">
      <c r="A284" s="190">
        <f t="shared" si="124"/>
        <v>82.887577002053376</v>
      </c>
      <c r="B284" s="82">
        <f t="shared" si="125"/>
        <v>18</v>
      </c>
      <c r="C284" s="83">
        <f t="shared" si="126"/>
        <v>206</v>
      </c>
      <c r="D284" s="14">
        <f t="shared" si="113"/>
        <v>4.8675505653430484E-3</v>
      </c>
      <c r="E284" s="16">
        <f t="shared" si="114"/>
        <v>0</v>
      </c>
      <c r="F284" s="127"/>
      <c r="G284" s="88">
        <f t="shared" si="115"/>
        <v>0</v>
      </c>
      <c r="H284" s="89">
        <f t="shared" si="127"/>
        <v>4.1666666666666666E-3</v>
      </c>
      <c r="I284" s="219"/>
      <c r="J284" s="219"/>
      <c r="K284" s="6">
        <f t="shared" si="135"/>
        <v>85121.021368630725</v>
      </c>
      <c r="M284" s="6">
        <f t="shared" si="116"/>
        <v>414.33087568545619</v>
      </c>
      <c r="N284" s="6">
        <f t="shared" si="128"/>
        <v>-96.411752280358286</v>
      </c>
      <c r="O284" s="90">
        <f t="shared" si="117"/>
        <v>466.7471397308081</v>
      </c>
      <c r="P284" s="91">
        <f t="shared" si="118"/>
        <v>0</v>
      </c>
      <c r="Q284" s="6">
        <f t="shared" si="119"/>
        <v>355.99558538348259</v>
      </c>
      <c r="R284" s="87">
        <f t="shared" ref="R284:R347" si="138">-MIN(MAX(O284,P284,Q284,-R272*1.02),AJ284)</f>
        <v>-526.57928343846584</v>
      </c>
      <c r="S284" s="6">
        <f t="shared" si="120"/>
        <v>-17.732137942693736</v>
      </c>
      <c r="T284" s="83">
        <f t="shared" si="129"/>
        <v>0</v>
      </c>
      <c r="U284" s="91">
        <f t="shared" si="136"/>
        <v>124144.70101522206</v>
      </c>
      <c r="V284" s="91">
        <f t="shared" si="130"/>
        <v>604.28060961098788</v>
      </c>
      <c r="W284" s="1">
        <f t="shared" si="137"/>
        <v>0</v>
      </c>
      <c r="X284" s="1">
        <f t="shared" si="137"/>
        <v>0</v>
      </c>
      <c r="Y284" s="1">
        <f t="shared" si="137"/>
        <v>0</v>
      </c>
      <c r="Z284" s="1">
        <f t="shared" si="137"/>
        <v>0</v>
      </c>
      <c r="AA284" s="1">
        <f t="shared" si="137"/>
        <v>0</v>
      </c>
      <c r="AB284" s="1">
        <f t="shared" si="137"/>
        <v>0</v>
      </c>
      <c r="AC284" s="1">
        <f t="shared" si="137"/>
        <v>0</v>
      </c>
      <c r="AD284" s="1">
        <f t="shared" si="137"/>
        <v>1</v>
      </c>
      <c r="AE284" s="1">
        <f t="shared" si="137"/>
        <v>1</v>
      </c>
      <c r="AF284" s="1">
        <f t="shared" si="137"/>
        <v>1</v>
      </c>
      <c r="AG284" s="1">
        <f t="shared" si="137"/>
        <v>1</v>
      </c>
      <c r="AH284" s="1">
        <f t="shared" si="137"/>
        <v>1</v>
      </c>
      <c r="AI284" s="44">
        <f t="shared" si="131"/>
        <v>84912.361208597358</v>
      </c>
      <c r="AJ284" s="44">
        <f t="shared" si="121"/>
        <v>85438.940492035821</v>
      </c>
      <c r="AK284" s="44" t="str">
        <f t="shared" ref="AK284:AK347" si="139">IF(R284=0,0,IF(R284&gt;R272,"Y","N"))</f>
        <v>N</v>
      </c>
      <c r="AL284" s="4">
        <f t="shared" si="122"/>
        <v>206</v>
      </c>
      <c r="AM284" s="82">
        <f t="shared" si="132"/>
        <v>0</v>
      </c>
      <c r="AN284" s="82">
        <f t="shared" si="123"/>
        <v>0</v>
      </c>
      <c r="AO284" s="48">
        <f>0</f>
        <v>0</v>
      </c>
      <c r="AP284" s="91">
        <f t="shared" si="133"/>
        <v>-526.57928343846584</v>
      </c>
      <c r="AQ284" s="91">
        <f t="shared" si="134"/>
        <v>-526.57928343846584</v>
      </c>
      <c r="AV284" s="84"/>
    </row>
    <row r="285" spans="1:48">
      <c r="A285" s="190">
        <f t="shared" si="124"/>
        <v>82.970910335386719</v>
      </c>
      <c r="B285" s="82">
        <f t="shared" si="125"/>
        <v>18</v>
      </c>
      <c r="C285" s="83">
        <f t="shared" si="126"/>
        <v>207</v>
      </c>
      <c r="D285" s="14">
        <f t="shared" si="113"/>
        <v>4.8675505653430484E-3</v>
      </c>
      <c r="E285" s="16">
        <f t="shared" si="114"/>
        <v>0</v>
      </c>
      <c r="F285" s="127"/>
      <c r="G285" s="88">
        <f t="shared" si="115"/>
        <v>0</v>
      </c>
      <c r="H285" s="89">
        <f t="shared" si="127"/>
        <v>4.1666666666666666E-3</v>
      </c>
      <c r="I285" s="219"/>
      <c r="J285" s="219"/>
      <c r="K285" s="6">
        <f t="shared" si="135"/>
        <v>84912.361208597358</v>
      </c>
      <c r="M285" s="6">
        <f t="shared" si="116"/>
        <v>413.31521180552119</v>
      </c>
      <c r="N285" s="6">
        <f t="shared" si="128"/>
        <v>-96.175414753664413</v>
      </c>
      <c r="O285" s="90">
        <f t="shared" si="117"/>
        <v>466.7471397308081</v>
      </c>
      <c r="P285" s="91">
        <f t="shared" si="118"/>
        <v>0</v>
      </c>
      <c r="Q285" s="6">
        <f t="shared" si="119"/>
        <v>355.1229208568717</v>
      </c>
      <c r="R285" s="87">
        <f t="shared" si="138"/>
        <v>-526.34373320960265</v>
      </c>
      <c r="S285" s="6">
        <f t="shared" si="120"/>
        <v>-17.688560477594528</v>
      </c>
      <c r="T285" s="83">
        <f t="shared" si="129"/>
        <v>0</v>
      </c>
      <c r="U285" s="91">
        <f t="shared" si="136"/>
        <v>124222.40234139458</v>
      </c>
      <c r="V285" s="91">
        <f t="shared" si="130"/>
        <v>604.65882474512682</v>
      </c>
      <c r="W285" s="1">
        <f t="shared" si="137"/>
        <v>0</v>
      </c>
      <c r="X285" s="1">
        <f t="shared" si="137"/>
        <v>0</v>
      </c>
      <c r="Y285" s="1">
        <f t="shared" si="137"/>
        <v>0</v>
      </c>
      <c r="Z285" s="1">
        <f t="shared" si="137"/>
        <v>0</v>
      </c>
      <c r="AA285" s="1">
        <f t="shared" si="137"/>
        <v>0</v>
      </c>
      <c r="AB285" s="1">
        <f t="shared" si="137"/>
        <v>0</v>
      </c>
      <c r="AC285" s="1">
        <f t="shared" si="137"/>
        <v>0</v>
      </c>
      <c r="AD285" s="1">
        <f t="shared" si="137"/>
        <v>1</v>
      </c>
      <c r="AE285" s="1">
        <f t="shared" si="137"/>
        <v>1</v>
      </c>
      <c r="AF285" s="1">
        <f t="shared" si="137"/>
        <v>1</v>
      </c>
      <c r="AG285" s="1">
        <f t="shared" si="137"/>
        <v>1</v>
      </c>
      <c r="AH285" s="1">
        <f t="shared" si="137"/>
        <v>1</v>
      </c>
      <c r="AI285" s="44">
        <f t="shared" si="131"/>
        <v>84703.157272439596</v>
      </c>
      <c r="AJ285" s="44">
        <f t="shared" si="121"/>
        <v>85229.501005649203</v>
      </c>
      <c r="AK285" s="44" t="str">
        <f t="shared" si="139"/>
        <v>N</v>
      </c>
      <c r="AL285" s="4">
        <f t="shared" si="122"/>
        <v>207</v>
      </c>
      <c r="AM285" s="82">
        <f t="shared" si="132"/>
        <v>0</v>
      </c>
      <c r="AN285" s="82">
        <f t="shared" si="123"/>
        <v>0</v>
      </c>
      <c r="AO285" s="48">
        <f>0</f>
        <v>0</v>
      </c>
      <c r="AP285" s="91">
        <f t="shared" si="133"/>
        <v>-526.34373320960265</v>
      </c>
      <c r="AQ285" s="91">
        <f t="shared" si="134"/>
        <v>-526.34373320960265</v>
      </c>
      <c r="AV285" s="84"/>
    </row>
    <row r="286" spans="1:48">
      <c r="A286" s="190">
        <f t="shared" si="124"/>
        <v>83.054243668720048</v>
      </c>
      <c r="B286" s="82">
        <f t="shared" si="125"/>
        <v>18</v>
      </c>
      <c r="C286" s="83">
        <f t="shared" si="126"/>
        <v>208</v>
      </c>
      <c r="D286" s="14">
        <f t="shared" si="113"/>
        <v>4.8675505653430484E-3</v>
      </c>
      <c r="E286" s="16">
        <f t="shared" si="114"/>
        <v>0</v>
      </c>
      <c r="F286" s="127"/>
      <c r="G286" s="88">
        <f t="shared" si="115"/>
        <v>0</v>
      </c>
      <c r="H286" s="89">
        <f t="shared" si="127"/>
        <v>4.1666666666666666E-3</v>
      </c>
      <c r="I286" s="219"/>
      <c r="J286" s="219"/>
      <c r="K286" s="6">
        <f t="shared" si="135"/>
        <v>84703.157272439596</v>
      </c>
      <c r="M286" s="6">
        <f t="shared" si="116"/>
        <v>412.29690106780447</v>
      </c>
      <c r="N286" s="6">
        <f t="shared" si="128"/>
        <v>-95.938461322601015</v>
      </c>
      <c r="O286" s="90">
        <f t="shared" si="117"/>
        <v>466.7471397308081</v>
      </c>
      <c r="P286" s="91">
        <f t="shared" si="118"/>
        <v>0</v>
      </c>
      <c r="Q286" s="6">
        <f t="shared" si="119"/>
        <v>354.24798213410332</v>
      </c>
      <c r="R286" s="87">
        <f t="shared" si="138"/>
        <v>-539.5194031043219</v>
      </c>
      <c r="S286" s="6">
        <f t="shared" si="120"/>
        <v>-17.643470778597742</v>
      </c>
      <c r="T286" s="83">
        <f t="shared" si="129"/>
        <v>0</v>
      </c>
      <c r="U286" s="91">
        <f t="shared" si="136"/>
        <v>124300.71743293011</v>
      </c>
      <c r="V286" s="91">
        <f t="shared" si="130"/>
        <v>605.04002741320539</v>
      </c>
      <c r="W286" s="1">
        <f t="shared" si="137"/>
        <v>0</v>
      </c>
      <c r="X286" s="1">
        <f t="shared" si="137"/>
        <v>0</v>
      </c>
      <c r="Y286" s="1">
        <f t="shared" si="137"/>
        <v>0</v>
      </c>
      <c r="Z286" s="1">
        <f t="shared" si="137"/>
        <v>0</v>
      </c>
      <c r="AA286" s="1">
        <f t="shared" si="137"/>
        <v>0</v>
      </c>
      <c r="AB286" s="1">
        <f t="shared" si="137"/>
        <v>0</v>
      </c>
      <c r="AC286" s="1">
        <f t="shared" si="137"/>
        <v>0</v>
      </c>
      <c r="AD286" s="1">
        <f t="shared" si="137"/>
        <v>1</v>
      </c>
      <c r="AE286" s="1">
        <f t="shared" si="137"/>
        <v>1</v>
      </c>
      <c r="AF286" s="1">
        <f t="shared" si="137"/>
        <v>1</v>
      </c>
      <c r="AG286" s="1">
        <f t="shared" si="137"/>
        <v>1</v>
      </c>
      <c r="AH286" s="1">
        <f t="shared" si="137"/>
        <v>1</v>
      </c>
      <c r="AI286" s="44">
        <f t="shared" si="131"/>
        <v>84479.996309080481</v>
      </c>
      <c r="AJ286" s="44">
        <f t="shared" si="121"/>
        <v>85019.515712184802</v>
      </c>
      <c r="AK286" s="44" t="str">
        <f t="shared" si="139"/>
        <v>N</v>
      </c>
      <c r="AL286" s="4">
        <f t="shared" si="122"/>
        <v>208</v>
      </c>
      <c r="AM286" s="82">
        <f t="shared" si="132"/>
        <v>0</v>
      </c>
      <c r="AN286" s="82">
        <f t="shared" si="123"/>
        <v>0</v>
      </c>
      <c r="AO286" s="48">
        <f>0</f>
        <v>0</v>
      </c>
      <c r="AP286" s="91">
        <f t="shared" si="133"/>
        <v>-539.5194031043219</v>
      </c>
      <c r="AQ286" s="91">
        <f t="shared" si="134"/>
        <v>-539.5194031043219</v>
      </c>
      <c r="AV286" s="84"/>
    </row>
    <row r="287" spans="1:48">
      <c r="A287" s="190">
        <f t="shared" si="124"/>
        <v>83.137577002053376</v>
      </c>
      <c r="B287" s="82">
        <f t="shared" si="125"/>
        <v>18</v>
      </c>
      <c r="C287" s="83">
        <f t="shared" si="126"/>
        <v>209</v>
      </c>
      <c r="D287" s="14">
        <f t="shared" si="113"/>
        <v>4.8675505653430484E-3</v>
      </c>
      <c r="E287" s="16">
        <f t="shared" si="114"/>
        <v>0</v>
      </c>
      <c r="F287" s="127"/>
      <c r="G287" s="88">
        <f t="shared" si="115"/>
        <v>0</v>
      </c>
      <c r="H287" s="89">
        <f t="shared" si="127"/>
        <v>4.1666666666666666E-3</v>
      </c>
      <c r="I287" s="219"/>
      <c r="J287" s="219"/>
      <c r="K287" s="6">
        <f t="shared" si="135"/>
        <v>84479.996309080481</v>
      </c>
      <c r="M287" s="6">
        <f t="shared" si="116"/>
        <v>411.21065379444332</v>
      </c>
      <c r="N287" s="6">
        <f t="shared" si="128"/>
        <v>-95.68569955856097</v>
      </c>
      <c r="O287" s="90">
        <f t="shared" si="117"/>
        <v>466.7471397308081</v>
      </c>
      <c r="P287" s="91">
        <f t="shared" si="118"/>
        <v>0</v>
      </c>
      <c r="Q287" s="6">
        <f t="shared" si="119"/>
        <v>353.31467193048491</v>
      </c>
      <c r="R287" s="87">
        <f t="shared" si="138"/>
        <v>-539.27806448186891</v>
      </c>
      <c r="S287" s="6">
        <f t="shared" si="120"/>
        <v>-17.596863801299637</v>
      </c>
      <c r="T287" s="83">
        <f t="shared" si="129"/>
        <v>0</v>
      </c>
      <c r="U287" s="91">
        <f t="shared" si="136"/>
        <v>124366.238057239</v>
      </c>
      <c r="V287" s="91">
        <f t="shared" si="130"/>
        <v>605.3589523651018</v>
      </c>
      <c r="W287" s="1">
        <f t="shared" si="137"/>
        <v>0</v>
      </c>
      <c r="X287" s="1">
        <f t="shared" si="137"/>
        <v>0</v>
      </c>
      <c r="Y287" s="1">
        <f t="shared" si="137"/>
        <v>0</v>
      </c>
      <c r="Z287" s="1">
        <f t="shared" si="137"/>
        <v>0</v>
      </c>
      <c r="AA287" s="1">
        <f t="shared" si="137"/>
        <v>0</v>
      </c>
      <c r="AB287" s="1">
        <f t="shared" si="137"/>
        <v>0</v>
      </c>
      <c r="AC287" s="1">
        <f t="shared" si="137"/>
        <v>0</v>
      </c>
      <c r="AD287" s="1">
        <f t="shared" si="137"/>
        <v>1</v>
      </c>
      <c r="AE287" s="1">
        <f t="shared" si="137"/>
        <v>1</v>
      </c>
      <c r="AF287" s="1">
        <f t="shared" si="137"/>
        <v>1</v>
      </c>
      <c r="AG287" s="1">
        <f t="shared" si="137"/>
        <v>1</v>
      </c>
      <c r="AH287" s="1">
        <f t="shared" si="137"/>
        <v>1</v>
      </c>
      <c r="AI287" s="44">
        <f t="shared" si="131"/>
        <v>84256.243198834505</v>
      </c>
      <c r="AJ287" s="44">
        <f t="shared" si="121"/>
        <v>84795.521263316376</v>
      </c>
      <c r="AK287" s="44" t="str">
        <f t="shared" si="139"/>
        <v>N</v>
      </c>
      <c r="AL287" s="4">
        <f t="shared" si="122"/>
        <v>209</v>
      </c>
      <c r="AM287" s="82">
        <f t="shared" si="132"/>
        <v>0</v>
      </c>
      <c r="AN287" s="82">
        <f t="shared" si="123"/>
        <v>0</v>
      </c>
      <c r="AO287" s="48">
        <f>0</f>
        <v>0</v>
      </c>
      <c r="AP287" s="91">
        <f t="shared" si="133"/>
        <v>-539.27806448186891</v>
      </c>
      <c r="AQ287" s="91">
        <f t="shared" si="134"/>
        <v>-539.27806448186891</v>
      </c>
      <c r="AV287" s="84"/>
    </row>
    <row r="288" spans="1:48">
      <c r="A288" s="190">
        <f t="shared" si="124"/>
        <v>83.220910335386719</v>
      </c>
      <c r="B288" s="82">
        <f t="shared" si="125"/>
        <v>18</v>
      </c>
      <c r="C288" s="83">
        <f t="shared" si="126"/>
        <v>210</v>
      </c>
      <c r="D288" s="14">
        <f t="shared" si="113"/>
        <v>4.8675505653430484E-3</v>
      </c>
      <c r="E288" s="16">
        <f t="shared" si="114"/>
        <v>0</v>
      </c>
      <c r="F288" s="127"/>
      <c r="G288" s="88">
        <f t="shared" si="115"/>
        <v>0</v>
      </c>
      <c r="H288" s="89">
        <f t="shared" si="127"/>
        <v>4.1666666666666666E-3</v>
      </c>
      <c r="I288" s="219"/>
      <c r="J288" s="219"/>
      <c r="K288" s="6">
        <f t="shared" si="135"/>
        <v>84256.243198834505</v>
      </c>
      <c r="M288" s="6">
        <f t="shared" si="116"/>
        <v>410.12152421616827</v>
      </c>
      <c r="N288" s="6">
        <f t="shared" si="128"/>
        <v>-95.432267103332663</v>
      </c>
      <c r="O288" s="90">
        <f t="shared" si="117"/>
        <v>466.7471397308081</v>
      </c>
      <c r="P288" s="91">
        <f t="shared" si="118"/>
        <v>0</v>
      </c>
      <c r="Q288" s="6">
        <f t="shared" si="119"/>
        <v>352.37888523311392</v>
      </c>
      <c r="R288" s="87">
        <f t="shared" si="138"/>
        <v>-539.03683381536769</v>
      </c>
      <c r="S288" s="6">
        <f t="shared" si="120"/>
        <v>-17.550133076586931</v>
      </c>
      <c r="T288" s="83">
        <f t="shared" si="129"/>
        <v>0</v>
      </c>
      <c r="U288" s="91">
        <f t="shared" si="136"/>
        <v>124432.31894512223</v>
      </c>
      <c r="V288" s="91">
        <f t="shared" si="130"/>
        <v>605.68060442827618</v>
      </c>
      <c r="W288" s="1">
        <f t="shared" si="137"/>
        <v>0</v>
      </c>
      <c r="X288" s="1">
        <f t="shared" si="137"/>
        <v>0</v>
      </c>
      <c r="Y288" s="1">
        <f t="shared" si="137"/>
        <v>0</v>
      </c>
      <c r="Z288" s="1">
        <f t="shared" si="137"/>
        <v>0</v>
      </c>
      <c r="AA288" s="1">
        <f t="shared" si="137"/>
        <v>0</v>
      </c>
      <c r="AB288" s="1">
        <f t="shared" si="137"/>
        <v>0</v>
      </c>
      <c r="AC288" s="1">
        <f t="shared" si="137"/>
        <v>0</v>
      </c>
      <c r="AD288" s="1">
        <f t="shared" si="137"/>
        <v>1</v>
      </c>
      <c r="AE288" s="1">
        <f t="shared" si="137"/>
        <v>1</v>
      </c>
      <c r="AF288" s="1">
        <f t="shared" si="137"/>
        <v>1</v>
      </c>
      <c r="AG288" s="1">
        <f t="shared" si="137"/>
        <v>1</v>
      </c>
      <c r="AH288" s="1">
        <f t="shared" si="137"/>
        <v>1</v>
      </c>
      <c r="AI288" s="44">
        <f t="shared" si="131"/>
        <v>84031.895622131982</v>
      </c>
      <c r="AJ288" s="44">
        <f t="shared" si="121"/>
        <v>84570.932455947346</v>
      </c>
      <c r="AK288" s="44" t="str">
        <f t="shared" si="139"/>
        <v>N</v>
      </c>
      <c r="AL288" s="4">
        <f t="shared" si="122"/>
        <v>210</v>
      </c>
      <c r="AM288" s="82">
        <f t="shared" si="132"/>
        <v>0</v>
      </c>
      <c r="AN288" s="82">
        <f t="shared" si="123"/>
        <v>0</v>
      </c>
      <c r="AO288" s="48">
        <f>0</f>
        <v>0</v>
      </c>
      <c r="AP288" s="91">
        <f t="shared" si="133"/>
        <v>-539.03683381536769</v>
      </c>
      <c r="AQ288" s="91">
        <f t="shared" si="134"/>
        <v>-539.03683381536769</v>
      </c>
      <c r="AV288" s="84"/>
    </row>
    <row r="289" spans="1:48">
      <c r="A289" s="190">
        <f t="shared" si="124"/>
        <v>83.304243668720048</v>
      </c>
      <c r="B289" s="82">
        <f t="shared" si="125"/>
        <v>18</v>
      </c>
      <c r="C289" s="83">
        <f t="shared" si="126"/>
        <v>211</v>
      </c>
      <c r="D289" s="14">
        <f t="shared" si="113"/>
        <v>4.8675505653430484E-3</v>
      </c>
      <c r="E289" s="16">
        <f t="shared" si="114"/>
        <v>0</v>
      </c>
      <c r="F289" s="127"/>
      <c r="G289" s="88">
        <f t="shared" si="115"/>
        <v>0</v>
      </c>
      <c r="H289" s="89">
        <f t="shared" si="127"/>
        <v>4.1666666666666666E-3</v>
      </c>
      <c r="I289" s="219"/>
      <c r="J289" s="219"/>
      <c r="K289" s="6">
        <f t="shared" si="135"/>
        <v>84031.895622131982</v>
      </c>
      <c r="M289" s="6">
        <f t="shared" si="116"/>
        <v>409.02950104235657</v>
      </c>
      <c r="N289" s="6">
        <f t="shared" si="128"/>
        <v>-95.178161329671042</v>
      </c>
      <c r="O289" s="90">
        <f t="shared" si="117"/>
        <v>466.7471397308081</v>
      </c>
      <c r="P289" s="91">
        <f t="shared" si="118"/>
        <v>0</v>
      </c>
      <c r="Q289" s="6">
        <f t="shared" si="119"/>
        <v>351.4406123410194</v>
      </c>
      <c r="R289" s="87">
        <f t="shared" si="138"/>
        <v>-538.79571105652713</v>
      </c>
      <c r="S289" s="6">
        <f t="shared" si="120"/>
        <v>-17.503278119762903</v>
      </c>
      <c r="T289" s="83">
        <f t="shared" si="129"/>
        <v>0</v>
      </c>
      <c r="U289" s="91">
        <f t="shared" si="136"/>
        <v>124498.96271573514</v>
      </c>
      <c r="V289" s="91">
        <f t="shared" si="130"/>
        <v>606.00499635159963</v>
      </c>
      <c r="W289" s="1">
        <f t="shared" ref="W289:AH298" si="140">IF($B289&lt;=W$78,1,0)</f>
        <v>0</v>
      </c>
      <c r="X289" s="1">
        <f t="shared" si="140"/>
        <v>0</v>
      </c>
      <c r="Y289" s="1">
        <f t="shared" si="140"/>
        <v>0</v>
      </c>
      <c r="Z289" s="1">
        <f t="shared" si="140"/>
        <v>0</v>
      </c>
      <c r="AA289" s="1">
        <f t="shared" si="140"/>
        <v>0</v>
      </c>
      <c r="AB289" s="1">
        <f t="shared" si="140"/>
        <v>0</v>
      </c>
      <c r="AC289" s="1">
        <f t="shared" si="140"/>
        <v>0</v>
      </c>
      <c r="AD289" s="1">
        <f t="shared" si="140"/>
        <v>1</v>
      </c>
      <c r="AE289" s="1">
        <f t="shared" si="140"/>
        <v>1</v>
      </c>
      <c r="AF289" s="1">
        <f t="shared" si="140"/>
        <v>1</v>
      </c>
      <c r="AG289" s="1">
        <f t="shared" si="140"/>
        <v>1</v>
      </c>
      <c r="AH289" s="1">
        <f t="shared" si="140"/>
        <v>1</v>
      </c>
      <c r="AI289" s="44">
        <f t="shared" si="131"/>
        <v>83806.95125078813</v>
      </c>
      <c r="AJ289" s="44">
        <f t="shared" si="121"/>
        <v>84345.746961844663</v>
      </c>
      <c r="AK289" s="44" t="str">
        <f t="shared" si="139"/>
        <v>N</v>
      </c>
      <c r="AL289" s="4">
        <f t="shared" si="122"/>
        <v>211</v>
      </c>
      <c r="AM289" s="82">
        <f t="shared" si="132"/>
        <v>0</v>
      </c>
      <c r="AN289" s="82">
        <f t="shared" si="123"/>
        <v>0</v>
      </c>
      <c r="AO289" s="48">
        <f>0</f>
        <v>0</v>
      </c>
      <c r="AP289" s="91">
        <f t="shared" si="133"/>
        <v>-538.79571105652713</v>
      </c>
      <c r="AQ289" s="91">
        <f t="shared" si="134"/>
        <v>-538.79571105652713</v>
      </c>
      <c r="AV289" s="84"/>
    </row>
    <row r="290" spans="1:48">
      <c r="A290" s="190">
        <f t="shared" si="124"/>
        <v>83.387577002053376</v>
      </c>
      <c r="B290" s="82">
        <f t="shared" si="125"/>
        <v>18</v>
      </c>
      <c r="C290" s="83">
        <f t="shared" si="126"/>
        <v>212</v>
      </c>
      <c r="D290" s="14">
        <f t="shared" si="113"/>
        <v>4.8675505653430484E-3</v>
      </c>
      <c r="E290" s="16">
        <f t="shared" si="114"/>
        <v>0</v>
      </c>
      <c r="F290" s="127"/>
      <c r="G290" s="88">
        <f t="shared" si="115"/>
        <v>0</v>
      </c>
      <c r="H290" s="89">
        <f t="shared" si="127"/>
        <v>4.1666666666666666E-3</v>
      </c>
      <c r="I290" s="219"/>
      <c r="J290" s="219"/>
      <c r="K290" s="6">
        <f t="shared" si="135"/>
        <v>83806.95125078813</v>
      </c>
      <c r="M290" s="6">
        <f t="shared" si="116"/>
        <v>407.93457294045106</v>
      </c>
      <c r="N290" s="6">
        <f t="shared" si="128"/>
        <v>-94.923379600573327</v>
      </c>
      <c r="O290" s="90">
        <f t="shared" si="117"/>
        <v>466.7471397308081</v>
      </c>
      <c r="P290" s="91">
        <f t="shared" si="118"/>
        <v>0</v>
      </c>
      <c r="Q290" s="6">
        <f t="shared" si="119"/>
        <v>350.49984351720002</v>
      </c>
      <c r="R290" s="87">
        <f t="shared" si="138"/>
        <v>-538.5546961570783</v>
      </c>
      <c r="S290" s="6">
        <f t="shared" si="120"/>
        <v>-17.456298444330599</v>
      </c>
      <c r="T290" s="83">
        <f t="shared" si="129"/>
        <v>0</v>
      </c>
      <c r="U290" s="91">
        <f t="shared" si="136"/>
        <v>124566.17200103021</v>
      </c>
      <c r="V290" s="91">
        <f t="shared" si="130"/>
        <v>606.33214094623395</v>
      </c>
      <c r="W290" s="1">
        <f t="shared" si="140"/>
        <v>0</v>
      </c>
      <c r="X290" s="1">
        <f t="shared" si="140"/>
        <v>0</v>
      </c>
      <c r="Y290" s="1">
        <f t="shared" si="140"/>
        <v>0</v>
      </c>
      <c r="Z290" s="1">
        <f t="shared" si="140"/>
        <v>0</v>
      </c>
      <c r="AA290" s="1">
        <f t="shared" si="140"/>
        <v>0</v>
      </c>
      <c r="AB290" s="1">
        <f t="shared" si="140"/>
        <v>0</v>
      </c>
      <c r="AC290" s="1">
        <f t="shared" si="140"/>
        <v>0</v>
      </c>
      <c r="AD290" s="1">
        <f t="shared" si="140"/>
        <v>1</v>
      </c>
      <c r="AE290" s="1">
        <f t="shared" si="140"/>
        <v>1</v>
      </c>
      <c r="AF290" s="1">
        <f t="shared" si="140"/>
        <v>1</v>
      </c>
      <c r="AG290" s="1">
        <f t="shared" si="140"/>
        <v>1</v>
      </c>
      <c r="AH290" s="1">
        <f t="shared" si="140"/>
        <v>1</v>
      </c>
      <c r="AI290" s="44">
        <f t="shared" si="131"/>
        <v>83581.407747970923</v>
      </c>
      <c r="AJ290" s="44">
        <f t="shared" si="121"/>
        <v>84119.962444128003</v>
      </c>
      <c r="AK290" s="44" t="str">
        <f t="shared" si="139"/>
        <v>N</v>
      </c>
      <c r="AL290" s="4">
        <f t="shared" si="122"/>
        <v>212</v>
      </c>
      <c r="AM290" s="82">
        <f t="shared" si="132"/>
        <v>0</v>
      </c>
      <c r="AN290" s="82">
        <f t="shared" si="123"/>
        <v>0</v>
      </c>
      <c r="AO290" s="48">
        <f>0</f>
        <v>0</v>
      </c>
      <c r="AP290" s="91">
        <f t="shared" si="133"/>
        <v>-538.5546961570783</v>
      </c>
      <c r="AQ290" s="91">
        <f t="shared" si="134"/>
        <v>-538.5546961570783</v>
      </c>
      <c r="AV290" s="84"/>
    </row>
    <row r="291" spans="1:48">
      <c r="A291" s="190">
        <f t="shared" si="124"/>
        <v>83.470910335386719</v>
      </c>
      <c r="B291" s="82">
        <f t="shared" si="125"/>
        <v>18</v>
      </c>
      <c r="C291" s="83">
        <f t="shared" si="126"/>
        <v>213</v>
      </c>
      <c r="D291" s="14">
        <f t="shared" si="113"/>
        <v>4.8675505653430484E-3</v>
      </c>
      <c r="E291" s="16">
        <f t="shared" si="114"/>
        <v>0</v>
      </c>
      <c r="F291" s="127"/>
      <c r="G291" s="88">
        <f t="shared" si="115"/>
        <v>0</v>
      </c>
      <c r="H291" s="89">
        <f t="shared" si="127"/>
        <v>4.1666666666666666E-3</v>
      </c>
      <c r="I291" s="219"/>
      <c r="J291" s="219"/>
      <c r="K291" s="6">
        <f t="shared" si="135"/>
        <v>83581.407747970923</v>
      </c>
      <c r="M291" s="6">
        <f t="shared" si="116"/>
        <v>406.83672853580373</v>
      </c>
      <c r="N291" s="6">
        <f t="shared" si="128"/>
        <v>-94.66791926924239</v>
      </c>
      <c r="O291" s="90">
        <f t="shared" si="117"/>
        <v>466.7471397308081</v>
      </c>
      <c r="P291" s="91">
        <f t="shared" si="118"/>
        <v>0</v>
      </c>
      <c r="Q291" s="6">
        <f t="shared" si="119"/>
        <v>349.55656898848957</v>
      </c>
      <c r="R291" s="87">
        <f t="shared" si="138"/>
        <v>-538.31378906877273</v>
      </c>
      <c r="S291" s="6">
        <f t="shared" si="120"/>
        <v>-17.409193561986122</v>
      </c>
      <c r="T291" s="83">
        <f t="shared" si="129"/>
        <v>0</v>
      </c>
      <c r="U291" s="91">
        <f t="shared" si="136"/>
        <v>124633.94944581937</v>
      </c>
      <c r="V291" s="91">
        <f t="shared" si="130"/>
        <v>606.66205108593499</v>
      </c>
      <c r="W291" s="1">
        <f t="shared" si="140"/>
        <v>0</v>
      </c>
      <c r="X291" s="1">
        <f t="shared" si="140"/>
        <v>0</v>
      </c>
      <c r="Y291" s="1">
        <f t="shared" si="140"/>
        <v>0</v>
      </c>
      <c r="Z291" s="1">
        <f t="shared" si="140"/>
        <v>0</v>
      </c>
      <c r="AA291" s="1">
        <f t="shared" si="140"/>
        <v>0</v>
      </c>
      <c r="AB291" s="1">
        <f t="shared" si="140"/>
        <v>0</v>
      </c>
      <c r="AC291" s="1">
        <f t="shared" si="140"/>
        <v>0</v>
      </c>
      <c r="AD291" s="1">
        <f t="shared" si="140"/>
        <v>1</v>
      </c>
      <c r="AE291" s="1">
        <f t="shared" si="140"/>
        <v>1</v>
      </c>
      <c r="AF291" s="1">
        <f t="shared" si="140"/>
        <v>1</v>
      </c>
      <c r="AG291" s="1">
        <f t="shared" si="140"/>
        <v>1</v>
      </c>
      <c r="AH291" s="1">
        <f t="shared" si="140"/>
        <v>1</v>
      </c>
      <c r="AI291" s="44">
        <f t="shared" si="131"/>
        <v>83355.262768168715</v>
      </c>
      <c r="AJ291" s="44">
        <f t="shared" si="121"/>
        <v>83893.576557237495</v>
      </c>
      <c r="AK291" s="44" t="str">
        <f t="shared" si="139"/>
        <v>N</v>
      </c>
      <c r="AL291" s="4">
        <f t="shared" si="122"/>
        <v>213</v>
      </c>
      <c r="AM291" s="82">
        <f t="shared" si="132"/>
        <v>0</v>
      </c>
      <c r="AN291" s="82">
        <f t="shared" si="123"/>
        <v>0</v>
      </c>
      <c r="AO291" s="48">
        <f>0</f>
        <v>0</v>
      </c>
      <c r="AP291" s="91">
        <f t="shared" si="133"/>
        <v>-538.31378906877273</v>
      </c>
      <c r="AQ291" s="91">
        <f t="shared" si="134"/>
        <v>-538.31378906877273</v>
      </c>
      <c r="AV291" s="84"/>
    </row>
    <row r="292" spans="1:48">
      <c r="A292" s="190">
        <f t="shared" si="124"/>
        <v>83.554243668720048</v>
      </c>
      <c r="B292" s="82">
        <f t="shared" si="125"/>
        <v>18</v>
      </c>
      <c r="C292" s="83">
        <f t="shared" si="126"/>
        <v>214</v>
      </c>
      <c r="D292" s="14">
        <f t="shared" si="113"/>
        <v>4.8675505653430484E-3</v>
      </c>
      <c r="E292" s="16">
        <f t="shared" si="114"/>
        <v>0</v>
      </c>
      <c r="F292" s="127"/>
      <c r="G292" s="88">
        <f t="shared" si="115"/>
        <v>0</v>
      </c>
      <c r="H292" s="89">
        <f t="shared" si="127"/>
        <v>4.1666666666666666E-3</v>
      </c>
      <c r="I292" s="219"/>
      <c r="J292" s="219"/>
      <c r="K292" s="6">
        <f t="shared" si="135"/>
        <v>83355.262768168715</v>
      </c>
      <c r="M292" s="6">
        <f t="shared" si="116"/>
        <v>405.73595641151798</v>
      </c>
      <c r="N292" s="6">
        <f t="shared" si="128"/>
        <v>-94.411777679050289</v>
      </c>
      <c r="O292" s="90">
        <f t="shared" si="117"/>
        <v>466.7471397308081</v>
      </c>
      <c r="P292" s="91">
        <f t="shared" si="118"/>
        <v>0</v>
      </c>
      <c r="Q292" s="6">
        <f t="shared" si="119"/>
        <v>348.6107789454216</v>
      </c>
      <c r="R292" s="87">
        <f t="shared" si="138"/>
        <v>-538.07298974338448</v>
      </c>
      <c r="S292" s="6">
        <f t="shared" si="120"/>
        <v>-17.361962982611864</v>
      </c>
      <c r="T292" s="83">
        <f t="shared" si="129"/>
        <v>0</v>
      </c>
      <c r="U292" s="91">
        <f t="shared" si="136"/>
        <v>124702.29770783652</v>
      </c>
      <c r="V292" s="91">
        <f t="shared" si="130"/>
        <v>606.99473970735676</v>
      </c>
      <c r="W292" s="1">
        <f t="shared" si="140"/>
        <v>0</v>
      </c>
      <c r="X292" s="1">
        <f t="shared" si="140"/>
        <v>0</v>
      </c>
      <c r="Y292" s="1">
        <f t="shared" si="140"/>
        <v>0</v>
      </c>
      <c r="Z292" s="1">
        <f t="shared" si="140"/>
        <v>0</v>
      </c>
      <c r="AA292" s="1">
        <f t="shared" si="140"/>
        <v>0</v>
      </c>
      <c r="AB292" s="1">
        <f t="shared" si="140"/>
        <v>0</v>
      </c>
      <c r="AC292" s="1">
        <f t="shared" si="140"/>
        <v>0</v>
      </c>
      <c r="AD292" s="1">
        <f t="shared" si="140"/>
        <v>1</v>
      </c>
      <c r="AE292" s="1">
        <f t="shared" si="140"/>
        <v>1</v>
      </c>
      <c r="AF292" s="1">
        <f t="shared" si="140"/>
        <v>1</v>
      </c>
      <c r="AG292" s="1">
        <f t="shared" si="140"/>
        <v>1</v>
      </c>
      <c r="AH292" s="1">
        <f t="shared" si="140"/>
        <v>1</v>
      </c>
      <c r="AI292" s="44">
        <f t="shared" si="131"/>
        <v>83128.513957157804</v>
      </c>
      <c r="AJ292" s="44">
        <f t="shared" si="121"/>
        <v>83666.586946901181</v>
      </c>
      <c r="AK292" s="44" t="str">
        <f t="shared" si="139"/>
        <v>N</v>
      </c>
      <c r="AL292" s="4">
        <f t="shared" si="122"/>
        <v>214</v>
      </c>
      <c r="AM292" s="82">
        <f t="shared" si="132"/>
        <v>0</v>
      </c>
      <c r="AN292" s="82">
        <f t="shared" si="123"/>
        <v>0</v>
      </c>
      <c r="AO292" s="48">
        <f>0</f>
        <v>0</v>
      </c>
      <c r="AP292" s="91">
        <f t="shared" si="133"/>
        <v>-538.07298974338448</v>
      </c>
      <c r="AQ292" s="91">
        <f t="shared" si="134"/>
        <v>-538.07298974338448</v>
      </c>
      <c r="AV292" s="84"/>
    </row>
    <row r="293" spans="1:48">
      <c r="A293" s="190">
        <f t="shared" si="124"/>
        <v>83.637577002053376</v>
      </c>
      <c r="B293" s="82">
        <f t="shared" si="125"/>
        <v>18</v>
      </c>
      <c r="C293" s="83">
        <f t="shared" si="126"/>
        <v>215</v>
      </c>
      <c r="D293" s="14">
        <f t="shared" si="113"/>
        <v>4.8675505653430484E-3</v>
      </c>
      <c r="E293" s="16">
        <f t="shared" si="114"/>
        <v>0</v>
      </c>
      <c r="F293" s="127"/>
      <c r="G293" s="88">
        <f t="shared" si="115"/>
        <v>0</v>
      </c>
      <c r="H293" s="89">
        <f t="shared" si="127"/>
        <v>4.1666666666666666E-3</v>
      </c>
      <c r="I293" s="219"/>
      <c r="J293" s="219"/>
      <c r="K293" s="6">
        <f t="shared" si="135"/>
        <v>83128.513957157804</v>
      </c>
      <c r="M293" s="6">
        <f t="shared" si="116"/>
        <v>404.63224510829093</v>
      </c>
      <c r="N293" s="6">
        <f t="shared" si="128"/>
        <v>-94.154952163501363</v>
      </c>
      <c r="O293" s="90">
        <f t="shared" si="117"/>
        <v>466.7471397308081</v>
      </c>
      <c r="P293" s="91">
        <f t="shared" si="118"/>
        <v>0</v>
      </c>
      <c r="Q293" s="6">
        <f t="shared" si="119"/>
        <v>347.66246354209414</v>
      </c>
      <c r="R293" s="87">
        <f t="shared" si="138"/>
        <v>-537.83229813270896</v>
      </c>
      <c r="S293" s="6">
        <f t="shared" si="120"/>
        <v>-17.31460621426972</v>
      </c>
      <c r="T293" s="83">
        <f t="shared" si="129"/>
        <v>0</v>
      </c>
      <c r="U293" s="91">
        <f t="shared" si="136"/>
        <v>124771.2194578005</v>
      </c>
      <c r="V293" s="91">
        <f t="shared" si="130"/>
        <v>607.33021981035836</v>
      </c>
      <c r="W293" s="1">
        <f t="shared" si="140"/>
        <v>0</v>
      </c>
      <c r="X293" s="1">
        <f t="shared" si="140"/>
        <v>0</v>
      </c>
      <c r="Y293" s="1">
        <f t="shared" si="140"/>
        <v>0</v>
      </c>
      <c r="Z293" s="1">
        <f t="shared" si="140"/>
        <v>0</v>
      </c>
      <c r="AA293" s="1">
        <f t="shared" si="140"/>
        <v>0</v>
      </c>
      <c r="AB293" s="1">
        <f t="shared" si="140"/>
        <v>0</v>
      </c>
      <c r="AC293" s="1">
        <f t="shared" si="140"/>
        <v>0</v>
      </c>
      <c r="AD293" s="1">
        <f t="shared" si="140"/>
        <v>1</v>
      </c>
      <c r="AE293" s="1">
        <f t="shared" si="140"/>
        <v>1</v>
      </c>
      <c r="AF293" s="1">
        <f t="shared" si="140"/>
        <v>1</v>
      </c>
      <c r="AG293" s="1">
        <f t="shared" si="140"/>
        <v>1</v>
      </c>
      <c r="AH293" s="1">
        <f t="shared" si="140"/>
        <v>1</v>
      </c>
      <c r="AI293" s="44">
        <f t="shared" si="131"/>
        <v>82901.15895196989</v>
      </c>
      <c r="AJ293" s="44">
        <f t="shared" si="121"/>
        <v>83438.991250102597</v>
      </c>
      <c r="AK293" s="44" t="str">
        <f t="shared" si="139"/>
        <v>N</v>
      </c>
      <c r="AL293" s="4">
        <f t="shared" si="122"/>
        <v>215</v>
      </c>
      <c r="AM293" s="82">
        <f t="shared" si="132"/>
        <v>0</v>
      </c>
      <c r="AN293" s="82">
        <f t="shared" si="123"/>
        <v>0</v>
      </c>
      <c r="AO293" s="48">
        <f>0</f>
        <v>0</v>
      </c>
      <c r="AP293" s="91">
        <f t="shared" si="133"/>
        <v>-537.83229813270896</v>
      </c>
      <c r="AQ293" s="91">
        <f t="shared" si="134"/>
        <v>-537.83229813270896</v>
      </c>
      <c r="AV293" s="84"/>
    </row>
    <row r="294" spans="1:48">
      <c r="A294" s="190">
        <f t="shared" si="124"/>
        <v>83.720910335386719</v>
      </c>
      <c r="B294" s="82">
        <f t="shared" si="125"/>
        <v>18</v>
      </c>
      <c r="C294" s="83">
        <f t="shared" si="126"/>
        <v>216</v>
      </c>
      <c r="D294" s="14">
        <f t="shared" si="113"/>
        <v>4.8675505653430484E-3</v>
      </c>
      <c r="E294" s="16">
        <f t="shared" si="114"/>
        <v>0</v>
      </c>
      <c r="F294" s="127"/>
      <c r="G294" s="88">
        <f t="shared" si="115"/>
        <v>0</v>
      </c>
      <c r="H294" s="89">
        <f t="shared" si="127"/>
        <v>4.1666666666666666E-3</v>
      </c>
      <c r="I294" s="219"/>
      <c r="J294" s="219"/>
      <c r="K294" s="6">
        <f t="shared" si="135"/>
        <v>82901.15895196989</v>
      </c>
      <c r="M294" s="6">
        <f t="shared" si="116"/>
        <v>403.52558312425498</v>
      </c>
      <c r="N294" s="6">
        <f t="shared" si="128"/>
        <v>-93.89744004619547</v>
      </c>
      <c r="O294" s="90">
        <f t="shared" si="117"/>
        <v>466.7471397308081</v>
      </c>
      <c r="P294" s="91">
        <f t="shared" si="118"/>
        <v>0</v>
      </c>
      <c r="Q294" s="6">
        <f t="shared" si="119"/>
        <v>346.71161289603316</v>
      </c>
      <c r="R294" s="87">
        <f t="shared" si="138"/>
        <v>-537.59171418856295</v>
      </c>
      <c r="S294" s="6">
        <f t="shared" si="120"/>
        <v>-17.267122763194294</v>
      </c>
      <c r="T294" s="83">
        <f t="shared" si="129"/>
        <v>0</v>
      </c>
      <c r="U294" s="91">
        <f t="shared" si="136"/>
        <v>124840.71737947816</v>
      </c>
      <c r="V294" s="91">
        <f t="shared" si="130"/>
        <v>607.66850445831062</v>
      </c>
      <c r="W294" s="1">
        <f t="shared" si="140"/>
        <v>0</v>
      </c>
      <c r="X294" s="1">
        <f t="shared" si="140"/>
        <v>0</v>
      </c>
      <c r="Y294" s="1">
        <f t="shared" si="140"/>
        <v>0</v>
      </c>
      <c r="Z294" s="1">
        <f t="shared" si="140"/>
        <v>0</v>
      </c>
      <c r="AA294" s="1">
        <f t="shared" si="140"/>
        <v>0</v>
      </c>
      <c r="AB294" s="1">
        <f t="shared" si="140"/>
        <v>0</v>
      </c>
      <c r="AC294" s="1">
        <f t="shared" si="140"/>
        <v>0</v>
      </c>
      <c r="AD294" s="1">
        <f t="shared" si="140"/>
        <v>1</v>
      </c>
      <c r="AE294" s="1">
        <f t="shared" si="140"/>
        <v>1</v>
      </c>
      <c r="AF294" s="1">
        <f t="shared" si="140"/>
        <v>1</v>
      </c>
      <c r="AG294" s="1">
        <f t="shared" si="140"/>
        <v>1</v>
      </c>
      <c r="AH294" s="1">
        <f t="shared" si="140"/>
        <v>1</v>
      </c>
      <c r="AI294" s="44">
        <f t="shared" si="131"/>
        <v>82673.195380859397</v>
      </c>
      <c r="AJ294" s="44">
        <f t="shared" si="121"/>
        <v>83210.787095047956</v>
      </c>
      <c r="AK294" s="44" t="str">
        <f t="shared" si="139"/>
        <v>N</v>
      </c>
      <c r="AL294" s="4">
        <f t="shared" si="122"/>
        <v>216</v>
      </c>
      <c r="AM294" s="82">
        <f t="shared" si="132"/>
        <v>0</v>
      </c>
      <c r="AN294" s="82">
        <f t="shared" si="123"/>
        <v>0</v>
      </c>
      <c r="AO294" s="48">
        <f>0</f>
        <v>0</v>
      </c>
      <c r="AP294" s="91">
        <f t="shared" si="133"/>
        <v>-537.59171418856295</v>
      </c>
      <c r="AQ294" s="91">
        <f t="shared" si="134"/>
        <v>-537.59171418856295</v>
      </c>
      <c r="AV294" s="84"/>
    </row>
    <row r="295" spans="1:48">
      <c r="A295" s="190">
        <f t="shared" si="124"/>
        <v>83.804243668720048</v>
      </c>
      <c r="B295" s="82">
        <f t="shared" si="125"/>
        <v>19</v>
      </c>
      <c r="C295" s="83">
        <f t="shared" si="126"/>
        <v>217</v>
      </c>
      <c r="D295" s="14">
        <f t="shared" si="113"/>
        <v>4.8675505653430484E-3</v>
      </c>
      <c r="E295" s="16">
        <f t="shared" si="114"/>
        <v>0</v>
      </c>
      <c r="F295" s="127"/>
      <c r="G295" s="88">
        <f t="shared" si="115"/>
        <v>0</v>
      </c>
      <c r="H295" s="89">
        <f t="shared" si="127"/>
        <v>4.1666666666666666E-3</v>
      </c>
      <c r="I295" s="219"/>
      <c r="J295" s="219"/>
      <c r="K295" s="6">
        <f t="shared" si="135"/>
        <v>82673.195380859397</v>
      </c>
      <c r="M295" s="6">
        <f t="shared" si="116"/>
        <v>402.41595891481848</v>
      </c>
      <c r="N295" s="6">
        <f t="shared" si="128"/>
        <v>-93.639238640790921</v>
      </c>
      <c r="O295" s="90">
        <f t="shared" si="117"/>
        <v>476.0820825254242</v>
      </c>
      <c r="P295" s="91">
        <f t="shared" si="118"/>
        <v>0</v>
      </c>
      <c r="Q295" s="6">
        <f t="shared" si="119"/>
        <v>345.75821708805591</v>
      </c>
      <c r="R295" s="87">
        <f t="shared" si="138"/>
        <v>-537.35123786278507</v>
      </c>
      <c r="S295" s="6">
        <f t="shared" si="120"/>
        <v>-17.219512133786086</v>
      </c>
      <c r="T295" s="83">
        <f t="shared" si="129"/>
        <v>0</v>
      </c>
      <c r="U295" s="91">
        <f t="shared" si="136"/>
        <v>124910.79416974791</v>
      </c>
      <c r="V295" s="91">
        <f t="shared" si="130"/>
        <v>608.00960677840555</v>
      </c>
      <c r="W295" s="1">
        <f t="shared" si="140"/>
        <v>0</v>
      </c>
      <c r="X295" s="1">
        <f t="shared" si="140"/>
        <v>0</v>
      </c>
      <c r="Y295" s="1">
        <f t="shared" si="140"/>
        <v>0</v>
      </c>
      <c r="Z295" s="1">
        <f t="shared" si="140"/>
        <v>0</v>
      </c>
      <c r="AA295" s="1">
        <f t="shared" si="140"/>
        <v>0</v>
      </c>
      <c r="AB295" s="1">
        <f t="shared" si="140"/>
        <v>0</v>
      </c>
      <c r="AC295" s="1">
        <f t="shared" si="140"/>
        <v>0</v>
      </c>
      <c r="AD295" s="1">
        <f t="shared" si="140"/>
        <v>1</v>
      </c>
      <c r="AE295" s="1">
        <f t="shared" si="140"/>
        <v>1</v>
      </c>
      <c r="AF295" s="1">
        <f t="shared" si="140"/>
        <v>1</v>
      </c>
      <c r="AG295" s="1">
        <f t="shared" si="140"/>
        <v>1</v>
      </c>
      <c r="AH295" s="1">
        <f t="shared" si="140"/>
        <v>1</v>
      </c>
      <c r="AI295" s="44">
        <f t="shared" si="131"/>
        <v>82444.62086327064</v>
      </c>
      <c r="AJ295" s="44">
        <f t="shared" si="121"/>
        <v>82981.972101133419</v>
      </c>
      <c r="AK295" s="44" t="str">
        <f t="shared" si="139"/>
        <v>N</v>
      </c>
      <c r="AL295" s="4">
        <f t="shared" si="122"/>
        <v>217</v>
      </c>
      <c r="AM295" s="82">
        <f t="shared" si="132"/>
        <v>0</v>
      </c>
      <c r="AN295" s="82">
        <f t="shared" si="123"/>
        <v>0</v>
      </c>
      <c r="AO295" s="48">
        <f>0</f>
        <v>0</v>
      </c>
      <c r="AP295" s="91">
        <f t="shared" si="133"/>
        <v>-537.35123786278507</v>
      </c>
      <c r="AQ295" s="91">
        <f t="shared" si="134"/>
        <v>-537.35123786278507</v>
      </c>
      <c r="AV295" s="84"/>
    </row>
    <row r="296" spans="1:48">
      <c r="A296" s="190">
        <f t="shared" si="124"/>
        <v>83.887577002053376</v>
      </c>
      <c r="B296" s="82">
        <f t="shared" si="125"/>
        <v>19</v>
      </c>
      <c r="C296" s="83">
        <f t="shared" si="126"/>
        <v>218</v>
      </c>
      <c r="D296" s="14">
        <f t="shared" si="113"/>
        <v>4.8675505653430484E-3</v>
      </c>
      <c r="E296" s="16">
        <f t="shared" si="114"/>
        <v>0</v>
      </c>
      <c r="F296" s="127"/>
      <c r="G296" s="88">
        <f t="shared" si="115"/>
        <v>0</v>
      </c>
      <c r="H296" s="89">
        <f t="shared" si="127"/>
        <v>4.1666666666666666E-3</v>
      </c>
      <c r="I296" s="219"/>
      <c r="J296" s="219"/>
      <c r="K296" s="6">
        <f t="shared" si="135"/>
        <v>82444.62086327064</v>
      </c>
      <c r="M296" s="6">
        <f t="shared" si="116"/>
        <v>401.3033608925063</v>
      </c>
      <c r="N296" s="6">
        <f t="shared" si="128"/>
        <v>-93.380345250967352</v>
      </c>
      <c r="O296" s="90">
        <f t="shared" si="117"/>
        <v>476.0820825254242</v>
      </c>
      <c r="P296" s="91">
        <f t="shared" si="118"/>
        <v>0</v>
      </c>
      <c r="Q296" s="6">
        <f t="shared" si="119"/>
        <v>344.80226616213412</v>
      </c>
      <c r="R296" s="87">
        <f t="shared" si="138"/>
        <v>-537.1108691072352</v>
      </c>
      <c r="S296" s="6">
        <f t="shared" si="120"/>
        <v>-17.1717738286046</v>
      </c>
      <c r="T296" s="83">
        <f t="shared" si="129"/>
        <v>0</v>
      </c>
      <c r="U296" s="91">
        <f t="shared" si="136"/>
        <v>124981.45253866354</v>
      </c>
      <c r="V296" s="91">
        <f t="shared" si="130"/>
        <v>608.35353996196704</v>
      </c>
      <c r="W296" s="1">
        <f t="shared" si="140"/>
        <v>0</v>
      </c>
      <c r="X296" s="1">
        <f t="shared" si="140"/>
        <v>0</v>
      </c>
      <c r="Y296" s="1">
        <f t="shared" si="140"/>
        <v>0</v>
      </c>
      <c r="Z296" s="1">
        <f t="shared" si="140"/>
        <v>0</v>
      </c>
      <c r="AA296" s="1">
        <f t="shared" si="140"/>
        <v>0</v>
      </c>
      <c r="AB296" s="1">
        <f t="shared" si="140"/>
        <v>0</v>
      </c>
      <c r="AC296" s="1">
        <f t="shared" si="140"/>
        <v>0</v>
      </c>
      <c r="AD296" s="1">
        <f t="shared" si="140"/>
        <v>1</v>
      </c>
      <c r="AE296" s="1">
        <f t="shared" si="140"/>
        <v>1</v>
      </c>
      <c r="AF296" s="1">
        <f t="shared" si="140"/>
        <v>1</v>
      </c>
      <c r="AG296" s="1">
        <f t="shared" si="140"/>
        <v>1</v>
      </c>
      <c r="AH296" s="1">
        <f t="shared" si="140"/>
        <v>1</v>
      </c>
      <c r="AI296" s="44">
        <f t="shared" si="131"/>
        <v>82215.433009804954</v>
      </c>
      <c r="AJ296" s="44">
        <f t="shared" si="121"/>
        <v>82752.543878912184</v>
      </c>
      <c r="AK296" s="44" t="str">
        <f t="shared" si="139"/>
        <v>N</v>
      </c>
      <c r="AL296" s="4">
        <f t="shared" si="122"/>
        <v>218</v>
      </c>
      <c r="AM296" s="82">
        <f t="shared" si="132"/>
        <v>0</v>
      </c>
      <c r="AN296" s="82">
        <f t="shared" si="123"/>
        <v>0</v>
      </c>
      <c r="AO296" s="48">
        <f>0</f>
        <v>0</v>
      </c>
      <c r="AP296" s="91">
        <f t="shared" si="133"/>
        <v>-537.1108691072352</v>
      </c>
      <c r="AQ296" s="91">
        <f t="shared" si="134"/>
        <v>-537.1108691072352</v>
      </c>
      <c r="AV296" s="84"/>
    </row>
    <row r="297" spans="1:48">
      <c r="A297" s="190">
        <f t="shared" si="124"/>
        <v>83.970910335386719</v>
      </c>
      <c r="B297" s="82">
        <f t="shared" si="125"/>
        <v>19</v>
      </c>
      <c r="C297" s="83">
        <f t="shared" si="126"/>
        <v>219</v>
      </c>
      <c r="D297" s="14">
        <f t="shared" si="113"/>
        <v>4.8675505653430484E-3</v>
      </c>
      <c r="E297" s="16">
        <f t="shared" si="114"/>
        <v>0</v>
      </c>
      <c r="F297" s="127"/>
      <c r="G297" s="88">
        <f t="shared" si="115"/>
        <v>0</v>
      </c>
      <c r="H297" s="89">
        <f t="shared" si="127"/>
        <v>4.1666666666666666E-3</v>
      </c>
      <c r="I297" s="219"/>
      <c r="J297" s="219"/>
      <c r="K297" s="6">
        <f t="shared" si="135"/>
        <v>82215.433009804954</v>
      </c>
      <c r="M297" s="6">
        <f t="shared" si="116"/>
        <v>400.18777742679964</v>
      </c>
      <c r="N297" s="6">
        <f t="shared" si="128"/>
        <v>-93.120757170388416</v>
      </c>
      <c r="O297" s="90">
        <f t="shared" si="117"/>
        <v>476.0820825254242</v>
      </c>
      <c r="P297" s="91">
        <f t="shared" si="118"/>
        <v>0</v>
      </c>
      <c r="Q297" s="6">
        <f t="shared" si="119"/>
        <v>343.84375012525572</v>
      </c>
      <c r="R297" s="87">
        <f t="shared" si="138"/>
        <v>-536.87060787379471</v>
      </c>
      <c r="S297" s="6">
        <f t="shared" si="120"/>
        <v>-17.123907348361495</v>
      </c>
      <c r="T297" s="83">
        <f t="shared" si="129"/>
        <v>0</v>
      </c>
      <c r="U297" s="91">
        <f t="shared" si="136"/>
        <v>125052.69520951828</v>
      </c>
      <c r="V297" s="91">
        <f t="shared" si="130"/>
        <v>608.70031726476259</v>
      </c>
      <c r="W297" s="1">
        <f t="shared" si="140"/>
        <v>0</v>
      </c>
      <c r="X297" s="1">
        <f t="shared" si="140"/>
        <v>0</v>
      </c>
      <c r="Y297" s="1">
        <f t="shared" si="140"/>
        <v>0</v>
      </c>
      <c r="Z297" s="1">
        <f t="shared" si="140"/>
        <v>0</v>
      </c>
      <c r="AA297" s="1">
        <f t="shared" si="140"/>
        <v>0</v>
      </c>
      <c r="AB297" s="1">
        <f t="shared" si="140"/>
        <v>0</v>
      </c>
      <c r="AC297" s="1">
        <f t="shared" si="140"/>
        <v>0</v>
      </c>
      <c r="AD297" s="1">
        <f t="shared" si="140"/>
        <v>1</v>
      </c>
      <c r="AE297" s="1">
        <f t="shared" si="140"/>
        <v>1</v>
      </c>
      <c r="AF297" s="1">
        <f t="shared" si="140"/>
        <v>1</v>
      </c>
      <c r="AG297" s="1">
        <f t="shared" si="140"/>
        <v>1</v>
      </c>
      <c r="AH297" s="1">
        <f t="shared" si="140"/>
        <v>1</v>
      </c>
      <c r="AI297" s="44">
        <f t="shared" si="131"/>
        <v>81985.629422187587</v>
      </c>
      <c r="AJ297" s="44">
        <f t="shared" si="121"/>
        <v>82522.500030061376</v>
      </c>
      <c r="AK297" s="44" t="str">
        <f t="shared" si="139"/>
        <v>N</v>
      </c>
      <c r="AL297" s="4">
        <f t="shared" si="122"/>
        <v>219</v>
      </c>
      <c r="AM297" s="82">
        <f t="shared" si="132"/>
        <v>0</v>
      </c>
      <c r="AN297" s="82">
        <f t="shared" si="123"/>
        <v>0</v>
      </c>
      <c r="AO297" s="48">
        <f>0</f>
        <v>0</v>
      </c>
      <c r="AP297" s="91">
        <f t="shared" si="133"/>
        <v>-536.87060787379471</v>
      </c>
      <c r="AQ297" s="91">
        <f t="shared" si="134"/>
        <v>-536.87060787379471</v>
      </c>
      <c r="AV297" s="84"/>
    </row>
    <row r="298" spans="1:48">
      <c r="A298" s="190">
        <f t="shared" si="124"/>
        <v>84.054243668720048</v>
      </c>
      <c r="B298" s="82">
        <f t="shared" si="125"/>
        <v>19</v>
      </c>
      <c r="C298" s="83">
        <f t="shared" si="126"/>
        <v>220</v>
      </c>
      <c r="D298" s="14">
        <f t="shared" si="113"/>
        <v>4.8675505653430484E-3</v>
      </c>
      <c r="E298" s="16">
        <f t="shared" si="114"/>
        <v>0</v>
      </c>
      <c r="F298" s="127"/>
      <c r="G298" s="88">
        <f t="shared" si="115"/>
        <v>0</v>
      </c>
      <c r="H298" s="89">
        <f t="shared" si="127"/>
        <v>4.1666666666666666E-3</v>
      </c>
      <c r="I298" s="219"/>
      <c r="J298" s="219"/>
      <c r="K298" s="6">
        <f t="shared" si="135"/>
        <v>81985.629422187587</v>
      </c>
      <c r="M298" s="6">
        <f t="shared" si="116"/>
        <v>399.06919684397485</v>
      </c>
      <c r="N298" s="6">
        <f t="shared" si="128"/>
        <v>-92.860471682664382</v>
      </c>
      <c r="O298" s="90">
        <f t="shared" si="117"/>
        <v>476.0820825254242</v>
      </c>
      <c r="P298" s="91">
        <f t="shared" si="118"/>
        <v>0</v>
      </c>
      <c r="Q298" s="6">
        <f t="shared" si="119"/>
        <v>342.8826589472871</v>
      </c>
      <c r="R298" s="87">
        <f t="shared" si="138"/>
        <v>-550.30979116640833</v>
      </c>
      <c r="S298" s="6">
        <f t="shared" si="120"/>
        <v>-17.074485625624781</v>
      </c>
      <c r="T298" s="83">
        <f t="shared" si="129"/>
        <v>0</v>
      </c>
      <c r="U298" s="91">
        <f t="shared" si="136"/>
        <v>125124.52491890926</v>
      </c>
      <c r="V298" s="91">
        <f t="shared" si="130"/>
        <v>609.04995200731707</v>
      </c>
      <c r="W298" s="1">
        <f t="shared" si="140"/>
        <v>0</v>
      </c>
      <c r="X298" s="1">
        <f t="shared" si="140"/>
        <v>0</v>
      </c>
      <c r="Y298" s="1">
        <f t="shared" si="140"/>
        <v>0</v>
      </c>
      <c r="Z298" s="1">
        <f t="shared" si="140"/>
        <v>0</v>
      </c>
      <c r="AA298" s="1">
        <f t="shared" si="140"/>
        <v>0</v>
      </c>
      <c r="AB298" s="1">
        <f t="shared" si="140"/>
        <v>0</v>
      </c>
      <c r="AC298" s="1">
        <f t="shared" si="140"/>
        <v>0</v>
      </c>
      <c r="AD298" s="1">
        <f t="shared" si="140"/>
        <v>1</v>
      </c>
      <c r="AE298" s="1">
        <f t="shared" si="140"/>
        <v>1</v>
      </c>
      <c r="AF298" s="1">
        <f t="shared" si="140"/>
        <v>1</v>
      </c>
      <c r="AG298" s="1">
        <f t="shared" si="140"/>
        <v>1</v>
      </c>
      <c r="AH298" s="1">
        <f t="shared" si="140"/>
        <v>1</v>
      </c>
      <c r="AI298" s="44">
        <f t="shared" si="131"/>
        <v>81741.528356182491</v>
      </c>
      <c r="AJ298" s="44">
        <f t="shared" si="121"/>
        <v>82291.838147348899</v>
      </c>
      <c r="AK298" s="44" t="str">
        <f t="shared" si="139"/>
        <v>N</v>
      </c>
      <c r="AL298" s="4">
        <f t="shared" si="122"/>
        <v>220</v>
      </c>
      <c r="AM298" s="82">
        <f t="shared" si="132"/>
        <v>0</v>
      </c>
      <c r="AN298" s="82">
        <f t="shared" si="123"/>
        <v>0</v>
      </c>
      <c r="AO298" s="48">
        <f>0</f>
        <v>0</v>
      </c>
      <c r="AP298" s="91">
        <f t="shared" si="133"/>
        <v>-550.30979116640833</v>
      </c>
      <c r="AQ298" s="91">
        <f t="shared" si="134"/>
        <v>-550.30979116640833</v>
      </c>
      <c r="AV298" s="84"/>
    </row>
    <row r="299" spans="1:48">
      <c r="A299" s="190">
        <f t="shared" si="124"/>
        <v>84.137577002053376</v>
      </c>
      <c r="B299" s="82">
        <f t="shared" si="125"/>
        <v>19</v>
      </c>
      <c r="C299" s="83">
        <f t="shared" si="126"/>
        <v>221</v>
      </c>
      <c r="D299" s="14">
        <f t="shared" si="113"/>
        <v>4.8675505653430484E-3</v>
      </c>
      <c r="E299" s="16">
        <f t="shared" si="114"/>
        <v>0</v>
      </c>
      <c r="F299" s="127"/>
      <c r="G299" s="88">
        <f t="shared" si="115"/>
        <v>0</v>
      </c>
      <c r="H299" s="89">
        <f t="shared" si="127"/>
        <v>4.1666666666666666E-3</v>
      </c>
      <c r="I299" s="219"/>
      <c r="J299" s="219"/>
      <c r="K299" s="6">
        <f t="shared" si="135"/>
        <v>81741.528356182491</v>
      </c>
      <c r="M299" s="6">
        <f t="shared" si="116"/>
        <v>397.88102256214091</v>
      </c>
      <c r="N299" s="6">
        <f t="shared" si="128"/>
        <v>-92.583992252217499</v>
      </c>
      <c r="O299" s="90">
        <f t="shared" si="117"/>
        <v>476.0820825254242</v>
      </c>
      <c r="P299" s="91">
        <f t="shared" si="118"/>
        <v>0</v>
      </c>
      <c r="Q299" s="6">
        <f t="shared" si="119"/>
        <v>341.86177244371839</v>
      </c>
      <c r="R299" s="87">
        <f t="shared" si="138"/>
        <v>-550.06362577150628</v>
      </c>
      <c r="S299" s="6">
        <f t="shared" si="120"/>
        <v>-17.023503467430569</v>
      </c>
      <c r="T299" s="83">
        <f t="shared" si="129"/>
        <v>0</v>
      </c>
      <c r="U299" s="91">
        <f t="shared" si="136"/>
        <v>125183.26507975017</v>
      </c>
      <c r="V299" s="91">
        <f t="shared" si="130"/>
        <v>609.33587271042666</v>
      </c>
      <c r="W299" s="1">
        <f t="shared" ref="W299:AH308" si="141">IF($B299&lt;=W$78,1,0)</f>
        <v>0</v>
      </c>
      <c r="X299" s="1">
        <f t="shared" si="141"/>
        <v>0</v>
      </c>
      <c r="Y299" s="1">
        <f t="shared" si="141"/>
        <v>0</v>
      </c>
      <c r="Z299" s="1">
        <f t="shared" si="141"/>
        <v>0</v>
      </c>
      <c r="AA299" s="1">
        <f t="shared" si="141"/>
        <v>0</v>
      </c>
      <c r="AB299" s="1">
        <f t="shared" si="141"/>
        <v>0</v>
      </c>
      <c r="AC299" s="1">
        <f t="shared" si="141"/>
        <v>0</v>
      </c>
      <c r="AD299" s="1">
        <f t="shared" si="141"/>
        <v>1</v>
      </c>
      <c r="AE299" s="1">
        <f t="shared" si="141"/>
        <v>1</v>
      </c>
      <c r="AF299" s="1">
        <f t="shared" si="141"/>
        <v>1</v>
      </c>
      <c r="AG299" s="1">
        <f t="shared" si="141"/>
        <v>1</v>
      </c>
      <c r="AH299" s="1">
        <f t="shared" si="141"/>
        <v>1</v>
      </c>
      <c r="AI299" s="44">
        <f t="shared" si="131"/>
        <v>81496.76176072091</v>
      </c>
      <c r="AJ299" s="44">
        <f t="shared" si="121"/>
        <v>82046.825386492419</v>
      </c>
      <c r="AK299" s="44" t="str">
        <f t="shared" si="139"/>
        <v>N</v>
      </c>
      <c r="AL299" s="4">
        <f t="shared" si="122"/>
        <v>221</v>
      </c>
      <c r="AM299" s="82">
        <f t="shared" si="132"/>
        <v>0</v>
      </c>
      <c r="AN299" s="82">
        <f t="shared" si="123"/>
        <v>0</v>
      </c>
      <c r="AO299" s="48">
        <f>0</f>
        <v>0</v>
      </c>
      <c r="AP299" s="91">
        <f t="shared" si="133"/>
        <v>-550.06362577150628</v>
      </c>
      <c r="AQ299" s="91">
        <f t="shared" si="134"/>
        <v>-550.06362577150628</v>
      </c>
      <c r="AV299" s="84"/>
    </row>
    <row r="300" spans="1:48">
      <c r="A300" s="190">
        <f t="shared" si="124"/>
        <v>84.220910335386719</v>
      </c>
      <c r="B300" s="82">
        <f t="shared" si="125"/>
        <v>19</v>
      </c>
      <c r="C300" s="83">
        <f t="shared" si="126"/>
        <v>222</v>
      </c>
      <c r="D300" s="14">
        <f t="shared" si="113"/>
        <v>4.8675505653430484E-3</v>
      </c>
      <c r="E300" s="16">
        <f t="shared" si="114"/>
        <v>0</v>
      </c>
      <c r="F300" s="127"/>
      <c r="G300" s="88">
        <f t="shared" si="115"/>
        <v>0</v>
      </c>
      <c r="H300" s="89">
        <f t="shared" si="127"/>
        <v>4.1666666666666666E-3</v>
      </c>
      <c r="I300" s="219"/>
      <c r="J300" s="219"/>
      <c r="K300" s="6">
        <f t="shared" si="135"/>
        <v>81496.76176072091</v>
      </c>
      <c r="M300" s="6">
        <f t="shared" si="116"/>
        <v>396.68960878202478</v>
      </c>
      <c r="N300" s="6">
        <f t="shared" si="128"/>
        <v>-92.306759014308483</v>
      </c>
      <c r="O300" s="90">
        <f t="shared" si="117"/>
        <v>476.0820825254242</v>
      </c>
      <c r="P300" s="91">
        <f t="shared" si="118"/>
        <v>0</v>
      </c>
      <c r="Q300" s="6">
        <f t="shared" si="119"/>
        <v>340.83810254370263</v>
      </c>
      <c r="R300" s="87">
        <f t="shared" si="138"/>
        <v>-549.81757049167504</v>
      </c>
      <c r="S300" s="6">
        <f t="shared" si="120"/>
        <v>-16.972382227433219</v>
      </c>
      <c r="T300" s="83">
        <f t="shared" si="129"/>
        <v>0</v>
      </c>
      <c r="U300" s="91">
        <f t="shared" si="136"/>
        <v>125242.53732668908</v>
      </c>
      <c r="V300" s="91">
        <f t="shared" si="130"/>
        <v>609.62438336952323</v>
      </c>
      <c r="W300" s="1">
        <f t="shared" si="141"/>
        <v>0</v>
      </c>
      <c r="X300" s="1">
        <f t="shared" si="141"/>
        <v>0</v>
      </c>
      <c r="Y300" s="1">
        <f t="shared" si="141"/>
        <v>0</v>
      </c>
      <c r="Z300" s="1">
        <f t="shared" si="141"/>
        <v>0</v>
      </c>
      <c r="AA300" s="1">
        <f t="shared" si="141"/>
        <v>0</v>
      </c>
      <c r="AB300" s="1">
        <f t="shared" si="141"/>
        <v>0</v>
      </c>
      <c r="AC300" s="1">
        <f t="shared" si="141"/>
        <v>0</v>
      </c>
      <c r="AD300" s="1">
        <f t="shared" si="141"/>
        <v>1</v>
      </c>
      <c r="AE300" s="1">
        <f t="shared" si="141"/>
        <v>1</v>
      </c>
      <c r="AF300" s="1">
        <f t="shared" si="141"/>
        <v>1</v>
      </c>
      <c r="AG300" s="1">
        <f t="shared" si="141"/>
        <v>1</v>
      </c>
      <c r="AH300" s="1">
        <f t="shared" si="141"/>
        <v>1</v>
      </c>
      <c r="AI300" s="44">
        <f t="shared" si="131"/>
        <v>81251.327039996948</v>
      </c>
      <c r="AJ300" s="44">
        <f t="shared" si="121"/>
        <v>81801.144610488627</v>
      </c>
      <c r="AK300" s="44" t="str">
        <f t="shared" si="139"/>
        <v>N</v>
      </c>
      <c r="AL300" s="4">
        <f t="shared" si="122"/>
        <v>222</v>
      </c>
      <c r="AM300" s="82">
        <f t="shared" si="132"/>
        <v>0</v>
      </c>
      <c r="AN300" s="82">
        <f t="shared" si="123"/>
        <v>0</v>
      </c>
      <c r="AO300" s="48">
        <f>0</f>
        <v>0</v>
      </c>
      <c r="AP300" s="91">
        <f t="shared" si="133"/>
        <v>-549.81757049167504</v>
      </c>
      <c r="AQ300" s="91">
        <f t="shared" si="134"/>
        <v>-549.81757049167504</v>
      </c>
      <c r="AV300" s="84"/>
    </row>
    <row r="301" spans="1:48">
      <c r="A301" s="190">
        <f t="shared" si="124"/>
        <v>84.304243668720048</v>
      </c>
      <c r="B301" s="82">
        <f t="shared" si="125"/>
        <v>19</v>
      </c>
      <c r="C301" s="83">
        <f t="shared" si="126"/>
        <v>223</v>
      </c>
      <c r="D301" s="14">
        <f t="shared" si="113"/>
        <v>4.8675505653430484E-3</v>
      </c>
      <c r="E301" s="16">
        <f t="shared" si="114"/>
        <v>0</v>
      </c>
      <c r="F301" s="127"/>
      <c r="G301" s="88">
        <f t="shared" si="115"/>
        <v>0</v>
      </c>
      <c r="H301" s="89">
        <f t="shared" si="127"/>
        <v>4.1666666666666666E-3</v>
      </c>
      <c r="I301" s="219"/>
      <c r="J301" s="219"/>
      <c r="K301" s="6">
        <f t="shared" si="135"/>
        <v>81251.327039996948</v>
      </c>
      <c r="M301" s="6">
        <f t="shared" si="116"/>
        <v>395.49494286841008</v>
      </c>
      <c r="N301" s="6">
        <f t="shared" si="128"/>
        <v>-92.028769028815219</v>
      </c>
      <c r="O301" s="90">
        <f t="shared" si="117"/>
        <v>476.0820825254242</v>
      </c>
      <c r="P301" s="91">
        <f t="shared" si="118"/>
        <v>0</v>
      </c>
      <c r="Q301" s="6">
        <f t="shared" si="119"/>
        <v>339.81163839098559</v>
      </c>
      <c r="R301" s="87">
        <f t="shared" si="138"/>
        <v>-549.57162527765763</v>
      </c>
      <c r="S301" s="6">
        <f t="shared" si="120"/>
        <v>-16.921121363213256</v>
      </c>
      <c r="T301" s="83">
        <f t="shared" si="129"/>
        <v>0</v>
      </c>
      <c r="U301" s="91">
        <f t="shared" si="136"/>
        <v>125302.34413956692</v>
      </c>
      <c r="V301" s="91">
        <f t="shared" si="130"/>
        <v>609.91549605535818</v>
      </c>
      <c r="W301" s="1">
        <f t="shared" si="141"/>
        <v>0</v>
      </c>
      <c r="X301" s="1">
        <f t="shared" si="141"/>
        <v>0</v>
      </c>
      <c r="Y301" s="1">
        <f t="shared" si="141"/>
        <v>0</v>
      </c>
      <c r="Z301" s="1">
        <f t="shared" si="141"/>
        <v>0</v>
      </c>
      <c r="AA301" s="1">
        <f t="shared" si="141"/>
        <v>0</v>
      </c>
      <c r="AB301" s="1">
        <f t="shared" si="141"/>
        <v>0</v>
      </c>
      <c r="AC301" s="1">
        <f t="shared" si="141"/>
        <v>0</v>
      </c>
      <c r="AD301" s="1">
        <f t="shared" si="141"/>
        <v>1</v>
      </c>
      <c r="AE301" s="1">
        <f t="shared" si="141"/>
        <v>1</v>
      </c>
      <c r="AF301" s="1">
        <f t="shared" si="141"/>
        <v>1</v>
      </c>
      <c r="AG301" s="1">
        <f t="shared" si="141"/>
        <v>1</v>
      </c>
      <c r="AH301" s="1">
        <f t="shared" si="141"/>
        <v>1</v>
      </c>
      <c r="AI301" s="44">
        <f t="shared" si="131"/>
        <v>81005.221588558881</v>
      </c>
      <c r="AJ301" s="44">
        <f t="shared" si="121"/>
        <v>81554.793213836543</v>
      </c>
      <c r="AK301" s="44" t="str">
        <f t="shared" si="139"/>
        <v>N</v>
      </c>
      <c r="AL301" s="4">
        <f t="shared" si="122"/>
        <v>223</v>
      </c>
      <c r="AM301" s="82">
        <f t="shared" si="132"/>
        <v>0</v>
      </c>
      <c r="AN301" s="82">
        <f t="shared" si="123"/>
        <v>0</v>
      </c>
      <c r="AO301" s="48">
        <f>0</f>
        <v>0</v>
      </c>
      <c r="AP301" s="91">
        <f t="shared" si="133"/>
        <v>-549.57162527765763</v>
      </c>
      <c r="AQ301" s="91">
        <f t="shared" si="134"/>
        <v>-549.57162527765763</v>
      </c>
      <c r="AV301" s="84"/>
    </row>
    <row r="302" spans="1:48">
      <c r="A302" s="190">
        <f t="shared" si="124"/>
        <v>84.387577002053376</v>
      </c>
      <c r="B302" s="82">
        <f t="shared" si="125"/>
        <v>19</v>
      </c>
      <c r="C302" s="83">
        <f t="shared" si="126"/>
        <v>224</v>
      </c>
      <c r="D302" s="14">
        <f t="shared" si="113"/>
        <v>4.8675505653430484E-3</v>
      </c>
      <c r="E302" s="16">
        <f t="shared" si="114"/>
        <v>0</v>
      </c>
      <c r="F302" s="127"/>
      <c r="G302" s="88">
        <f t="shared" si="115"/>
        <v>0</v>
      </c>
      <c r="H302" s="89">
        <f t="shared" si="127"/>
        <v>4.1666666666666666E-3</v>
      </c>
      <c r="I302" s="219"/>
      <c r="J302" s="219"/>
      <c r="K302" s="6">
        <f t="shared" si="135"/>
        <v>81005.221588558881</v>
      </c>
      <c r="M302" s="6">
        <f t="shared" si="116"/>
        <v>394.2970121391287</v>
      </c>
      <c r="N302" s="6">
        <f t="shared" si="128"/>
        <v>-91.750019344690344</v>
      </c>
      <c r="O302" s="90">
        <f t="shared" si="117"/>
        <v>476.0820825254242</v>
      </c>
      <c r="P302" s="91">
        <f t="shared" si="118"/>
        <v>0</v>
      </c>
      <c r="Q302" s="6">
        <f t="shared" si="119"/>
        <v>338.78236908897213</v>
      </c>
      <c r="R302" s="87">
        <f t="shared" si="138"/>
        <v>-549.32579008021992</v>
      </c>
      <c r="S302" s="6">
        <f t="shared" si="120"/>
        <v>-16.869720330335596</v>
      </c>
      <c r="T302" s="83">
        <f t="shared" si="129"/>
        <v>0</v>
      </c>
      <c r="U302" s="91">
        <f t="shared" si="136"/>
        <v>125362.68801034462</v>
      </c>
      <c r="V302" s="91">
        <f t="shared" si="130"/>
        <v>610.20922289767714</v>
      </c>
      <c r="W302" s="1">
        <f t="shared" si="141"/>
        <v>0</v>
      </c>
      <c r="X302" s="1">
        <f t="shared" si="141"/>
        <v>0</v>
      </c>
      <c r="Y302" s="1">
        <f t="shared" si="141"/>
        <v>0</v>
      </c>
      <c r="Z302" s="1">
        <f t="shared" si="141"/>
        <v>0</v>
      </c>
      <c r="AA302" s="1">
        <f t="shared" si="141"/>
        <v>0</v>
      </c>
      <c r="AB302" s="1">
        <f t="shared" si="141"/>
        <v>0</v>
      </c>
      <c r="AC302" s="1">
        <f t="shared" si="141"/>
        <v>0</v>
      </c>
      <c r="AD302" s="1">
        <f t="shared" si="141"/>
        <v>1</v>
      </c>
      <c r="AE302" s="1">
        <f t="shared" si="141"/>
        <v>1</v>
      </c>
      <c r="AF302" s="1">
        <f t="shared" si="141"/>
        <v>1</v>
      </c>
      <c r="AG302" s="1">
        <f t="shared" si="141"/>
        <v>1</v>
      </c>
      <c r="AH302" s="1">
        <f t="shared" si="141"/>
        <v>1</v>
      </c>
      <c r="AI302" s="44">
        <f t="shared" si="131"/>
        <v>80758.442791273104</v>
      </c>
      <c r="AJ302" s="44">
        <f t="shared" si="121"/>
        <v>81307.768581353317</v>
      </c>
      <c r="AK302" s="44" t="str">
        <f t="shared" si="139"/>
        <v>N</v>
      </c>
      <c r="AL302" s="4">
        <f t="shared" si="122"/>
        <v>224</v>
      </c>
      <c r="AM302" s="82">
        <f t="shared" si="132"/>
        <v>0</v>
      </c>
      <c r="AN302" s="82">
        <f t="shared" si="123"/>
        <v>0</v>
      </c>
      <c r="AO302" s="48">
        <f>0</f>
        <v>0</v>
      </c>
      <c r="AP302" s="91">
        <f t="shared" si="133"/>
        <v>-549.32579008021992</v>
      </c>
      <c r="AQ302" s="91">
        <f t="shared" si="134"/>
        <v>-549.32579008021992</v>
      </c>
      <c r="AV302" s="84"/>
    </row>
    <row r="303" spans="1:48">
      <c r="A303" s="190">
        <f t="shared" si="124"/>
        <v>84.470910335386719</v>
      </c>
      <c r="B303" s="82">
        <f t="shared" si="125"/>
        <v>19</v>
      </c>
      <c r="C303" s="83">
        <f t="shared" si="126"/>
        <v>225</v>
      </c>
      <c r="D303" s="14">
        <f t="shared" si="113"/>
        <v>4.8675505653430484E-3</v>
      </c>
      <c r="E303" s="16">
        <f t="shared" si="114"/>
        <v>0</v>
      </c>
      <c r="F303" s="127"/>
      <c r="G303" s="88">
        <f t="shared" si="115"/>
        <v>0</v>
      </c>
      <c r="H303" s="89">
        <f t="shared" si="127"/>
        <v>4.1666666666666666E-3</v>
      </c>
      <c r="I303" s="219"/>
      <c r="J303" s="219"/>
      <c r="K303" s="6">
        <f t="shared" si="135"/>
        <v>80758.442791273104</v>
      </c>
      <c r="M303" s="6">
        <f t="shared" si="116"/>
        <v>393.09580386488562</v>
      </c>
      <c r="N303" s="6">
        <f t="shared" si="128"/>
        <v>-91.47050699992036</v>
      </c>
      <c r="O303" s="90">
        <f t="shared" si="117"/>
        <v>476.0820825254242</v>
      </c>
      <c r="P303" s="91">
        <f t="shared" si="118"/>
        <v>0</v>
      </c>
      <c r="Q303" s="6">
        <f t="shared" si="119"/>
        <v>337.75028370057527</v>
      </c>
      <c r="R303" s="87">
        <f t="shared" si="138"/>
        <v>-549.08006485014823</v>
      </c>
      <c r="S303" s="6">
        <f t="shared" si="120"/>
        <v>-16.818178582341993</v>
      </c>
      <c r="T303" s="83">
        <f t="shared" si="129"/>
        <v>0</v>
      </c>
      <c r="U303" s="91">
        <f t="shared" si="136"/>
        <v>125423.57144316209</v>
      </c>
      <c r="V303" s="91">
        <f t="shared" si="130"/>
        <v>610.50557608550787</v>
      </c>
      <c r="W303" s="1">
        <f t="shared" si="141"/>
        <v>0</v>
      </c>
      <c r="X303" s="1">
        <f t="shared" si="141"/>
        <v>0</v>
      </c>
      <c r="Y303" s="1">
        <f t="shared" si="141"/>
        <v>0</v>
      </c>
      <c r="Z303" s="1">
        <f t="shared" si="141"/>
        <v>0</v>
      </c>
      <c r="AA303" s="1">
        <f t="shared" si="141"/>
        <v>0</v>
      </c>
      <c r="AB303" s="1">
        <f t="shared" si="141"/>
        <v>0</v>
      </c>
      <c r="AC303" s="1">
        <f t="shared" si="141"/>
        <v>0</v>
      </c>
      <c r="AD303" s="1">
        <f t="shared" si="141"/>
        <v>1</v>
      </c>
      <c r="AE303" s="1">
        <f t="shared" si="141"/>
        <v>1</v>
      </c>
      <c r="AF303" s="1">
        <f t="shared" si="141"/>
        <v>1</v>
      </c>
      <c r="AG303" s="1">
        <f t="shared" si="141"/>
        <v>1</v>
      </c>
      <c r="AH303" s="1">
        <f t="shared" si="141"/>
        <v>1</v>
      </c>
      <c r="AI303" s="44">
        <f t="shared" si="131"/>
        <v>80510.988023287922</v>
      </c>
      <c r="AJ303" s="44">
        <f t="shared" si="121"/>
        <v>81060.068088138069</v>
      </c>
      <c r="AK303" s="44" t="str">
        <f t="shared" si="139"/>
        <v>N</v>
      </c>
      <c r="AL303" s="4">
        <f t="shared" si="122"/>
        <v>225</v>
      </c>
      <c r="AM303" s="82">
        <f t="shared" si="132"/>
        <v>0</v>
      </c>
      <c r="AN303" s="82">
        <f t="shared" si="123"/>
        <v>0</v>
      </c>
      <c r="AO303" s="48">
        <f>0</f>
        <v>0</v>
      </c>
      <c r="AP303" s="91">
        <f t="shared" si="133"/>
        <v>-549.08006485014823</v>
      </c>
      <c r="AQ303" s="91">
        <f t="shared" si="134"/>
        <v>-549.08006485014823</v>
      </c>
      <c r="AV303" s="84"/>
    </row>
    <row r="304" spans="1:48">
      <c r="A304" s="190">
        <f t="shared" si="124"/>
        <v>84.554243668720048</v>
      </c>
      <c r="B304" s="82">
        <f t="shared" si="125"/>
        <v>19</v>
      </c>
      <c r="C304" s="83">
        <f t="shared" si="126"/>
        <v>226</v>
      </c>
      <c r="D304" s="14">
        <f t="shared" si="113"/>
        <v>4.8675505653430484E-3</v>
      </c>
      <c r="E304" s="16">
        <f t="shared" si="114"/>
        <v>0</v>
      </c>
      <c r="F304" s="127"/>
      <c r="G304" s="88">
        <f t="shared" si="115"/>
        <v>0</v>
      </c>
      <c r="H304" s="89">
        <f t="shared" si="127"/>
        <v>4.1666666666666666E-3</v>
      </c>
      <c r="I304" s="219"/>
      <c r="J304" s="219"/>
      <c r="K304" s="6">
        <f t="shared" si="135"/>
        <v>80510.988023287922</v>
      </c>
      <c r="M304" s="6">
        <f t="shared" si="116"/>
        <v>391.89130526908252</v>
      </c>
      <c r="N304" s="6">
        <f t="shared" si="128"/>
        <v>-91.190229021484683</v>
      </c>
      <c r="O304" s="90">
        <f t="shared" si="117"/>
        <v>476.0820825254242</v>
      </c>
      <c r="P304" s="91">
        <f t="shared" si="118"/>
        <v>0</v>
      </c>
      <c r="Q304" s="6">
        <f t="shared" si="119"/>
        <v>336.71537124806468</v>
      </c>
      <c r="R304" s="87">
        <f t="shared" si="138"/>
        <v>-548.83444953825222</v>
      </c>
      <c r="S304" s="6">
        <f t="shared" si="120"/>
        <v>-16.766495570743526</v>
      </c>
      <c r="T304" s="83">
        <f t="shared" si="129"/>
        <v>0</v>
      </c>
      <c r="U304" s="91">
        <f t="shared" si="136"/>
        <v>125484.99695439744</v>
      </c>
      <c r="V304" s="91">
        <f t="shared" si="130"/>
        <v>610.80456786744799</v>
      </c>
      <c r="W304" s="1">
        <f t="shared" si="141"/>
        <v>0</v>
      </c>
      <c r="X304" s="1">
        <f t="shared" si="141"/>
        <v>0</v>
      </c>
      <c r="Y304" s="1">
        <f t="shared" si="141"/>
        <v>0</v>
      </c>
      <c r="Z304" s="1">
        <f t="shared" si="141"/>
        <v>0</v>
      </c>
      <c r="AA304" s="1">
        <f t="shared" si="141"/>
        <v>0</v>
      </c>
      <c r="AB304" s="1">
        <f t="shared" si="141"/>
        <v>0</v>
      </c>
      <c r="AC304" s="1">
        <f t="shared" si="141"/>
        <v>0</v>
      </c>
      <c r="AD304" s="1">
        <f t="shared" si="141"/>
        <v>1</v>
      </c>
      <c r="AE304" s="1">
        <f t="shared" si="141"/>
        <v>1</v>
      </c>
      <c r="AF304" s="1">
        <f t="shared" si="141"/>
        <v>1</v>
      </c>
      <c r="AG304" s="1">
        <f t="shared" si="141"/>
        <v>1</v>
      </c>
      <c r="AH304" s="1">
        <f t="shared" si="141"/>
        <v>1</v>
      </c>
      <c r="AI304" s="44">
        <f t="shared" si="131"/>
        <v>80262.854649997273</v>
      </c>
      <c r="AJ304" s="44">
        <f t="shared" si="121"/>
        <v>80811.689099535521</v>
      </c>
      <c r="AK304" s="44" t="str">
        <f t="shared" si="139"/>
        <v>N</v>
      </c>
      <c r="AL304" s="4">
        <f t="shared" si="122"/>
        <v>226</v>
      </c>
      <c r="AM304" s="82">
        <f t="shared" si="132"/>
        <v>0</v>
      </c>
      <c r="AN304" s="82">
        <f t="shared" si="123"/>
        <v>0</v>
      </c>
      <c r="AO304" s="48">
        <f>0</f>
        <v>0</v>
      </c>
      <c r="AP304" s="91">
        <f t="shared" si="133"/>
        <v>-548.83444953825222</v>
      </c>
      <c r="AQ304" s="91">
        <f t="shared" si="134"/>
        <v>-548.83444953825222</v>
      </c>
      <c r="AV304" s="84"/>
    </row>
    <row r="305" spans="1:48">
      <c r="A305" s="190">
        <f t="shared" si="124"/>
        <v>84.637577002053376</v>
      </c>
      <c r="B305" s="82">
        <f t="shared" si="125"/>
        <v>19</v>
      </c>
      <c r="C305" s="83">
        <f t="shared" si="126"/>
        <v>227</v>
      </c>
      <c r="D305" s="14">
        <f t="shared" si="113"/>
        <v>4.8675505653430484E-3</v>
      </c>
      <c r="E305" s="16">
        <f t="shared" si="114"/>
        <v>0</v>
      </c>
      <c r="F305" s="127"/>
      <c r="G305" s="88">
        <f t="shared" si="115"/>
        <v>0</v>
      </c>
      <c r="H305" s="89">
        <f t="shared" si="127"/>
        <v>4.1666666666666666E-3</v>
      </c>
      <c r="I305" s="219"/>
      <c r="J305" s="219"/>
      <c r="K305" s="6">
        <f t="shared" si="135"/>
        <v>80262.854649997273</v>
      </c>
      <c r="M305" s="6">
        <f t="shared" si="116"/>
        <v>390.68350352764116</v>
      </c>
      <c r="N305" s="6">
        <f t="shared" si="128"/>
        <v>-90.909182425314441</v>
      </c>
      <c r="O305" s="90">
        <f t="shared" si="117"/>
        <v>476.0820825254242</v>
      </c>
      <c r="P305" s="91">
        <f t="shared" si="118"/>
        <v>0</v>
      </c>
      <c r="Q305" s="6">
        <f t="shared" si="119"/>
        <v>335.67762071291503</v>
      </c>
      <c r="R305" s="87">
        <f t="shared" si="138"/>
        <v>-548.5889440953631</v>
      </c>
      <c r="S305" s="6">
        <f t="shared" si="120"/>
        <v>-16.714670745012935</v>
      </c>
      <c r="T305" s="83">
        <f t="shared" si="129"/>
        <v>0</v>
      </c>
      <c r="U305" s="91">
        <f t="shared" si="136"/>
        <v>125546.96707272665</v>
      </c>
      <c r="V305" s="91">
        <f t="shared" si="130"/>
        <v>611.10621055195566</v>
      </c>
      <c r="W305" s="1">
        <f t="shared" si="141"/>
        <v>0</v>
      </c>
      <c r="X305" s="1">
        <f t="shared" si="141"/>
        <v>0</v>
      </c>
      <c r="Y305" s="1">
        <f t="shared" si="141"/>
        <v>0</v>
      </c>
      <c r="Z305" s="1">
        <f t="shared" si="141"/>
        <v>0</v>
      </c>
      <c r="AA305" s="1">
        <f t="shared" si="141"/>
        <v>0</v>
      </c>
      <c r="AB305" s="1">
        <f t="shared" si="141"/>
        <v>0</v>
      </c>
      <c r="AC305" s="1">
        <f t="shared" si="141"/>
        <v>0</v>
      </c>
      <c r="AD305" s="1">
        <f t="shared" si="141"/>
        <v>1</v>
      </c>
      <c r="AE305" s="1">
        <f t="shared" si="141"/>
        <v>1</v>
      </c>
      <c r="AF305" s="1">
        <f t="shared" si="141"/>
        <v>1</v>
      </c>
      <c r="AG305" s="1">
        <f t="shared" si="141"/>
        <v>1</v>
      </c>
      <c r="AH305" s="1">
        <f t="shared" si="141"/>
        <v>1</v>
      </c>
      <c r="AI305" s="44">
        <f t="shared" si="131"/>
        <v>80014.040027004245</v>
      </c>
      <c r="AJ305" s="44">
        <f t="shared" si="121"/>
        <v>80562.628971099606</v>
      </c>
      <c r="AK305" s="44" t="str">
        <f t="shared" si="139"/>
        <v>N</v>
      </c>
      <c r="AL305" s="4">
        <f t="shared" si="122"/>
        <v>227</v>
      </c>
      <c r="AM305" s="82">
        <f t="shared" si="132"/>
        <v>0</v>
      </c>
      <c r="AN305" s="82">
        <f t="shared" si="123"/>
        <v>0</v>
      </c>
      <c r="AO305" s="48">
        <f>0</f>
        <v>0</v>
      </c>
      <c r="AP305" s="91">
        <f t="shared" si="133"/>
        <v>-548.5889440953631</v>
      </c>
      <c r="AQ305" s="91">
        <f t="shared" si="134"/>
        <v>-548.5889440953631</v>
      </c>
      <c r="AV305" s="84"/>
    </row>
    <row r="306" spans="1:48">
      <c r="A306" s="190">
        <f t="shared" si="124"/>
        <v>84.720910335386719</v>
      </c>
      <c r="B306" s="82">
        <f t="shared" si="125"/>
        <v>19</v>
      </c>
      <c r="C306" s="83">
        <f t="shared" si="126"/>
        <v>228</v>
      </c>
      <c r="D306" s="14">
        <f t="shared" si="113"/>
        <v>4.8675505653430484E-3</v>
      </c>
      <c r="E306" s="16">
        <f t="shared" si="114"/>
        <v>0</v>
      </c>
      <c r="F306" s="127"/>
      <c r="G306" s="88">
        <f t="shared" si="115"/>
        <v>0</v>
      </c>
      <c r="H306" s="89">
        <f t="shared" si="127"/>
        <v>4.1666666666666666E-3</v>
      </c>
      <c r="I306" s="219"/>
      <c r="J306" s="219"/>
      <c r="K306" s="6">
        <f t="shared" si="135"/>
        <v>80014.040027004245</v>
      </c>
      <c r="M306" s="6">
        <f t="shared" si="116"/>
        <v>389.4723857688258</v>
      </c>
      <c r="N306" s="6">
        <f t="shared" si="128"/>
        <v>-90.62736421625128</v>
      </c>
      <c r="O306" s="90">
        <f t="shared" si="117"/>
        <v>476.0820825254242</v>
      </c>
      <c r="P306" s="91">
        <f t="shared" si="118"/>
        <v>0</v>
      </c>
      <c r="Q306" s="6">
        <f t="shared" si="119"/>
        <v>334.63702103565339</v>
      </c>
      <c r="R306" s="87">
        <f t="shared" si="138"/>
        <v>-548.34354847233419</v>
      </c>
      <c r="S306" s="6">
        <f t="shared" si="120"/>
        <v>-16.662703552577074</v>
      </c>
      <c r="T306" s="83">
        <f t="shared" si="129"/>
        <v>0</v>
      </c>
      <c r="U306" s="91">
        <f t="shared" si="136"/>
        <v>125609.48433918324</v>
      </c>
      <c r="V306" s="91">
        <f t="shared" si="130"/>
        <v>611.41051650764018</v>
      </c>
      <c r="W306" s="1">
        <f t="shared" si="141"/>
        <v>0</v>
      </c>
      <c r="X306" s="1">
        <f t="shared" si="141"/>
        <v>0</v>
      </c>
      <c r="Y306" s="1">
        <f t="shared" si="141"/>
        <v>0</v>
      </c>
      <c r="Z306" s="1">
        <f t="shared" si="141"/>
        <v>0</v>
      </c>
      <c r="AA306" s="1">
        <f t="shared" si="141"/>
        <v>0</v>
      </c>
      <c r="AB306" s="1">
        <f t="shared" si="141"/>
        <v>0</v>
      </c>
      <c r="AC306" s="1">
        <f t="shared" si="141"/>
        <v>0</v>
      </c>
      <c r="AD306" s="1">
        <f t="shared" si="141"/>
        <v>1</v>
      </c>
      <c r="AE306" s="1">
        <f t="shared" si="141"/>
        <v>1</v>
      </c>
      <c r="AF306" s="1">
        <f t="shared" si="141"/>
        <v>1</v>
      </c>
      <c r="AG306" s="1">
        <f t="shared" si="141"/>
        <v>1</v>
      </c>
      <c r="AH306" s="1">
        <f t="shared" si="141"/>
        <v>1</v>
      </c>
      <c r="AI306" s="44">
        <f t="shared" si="131"/>
        <v>79764.541500084481</v>
      </c>
      <c r="AJ306" s="44">
        <f t="shared" si="121"/>
        <v>80312.885048556811</v>
      </c>
      <c r="AK306" s="44" t="str">
        <f t="shared" si="139"/>
        <v>N</v>
      </c>
      <c r="AL306" s="4">
        <f t="shared" si="122"/>
        <v>228</v>
      </c>
      <c r="AM306" s="82">
        <f t="shared" si="132"/>
        <v>0</v>
      </c>
      <c r="AN306" s="82">
        <f t="shared" si="123"/>
        <v>0</v>
      </c>
      <c r="AO306" s="48">
        <f>0</f>
        <v>0</v>
      </c>
      <c r="AP306" s="91">
        <f t="shared" si="133"/>
        <v>-548.34354847233419</v>
      </c>
      <c r="AQ306" s="91">
        <f t="shared" si="134"/>
        <v>-548.34354847233419</v>
      </c>
      <c r="AV306" s="84"/>
    </row>
    <row r="307" spans="1:48">
      <c r="A307" s="190">
        <f t="shared" si="124"/>
        <v>84.804243668720048</v>
      </c>
      <c r="B307" s="82">
        <f t="shared" si="125"/>
        <v>20</v>
      </c>
      <c r="C307" s="83">
        <f t="shared" si="126"/>
        <v>229</v>
      </c>
      <c r="D307" s="14">
        <f t="shared" si="113"/>
        <v>4.8675505653430484E-3</v>
      </c>
      <c r="E307" s="16">
        <f t="shared" si="114"/>
        <v>0</v>
      </c>
      <c r="F307" s="127"/>
      <c r="G307" s="88">
        <f t="shared" si="115"/>
        <v>0</v>
      </c>
      <c r="H307" s="89">
        <f t="shared" si="127"/>
        <v>4.1666666666666666E-3</v>
      </c>
      <c r="I307" s="219"/>
      <c r="J307" s="219"/>
      <c r="K307" s="6">
        <f t="shared" si="135"/>
        <v>79764.541500084481</v>
      </c>
      <c r="M307" s="6">
        <f t="shared" si="116"/>
        <v>388.25793907306524</v>
      </c>
      <c r="N307" s="6">
        <f t="shared" si="128"/>
        <v>-90.344771388005825</v>
      </c>
      <c r="O307" s="90">
        <f t="shared" si="117"/>
        <v>485.60372417593265</v>
      </c>
      <c r="P307" s="91">
        <f t="shared" si="118"/>
        <v>0</v>
      </c>
      <c r="Q307" s="6">
        <f t="shared" si="119"/>
        <v>333.59356111570645</v>
      </c>
      <c r="R307" s="87">
        <f t="shared" si="138"/>
        <v>-548.09826262004083</v>
      </c>
      <c r="S307" s="6">
        <f t="shared" si="120"/>
        <v>-16.610593438809211</v>
      </c>
      <c r="T307" s="83">
        <f t="shared" si="129"/>
        <v>0</v>
      </c>
      <c r="U307" s="91">
        <f t="shared" si="136"/>
        <v>125672.55130721856</v>
      </c>
      <c r="V307" s="91">
        <f t="shared" si="130"/>
        <v>611.71749816355498</v>
      </c>
      <c r="W307" s="1">
        <f t="shared" si="141"/>
        <v>0</v>
      </c>
      <c r="X307" s="1">
        <f t="shared" si="141"/>
        <v>0</v>
      </c>
      <c r="Y307" s="1">
        <f t="shared" si="141"/>
        <v>0</v>
      </c>
      <c r="Z307" s="1">
        <f t="shared" si="141"/>
        <v>0</v>
      </c>
      <c r="AA307" s="1">
        <f t="shared" si="141"/>
        <v>0</v>
      </c>
      <c r="AB307" s="1">
        <f t="shared" si="141"/>
        <v>0</v>
      </c>
      <c r="AC307" s="1">
        <f t="shared" si="141"/>
        <v>0</v>
      </c>
      <c r="AD307" s="1">
        <f t="shared" si="141"/>
        <v>1</v>
      </c>
      <c r="AE307" s="1">
        <f t="shared" si="141"/>
        <v>1</v>
      </c>
      <c r="AF307" s="1">
        <f t="shared" si="141"/>
        <v>1</v>
      </c>
      <c r="AG307" s="1">
        <f t="shared" si="141"/>
        <v>1</v>
      </c>
      <c r="AH307" s="1">
        <f t="shared" si="141"/>
        <v>1</v>
      </c>
      <c r="AI307" s="44">
        <f t="shared" si="131"/>
        <v>79514.356405149505</v>
      </c>
      <c r="AJ307" s="44">
        <f t="shared" si="121"/>
        <v>80062.454667769547</v>
      </c>
      <c r="AK307" s="44" t="str">
        <f t="shared" si="139"/>
        <v>N</v>
      </c>
      <c r="AL307" s="4">
        <f t="shared" si="122"/>
        <v>229</v>
      </c>
      <c r="AM307" s="82">
        <f t="shared" si="132"/>
        <v>0</v>
      </c>
      <c r="AN307" s="82">
        <f t="shared" si="123"/>
        <v>0</v>
      </c>
      <c r="AO307" s="48">
        <f>0</f>
        <v>0</v>
      </c>
      <c r="AP307" s="91">
        <f t="shared" si="133"/>
        <v>-548.09826262004083</v>
      </c>
      <c r="AQ307" s="91">
        <f t="shared" si="134"/>
        <v>-548.09826262004083</v>
      </c>
      <c r="AV307" s="84"/>
    </row>
    <row r="308" spans="1:48">
      <c r="A308" s="190">
        <f t="shared" si="124"/>
        <v>84.887577002053376</v>
      </c>
      <c r="B308" s="82">
        <f t="shared" si="125"/>
        <v>20</v>
      </c>
      <c r="C308" s="83">
        <f t="shared" si="126"/>
        <v>230</v>
      </c>
      <c r="D308" s="14">
        <f t="shared" si="113"/>
        <v>4.8675505653430484E-3</v>
      </c>
      <c r="E308" s="16">
        <f t="shared" si="114"/>
        <v>0</v>
      </c>
      <c r="F308" s="127"/>
      <c r="G308" s="88">
        <f t="shared" si="115"/>
        <v>0</v>
      </c>
      <c r="H308" s="89">
        <f t="shared" si="127"/>
        <v>4.1666666666666666E-3</v>
      </c>
      <c r="I308" s="219"/>
      <c r="J308" s="219"/>
      <c r="K308" s="6">
        <f t="shared" si="135"/>
        <v>79514.356405149505</v>
      </c>
      <c r="M308" s="6">
        <f t="shared" si="116"/>
        <v>387.04015047277414</v>
      </c>
      <c r="N308" s="6">
        <f t="shared" si="128"/>
        <v>-90.06140092311621</v>
      </c>
      <c r="O308" s="90">
        <f t="shared" si="117"/>
        <v>485.60372417593265</v>
      </c>
      <c r="P308" s="91">
        <f t="shared" si="118"/>
        <v>0</v>
      </c>
      <c r="Q308" s="6">
        <f t="shared" si="119"/>
        <v>332.5472298112465</v>
      </c>
      <c r="R308" s="87">
        <f t="shared" si="138"/>
        <v>-547.85308648937996</v>
      </c>
      <c r="S308" s="6">
        <f t="shared" si="120"/>
        <v>-16.558339847021411</v>
      </c>
      <c r="T308" s="83">
        <f t="shared" si="129"/>
        <v>0</v>
      </c>
      <c r="U308" s="91">
        <f t="shared" si="136"/>
        <v>125736.17054276208</v>
      </c>
      <c r="V308" s="91">
        <f t="shared" si="130"/>
        <v>612.02716800949145</v>
      </c>
      <c r="W308" s="1">
        <f t="shared" si="141"/>
        <v>0</v>
      </c>
      <c r="X308" s="1">
        <f t="shared" si="141"/>
        <v>0</v>
      </c>
      <c r="Y308" s="1">
        <f t="shared" si="141"/>
        <v>0</v>
      </c>
      <c r="Z308" s="1">
        <f t="shared" si="141"/>
        <v>0</v>
      </c>
      <c r="AA308" s="1">
        <f t="shared" si="141"/>
        <v>0</v>
      </c>
      <c r="AB308" s="1">
        <f t="shared" si="141"/>
        <v>0</v>
      </c>
      <c r="AC308" s="1">
        <f t="shared" si="141"/>
        <v>0</v>
      </c>
      <c r="AD308" s="1">
        <f t="shared" si="141"/>
        <v>1</v>
      </c>
      <c r="AE308" s="1">
        <f t="shared" si="141"/>
        <v>1</v>
      </c>
      <c r="AF308" s="1">
        <f t="shared" si="141"/>
        <v>1</v>
      </c>
      <c r="AG308" s="1">
        <f t="shared" si="141"/>
        <v>1</v>
      </c>
      <c r="AH308" s="1">
        <f t="shared" si="141"/>
        <v>1</v>
      </c>
      <c r="AI308" s="44">
        <f t="shared" si="131"/>
        <v>79263.482068209778</v>
      </c>
      <c r="AJ308" s="44">
        <f t="shared" si="121"/>
        <v>79811.335154699162</v>
      </c>
      <c r="AK308" s="44" t="str">
        <f t="shared" si="139"/>
        <v>N</v>
      </c>
      <c r="AL308" s="4">
        <f t="shared" si="122"/>
        <v>230</v>
      </c>
      <c r="AM308" s="82">
        <f t="shared" si="132"/>
        <v>0</v>
      </c>
      <c r="AN308" s="82">
        <f t="shared" si="123"/>
        <v>0</v>
      </c>
      <c r="AO308" s="48">
        <f>0</f>
        <v>0</v>
      </c>
      <c r="AP308" s="91">
        <f t="shared" si="133"/>
        <v>-547.85308648937996</v>
      </c>
      <c r="AQ308" s="91">
        <f t="shared" si="134"/>
        <v>-547.85308648937996</v>
      </c>
      <c r="AV308" s="84"/>
    </row>
    <row r="309" spans="1:48">
      <c r="A309" s="190">
        <f t="shared" si="124"/>
        <v>84.970910335386719</v>
      </c>
      <c r="B309" s="82">
        <f t="shared" si="125"/>
        <v>20</v>
      </c>
      <c r="C309" s="83">
        <f t="shared" si="126"/>
        <v>231</v>
      </c>
      <c r="D309" s="14">
        <f t="shared" si="113"/>
        <v>4.8675505653430484E-3</v>
      </c>
      <c r="E309" s="16">
        <f t="shared" si="114"/>
        <v>0</v>
      </c>
      <c r="F309" s="127"/>
      <c r="G309" s="88">
        <f t="shared" si="115"/>
        <v>0</v>
      </c>
      <c r="H309" s="89">
        <f t="shared" si="127"/>
        <v>4.1666666666666666E-3</v>
      </c>
      <c r="I309" s="219"/>
      <c r="J309" s="219"/>
      <c r="K309" s="6">
        <f t="shared" si="135"/>
        <v>79263.482068209778</v>
      </c>
      <c r="M309" s="6">
        <f t="shared" si="116"/>
        <v>385.81900695217308</v>
      </c>
      <c r="N309" s="6">
        <f t="shared" si="128"/>
        <v>-89.777249792906133</v>
      </c>
      <c r="O309" s="90">
        <f t="shared" si="117"/>
        <v>485.60372417593265</v>
      </c>
      <c r="P309" s="91">
        <f t="shared" si="118"/>
        <v>0</v>
      </c>
      <c r="Q309" s="6">
        <f t="shared" si="119"/>
        <v>331.49801593903766</v>
      </c>
      <c r="R309" s="87">
        <f t="shared" si="138"/>
        <v>-547.6080200312706</v>
      </c>
      <c r="S309" s="6">
        <f t="shared" si="120"/>
        <v>-16.505942218456767</v>
      </c>
      <c r="T309" s="83">
        <f t="shared" si="129"/>
        <v>0</v>
      </c>
      <c r="U309" s="91">
        <f t="shared" si="136"/>
        <v>125800.34462428218</v>
      </c>
      <c r="V309" s="91">
        <f t="shared" si="130"/>
        <v>612.33953859627502</v>
      </c>
      <c r="W309" s="1">
        <f t="shared" ref="W309:AH318" si="142">IF($B309&lt;=W$78,1,0)</f>
        <v>0</v>
      </c>
      <c r="X309" s="1">
        <f t="shared" si="142"/>
        <v>0</v>
      </c>
      <c r="Y309" s="1">
        <f t="shared" si="142"/>
        <v>0</v>
      </c>
      <c r="Z309" s="1">
        <f t="shared" si="142"/>
        <v>0</v>
      </c>
      <c r="AA309" s="1">
        <f t="shared" si="142"/>
        <v>0</v>
      </c>
      <c r="AB309" s="1">
        <f t="shared" si="142"/>
        <v>0</v>
      </c>
      <c r="AC309" s="1">
        <f t="shared" si="142"/>
        <v>0</v>
      </c>
      <c r="AD309" s="1">
        <f t="shared" si="142"/>
        <v>1</v>
      </c>
      <c r="AE309" s="1">
        <f t="shared" si="142"/>
        <v>1</v>
      </c>
      <c r="AF309" s="1">
        <f t="shared" si="142"/>
        <v>1</v>
      </c>
      <c r="AG309" s="1">
        <f t="shared" si="142"/>
        <v>1</v>
      </c>
      <c r="AH309" s="1">
        <f t="shared" si="142"/>
        <v>1</v>
      </c>
      <c r="AI309" s="44">
        <f t="shared" si="131"/>
        <v>79011.915805337761</v>
      </c>
      <c r="AJ309" s="44">
        <f t="shared" si="121"/>
        <v>79559.523825369033</v>
      </c>
      <c r="AK309" s="44" t="str">
        <f t="shared" si="139"/>
        <v>N</v>
      </c>
      <c r="AL309" s="4">
        <f t="shared" si="122"/>
        <v>231</v>
      </c>
      <c r="AM309" s="82">
        <f t="shared" si="132"/>
        <v>0</v>
      </c>
      <c r="AN309" s="82">
        <f t="shared" si="123"/>
        <v>0</v>
      </c>
      <c r="AO309" s="48">
        <f>0</f>
        <v>0</v>
      </c>
      <c r="AP309" s="91">
        <f t="shared" si="133"/>
        <v>-547.6080200312706</v>
      </c>
      <c r="AQ309" s="91">
        <f t="shared" si="134"/>
        <v>-547.6080200312706</v>
      </c>
      <c r="AV309" s="84"/>
    </row>
    <row r="310" spans="1:48">
      <c r="A310" s="190">
        <f t="shared" si="124"/>
        <v>85.054243668720048</v>
      </c>
      <c r="B310" s="82">
        <f t="shared" si="125"/>
        <v>20</v>
      </c>
      <c r="C310" s="83">
        <f t="shared" si="126"/>
        <v>232</v>
      </c>
      <c r="D310" s="14">
        <f t="shared" si="113"/>
        <v>4.8675505653430484E-3</v>
      </c>
      <c r="E310" s="16">
        <f t="shared" si="114"/>
        <v>0</v>
      </c>
      <c r="F310" s="127"/>
      <c r="G310" s="88">
        <f t="shared" si="115"/>
        <v>0</v>
      </c>
      <c r="H310" s="89">
        <f t="shared" si="127"/>
        <v>4.1666666666666666E-3</v>
      </c>
      <c r="I310" s="219"/>
      <c r="J310" s="219"/>
      <c r="K310" s="6">
        <f t="shared" si="135"/>
        <v>79011.915805337761</v>
      </c>
      <c r="M310" s="6">
        <f t="shared" si="116"/>
        <v>384.59449544710918</v>
      </c>
      <c r="N310" s="6">
        <f t="shared" si="128"/>
        <v>-89.492314957443156</v>
      </c>
      <c r="O310" s="90">
        <f t="shared" si="117"/>
        <v>485.60372417593265</v>
      </c>
      <c r="P310" s="91">
        <f t="shared" si="118"/>
        <v>0</v>
      </c>
      <c r="Q310" s="6">
        <f t="shared" si="119"/>
        <v>330.4459082742809</v>
      </c>
      <c r="R310" s="87">
        <f t="shared" si="138"/>
        <v>-561.31598698973653</v>
      </c>
      <c r="S310" s="6">
        <f t="shared" si="120"/>
        <v>-16.451944894667051</v>
      </c>
      <c r="T310" s="83">
        <f t="shared" si="129"/>
        <v>0</v>
      </c>
      <c r="U310" s="91">
        <f t="shared" si="136"/>
        <v>125865.07614284719</v>
      </c>
      <c r="V310" s="91">
        <f t="shared" si="130"/>
        <v>612.65462253606165</v>
      </c>
      <c r="W310" s="1">
        <f t="shared" si="142"/>
        <v>0</v>
      </c>
      <c r="X310" s="1">
        <f t="shared" si="142"/>
        <v>0</v>
      </c>
      <c r="Y310" s="1">
        <f t="shared" si="142"/>
        <v>0</v>
      </c>
      <c r="Z310" s="1">
        <f t="shared" si="142"/>
        <v>0</v>
      </c>
      <c r="AA310" s="1">
        <f t="shared" si="142"/>
        <v>0</v>
      </c>
      <c r="AB310" s="1">
        <f t="shared" si="142"/>
        <v>0</v>
      </c>
      <c r="AC310" s="1">
        <f t="shared" si="142"/>
        <v>0</v>
      </c>
      <c r="AD310" s="1">
        <f t="shared" si="142"/>
        <v>1</v>
      </c>
      <c r="AE310" s="1">
        <f t="shared" si="142"/>
        <v>1</v>
      </c>
      <c r="AF310" s="1">
        <f t="shared" si="142"/>
        <v>1</v>
      </c>
      <c r="AG310" s="1">
        <f t="shared" si="142"/>
        <v>1</v>
      </c>
      <c r="AH310" s="1">
        <f t="shared" si="142"/>
        <v>1</v>
      </c>
      <c r="AI310" s="44">
        <f t="shared" si="131"/>
        <v>78745.701998837685</v>
      </c>
      <c r="AJ310" s="44">
        <f t="shared" si="121"/>
        <v>79307.01798582742</v>
      </c>
      <c r="AK310" s="44" t="str">
        <f t="shared" si="139"/>
        <v>N</v>
      </c>
      <c r="AL310" s="4">
        <f t="shared" si="122"/>
        <v>232</v>
      </c>
      <c r="AM310" s="82">
        <f t="shared" si="132"/>
        <v>0</v>
      </c>
      <c r="AN310" s="82">
        <f t="shared" si="123"/>
        <v>0</v>
      </c>
      <c r="AO310" s="48">
        <f>0</f>
        <v>0</v>
      </c>
      <c r="AP310" s="91">
        <f t="shared" si="133"/>
        <v>-561.31598698973653</v>
      </c>
      <c r="AQ310" s="91">
        <f t="shared" si="134"/>
        <v>-561.31598698973653</v>
      </c>
      <c r="AV310" s="84"/>
    </row>
    <row r="311" spans="1:48">
      <c r="A311" s="190">
        <f t="shared" si="124"/>
        <v>85.137577002053376</v>
      </c>
      <c r="B311" s="82">
        <f t="shared" si="125"/>
        <v>20</v>
      </c>
      <c r="C311" s="83">
        <f t="shared" si="126"/>
        <v>233</v>
      </c>
      <c r="D311" s="14">
        <f t="shared" si="113"/>
        <v>4.8675505653430484E-3</v>
      </c>
      <c r="E311" s="16">
        <f t="shared" si="114"/>
        <v>0</v>
      </c>
      <c r="F311" s="127"/>
      <c r="G311" s="88">
        <f t="shared" si="115"/>
        <v>0</v>
      </c>
      <c r="H311" s="89">
        <f t="shared" si="127"/>
        <v>4.1666666666666666E-3</v>
      </c>
      <c r="I311" s="219"/>
      <c r="J311" s="219"/>
      <c r="K311" s="6">
        <f t="shared" si="135"/>
        <v>78745.701998837685</v>
      </c>
      <c r="M311" s="6">
        <f t="shared" si="116"/>
        <v>383.29868628277757</v>
      </c>
      <c r="N311" s="6">
        <f t="shared" si="128"/>
        <v>-89.190789680217605</v>
      </c>
      <c r="O311" s="90">
        <f t="shared" si="117"/>
        <v>485.60372417593265</v>
      </c>
      <c r="P311" s="91">
        <f t="shared" si="118"/>
        <v>0</v>
      </c>
      <c r="Q311" s="6">
        <f t="shared" si="119"/>
        <v>329.33254123100107</v>
      </c>
      <c r="R311" s="87">
        <f t="shared" si="138"/>
        <v>-561.06489828693645</v>
      </c>
      <c r="S311" s="6">
        <f t="shared" si="120"/>
        <v>-16.396342528976</v>
      </c>
      <c r="T311" s="83">
        <f t="shared" si="129"/>
        <v>0</v>
      </c>
      <c r="U311" s="91">
        <f t="shared" si="136"/>
        <v>125916.41477839352</v>
      </c>
      <c r="V311" s="91">
        <f t="shared" si="130"/>
        <v>612.90451594053911</v>
      </c>
      <c r="W311" s="1">
        <f t="shared" si="142"/>
        <v>0</v>
      </c>
      <c r="X311" s="1">
        <f t="shared" si="142"/>
        <v>0</v>
      </c>
      <c r="Y311" s="1">
        <f t="shared" si="142"/>
        <v>0</v>
      </c>
      <c r="Z311" s="1">
        <f t="shared" si="142"/>
        <v>0</v>
      </c>
      <c r="AA311" s="1">
        <f t="shared" si="142"/>
        <v>0</v>
      </c>
      <c r="AB311" s="1">
        <f t="shared" si="142"/>
        <v>0</v>
      </c>
      <c r="AC311" s="1">
        <f t="shared" si="142"/>
        <v>0</v>
      </c>
      <c r="AD311" s="1">
        <f t="shared" si="142"/>
        <v>1</v>
      </c>
      <c r="AE311" s="1">
        <f t="shared" si="142"/>
        <v>1</v>
      </c>
      <c r="AF311" s="1">
        <f t="shared" si="142"/>
        <v>1</v>
      </c>
      <c r="AG311" s="1">
        <f t="shared" si="142"/>
        <v>1</v>
      </c>
      <c r="AH311" s="1">
        <f t="shared" si="142"/>
        <v>1</v>
      </c>
      <c r="AI311" s="44">
        <f t="shared" si="131"/>
        <v>78478.744997153321</v>
      </c>
      <c r="AJ311" s="44">
        <f t="shared" si="121"/>
        <v>79039.809895440252</v>
      </c>
      <c r="AK311" s="44" t="str">
        <f t="shared" si="139"/>
        <v>N</v>
      </c>
      <c r="AL311" s="4">
        <f t="shared" si="122"/>
        <v>233</v>
      </c>
      <c r="AM311" s="82">
        <f t="shared" si="132"/>
        <v>0</v>
      </c>
      <c r="AN311" s="82">
        <f t="shared" si="123"/>
        <v>0</v>
      </c>
      <c r="AO311" s="48">
        <f>0</f>
        <v>0</v>
      </c>
      <c r="AP311" s="91">
        <f t="shared" si="133"/>
        <v>-561.06489828693645</v>
      </c>
      <c r="AQ311" s="91">
        <f t="shared" si="134"/>
        <v>-561.06489828693645</v>
      </c>
      <c r="AV311" s="84"/>
    </row>
    <row r="312" spans="1:48">
      <c r="A312" s="190">
        <f t="shared" si="124"/>
        <v>85.220910335386719</v>
      </c>
      <c r="B312" s="82">
        <f t="shared" si="125"/>
        <v>20</v>
      </c>
      <c r="C312" s="83">
        <f t="shared" si="126"/>
        <v>234</v>
      </c>
      <c r="D312" s="14">
        <f t="shared" si="113"/>
        <v>4.8675505653430484E-3</v>
      </c>
      <c r="E312" s="16">
        <f t="shared" si="114"/>
        <v>0</v>
      </c>
      <c r="F312" s="127"/>
      <c r="G312" s="88">
        <f t="shared" si="115"/>
        <v>0</v>
      </c>
      <c r="H312" s="89">
        <f t="shared" si="127"/>
        <v>4.1666666666666666E-3</v>
      </c>
      <c r="I312" s="219"/>
      <c r="J312" s="219"/>
      <c r="K312" s="6">
        <f t="shared" si="135"/>
        <v>78478.744997153321</v>
      </c>
      <c r="M312" s="6">
        <f t="shared" si="116"/>
        <v>381.99925957830658</v>
      </c>
      <c r="N312" s="6">
        <f t="shared" si="128"/>
        <v>-88.888422627965753</v>
      </c>
      <c r="O312" s="90">
        <f t="shared" si="117"/>
        <v>485.60372417593265</v>
      </c>
      <c r="P312" s="91">
        <f t="shared" si="118"/>
        <v>0</v>
      </c>
      <c r="Q312" s="6">
        <f t="shared" si="119"/>
        <v>328.21606597543195</v>
      </c>
      <c r="R312" s="87">
        <f t="shared" si="138"/>
        <v>-560.81392190150859</v>
      </c>
      <c r="S312" s="6">
        <f t="shared" si="120"/>
        <v>-16.340584852071778</v>
      </c>
      <c r="T312" s="83">
        <f t="shared" si="129"/>
        <v>0</v>
      </c>
      <c r="U312" s="91">
        <f t="shared" si="136"/>
        <v>125968.25439604712</v>
      </c>
      <c r="V312" s="91">
        <f t="shared" si="130"/>
        <v>613.15684790075613</v>
      </c>
      <c r="W312" s="1">
        <f t="shared" si="142"/>
        <v>0</v>
      </c>
      <c r="X312" s="1">
        <f t="shared" si="142"/>
        <v>0</v>
      </c>
      <c r="Y312" s="1">
        <f t="shared" si="142"/>
        <v>0</v>
      </c>
      <c r="Z312" s="1">
        <f t="shared" si="142"/>
        <v>0</v>
      </c>
      <c r="AA312" s="1">
        <f t="shared" si="142"/>
        <v>0</v>
      </c>
      <c r="AB312" s="1">
        <f t="shared" si="142"/>
        <v>0</v>
      </c>
      <c r="AC312" s="1">
        <f t="shared" si="142"/>
        <v>0</v>
      </c>
      <c r="AD312" s="1">
        <f t="shared" si="142"/>
        <v>1</v>
      </c>
      <c r="AE312" s="1">
        <f t="shared" si="142"/>
        <v>1</v>
      </c>
      <c r="AF312" s="1">
        <f t="shared" si="142"/>
        <v>1</v>
      </c>
      <c r="AG312" s="1">
        <f t="shared" si="142"/>
        <v>1</v>
      </c>
      <c r="AH312" s="1">
        <f t="shared" si="142"/>
        <v>1</v>
      </c>
      <c r="AI312" s="44">
        <f t="shared" si="131"/>
        <v>78211.041912202156</v>
      </c>
      <c r="AJ312" s="44">
        <f t="shared" si="121"/>
        <v>78771.85583410367</v>
      </c>
      <c r="AK312" s="44" t="str">
        <f t="shared" si="139"/>
        <v>N</v>
      </c>
      <c r="AL312" s="4">
        <f t="shared" si="122"/>
        <v>234</v>
      </c>
      <c r="AM312" s="82">
        <f t="shared" si="132"/>
        <v>0</v>
      </c>
      <c r="AN312" s="82">
        <f t="shared" si="123"/>
        <v>0</v>
      </c>
      <c r="AO312" s="48">
        <f>0</f>
        <v>0</v>
      </c>
      <c r="AP312" s="91">
        <f t="shared" si="133"/>
        <v>-560.81392190150859</v>
      </c>
      <c r="AQ312" s="91">
        <f t="shared" si="134"/>
        <v>-560.81392190150859</v>
      </c>
      <c r="AV312" s="84"/>
    </row>
    <row r="313" spans="1:48">
      <c r="A313" s="190">
        <f t="shared" si="124"/>
        <v>85.304243668720048</v>
      </c>
      <c r="B313" s="82">
        <f t="shared" si="125"/>
        <v>20</v>
      </c>
      <c r="C313" s="83">
        <f t="shared" si="126"/>
        <v>235</v>
      </c>
      <c r="D313" s="14">
        <f t="shared" si="113"/>
        <v>4.8675505653430484E-3</v>
      </c>
      <c r="E313" s="16">
        <f t="shared" si="114"/>
        <v>0</v>
      </c>
      <c r="F313" s="127"/>
      <c r="G313" s="88">
        <f t="shared" si="115"/>
        <v>0</v>
      </c>
      <c r="H313" s="89">
        <f t="shared" si="127"/>
        <v>4.1666666666666666E-3</v>
      </c>
      <c r="I313" s="219"/>
      <c r="J313" s="219"/>
      <c r="K313" s="6">
        <f t="shared" si="135"/>
        <v>78211.041912202156</v>
      </c>
      <c r="M313" s="6">
        <f t="shared" si="116"/>
        <v>380.69620127580845</v>
      </c>
      <c r="N313" s="6">
        <f t="shared" si="128"/>
        <v>-88.585210529520339</v>
      </c>
      <c r="O313" s="90">
        <f t="shared" si="117"/>
        <v>485.60372417593265</v>
      </c>
      <c r="P313" s="91">
        <f t="shared" si="118"/>
        <v>0</v>
      </c>
      <c r="Q313" s="6">
        <f t="shared" si="119"/>
        <v>327.09647042895182</v>
      </c>
      <c r="R313" s="87">
        <f t="shared" si="138"/>
        <v>-560.56305778321075</v>
      </c>
      <c r="S313" s="6">
        <f t="shared" si="120"/>
        <v>-16.284671260460314</v>
      </c>
      <c r="T313" s="83">
        <f t="shared" si="129"/>
        <v>0</v>
      </c>
      <c r="U313" s="91">
        <f t="shared" si="136"/>
        <v>126020.59732204636</v>
      </c>
      <c r="V313" s="91">
        <f t="shared" si="130"/>
        <v>613.41162973979544</v>
      </c>
      <c r="W313" s="1">
        <f t="shared" si="142"/>
        <v>0</v>
      </c>
      <c r="X313" s="1">
        <f t="shared" si="142"/>
        <v>0</v>
      </c>
      <c r="Y313" s="1">
        <f t="shared" si="142"/>
        <v>0</v>
      </c>
      <c r="Z313" s="1">
        <f t="shared" si="142"/>
        <v>0</v>
      </c>
      <c r="AA313" s="1">
        <f t="shared" si="142"/>
        <v>0</v>
      </c>
      <c r="AB313" s="1">
        <f t="shared" si="142"/>
        <v>0</v>
      </c>
      <c r="AC313" s="1">
        <f t="shared" si="142"/>
        <v>0</v>
      </c>
      <c r="AD313" s="1">
        <f t="shared" si="142"/>
        <v>1</v>
      </c>
      <c r="AE313" s="1">
        <f t="shared" si="142"/>
        <v>1</v>
      </c>
      <c r="AF313" s="1">
        <f t="shared" si="142"/>
        <v>1</v>
      </c>
      <c r="AG313" s="1">
        <f t="shared" si="142"/>
        <v>1</v>
      </c>
      <c r="AH313" s="1">
        <f t="shared" si="142"/>
        <v>1</v>
      </c>
      <c r="AI313" s="44">
        <f t="shared" si="131"/>
        <v>77942.589845165232</v>
      </c>
      <c r="AJ313" s="44">
        <f t="shared" si="121"/>
        <v>78503.152902948437</v>
      </c>
      <c r="AK313" s="44" t="str">
        <f t="shared" si="139"/>
        <v>N</v>
      </c>
      <c r="AL313" s="4">
        <f t="shared" si="122"/>
        <v>235</v>
      </c>
      <c r="AM313" s="82">
        <f t="shared" si="132"/>
        <v>0</v>
      </c>
      <c r="AN313" s="82">
        <f t="shared" si="123"/>
        <v>0</v>
      </c>
      <c r="AO313" s="48">
        <f>0</f>
        <v>0</v>
      </c>
      <c r="AP313" s="91">
        <f t="shared" si="133"/>
        <v>-560.56305778321075</v>
      </c>
      <c r="AQ313" s="91">
        <f t="shared" si="134"/>
        <v>-560.56305778321075</v>
      </c>
      <c r="AV313" s="84"/>
    </row>
    <row r="314" spans="1:48">
      <c r="A314" s="190">
        <f t="shared" si="124"/>
        <v>85.387577002053376</v>
      </c>
      <c r="B314" s="82">
        <f t="shared" si="125"/>
        <v>20</v>
      </c>
      <c r="C314" s="83">
        <f t="shared" si="126"/>
        <v>236</v>
      </c>
      <c r="D314" s="14">
        <f t="shared" si="113"/>
        <v>4.8675505653430484E-3</v>
      </c>
      <c r="E314" s="16">
        <f t="shared" si="114"/>
        <v>0</v>
      </c>
      <c r="F314" s="127"/>
      <c r="G314" s="88">
        <f t="shared" si="115"/>
        <v>0</v>
      </c>
      <c r="H314" s="89">
        <f t="shared" si="127"/>
        <v>4.1666666666666666E-3</v>
      </c>
      <c r="I314" s="219"/>
      <c r="J314" s="219"/>
      <c r="K314" s="6">
        <f t="shared" si="135"/>
        <v>77942.589845165232</v>
      </c>
      <c r="M314" s="6">
        <f t="shared" si="116"/>
        <v>379.38949726513539</v>
      </c>
      <c r="N314" s="6">
        <f t="shared" si="128"/>
        <v>-88.281150101553578</v>
      </c>
      <c r="O314" s="90">
        <f t="shared" si="117"/>
        <v>485.60372417593265</v>
      </c>
      <c r="P314" s="91">
        <f t="shared" si="118"/>
        <v>0</v>
      </c>
      <c r="Q314" s="6">
        <f t="shared" si="119"/>
        <v>325.97374246803673</v>
      </c>
      <c r="R314" s="87">
        <f t="shared" si="138"/>
        <v>-560.31230588182427</v>
      </c>
      <c r="S314" s="6">
        <f t="shared" si="120"/>
        <v>-16.228601148404049</v>
      </c>
      <c r="T314" s="83">
        <f t="shared" si="129"/>
        <v>0</v>
      </c>
      <c r="U314" s="91">
        <f t="shared" si="136"/>
        <v>126073.44589400296</v>
      </c>
      <c r="V314" s="91">
        <f t="shared" si="130"/>
        <v>613.66887283610038</v>
      </c>
      <c r="W314" s="1">
        <f t="shared" si="142"/>
        <v>0</v>
      </c>
      <c r="X314" s="1">
        <f t="shared" si="142"/>
        <v>0</v>
      </c>
      <c r="Y314" s="1">
        <f t="shared" si="142"/>
        <v>0</v>
      </c>
      <c r="Z314" s="1">
        <f t="shared" si="142"/>
        <v>0</v>
      </c>
      <c r="AA314" s="1">
        <f t="shared" si="142"/>
        <v>0</v>
      </c>
      <c r="AB314" s="1">
        <f t="shared" si="142"/>
        <v>0</v>
      </c>
      <c r="AC314" s="1">
        <f t="shared" si="142"/>
        <v>0</v>
      </c>
      <c r="AD314" s="1">
        <f t="shared" si="142"/>
        <v>1</v>
      </c>
      <c r="AE314" s="1">
        <f t="shared" si="142"/>
        <v>1</v>
      </c>
      <c r="AF314" s="1">
        <f t="shared" si="142"/>
        <v>1</v>
      </c>
      <c r="AG314" s="1">
        <f t="shared" si="142"/>
        <v>1</v>
      </c>
      <c r="AH314" s="1">
        <f t="shared" si="142"/>
        <v>1</v>
      </c>
      <c r="AI314" s="44">
        <f t="shared" si="131"/>
        <v>77673.38588644698</v>
      </c>
      <c r="AJ314" s="44">
        <f t="shared" si="121"/>
        <v>78233.698192328811</v>
      </c>
      <c r="AK314" s="44" t="str">
        <f t="shared" si="139"/>
        <v>N</v>
      </c>
      <c r="AL314" s="4">
        <f t="shared" si="122"/>
        <v>236</v>
      </c>
      <c r="AM314" s="82">
        <f t="shared" si="132"/>
        <v>0</v>
      </c>
      <c r="AN314" s="82">
        <f t="shared" si="123"/>
        <v>0</v>
      </c>
      <c r="AO314" s="48">
        <f>0</f>
        <v>0</v>
      </c>
      <c r="AP314" s="91">
        <f t="shared" si="133"/>
        <v>-560.31230588182427</v>
      </c>
      <c r="AQ314" s="91">
        <f t="shared" si="134"/>
        <v>-560.31230588182427</v>
      </c>
      <c r="AV314" s="84"/>
    </row>
    <row r="315" spans="1:48">
      <c r="A315" s="190">
        <f t="shared" si="124"/>
        <v>85.470910335386719</v>
      </c>
      <c r="B315" s="82">
        <f t="shared" si="125"/>
        <v>20</v>
      </c>
      <c r="C315" s="83">
        <f t="shared" si="126"/>
        <v>237</v>
      </c>
      <c r="D315" s="14">
        <f t="shared" si="113"/>
        <v>4.8675505653430484E-3</v>
      </c>
      <c r="E315" s="16">
        <f t="shared" si="114"/>
        <v>0</v>
      </c>
      <c r="F315" s="127"/>
      <c r="G315" s="88">
        <f t="shared" si="115"/>
        <v>0</v>
      </c>
      <c r="H315" s="89">
        <f t="shared" si="127"/>
        <v>4.1666666666666666E-3</v>
      </c>
      <c r="I315" s="219"/>
      <c r="J315" s="219"/>
      <c r="K315" s="6">
        <f t="shared" si="135"/>
        <v>77673.38588644698</v>
      </c>
      <c r="M315" s="6">
        <f t="shared" si="116"/>
        <v>378.07913338368377</v>
      </c>
      <c r="N315" s="6">
        <f t="shared" si="128"/>
        <v>-87.976238048531627</v>
      </c>
      <c r="O315" s="90">
        <f t="shared" si="117"/>
        <v>485.60372417593265</v>
      </c>
      <c r="P315" s="91">
        <f t="shared" si="118"/>
        <v>0</v>
      </c>
      <c r="Q315" s="6">
        <f t="shared" si="119"/>
        <v>324.84786992409221</v>
      </c>
      <c r="R315" s="87">
        <f t="shared" si="138"/>
        <v>-560.06166614715119</v>
      </c>
      <c r="S315" s="6">
        <f t="shared" si="120"/>
        <v>-16.172373907913514</v>
      </c>
      <c r="T315" s="83">
        <f t="shared" si="129"/>
        <v>0</v>
      </c>
      <c r="U315" s="91">
        <f t="shared" si="136"/>
        <v>126126.80246095723</v>
      </c>
      <c r="V315" s="91">
        <f t="shared" si="130"/>
        <v>613.92858862374339</v>
      </c>
      <c r="W315" s="1">
        <f t="shared" si="142"/>
        <v>0</v>
      </c>
      <c r="X315" s="1">
        <f t="shared" si="142"/>
        <v>0</v>
      </c>
      <c r="Y315" s="1">
        <f t="shared" si="142"/>
        <v>0</v>
      </c>
      <c r="Z315" s="1">
        <f t="shared" si="142"/>
        <v>0</v>
      </c>
      <c r="AA315" s="1">
        <f t="shared" si="142"/>
        <v>0</v>
      </c>
      <c r="AB315" s="1">
        <f t="shared" si="142"/>
        <v>0</v>
      </c>
      <c r="AC315" s="1">
        <f t="shared" si="142"/>
        <v>0</v>
      </c>
      <c r="AD315" s="1">
        <f t="shared" si="142"/>
        <v>1</v>
      </c>
      <c r="AE315" s="1">
        <f t="shared" si="142"/>
        <v>1</v>
      </c>
      <c r="AF315" s="1">
        <f t="shared" si="142"/>
        <v>1</v>
      </c>
      <c r="AG315" s="1">
        <f t="shared" si="142"/>
        <v>1</v>
      </c>
      <c r="AH315" s="1">
        <f t="shared" si="142"/>
        <v>1</v>
      </c>
      <c r="AI315" s="44">
        <f t="shared" si="131"/>
        <v>77403.427115634971</v>
      </c>
      <c r="AJ315" s="44">
        <f t="shared" si="121"/>
        <v>77963.488781782129</v>
      </c>
      <c r="AK315" s="44" t="str">
        <f t="shared" si="139"/>
        <v>N</v>
      </c>
      <c r="AL315" s="4">
        <f t="shared" si="122"/>
        <v>237</v>
      </c>
      <c r="AM315" s="82">
        <f t="shared" si="132"/>
        <v>0</v>
      </c>
      <c r="AN315" s="82">
        <f t="shared" si="123"/>
        <v>0</v>
      </c>
      <c r="AO315" s="48">
        <f>0</f>
        <v>0</v>
      </c>
      <c r="AP315" s="91">
        <f t="shared" si="133"/>
        <v>-560.06166614715119</v>
      </c>
      <c r="AQ315" s="91">
        <f t="shared" si="134"/>
        <v>-560.06166614715119</v>
      </c>
      <c r="AV315" s="84"/>
    </row>
    <row r="316" spans="1:48">
      <c r="A316" s="190">
        <f t="shared" si="124"/>
        <v>85.554243668720048</v>
      </c>
      <c r="B316" s="82">
        <f t="shared" si="125"/>
        <v>20</v>
      </c>
      <c r="C316" s="83">
        <f t="shared" si="126"/>
        <v>238</v>
      </c>
      <c r="D316" s="14">
        <f t="shared" si="113"/>
        <v>4.8675505653430484E-3</v>
      </c>
      <c r="E316" s="16">
        <f t="shared" si="114"/>
        <v>0</v>
      </c>
      <c r="F316" s="127"/>
      <c r="G316" s="88">
        <f t="shared" si="115"/>
        <v>0</v>
      </c>
      <c r="H316" s="89">
        <f t="shared" si="127"/>
        <v>4.1666666666666666E-3</v>
      </c>
      <c r="I316" s="219"/>
      <c r="J316" s="219"/>
      <c r="K316" s="6">
        <f t="shared" si="135"/>
        <v>77403.427115634971</v>
      </c>
      <c r="M316" s="6">
        <f t="shared" si="116"/>
        <v>376.76509541619845</v>
      </c>
      <c r="N316" s="6">
        <f t="shared" si="128"/>
        <v>-87.670471062668952</v>
      </c>
      <c r="O316" s="90">
        <f t="shared" si="117"/>
        <v>485.60372417593265</v>
      </c>
      <c r="P316" s="91">
        <f t="shared" si="118"/>
        <v>0</v>
      </c>
      <c r="Q316" s="6">
        <f t="shared" si="119"/>
        <v>323.71884058328544</v>
      </c>
      <c r="R316" s="87">
        <f t="shared" si="138"/>
        <v>-559.81113852901728</v>
      </c>
      <c r="S316" s="6">
        <f t="shared" si="120"/>
        <v>-16.115988928738911</v>
      </c>
      <c r="T316" s="83">
        <f t="shared" si="129"/>
        <v>0</v>
      </c>
      <c r="U316" s="91">
        <f t="shared" si="136"/>
        <v>126180.66938343382</v>
      </c>
      <c r="V316" s="91">
        <f t="shared" si="130"/>
        <v>614.19078859269757</v>
      </c>
      <c r="W316" s="1">
        <f t="shared" si="142"/>
        <v>0</v>
      </c>
      <c r="X316" s="1">
        <f t="shared" si="142"/>
        <v>0</v>
      </c>
      <c r="Y316" s="1">
        <f t="shared" si="142"/>
        <v>0</v>
      </c>
      <c r="Z316" s="1">
        <f t="shared" si="142"/>
        <v>0</v>
      </c>
      <c r="AA316" s="1">
        <f t="shared" si="142"/>
        <v>0</v>
      </c>
      <c r="AB316" s="1">
        <f t="shared" si="142"/>
        <v>0</v>
      </c>
      <c r="AC316" s="1">
        <f t="shared" si="142"/>
        <v>0</v>
      </c>
      <c r="AD316" s="1">
        <f t="shared" si="142"/>
        <v>1</v>
      </c>
      <c r="AE316" s="1">
        <f t="shared" si="142"/>
        <v>1</v>
      </c>
      <c r="AF316" s="1">
        <f t="shared" si="142"/>
        <v>1</v>
      </c>
      <c r="AG316" s="1">
        <f t="shared" si="142"/>
        <v>1</v>
      </c>
      <c r="AH316" s="1">
        <f t="shared" si="142"/>
        <v>1</v>
      </c>
      <c r="AI316" s="44">
        <f t="shared" si="131"/>
        <v>77132.71060145949</v>
      </c>
      <c r="AJ316" s="44">
        <f t="shared" si="121"/>
        <v>77692.5217399885</v>
      </c>
      <c r="AK316" s="44" t="str">
        <f t="shared" si="139"/>
        <v>N</v>
      </c>
      <c r="AL316" s="4">
        <f t="shared" si="122"/>
        <v>238</v>
      </c>
      <c r="AM316" s="82">
        <f t="shared" si="132"/>
        <v>0</v>
      </c>
      <c r="AN316" s="82">
        <f t="shared" si="123"/>
        <v>0</v>
      </c>
      <c r="AO316" s="48">
        <f>0</f>
        <v>0</v>
      </c>
      <c r="AP316" s="91">
        <f t="shared" si="133"/>
        <v>-559.81113852901728</v>
      </c>
      <c r="AQ316" s="91">
        <f t="shared" si="134"/>
        <v>-559.81113852901728</v>
      </c>
      <c r="AV316" s="84"/>
    </row>
    <row r="317" spans="1:48">
      <c r="A317" s="190">
        <f t="shared" si="124"/>
        <v>85.637577002053376</v>
      </c>
      <c r="B317" s="82">
        <f t="shared" si="125"/>
        <v>20</v>
      </c>
      <c r="C317" s="83">
        <f t="shared" si="126"/>
        <v>239</v>
      </c>
      <c r="D317" s="14">
        <f t="shared" si="113"/>
        <v>4.8675505653430484E-3</v>
      </c>
      <c r="E317" s="16">
        <f t="shared" si="114"/>
        <v>0</v>
      </c>
      <c r="F317" s="127"/>
      <c r="G317" s="88">
        <f t="shared" si="115"/>
        <v>0</v>
      </c>
      <c r="H317" s="89">
        <f t="shared" si="127"/>
        <v>4.1666666666666666E-3</v>
      </c>
      <c r="I317" s="219"/>
      <c r="J317" s="219"/>
      <c r="K317" s="6">
        <f t="shared" si="135"/>
        <v>77132.71060145949</v>
      </c>
      <c r="M317" s="6">
        <f t="shared" si="116"/>
        <v>375.44736909457589</v>
      </c>
      <c r="N317" s="6">
        <f t="shared" si="128"/>
        <v>-87.36384582388267</v>
      </c>
      <c r="O317" s="90">
        <f t="shared" si="117"/>
        <v>485.60372417593265</v>
      </c>
      <c r="P317" s="91">
        <f t="shared" si="118"/>
        <v>0</v>
      </c>
      <c r="Q317" s="6">
        <f t="shared" si="119"/>
        <v>322.58664218637574</v>
      </c>
      <c r="R317" s="87">
        <f t="shared" si="138"/>
        <v>-559.56072297727042</v>
      </c>
      <c r="S317" s="6">
        <f t="shared" si="120"/>
        <v>-16.059445598361705</v>
      </c>
      <c r="T317" s="83">
        <f t="shared" si="129"/>
        <v>0</v>
      </c>
      <c r="U317" s="91">
        <f t="shared" si="136"/>
        <v>126235.0490334975</v>
      </c>
      <c r="V317" s="91">
        <f t="shared" si="130"/>
        <v>614.4554842891082</v>
      </c>
      <c r="W317" s="1">
        <f t="shared" si="142"/>
        <v>0</v>
      </c>
      <c r="X317" s="1">
        <f t="shared" si="142"/>
        <v>0</v>
      </c>
      <c r="Y317" s="1">
        <f t="shared" si="142"/>
        <v>0</v>
      </c>
      <c r="Z317" s="1">
        <f t="shared" si="142"/>
        <v>0</v>
      </c>
      <c r="AA317" s="1">
        <f t="shared" si="142"/>
        <v>0</v>
      </c>
      <c r="AB317" s="1">
        <f t="shared" si="142"/>
        <v>0</v>
      </c>
      <c r="AC317" s="1">
        <f t="shared" si="142"/>
        <v>0</v>
      </c>
      <c r="AD317" s="1">
        <f t="shared" si="142"/>
        <v>1</v>
      </c>
      <c r="AE317" s="1">
        <f t="shared" si="142"/>
        <v>1</v>
      </c>
      <c r="AF317" s="1">
        <f t="shared" si="142"/>
        <v>1</v>
      </c>
      <c r="AG317" s="1">
        <f t="shared" si="142"/>
        <v>1</v>
      </c>
      <c r="AH317" s="1">
        <f t="shared" si="142"/>
        <v>1</v>
      </c>
      <c r="AI317" s="44">
        <f t="shared" si="131"/>
        <v>76861.233401752907</v>
      </c>
      <c r="AJ317" s="44">
        <f t="shared" si="121"/>
        <v>77420.794124730179</v>
      </c>
      <c r="AK317" s="44" t="str">
        <f t="shared" si="139"/>
        <v>N</v>
      </c>
      <c r="AL317" s="4">
        <f t="shared" si="122"/>
        <v>239</v>
      </c>
      <c r="AM317" s="82">
        <f t="shared" si="132"/>
        <v>0</v>
      </c>
      <c r="AN317" s="82">
        <f t="shared" si="123"/>
        <v>0</v>
      </c>
      <c r="AO317" s="48">
        <f>0</f>
        <v>0</v>
      </c>
      <c r="AP317" s="91">
        <f t="shared" si="133"/>
        <v>-559.56072297727042</v>
      </c>
      <c r="AQ317" s="91">
        <f t="shared" si="134"/>
        <v>-559.56072297727042</v>
      </c>
      <c r="AV317" s="84"/>
    </row>
    <row r="318" spans="1:48">
      <c r="A318" s="190">
        <f t="shared" si="124"/>
        <v>85.720910335386719</v>
      </c>
      <c r="B318" s="82">
        <f t="shared" si="125"/>
        <v>20</v>
      </c>
      <c r="C318" s="83">
        <f t="shared" si="126"/>
        <v>240</v>
      </c>
      <c r="D318" s="14">
        <f t="shared" si="113"/>
        <v>4.8675505653430484E-3</v>
      </c>
      <c r="E318" s="16">
        <f t="shared" si="114"/>
        <v>0</v>
      </c>
      <c r="F318" s="127"/>
      <c r="G318" s="88">
        <f t="shared" si="115"/>
        <v>0</v>
      </c>
      <c r="H318" s="89">
        <f t="shared" si="127"/>
        <v>4.1666666666666666E-3</v>
      </c>
      <c r="I318" s="219"/>
      <c r="J318" s="219"/>
      <c r="K318" s="6">
        <f t="shared" si="135"/>
        <v>76861.233401752907</v>
      </c>
      <c r="M318" s="6">
        <f t="shared" si="116"/>
        <v>374.12594009766633</v>
      </c>
      <c r="N318" s="6">
        <f t="shared" si="128"/>
        <v>-87.056358999746394</v>
      </c>
      <c r="O318" s="90">
        <f t="shared" si="117"/>
        <v>485.60372417593265</v>
      </c>
      <c r="P318" s="91">
        <f t="shared" si="118"/>
        <v>0</v>
      </c>
      <c r="Q318" s="6">
        <f t="shared" si="119"/>
        <v>321.45126242854514</v>
      </c>
      <c r="R318" s="87">
        <f t="shared" si="138"/>
        <v>-559.31041944178094</v>
      </c>
      <c r="S318" s="6">
        <f t="shared" si="120"/>
        <v>-16.002743301986097</v>
      </c>
      <c r="T318" s="83">
        <f t="shared" si="129"/>
        <v>0</v>
      </c>
      <c r="U318" s="91">
        <f t="shared" si="136"/>
        <v>126289.94379480934</v>
      </c>
      <c r="V318" s="91">
        <f t="shared" si="130"/>
        <v>614.72268731556596</v>
      </c>
      <c r="W318" s="1">
        <f t="shared" si="142"/>
        <v>0</v>
      </c>
      <c r="X318" s="1">
        <f t="shared" si="142"/>
        <v>0</v>
      </c>
      <c r="Y318" s="1">
        <f t="shared" si="142"/>
        <v>0</v>
      </c>
      <c r="Z318" s="1">
        <f t="shared" si="142"/>
        <v>0</v>
      </c>
      <c r="AA318" s="1">
        <f t="shared" si="142"/>
        <v>0</v>
      </c>
      <c r="AB318" s="1">
        <f t="shared" si="142"/>
        <v>0</v>
      </c>
      <c r="AC318" s="1">
        <f t="shared" si="142"/>
        <v>0</v>
      </c>
      <c r="AD318" s="1">
        <f t="shared" si="142"/>
        <v>1</v>
      </c>
      <c r="AE318" s="1">
        <f t="shared" si="142"/>
        <v>1</v>
      </c>
      <c r="AF318" s="1">
        <f t="shared" si="142"/>
        <v>1</v>
      </c>
      <c r="AG318" s="1">
        <f t="shared" si="142"/>
        <v>1</v>
      </c>
      <c r="AH318" s="1">
        <f t="shared" si="142"/>
        <v>1</v>
      </c>
      <c r="AI318" s="44">
        <f t="shared" si="131"/>
        <v>76588.992563409047</v>
      </c>
      <c r="AJ318" s="44">
        <f t="shared" si="121"/>
        <v>77148.30298285083</v>
      </c>
      <c r="AK318" s="44" t="str">
        <f t="shared" si="139"/>
        <v>N</v>
      </c>
      <c r="AL318" s="4">
        <f t="shared" si="122"/>
        <v>240</v>
      </c>
      <c r="AM318" s="82">
        <f t="shared" si="132"/>
        <v>0</v>
      </c>
      <c r="AN318" s="82">
        <f t="shared" si="123"/>
        <v>0</v>
      </c>
      <c r="AO318" s="48">
        <f>0</f>
        <v>0</v>
      </c>
      <c r="AP318" s="91">
        <f t="shared" si="133"/>
        <v>-559.31041944178094</v>
      </c>
      <c r="AQ318" s="91">
        <f t="shared" si="134"/>
        <v>-559.31041944178094</v>
      </c>
      <c r="AV318" s="84"/>
    </row>
    <row r="319" spans="1:48">
      <c r="A319" s="190">
        <f t="shared" si="124"/>
        <v>85.804243668720048</v>
      </c>
      <c r="B319" s="82">
        <f t="shared" si="125"/>
        <v>21</v>
      </c>
      <c r="C319" s="83">
        <f t="shared" si="126"/>
        <v>241</v>
      </c>
      <c r="D319" s="14">
        <f t="shared" si="113"/>
        <v>4.8675505653430484E-3</v>
      </c>
      <c r="E319" s="16">
        <f t="shared" si="114"/>
        <v>0</v>
      </c>
      <c r="F319" s="127"/>
      <c r="G319" s="88">
        <f t="shared" si="115"/>
        <v>0</v>
      </c>
      <c r="H319" s="89">
        <f t="shared" si="127"/>
        <v>4.1666666666666666E-3</v>
      </c>
      <c r="I319" s="219"/>
      <c r="J319" s="222"/>
      <c r="K319" s="6">
        <f t="shared" si="135"/>
        <v>76588.992563409047</v>
      </c>
      <c r="M319" s="6">
        <f t="shared" si="116"/>
        <v>372.80079405107625</v>
      </c>
      <c r="N319" s="6">
        <f t="shared" si="128"/>
        <v>-86.748007245444285</v>
      </c>
      <c r="O319" s="90">
        <f t="shared" si="117"/>
        <v>495.31579865945139</v>
      </c>
      <c r="P319" s="91">
        <f t="shared" si="118"/>
        <v>0</v>
      </c>
      <c r="Q319" s="6">
        <f t="shared" si="119"/>
        <v>320.31268895922778</v>
      </c>
      <c r="R319" s="87">
        <f t="shared" si="138"/>
        <v>-559.0602278724416</v>
      </c>
      <c r="S319" s="6">
        <f t="shared" si="120"/>
        <v>-15.945881422530542</v>
      </c>
      <c r="T319" s="83">
        <f t="shared" si="129"/>
        <v>0</v>
      </c>
      <c r="U319" s="91">
        <f t="shared" si="136"/>
        <v>126345.35606268312</v>
      </c>
      <c r="V319" s="91">
        <f t="shared" si="130"/>
        <v>614.99240933138196</v>
      </c>
      <c r="W319" s="1">
        <f t="shared" ref="W319:AH328" si="143">IF($B319&lt;=W$78,1,0)</f>
        <v>0</v>
      </c>
      <c r="X319" s="1">
        <f t="shared" si="143"/>
        <v>0</v>
      </c>
      <c r="Y319" s="1">
        <f t="shared" si="143"/>
        <v>0</v>
      </c>
      <c r="Z319" s="1">
        <f t="shared" si="143"/>
        <v>0</v>
      </c>
      <c r="AA319" s="1">
        <f t="shared" si="143"/>
        <v>0</v>
      </c>
      <c r="AB319" s="1">
        <f t="shared" si="143"/>
        <v>0</v>
      </c>
      <c r="AC319" s="1">
        <f t="shared" si="143"/>
        <v>0</v>
      </c>
      <c r="AD319" s="1">
        <f t="shared" si="143"/>
        <v>0</v>
      </c>
      <c r="AE319" s="1">
        <f t="shared" si="143"/>
        <v>1</v>
      </c>
      <c r="AF319" s="1">
        <f t="shared" si="143"/>
        <v>1</v>
      </c>
      <c r="AG319" s="1">
        <f t="shared" si="143"/>
        <v>1</v>
      </c>
      <c r="AH319" s="1">
        <f t="shared" si="143"/>
        <v>1</v>
      </c>
      <c r="AI319" s="44">
        <f t="shared" si="131"/>
        <v>76315.98512234223</v>
      </c>
      <c r="AJ319" s="44">
        <f t="shared" si="121"/>
        <v>76875.04535021467</v>
      </c>
      <c r="AK319" s="44" t="str">
        <f t="shared" si="139"/>
        <v>N</v>
      </c>
      <c r="AL319" s="4">
        <f t="shared" si="122"/>
        <v>241</v>
      </c>
      <c r="AM319" s="82">
        <f t="shared" si="132"/>
        <v>0</v>
      </c>
      <c r="AN319" s="82">
        <f t="shared" si="123"/>
        <v>0</v>
      </c>
      <c r="AO319" s="48">
        <f>0</f>
        <v>0</v>
      </c>
      <c r="AP319" s="91">
        <f t="shared" si="133"/>
        <v>-559.0602278724416</v>
      </c>
      <c r="AQ319" s="91">
        <f t="shared" si="134"/>
        <v>-559.0602278724416</v>
      </c>
      <c r="AV319" s="84"/>
    </row>
    <row r="320" spans="1:48">
      <c r="A320" s="190">
        <f t="shared" si="124"/>
        <v>85.887577002053376</v>
      </c>
      <c r="B320" s="82">
        <f t="shared" si="125"/>
        <v>21</v>
      </c>
      <c r="C320" s="83">
        <f t="shared" si="126"/>
        <v>242</v>
      </c>
      <c r="D320" s="14">
        <f t="shared" si="113"/>
        <v>4.8675505653430484E-3</v>
      </c>
      <c r="E320" s="16">
        <f t="shared" si="114"/>
        <v>0</v>
      </c>
      <c r="F320" s="127"/>
      <c r="G320" s="88">
        <f t="shared" si="115"/>
        <v>0</v>
      </c>
      <c r="H320" s="89">
        <f t="shared" si="127"/>
        <v>4.1666666666666666E-3</v>
      </c>
      <c r="I320" s="219"/>
      <c r="J320" s="219"/>
      <c r="K320" s="6">
        <f t="shared" si="135"/>
        <v>76315.98512234223</v>
      </c>
      <c r="M320" s="6">
        <f t="shared" si="116"/>
        <v>371.47191652696858</v>
      </c>
      <c r="N320" s="6">
        <f t="shared" si="128"/>
        <v>-86.438787203724601</v>
      </c>
      <c r="O320" s="90">
        <f t="shared" si="117"/>
        <v>495.31579865945139</v>
      </c>
      <c r="P320" s="91">
        <f t="shared" si="118"/>
        <v>0</v>
      </c>
      <c r="Q320" s="6">
        <f t="shared" si="119"/>
        <v>319.17090938193945</v>
      </c>
      <c r="R320" s="87">
        <f t="shared" si="138"/>
        <v>-558.81014821916756</v>
      </c>
      <c r="S320" s="6">
        <f t="shared" si="120"/>
        <v>-15.888859340619202</v>
      </c>
      <c r="T320" s="83">
        <f t="shared" si="129"/>
        <v>0</v>
      </c>
      <c r="U320" s="91">
        <f t="shared" si="136"/>
        <v>126401.28824414205</v>
      </c>
      <c r="V320" s="91">
        <f t="shared" si="130"/>
        <v>615.26466205286329</v>
      </c>
      <c r="W320" s="1">
        <f t="shared" si="143"/>
        <v>0</v>
      </c>
      <c r="X320" s="1">
        <f t="shared" si="143"/>
        <v>0</v>
      </c>
      <c r="Y320" s="1">
        <f t="shared" si="143"/>
        <v>0</v>
      </c>
      <c r="Z320" s="1">
        <f t="shared" si="143"/>
        <v>0</v>
      </c>
      <c r="AA320" s="1">
        <f t="shared" si="143"/>
        <v>0</v>
      </c>
      <c r="AB320" s="1">
        <f t="shared" si="143"/>
        <v>0</v>
      </c>
      <c r="AC320" s="1">
        <f t="shared" si="143"/>
        <v>0</v>
      </c>
      <c r="AD320" s="1">
        <f t="shared" si="143"/>
        <v>0</v>
      </c>
      <c r="AE320" s="1">
        <f t="shared" si="143"/>
        <v>1</v>
      </c>
      <c r="AF320" s="1">
        <f t="shared" si="143"/>
        <v>1</v>
      </c>
      <c r="AG320" s="1">
        <f t="shared" si="143"/>
        <v>1</v>
      </c>
      <c r="AH320" s="1">
        <f t="shared" si="143"/>
        <v>1</v>
      </c>
      <c r="AI320" s="44">
        <f t="shared" si="131"/>
        <v>76042.208103446304</v>
      </c>
      <c r="AJ320" s="44">
        <f t="shared" si="121"/>
        <v>76601.018251665475</v>
      </c>
      <c r="AK320" s="44" t="str">
        <f t="shared" si="139"/>
        <v>N</v>
      </c>
      <c r="AL320" s="4">
        <f t="shared" si="122"/>
        <v>242</v>
      </c>
      <c r="AM320" s="82">
        <f t="shared" si="132"/>
        <v>0</v>
      </c>
      <c r="AN320" s="82">
        <f t="shared" si="123"/>
        <v>0</v>
      </c>
      <c r="AO320" s="48">
        <f>0</f>
        <v>0</v>
      </c>
      <c r="AP320" s="91">
        <f t="shared" si="133"/>
        <v>-558.81014821916756</v>
      </c>
      <c r="AQ320" s="91">
        <f t="shared" si="134"/>
        <v>-558.81014821916756</v>
      </c>
      <c r="AV320" s="84"/>
    </row>
    <row r="321" spans="1:48">
      <c r="A321" s="190">
        <f t="shared" si="124"/>
        <v>85.970910335386719</v>
      </c>
      <c r="B321" s="82">
        <f t="shared" si="125"/>
        <v>21</v>
      </c>
      <c r="C321" s="83">
        <f t="shared" si="126"/>
        <v>243</v>
      </c>
      <c r="D321" s="14">
        <f t="shared" si="113"/>
        <v>4.8675505653430484E-3</v>
      </c>
      <c r="E321" s="16">
        <f t="shared" si="114"/>
        <v>0</v>
      </c>
      <c r="F321" s="127"/>
      <c r="G321" s="88">
        <f t="shared" si="115"/>
        <v>0</v>
      </c>
      <c r="H321" s="89">
        <f t="shared" si="127"/>
        <v>4.1666666666666666E-3</v>
      </c>
      <c r="I321" s="219"/>
      <c r="J321" s="219"/>
      <c r="K321" s="6">
        <f t="shared" si="135"/>
        <v>76042.208103446304</v>
      </c>
      <c r="M321" s="6">
        <f t="shared" si="116"/>
        <v>370.1392930438638</v>
      </c>
      <c r="N321" s="6">
        <f t="shared" si="128"/>
        <v>-86.12869550485344</v>
      </c>
      <c r="O321" s="90">
        <f t="shared" si="117"/>
        <v>495.31579865945139</v>
      </c>
      <c r="P321" s="91">
        <f t="shared" si="118"/>
        <v>0</v>
      </c>
      <c r="Q321" s="6">
        <f t="shared" si="119"/>
        <v>318.02591125410544</v>
      </c>
      <c r="R321" s="87">
        <f t="shared" si="138"/>
        <v>-558.56018043189601</v>
      </c>
      <c r="S321" s="6">
        <f t="shared" si="120"/>
        <v>-15.831676434573376</v>
      </c>
      <c r="T321" s="83">
        <f t="shared" si="129"/>
        <v>0</v>
      </c>
      <c r="U321" s="91">
        <f t="shared" si="136"/>
        <v>126457.74275797575</v>
      </c>
      <c r="V321" s="91">
        <f t="shared" si="130"/>
        <v>615.53945725359063</v>
      </c>
      <c r="W321" s="1">
        <f t="shared" si="143"/>
        <v>0</v>
      </c>
      <c r="X321" s="1">
        <f t="shared" si="143"/>
        <v>0</v>
      </c>
      <c r="Y321" s="1">
        <f t="shared" si="143"/>
        <v>0</v>
      </c>
      <c r="Z321" s="1">
        <f t="shared" si="143"/>
        <v>0</v>
      </c>
      <c r="AA321" s="1">
        <f t="shared" si="143"/>
        <v>0</v>
      </c>
      <c r="AB321" s="1">
        <f t="shared" si="143"/>
        <v>0</v>
      </c>
      <c r="AC321" s="1">
        <f t="shared" si="143"/>
        <v>0</v>
      </c>
      <c r="AD321" s="1">
        <f t="shared" si="143"/>
        <v>0</v>
      </c>
      <c r="AE321" s="1">
        <f t="shared" si="143"/>
        <v>1</v>
      </c>
      <c r="AF321" s="1">
        <f t="shared" si="143"/>
        <v>1</v>
      </c>
      <c r="AG321" s="1">
        <f t="shared" si="143"/>
        <v>1</v>
      </c>
      <c r="AH321" s="1">
        <f t="shared" si="143"/>
        <v>1</v>
      </c>
      <c r="AI321" s="44">
        <f t="shared" si="131"/>
        <v>75767.658520553407</v>
      </c>
      <c r="AJ321" s="44">
        <f t="shared" si="121"/>
        <v>76326.218700985308</v>
      </c>
      <c r="AK321" s="44" t="str">
        <f t="shared" si="139"/>
        <v>N</v>
      </c>
      <c r="AL321" s="4">
        <f t="shared" si="122"/>
        <v>243</v>
      </c>
      <c r="AM321" s="82">
        <f t="shared" si="132"/>
        <v>0</v>
      </c>
      <c r="AN321" s="82">
        <f t="shared" si="123"/>
        <v>0</v>
      </c>
      <c r="AO321" s="48">
        <f>0</f>
        <v>0</v>
      </c>
      <c r="AP321" s="91">
        <f t="shared" si="133"/>
        <v>-558.56018043189601</v>
      </c>
      <c r="AQ321" s="91">
        <f t="shared" si="134"/>
        <v>-558.56018043189601</v>
      </c>
      <c r="AV321" s="84"/>
    </row>
    <row r="322" spans="1:48">
      <c r="A322" s="190">
        <f t="shared" si="124"/>
        <v>86.054243668720048</v>
      </c>
      <c r="B322" s="82">
        <f t="shared" si="125"/>
        <v>21</v>
      </c>
      <c r="C322" s="83">
        <f t="shared" si="126"/>
        <v>244</v>
      </c>
      <c r="D322" s="14">
        <f t="shared" si="113"/>
        <v>4.8675505653430484E-3</v>
      </c>
      <c r="E322" s="16">
        <f t="shared" si="114"/>
        <v>0</v>
      </c>
      <c r="F322" s="127"/>
      <c r="G322" s="88">
        <f t="shared" si="115"/>
        <v>0</v>
      </c>
      <c r="H322" s="89">
        <f t="shared" si="127"/>
        <v>4.1666666666666666E-3</v>
      </c>
      <c r="I322" s="219"/>
      <c r="J322" s="219"/>
      <c r="K322" s="6">
        <f t="shared" si="135"/>
        <v>75767.658520553407</v>
      </c>
      <c r="M322" s="6">
        <f t="shared" si="116"/>
        <v>368.80290906643876</v>
      </c>
      <c r="N322" s="6">
        <f t="shared" si="128"/>
        <v>-85.817728766567782</v>
      </c>
      <c r="O322" s="90">
        <f t="shared" si="117"/>
        <v>495.31579865945139</v>
      </c>
      <c r="P322" s="91">
        <f t="shared" si="118"/>
        <v>0</v>
      </c>
      <c r="Q322" s="6">
        <f t="shared" si="119"/>
        <v>316.87768208688863</v>
      </c>
      <c r="R322" s="87">
        <f t="shared" si="138"/>
        <v>-572.54230672953122</v>
      </c>
      <c r="S322" s="6">
        <f t="shared" si="120"/>
        <v>-15.772847880835915</v>
      </c>
      <c r="T322" s="83">
        <f t="shared" si="129"/>
        <v>0</v>
      </c>
      <c r="U322" s="91">
        <f t="shared" si="136"/>
        <v>126514.72203479744</v>
      </c>
      <c r="V322" s="91">
        <f t="shared" si="130"/>
        <v>615.81680676469693</v>
      </c>
      <c r="W322" s="1">
        <f t="shared" si="143"/>
        <v>0</v>
      </c>
      <c r="X322" s="1">
        <f t="shared" si="143"/>
        <v>0</v>
      </c>
      <c r="Y322" s="1">
        <f t="shared" si="143"/>
        <v>0</v>
      </c>
      <c r="Z322" s="1">
        <f t="shared" si="143"/>
        <v>0</v>
      </c>
      <c r="AA322" s="1">
        <f t="shared" si="143"/>
        <v>0</v>
      </c>
      <c r="AB322" s="1">
        <f t="shared" si="143"/>
        <v>0</v>
      </c>
      <c r="AC322" s="1">
        <f t="shared" si="143"/>
        <v>0</v>
      </c>
      <c r="AD322" s="1">
        <f t="shared" si="143"/>
        <v>0</v>
      </c>
      <c r="AE322" s="1">
        <f t="shared" si="143"/>
        <v>1</v>
      </c>
      <c r="AF322" s="1">
        <f t="shared" si="143"/>
        <v>1</v>
      </c>
      <c r="AG322" s="1">
        <f t="shared" si="143"/>
        <v>1</v>
      </c>
      <c r="AH322" s="1">
        <f t="shared" si="143"/>
        <v>1</v>
      </c>
      <c r="AI322" s="44">
        <f t="shared" si="131"/>
        <v>75478.101394123732</v>
      </c>
      <c r="AJ322" s="44">
        <f t="shared" si="121"/>
        <v>76050.643700853267</v>
      </c>
      <c r="AK322" s="44" t="str">
        <f t="shared" si="139"/>
        <v>N</v>
      </c>
      <c r="AL322" s="4">
        <f t="shared" si="122"/>
        <v>244</v>
      </c>
      <c r="AM322" s="82">
        <f t="shared" si="132"/>
        <v>0</v>
      </c>
      <c r="AN322" s="82">
        <f t="shared" si="123"/>
        <v>0</v>
      </c>
      <c r="AO322" s="48">
        <f>0</f>
        <v>0</v>
      </c>
      <c r="AP322" s="91">
        <f t="shared" si="133"/>
        <v>-572.54230672953122</v>
      </c>
      <c r="AQ322" s="91">
        <f t="shared" si="134"/>
        <v>-572.54230672953122</v>
      </c>
      <c r="AV322" s="84"/>
    </row>
    <row r="323" spans="1:48">
      <c r="A323" s="190">
        <f t="shared" si="124"/>
        <v>86.137577002053376</v>
      </c>
      <c r="B323" s="82">
        <f t="shared" si="125"/>
        <v>21</v>
      </c>
      <c r="C323" s="83">
        <f t="shared" si="126"/>
        <v>245</v>
      </c>
      <c r="D323" s="14">
        <f t="shared" si="113"/>
        <v>4.8675505653430484E-3</v>
      </c>
      <c r="E323" s="16">
        <f t="shared" si="114"/>
        <v>0</v>
      </c>
      <c r="F323" s="127"/>
      <c r="G323" s="88">
        <f t="shared" si="115"/>
        <v>0</v>
      </c>
      <c r="H323" s="89">
        <f t="shared" si="127"/>
        <v>4.1666666666666666E-3</v>
      </c>
      <c r="I323" s="219"/>
      <c r="J323" s="219"/>
      <c r="K323" s="6">
        <f t="shared" si="135"/>
        <v>75478.101394123732</v>
      </c>
      <c r="M323" s="6">
        <f t="shared" si="116"/>
        <v>367.3934751119869</v>
      </c>
      <c r="N323" s="6">
        <f t="shared" si="128"/>
        <v>-85.489763835044556</v>
      </c>
      <c r="O323" s="90">
        <f t="shared" si="117"/>
        <v>495.31579865945139</v>
      </c>
      <c r="P323" s="91">
        <f t="shared" si="118"/>
        <v>0</v>
      </c>
      <c r="Q323" s="6">
        <f t="shared" si="119"/>
        <v>315.66668793916949</v>
      </c>
      <c r="R323" s="87">
        <f t="shared" si="138"/>
        <v>-572.28619625267515</v>
      </c>
      <c r="S323" s="6">
        <f t="shared" si="120"/>
        <v>-15.712368173663105</v>
      </c>
      <c r="T323" s="83">
        <f t="shared" si="129"/>
        <v>0</v>
      </c>
      <c r="U323" s="91">
        <f t="shared" si="136"/>
        <v>126557.99653483259</v>
      </c>
      <c r="V323" s="91">
        <f t="shared" si="130"/>
        <v>616.02744758180791</v>
      </c>
      <c r="W323" s="1">
        <f t="shared" si="143"/>
        <v>0</v>
      </c>
      <c r="X323" s="1">
        <f t="shared" si="143"/>
        <v>0</v>
      </c>
      <c r="Y323" s="1">
        <f t="shared" si="143"/>
        <v>0</v>
      </c>
      <c r="Z323" s="1">
        <f t="shared" si="143"/>
        <v>0</v>
      </c>
      <c r="AA323" s="1">
        <f t="shared" si="143"/>
        <v>0</v>
      </c>
      <c r="AB323" s="1">
        <f t="shared" si="143"/>
        <v>0</v>
      </c>
      <c r="AC323" s="1">
        <f t="shared" si="143"/>
        <v>0</v>
      </c>
      <c r="AD323" s="1">
        <f t="shared" si="143"/>
        <v>0</v>
      </c>
      <c r="AE323" s="1">
        <f t="shared" si="143"/>
        <v>1</v>
      </c>
      <c r="AF323" s="1">
        <f t="shared" si="143"/>
        <v>1</v>
      </c>
      <c r="AG323" s="1">
        <f t="shared" si="143"/>
        <v>1</v>
      </c>
      <c r="AH323" s="1">
        <f t="shared" si="143"/>
        <v>1</v>
      </c>
      <c r="AI323" s="44">
        <f t="shared" si="131"/>
        <v>75187.718909147996</v>
      </c>
      <c r="AJ323" s="44">
        <f t="shared" si="121"/>
        <v>75760.005105400676</v>
      </c>
      <c r="AK323" s="44" t="str">
        <f t="shared" si="139"/>
        <v>N</v>
      </c>
      <c r="AL323" s="4">
        <f t="shared" si="122"/>
        <v>245</v>
      </c>
      <c r="AM323" s="82">
        <f t="shared" si="132"/>
        <v>0</v>
      </c>
      <c r="AN323" s="82">
        <f t="shared" si="123"/>
        <v>0</v>
      </c>
      <c r="AO323" s="48">
        <f>0</f>
        <v>0</v>
      </c>
      <c r="AP323" s="91">
        <f t="shared" si="133"/>
        <v>-572.28619625267515</v>
      </c>
      <c r="AQ323" s="91">
        <f t="shared" si="134"/>
        <v>-572.28619625267515</v>
      </c>
      <c r="AV323" s="84"/>
    </row>
    <row r="324" spans="1:48">
      <c r="A324" s="190">
        <f t="shared" si="124"/>
        <v>86.220910335386719</v>
      </c>
      <c r="B324" s="82">
        <f t="shared" si="125"/>
        <v>21</v>
      </c>
      <c r="C324" s="83">
        <f t="shared" si="126"/>
        <v>246</v>
      </c>
      <c r="D324" s="14">
        <f t="shared" si="113"/>
        <v>4.8675505653430484E-3</v>
      </c>
      <c r="E324" s="16">
        <f t="shared" si="114"/>
        <v>0</v>
      </c>
      <c r="F324" s="127"/>
      <c r="G324" s="88">
        <f t="shared" si="115"/>
        <v>0</v>
      </c>
      <c r="H324" s="89">
        <f t="shared" si="127"/>
        <v>4.1666666666666666E-3</v>
      </c>
      <c r="I324" s="219"/>
      <c r="J324" s="219"/>
      <c r="K324" s="6">
        <f t="shared" si="135"/>
        <v>75187.718909147996</v>
      </c>
      <c r="M324" s="6">
        <f t="shared" si="116"/>
        <v>365.98002368307755</v>
      </c>
      <c r="N324" s="6">
        <f t="shared" si="128"/>
        <v>-85.160864066715973</v>
      </c>
      <c r="O324" s="90">
        <f t="shared" si="117"/>
        <v>495.31579865945139</v>
      </c>
      <c r="P324" s="91">
        <f t="shared" si="118"/>
        <v>0</v>
      </c>
      <c r="Q324" s="6">
        <f t="shared" si="119"/>
        <v>314.45224195318485</v>
      </c>
      <c r="R324" s="87">
        <f t="shared" si="138"/>
        <v>-572.03020033953874</v>
      </c>
      <c r="S324" s="6">
        <f t="shared" si="120"/>
        <v>-15.651715986028206</v>
      </c>
      <c r="T324" s="83">
        <f t="shared" si="129"/>
        <v>0</v>
      </c>
      <c r="U324" s="91">
        <f t="shared" si="136"/>
        <v>126601.73778616173</v>
      </c>
      <c r="V324" s="91">
        <f t="shared" si="130"/>
        <v>616.24036033444395</v>
      </c>
      <c r="W324" s="1">
        <f t="shared" si="143"/>
        <v>0</v>
      </c>
      <c r="X324" s="1">
        <f t="shared" si="143"/>
        <v>0</v>
      </c>
      <c r="Y324" s="1">
        <f t="shared" si="143"/>
        <v>0</v>
      </c>
      <c r="Z324" s="1">
        <f t="shared" si="143"/>
        <v>0</v>
      </c>
      <c r="AA324" s="1">
        <f t="shared" si="143"/>
        <v>0</v>
      </c>
      <c r="AB324" s="1">
        <f t="shared" si="143"/>
        <v>0</v>
      </c>
      <c r="AC324" s="1">
        <f t="shared" si="143"/>
        <v>0</v>
      </c>
      <c r="AD324" s="1">
        <f t="shared" si="143"/>
        <v>0</v>
      </c>
      <c r="AE324" s="1">
        <f t="shared" si="143"/>
        <v>1</v>
      </c>
      <c r="AF324" s="1">
        <f t="shared" si="143"/>
        <v>1</v>
      </c>
      <c r="AG324" s="1">
        <f t="shared" si="143"/>
        <v>1</v>
      </c>
      <c r="AH324" s="1">
        <f t="shared" si="143"/>
        <v>1</v>
      </c>
      <c r="AI324" s="44">
        <f t="shared" si="131"/>
        <v>74896.507868424829</v>
      </c>
      <c r="AJ324" s="44">
        <f t="shared" si="121"/>
        <v>75468.538068764363</v>
      </c>
      <c r="AK324" s="44" t="str">
        <f t="shared" si="139"/>
        <v>N</v>
      </c>
      <c r="AL324" s="4">
        <f t="shared" si="122"/>
        <v>246</v>
      </c>
      <c r="AM324" s="82">
        <f t="shared" si="132"/>
        <v>0</v>
      </c>
      <c r="AN324" s="82">
        <f t="shared" si="123"/>
        <v>0</v>
      </c>
      <c r="AO324" s="48">
        <f>0</f>
        <v>0</v>
      </c>
      <c r="AP324" s="91">
        <f t="shared" si="133"/>
        <v>-572.03020033953874</v>
      </c>
      <c r="AQ324" s="91">
        <f t="shared" si="134"/>
        <v>-572.03020033953874</v>
      </c>
      <c r="AV324" s="84"/>
    </row>
    <row r="325" spans="1:48">
      <c r="A325" s="190">
        <f t="shared" si="124"/>
        <v>86.304243668720048</v>
      </c>
      <c r="B325" s="82">
        <f t="shared" si="125"/>
        <v>21</v>
      </c>
      <c r="C325" s="83">
        <f t="shared" si="126"/>
        <v>247</v>
      </c>
      <c r="D325" s="14">
        <f t="shared" si="113"/>
        <v>4.8675505653430484E-3</v>
      </c>
      <c r="E325" s="16">
        <f t="shared" si="114"/>
        <v>0</v>
      </c>
      <c r="F325" s="127"/>
      <c r="G325" s="88">
        <f t="shared" si="115"/>
        <v>0</v>
      </c>
      <c r="H325" s="89">
        <f t="shared" si="127"/>
        <v>4.1666666666666666E-3</v>
      </c>
      <c r="I325" s="219"/>
      <c r="J325" s="219"/>
      <c r="K325" s="6">
        <f t="shared" si="135"/>
        <v>74896.507868424829</v>
      </c>
      <c r="M325" s="6">
        <f t="shared" si="116"/>
        <v>364.56253921717138</v>
      </c>
      <c r="N325" s="6">
        <f t="shared" si="128"/>
        <v>-84.831025840293393</v>
      </c>
      <c r="O325" s="90">
        <f t="shared" si="117"/>
        <v>495.31579865945139</v>
      </c>
      <c r="P325" s="91">
        <f t="shared" si="118"/>
        <v>0</v>
      </c>
      <c r="Q325" s="6">
        <f t="shared" si="119"/>
        <v>313.23433075750711</v>
      </c>
      <c r="R325" s="87">
        <f t="shared" si="138"/>
        <v>-571.77431893887501</v>
      </c>
      <c r="S325" s="6">
        <f t="shared" si="120"/>
        <v>-15.590890649843191</v>
      </c>
      <c r="T325" s="83">
        <f t="shared" si="129"/>
        <v>0</v>
      </c>
      <c r="U325" s="91">
        <f t="shared" si="136"/>
        <v>126645.94794615664</v>
      </c>
      <c r="V325" s="91">
        <f t="shared" si="130"/>
        <v>616.45555552372105</v>
      </c>
      <c r="W325" s="1">
        <f t="shared" si="143"/>
        <v>0</v>
      </c>
      <c r="X325" s="1">
        <f t="shared" si="143"/>
        <v>0</v>
      </c>
      <c r="Y325" s="1">
        <f t="shared" si="143"/>
        <v>0</v>
      </c>
      <c r="Z325" s="1">
        <f t="shared" si="143"/>
        <v>0</v>
      </c>
      <c r="AA325" s="1">
        <f t="shared" si="143"/>
        <v>0</v>
      </c>
      <c r="AB325" s="1">
        <f t="shared" si="143"/>
        <v>0</v>
      </c>
      <c r="AC325" s="1">
        <f t="shared" si="143"/>
        <v>0</v>
      </c>
      <c r="AD325" s="1">
        <f t="shared" si="143"/>
        <v>0</v>
      </c>
      <c r="AE325" s="1">
        <f t="shared" si="143"/>
        <v>1</v>
      </c>
      <c r="AF325" s="1">
        <f t="shared" si="143"/>
        <v>1</v>
      </c>
      <c r="AG325" s="1">
        <f t="shared" si="143"/>
        <v>1</v>
      </c>
      <c r="AH325" s="1">
        <f t="shared" si="143"/>
        <v>1</v>
      </c>
      <c r="AI325" s="44">
        <f t="shared" si="131"/>
        <v>74604.46506286283</v>
      </c>
      <c r="AJ325" s="44">
        <f t="shared" si="121"/>
        <v>75176.239381801701</v>
      </c>
      <c r="AK325" s="44" t="str">
        <f t="shared" si="139"/>
        <v>N</v>
      </c>
      <c r="AL325" s="4">
        <f t="shared" si="122"/>
        <v>247</v>
      </c>
      <c r="AM325" s="82">
        <f t="shared" si="132"/>
        <v>0</v>
      </c>
      <c r="AN325" s="82">
        <f t="shared" si="123"/>
        <v>0</v>
      </c>
      <c r="AO325" s="48">
        <f>0</f>
        <v>0</v>
      </c>
      <c r="AP325" s="91">
        <f t="shared" si="133"/>
        <v>-571.77431893887501</v>
      </c>
      <c r="AQ325" s="91">
        <f t="shared" si="134"/>
        <v>-571.77431893887501</v>
      </c>
      <c r="AV325" s="84"/>
    </row>
    <row r="326" spans="1:48">
      <c r="A326" s="190">
        <f t="shared" si="124"/>
        <v>86.387577002053376</v>
      </c>
      <c r="B326" s="82">
        <f t="shared" si="125"/>
        <v>21</v>
      </c>
      <c r="C326" s="83">
        <f t="shared" si="126"/>
        <v>248</v>
      </c>
      <c r="D326" s="14">
        <f t="shared" si="113"/>
        <v>4.8675505653430484E-3</v>
      </c>
      <c r="E326" s="16">
        <f t="shared" si="114"/>
        <v>0</v>
      </c>
      <c r="F326" s="127"/>
      <c r="G326" s="88">
        <f t="shared" si="115"/>
        <v>0</v>
      </c>
      <c r="H326" s="89">
        <f t="shared" si="127"/>
        <v>4.1666666666666666E-3</v>
      </c>
      <c r="I326" s="219"/>
      <c r="J326" s="219"/>
      <c r="K326" s="6">
        <f t="shared" si="135"/>
        <v>74604.46506286283</v>
      </c>
      <c r="M326" s="6">
        <f t="shared" si="116"/>
        <v>363.14100609385366</v>
      </c>
      <c r="N326" s="6">
        <f t="shared" si="128"/>
        <v>-84.500245521021043</v>
      </c>
      <c r="O326" s="90">
        <f t="shared" si="117"/>
        <v>495.31579865945139</v>
      </c>
      <c r="P326" s="91">
        <f t="shared" si="118"/>
        <v>0</v>
      </c>
      <c r="Q326" s="6">
        <f t="shared" si="119"/>
        <v>312.01294093098193</v>
      </c>
      <c r="R326" s="87">
        <f t="shared" si="138"/>
        <v>-571.51855199946078</v>
      </c>
      <c r="S326" s="6">
        <f t="shared" si="120"/>
        <v>-15.52989149453547</v>
      </c>
      <c r="T326" s="83">
        <f t="shared" si="129"/>
        <v>0</v>
      </c>
      <c r="U326" s="91">
        <f t="shared" si="136"/>
        <v>126690.62918274148</v>
      </c>
      <c r="V326" s="91">
        <f t="shared" si="130"/>
        <v>616.6730437021198</v>
      </c>
      <c r="W326" s="1">
        <f t="shared" si="143"/>
        <v>0</v>
      </c>
      <c r="X326" s="1">
        <f t="shared" si="143"/>
        <v>0</v>
      </c>
      <c r="Y326" s="1">
        <f t="shared" si="143"/>
        <v>0</v>
      </c>
      <c r="Z326" s="1">
        <f t="shared" si="143"/>
        <v>0</v>
      </c>
      <c r="AA326" s="1">
        <f t="shared" si="143"/>
        <v>0</v>
      </c>
      <c r="AB326" s="1">
        <f t="shared" si="143"/>
        <v>0</v>
      </c>
      <c r="AC326" s="1">
        <f t="shared" si="143"/>
        <v>0</v>
      </c>
      <c r="AD326" s="1">
        <f t="shared" si="143"/>
        <v>0</v>
      </c>
      <c r="AE326" s="1">
        <f t="shared" si="143"/>
        <v>1</v>
      </c>
      <c r="AF326" s="1">
        <f t="shared" si="143"/>
        <v>1</v>
      </c>
      <c r="AG326" s="1">
        <f t="shared" si="143"/>
        <v>1</v>
      </c>
      <c r="AH326" s="1">
        <f t="shared" si="143"/>
        <v>1</v>
      </c>
      <c r="AI326" s="44">
        <f t="shared" si="131"/>
        <v>74311.587271436205</v>
      </c>
      <c r="AJ326" s="44">
        <f t="shared" si="121"/>
        <v>74883.105823435661</v>
      </c>
      <c r="AK326" s="44" t="str">
        <f t="shared" si="139"/>
        <v>N</v>
      </c>
      <c r="AL326" s="4">
        <f t="shared" si="122"/>
        <v>248</v>
      </c>
      <c r="AM326" s="82">
        <f t="shared" si="132"/>
        <v>0</v>
      </c>
      <c r="AN326" s="82">
        <f t="shared" si="123"/>
        <v>0</v>
      </c>
      <c r="AO326" s="48">
        <f>0</f>
        <v>0</v>
      </c>
      <c r="AP326" s="91">
        <f t="shared" si="133"/>
        <v>-571.51855199946078</v>
      </c>
      <c r="AQ326" s="91">
        <f t="shared" si="134"/>
        <v>-571.51855199946078</v>
      </c>
      <c r="AV326" s="84"/>
    </row>
    <row r="327" spans="1:48">
      <c r="A327" s="190">
        <f t="shared" si="124"/>
        <v>86.470910335386719</v>
      </c>
      <c r="B327" s="82">
        <f t="shared" si="125"/>
        <v>21</v>
      </c>
      <c r="C327" s="83">
        <f t="shared" si="126"/>
        <v>249</v>
      </c>
      <c r="D327" s="14">
        <f t="shared" si="113"/>
        <v>4.8675505653430484E-3</v>
      </c>
      <c r="E327" s="16">
        <f t="shared" si="114"/>
        <v>0</v>
      </c>
      <c r="F327" s="127"/>
      <c r="G327" s="88">
        <f t="shared" si="115"/>
        <v>0</v>
      </c>
      <c r="H327" s="89">
        <f t="shared" si="127"/>
        <v>4.1666666666666666E-3</v>
      </c>
      <c r="I327" s="219"/>
      <c r="J327" s="219"/>
      <c r="K327" s="6">
        <f t="shared" si="135"/>
        <v>74311.587271436205</v>
      </c>
      <c r="M327" s="6">
        <f t="shared" si="116"/>
        <v>361.7154086346186</v>
      </c>
      <c r="N327" s="6">
        <f t="shared" si="128"/>
        <v>-84.168519460625717</v>
      </c>
      <c r="O327" s="90">
        <f t="shared" si="117"/>
        <v>495.31579865945139</v>
      </c>
      <c r="P327" s="91">
        <f t="shared" si="118"/>
        <v>0</v>
      </c>
      <c r="Q327" s="6">
        <f t="shared" si="119"/>
        <v>310.78805900254247</v>
      </c>
      <c r="R327" s="87">
        <f t="shared" si="138"/>
        <v>-571.26289947009423</v>
      </c>
      <c r="S327" s="6">
        <f t="shared" si="120"/>
        <v>-15.46871784703862</v>
      </c>
      <c r="T327" s="83">
        <f t="shared" si="129"/>
        <v>0</v>
      </c>
      <c r="U327" s="91">
        <f t="shared" si="136"/>
        <v>126735.78367444414</v>
      </c>
      <c r="V327" s="91">
        <f t="shared" si="130"/>
        <v>616.89283547373486</v>
      </c>
      <c r="W327" s="1">
        <f t="shared" si="143"/>
        <v>0</v>
      </c>
      <c r="X327" s="1">
        <f t="shared" si="143"/>
        <v>0</v>
      </c>
      <c r="Y327" s="1">
        <f t="shared" si="143"/>
        <v>0</v>
      </c>
      <c r="Z327" s="1">
        <f t="shared" si="143"/>
        <v>0</v>
      </c>
      <c r="AA327" s="1">
        <f t="shared" si="143"/>
        <v>0</v>
      </c>
      <c r="AB327" s="1">
        <f t="shared" si="143"/>
        <v>0</v>
      </c>
      <c r="AC327" s="1">
        <f t="shared" si="143"/>
        <v>0</v>
      </c>
      <c r="AD327" s="1">
        <f t="shared" si="143"/>
        <v>0</v>
      </c>
      <c r="AE327" s="1">
        <f t="shared" si="143"/>
        <v>1</v>
      </c>
      <c r="AF327" s="1">
        <f t="shared" si="143"/>
        <v>1</v>
      </c>
      <c r="AG327" s="1">
        <f t="shared" si="143"/>
        <v>1</v>
      </c>
      <c r="AH327" s="1">
        <f t="shared" si="143"/>
        <v>1</v>
      </c>
      <c r="AI327" s="44">
        <f t="shared" si="131"/>
        <v>74017.871261140099</v>
      </c>
      <c r="AJ327" s="44">
        <f t="shared" si="121"/>
        <v>74589.134160610192</v>
      </c>
      <c r="AK327" s="44" t="str">
        <f t="shared" si="139"/>
        <v>N</v>
      </c>
      <c r="AL327" s="4">
        <f t="shared" si="122"/>
        <v>249</v>
      </c>
      <c r="AM327" s="82">
        <f t="shared" si="132"/>
        <v>0</v>
      </c>
      <c r="AN327" s="82">
        <f t="shared" si="123"/>
        <v>0</v>
      </c>
      <c r="AO327" s="48">
        <f>0</f>
        <v>0</v>
      </c>
      <c r="AP327" s="91">
        <f t="shared" si="133"/>
        <v>-571.26289947009423</v>
      </c>
      <c r="AQ327" s="91">
        <f t="shared" si="134"/>
        <v>-571.26289947009423</v>
      </c>
      <c r="AV327" s="84"/>
    </row>
    <row r="328" spans="1:48">
      <c r="A328" s="190">
        <f t="shared" si="124"/>
        <v>86.554243668720048</v>
      </c>
      <c r="B328" s="82">
        <f t="shared" si="125"/>
        <v>21</v>
      </c>
      <c r="C328" s="83">
        <f t="shared" si="126"/>
        <v>250</v>
      </c>
      <c r="D328" s="14">
        <f t="shared" si="113"/>
        <v>4.8675505653430484E-3</v>
      </c>
      <c r="E328" s="16">
        <f t="shared" si="114"/>
        <v>0</v>
      </c>
      <c r="F328" s="127"/>
      <c r="G328" s="88">
        <f t="shared" si="115"/>
        <v>0</v>
      </c>
      <c r="H328" s="89">
        <f t="shared" si="127"/>
        <v>4.1666666666666666E-3</v>
      </c>
      <c r="I328" s="219"/>
      <c r="J328" s="219"/>
      <c r="K328" s="6">
        <f t="shared" si="135"/>
        <v>74017.871261140099</v>
      </c>
      <c r="M328" s="6">
        <f t="shared" si="116"/>
        <v>360.28573110265148</v>
      </c>
      <c r="N328" s="6">
        <f t="shared" si="128"/>
        <v>-83.83584399726621</v>
      </c>
      <c r="O328" s="90">
        <f t="shared" si="117"/>
        <v>495.31579865945139</v>
      </c>
      <c r="P328" s="91">
        <f t="shared" si="118"/>
        <v>0</v>
      </c>
      <c r="Q328" s="6">
        <f t="shared" si="119"/>
        <v>309.55967145102284</v>
      </c>
      <c r="R328" s="87">
        <f t="shared" si="138"/>
        <v>-571.00736129959762</v>
      </c>
      <c r="S328" s="6">
        <f t="shared" si="120"/>
        <v>-15.407369031783043</v>
      </c>
      <c r="T328" s="83">
        <f t="shared" si="129"/>
        <v>0</v>
      </c>
      <c r="U328" s="91">
        <f t="shared" si="136"/>
        <v>126781.41361044778</v>
      </c>
      <c r="V328" s="91">
        <f t="shared" si="130"/>
        <v>617.11494149452597</v>
      </c>
      <c r="W328" s="1">
        <f t="shared" si="143"/>
        <v>0</v>
      </c>
      <c r="X328" s="1">
        <f t="shared" si="143"/>
        <v>0</v>
      </c>
      <c r="Y328" s="1">
        <f t="shared" si="143"/>
        <v>0</v>
      </c>
      <c r="Z328" s="1">
        <f t="shared" si="143"/>
        <v>0</v>
      </c>
      <c r="AA328" s="1">
        <f t="shared" si="143"/>
        <v>0</v>
      </c>
      <c r="AB328" s="1">
        <f t="shared" si="143"/>
        <v>0</v>
      </c>
      <c r="AC328" s="1">
        <f t="shared" si="143"/>
        <v>0</v>
      </c>
      <c r="AD328" s="1">
        <f t="shared" si="143"/>
        <v>0</v>
      </c>
      <c r="AE328" s="1">
        <f t="shared" si="143"/>
        <v>1</v>
      </c>
      <c r="AF328" s="1">
        <f t="shared" si="143"/>
        <v>1</v>
      </c>
      <c r="AG328" s="1">
        <f t="shared" si="143"/>
        <v>1</v>
      </c>
      <c r="AH328" s="1">
        <f t="shared" si="143"/>
        <v>1</v>
      </c>
      <c r="AI328" s="44">
        <f t="shared" si="131"/>
        <v>73723.313786945888</v>
      </c>
      <c r="AJ328" s="44">
        <f t="shared" si="121"/>
        <v>74294.321148245479</v>
      </c>
      <c r="AK328" s="44" t="str">
        <f t="shared" si="139"/>
        <v>N</v>
      </c>
      <c r="AL328" s="4">
        <f t="shared" si="122"/>
        <v>250</v>
      </c>
      <c r="AM328" s="82">
        <f t="shared" si="132"/>
        <v>0</v>
      </c>
      <c r="AN328" s="82">
        <f t="shared" si="123"/>
        <v>0</v>
      </c>
      <c r="AO328" s="48">
        <f>0</f>
        <v>0</v>
      </c>
      <c r="AP328" s="91">
        <f t="shared" si="133"/>
        <v>-571.00736129959762</v>
      </c>
      <c r="AQ328" s="91">
        <f t="shared" si="134"/>
        <v>-571.00736129959762</v>
      </c>
      <c r="AV328" s="84"/>
    </row>
    <row r="329" spans="1:48">
      <c r="A329" s="190">
        <f t="shared" si="124"/>
        <v>86.637577002053376</v>
      </c>
      <c r="B329" s="82">
        <f t="shared" si="125"/>
        <v>21</v>
      </c>
      <c r="C329" s="83">
        <f t="shared" si="126"/>
        <v>251</v>
      </c>
      <c r="D329" s="14">
        <f t="shared" si="113"/>
        <v>4.8675505653430484E-3</v>
      </c>
      <c r="E329" s="16">
        <f t="shared" si="114"/>
        <v>0</v>
      </c>
      <c r="F329" s="127"/>
      <c r="G329" s="88">
        <f t="shared" si="115"/>
        <v>0</v>
      </c>
      <c r="H329" s="89">
        <f t="shared" si="127"/>
        <v>4.1666666666666666E-3</v>
      </c>
      <c r="I329" s="219"/>
      <c r="J329" s="219"/>
      <c r="K329" s="6">
        <f t="shared" si="135"/>
        <v>73723.313786945888</v>
      </c>
      <c r="M329" s="6">
        <f t="shared" si="116"/>
        <v>358.8519577026114</v>
      </c>
      <c r="N329" s="6">
        <f t="shared" si="128"/>
        <v>-83.502215455482684</v>
      </c>
      <c r="O329" s="90">
        <f t="shared" si="117"/>
        <v>495.31579865945139</v>
      </c>
      <c r="P329" s="91">
        <f t="shared" si="118"/>
        <v>0</v>
      </c>
      <c r="Q329" s="6">
        <f t="shared" si="119"/>
        <v>308.32776470497089</v>
      </c>
      <c r="R329" s="87">
        <f t="shared" si="138"/>
        <v>-570.75193743681587</v>
      </c>
      <c r="S329" s="6">
        <f t="shared" si="120"/>
        <v>-15.345844370686624</v>
      </c>
      <c r="T329" s="83">
        <f t="shared" si="129"/>
        <v>0</v>
      </c>
      <c r="U329" s="91">
        <f t="shared" si="136"/>
        <v>126827.52119064271</v>
      </c>
      <c r="V329" s="91">
        <f t="shared" si="130"/>
        <v>617.3393724725704</v>
      </c>
      <c r="W329" s="1">
        <f t="shared" ref="W329:AH338" si="144">IF($B329&lt;=W$78,1,0)</f>
        <v>0</v>
      </c>
      <c r="X329" s="1">
        <f t="shared" si="144"/>
        <v>0</v>
      </c>
      <c r="Y329" s="1">
        <f t="shared" si="144"/>
        <v>0</v>
      </c>
      <c r="Z329" s="1">
        <f t="shared" si="144"/>
        <v>0</v>
      </c>
      <c r="AA329" s="1">
        <f t="shared" si="144"/>
        <v>0</v>
      </c>
      <c r="AB329" s="1">
        <f t="shared" si="144"/>
        <v>0</v>
      </c>
      <c r="AC329" s="1">
        <f t="shared" si="144"/>
        <v>0</v>
      </c>
      <c r="AD329" s="1">
        <f t="shared" si="144"/>
        <v>0</v>
      </c>
      <c r="AE329" s="1">
        <f t="shared" si="144"/>
        <v>1</v>
      </c>
      <c r="AF329" s="1">
        <f t="shared" si="144"/>
        <v>1</v>
      </c>
      <c r="AG329" s="1">
        <f t="shared" si="144"/>
        <v>1</v>
      </c>
      <c r="AH329" s="1">
        <f t="shared" si="144"/>
        <v>1</v>
      </c>
      <c r="AI329" s="44">
        <f t="shared" si="131"/>
        <v>73427.911591756201</v>
      </c>
      <c r="AJ329" s="44">
        <f t="shared" si="121"/>
        <v>73998.663529193014</v>
      </c>
      <c r="AK329" s="44" t="str">
        <f t="shared" si="139"/>
        <v>N</v>
      </c>
      <c r="AL329" s="4">
        <f t="shared" si="122"/>
        <v>251</v>
      </c>
      <c r="AM329" s="82">
        <f t="shared" si="132"/>
        <v>0</v>
      </c>
      <c r="AN329" s="82">
        <f t="shared" si="123"/>
        <v>0</v>
      </c>
      <c r="AO329" s="48">
        <f>0</f>
        <v>0</v>
      </c>
      <c r="AP329" s="91">
        <f t="shared" si="133"/>
        <v>-570.75193743681587</v>
      </c>
      <c r="AQ329" s="91">
        <f t="shared" si="134"/>
        <v>-570.75193743681587</v>
      </c>
      <c r="AV329" s="84"/>
    </row>
    <row r="330" spans="1:48">
      <c r="A330" s="190">
        <f t="shared" si="124"/>
        <v>86.720910335386719</v>
      </c>
      <c r="B330" s="82">
        <f t="shared" si="125"/>
        <v>21</v>
      </c>
      <c r="C330" s="83">
        <f t="shared" si="126"/>
        <v>252</v>
      </c>
      <c r="D330" s="14">
        <f t="shared" si="113"/>
        <v>4.8675505653430484E-3</v>
      </c>
      <c r="E330" s="16">
        <f t="shared" si="114"/>
        <v>0</v>
      </c>
      <c r="F330" s="127"/>
      <c r="G330" s="88">
        <f t="shared" si="115"/>
        <v>0</v>
      </c>
      <c r="H330" s="89">
        <f t="shared" si="127"/>
        <v>4.1666666666666666E-3</v>
      </c>
      <c r="I330" s="219"/>
      <c r="J330" s="219"/>
      <c r="K330" s="6">
        <f t="shared" si="135"/>
        <v>73427.911591756201</v>
      </c>
      <c r="M330" s="6">
        <f t="shared" si="116"/>
        <v>357.41407258041227</v>
      </c>
      <c r="N330" s="6">
        <f t="shared" si="128"/>
        <v>-83.167630146145711</v>
      </c>
      <c r="O330" s="90">
        <f t="shared" si="117"/>
        <v>495.31579865945139</v>
      </c>
      <c r="P330" s="91">
        <f t="shared" si="118"/>
        <v>0</v>
      </c>
      <c r="Q330" s="6">
        <f t="shared" si="119"/>
        <v>307.09232514246031</v>
      </c>
      <c r="R330" s="87">
        <f t="shared" si="138"/>
        <v>-570.4966278306166</v>
      </c>
      <c r="S330" s="6">
        <f t="shared" si="120"/>
        <v>-15.284143183145352</v>
      </c>
      <c r="T330" s="83">
        <f t="shared" si="129"/>
        <v>0</v>
      </c>
      <c r="U330" s="91">
        <f t="shared" si="136"/>
        <v>126874.10862567848</v>
      </c>
      <c r="V330" s="91">
        <f t="shared" si="130"/>
        <v>617.56613916831657</v>
      </c>
      <c r="W330" s="1">
        <f t="shared" si="144"/>
        <v>0</v>
      </c>
      <c r="X330" s="1">
        <f t="shared" si="144"/>
        <v>0</v>
      </c>
      <c r="Y330" s="1">
        <f t="shared" si="144"/>
        <v>0</v>
      </c>
      <c r="Z330" s="1">
        <f t="shared" si="144"/>
        <v>0</v>
      </c>
      <c r="AA330" s="1">
        <f t="shared" si="144"/>
        <v>0</v>
      </c>
      <c r="AB330" s="1">
        <f t="shared" si="144"/>
        <v>0</v>
      </c>
      <c r="AC330" s="1">
        <f t="shared" si="144"/>
        <v>0</v>
      </c>
      <c r="AD330" s="1">
        <f t="shared" si="144"/>
        <v>0</v>
      </c>
      <c r="AE330" s="1">
        <f t="shared" si="144"/>
        <v>1</v>
      </c>
      <c r="AF330" s="1">
        <f t="shared" si="144"/>
        <v>1</v>
      </c>
      <c r="AG330" s="1">
        <f t="shared" si="144"/>
        <v>1</v>
      </c>
      <c r="AH330" s="1">
        <f t="shared" si="144"/>
        <v>1</v>
      </c>
      <c r="AI330" s="44">
        <f t="shared" si="131"/>
        <v>73131.661406359854</v>
      </c>
      <c r="AJ330" s="44">
        <f t="shared" si="121"/>
        <v>73702.158034190477</v>
      </c>
      <c r="AK330" s="44" t="str">
        <f t="shared" si="139"/>
        <v>N</v>
      </c>
      <c r="AL330" s="4">
        <f t="shared" si="122"/>
        <v>252</v>
      </c>
      <c r="AM330" s="82">
        <f t="shared" si="132"/>
        <v>0</v>
      </c>
      <c r="AN330" s="82">
        <f t="shared" si="123"/>
        <v>0</v>
      </c>
      <c r="AO330" s="48">
        <f>0</f>
        <v>0</v>
      </c>
      <c r="AP330" s="91">
        <f t="shared" si="133"/>
        <v>-570.4966278306166</v>
      </c>
      <c r="AQ330" s="91">
        <f t="shared" si="134"/>
        <v>-570.4966278306166</v>
      </c>
      <c r="AV330" s="84"/>
    </row>
    <row r="331" spans="1:48">
      <c r="A331" s="190">
        <f t="shared" si="124"/>
        <v>86.804243668720048</v>
      </c>
      <c r="B331" s="82">
        <f t="shared" si="125"/>
        <v>22</v>
      </c>
      <c r="C331" s="83">
        <f t="shared" si="126"/>
        <v>253</v>
      </c>
      <c r="D331" s="14">
        <f t="shared" si="113"/>
        <v>4.8675505653430484E-3</v>
      </c>
      <c r="E331" s="16">
        <f t="shared" si="114"/>
        <v>0</v>
      </c>
      <c r="F331" s="127"/>
      <c r="G331" s="88">
        <f t="shared" si="115"/>
        <v>0</v>
      </c>
      <c r="H331" s="89">
        <f t="shared" si="127"/>
        <v>4.1666666666666666E-3</v>
      </c>
      <c r="I331" s="219"/>
      <c r="J331" s="219"/>
      <c r="K331" s="6">
        <f t="shared" si="135"/>
        <v>73131.661406359854</v>
      </c>
      <c r="M331" s="6">
        <f t="shared" si="116"/>
        <v>355.97205982300329</v>
      </c>
      <c r="N331" s="6">
        <f t="shared" si="128"/>
        <v>-82.83208436640524</v>
      </c>
      <c r="O331" s="90">
        <f t="shared" si="117"/>
        <v>505.2221146326404</v>
      </c>
      <c r="P331" s="91">
        <f t="shared" si="118"/>
        <v>0</v>
      </c>
      <c r="Q331" s="6">
        <f t="shared" si="119"/>
        <v>305.85333909090184</v>
      </c>
      <c r="R331" s="87">
        <f t="shared" si="138"/>
        <v>-570.24143242989044</v>
      </c>
      <c r="S331" s="6">
        <f t="shared" si="120"/>
        <v>-15.222264786023869</v>
      </c>
      <c r="T331" s="83">
        <f t="shared" si="129"/>
        <v>0</v>
      </c>
      <c r="U331" s="91">
        <f t="shared" si="136"/>
        <v>126921.17813701616</v>
      </c>
      <c r="V331" s="91">
        <f t="shared" si="130"/>
        <v>617.79525239483883</v>
      </c>
      <c r="W331" s="1">
        <f t="shared" si="144"/>
        <v>0</v>
      </c>
      <c r="X331" s="1">
        <f t="shared" si="144"/>
        <v>0</v>
      </c>
      <c r="Y331" s="1">
        <f t="shared" si="144"/>
        <v>0</v>
      </c>
      <c r="Z331" s="1">
        <f t="shared" si="144"/>
        <v>0</v>
      </c>
      <c r="AA331" s="1">
        <f t="shared" si="144"/>
        <v>0</v>
      </c>
      <c r="AB331" s="1">
        <f t="shared" si="144"/>
        <v>0</v>
      </c>
      <c r="AC331" s="1">
        <f t="shared" si="144"/>
        <v>0</v>
      </c>
      <c r="AD331" s="1">
        <f t="shared" si="144"/>
        <v>0</v>
      </c>
      <c r="AE331" s="1">
        <f t="shared" si="144"/>
        <v>1</v>
      </c>
      <c r="AF331" s="1">
        <f t="shared" si="144"/>
        <v>1</v>
      </c>
      <c r="AG331" s="1">
        <f t="shared" si="144"/>
        <v>1</v>
      </c>
      <c r="AH331" s="1">
        <f t="shared" si="144"/>
        <v>1</v>
      </c>
      <c r="AI331" s="44">
        <f t="shared" si="131"/>
        <v>72834.559949386559</v>
      </c>
      <c r="AJ331" s="44">
        <f t="shared" si="121"/>
        <v>73404.801381816447</v>
      </c>
      <c r="AK331" s="44" t="str">
        <f t="shared" si="139"/>
        <v>N</v>
      </c>
      <c r="AL331" s="4">
        <f t="shared" si="122"/>
        <v>253</v>
      </c>
      <c r="AM331" s="82">
        <f t="shared" si="132"/>
        <v>0</v>
      </c>
      <c r="AN331" s="82">
        <f t="shared" si="123"/>
        <v>0</v>
      </c>
      <c r="AO331" s="48">
        <f>0</f>
        <v>0</v>
      </c>
      <c r="AP331" s="91">
        <f t="shared" si="133"/>
        <v>-570.24143242989044</v>
      </c>
      <c r="AQ331" s="91">
        <f t="shared" si="134"/>
        <v>-570.24143242989044</v>
      </c>
      <c r="AV331" s="84"/>
    </row>
    <row r="332" spans="1:48">
      <c r="A332" s="190">
        <f t="shared" si="124"/>
        <v>86.887577002053376</v>
      </c>
      <c r="B332" s="82">
        <f t="shared" si="125"/>
        <v>22</v>
      </c>
      <c r="C332" s="83">
        <f t="shared" si="126"/>
        <v>254</v>
      </c>
      <c r="D332" s="14">
        <f t="shared" si="113"/>
        <v>4.8675505653430484E-3</v>
      </c>
      <c r="E332" s="16">
        <f t="shared" si="114"/>
        <v>0</v>
      </c>
      <c r="F332" s="127"/>
      <c r="G332" s="88">
        <f t="shared" si="115"/>
        <v>0</v>
      </c>
      <c r="H332" s="89">
        <f t="shared" si="127"/>
        <v>4.1666666666666666E-3</v>
      </c>
      <c r="I332" s="219"/>
      <c r="J332" s="219"/>
      <c r="K332" s="6">
        <f t="shared" si="135"/>
        <v>72834.559949386559</v>
      </c>
      <c r="M332" s="6">
        <f t="shared" si="116"/>
        <v>354.52590345814872</v>
      </c>
      <c r="N332" s="6">
        <f t="shared" si="128"/>
        <v>-82.495574399639281</v>
      </c>
      <c r="O332" s="90">
        <f t="shared" si="117"/>
        <v>505.2221146326404</v>
      </c>
      <c r="P332" s="91">
        <f t="shared" si="118"/>
        <v>0</v>
      </c>
      <c r="Q332" s="6">
        <f t="shared" si="119"/>
        <v>304.61079282685449</v>
      </c>
      <c r="R332" s="87">
        <f t="shared" si="138"/>
        <v>-569.98635118355094</v>
      </c>
      <c r="S332" s="6">
        <f t="shared" si="120"/>
        <v>-15.160208493646046</v>
      </c>
      <c r="T332" s="83">
        <f t="shared" si="129"/>
        <v>0</v>
      </c>
      <c r="U332" s="91">
        <f t="shared" si="136"/>
        <v>126968.73195698111</v>
      </c>
      <c r="V332" s="91">
        <f t="shared" si="130"/>
        <v>618.02672301809332</v>
      </c>
      <c r="W332" s="1">
        <f t="shared" si="144"/>
        <v>0</v>
      </c>
      <c r="X332" s="1">
        <f t="shared" si="144"/>
        <v>0</v>
      </c>
      <c r="Y332" s="1">
        <f t="shared" si="144"/>
        <v>0</v>
      </c>
      <c r="Z332" s="1">
        <f t="shared" si="144"/>
        <v>0</v>
      </c>
      <c r="AA332" s="1">
        <f t="shared" si="144"/>
        <v>0</v>
      </c>
      <c r="AB332" s="1">
        <f t="shared" si="144"/>
        <v>0</v>
      </c>
      <c r="AC332" s="1">
        <f t="shared" si="144"/>
        <v>0</v>
      </c>
      <c r="AD332" s="1">
        <f t="shared" si="144"/>
        <v>0</v>
      </c>
      <c r="AE332" s="1">
        <f t="shared" si="144"/>
        <v>1</v>
      </c>
      <c r="AF332" s="1">
        <f t="shared" si="144"/>
        <v>1</v>
      </c>
      <c r="AG332" s="1">
        <f t="shared" si="144"/>
        <v>1</v>
      </c>
      <c r="AH332" s="1">
        <f t="shared" si="144"/>
        <v>1</v>
      </c>
      <c r="AI332" s="44">
        <f t="shared" si="131"/>
        <v>72536.603927261516</v>
      </c>
      <c r="AJ332" s="44">
        <f t="shared" si="121"/>
        <v>73106.590278445074</v>
      </c>
      <c r="AK332" s="44" t="str">
        <f t="shared" si="139"/>
        <v>N</v>
      </c>
      <c r="AL332" s="4">
        <f t="shared" si="122"/>
        <v>254</v>
      </c>
      <c r="AM332" s="82">
        <f t="shared" si="132"/>
        <v>0</v>
      </c>
      <c r="AN332" s="82">
        <f t="shared" si="123"/>
        <v>0</v>
      </c>
      <c r="AO332" s="48">
        <f>0</f>
        <v>0</v>
      </c>
      <c r="AP332" s="91">
        <f t="shared" si="133"/>
        <v>-569.98635118355094</v>
      </c>
      <c r="AQ332" s="91">
        <f t="shared" si="134"/>
        <v>-569.98635118355094</v>
      </c>
      <c r="AV332" s="84"/>
    </row>
    <row r="333" spans="1:48">
      <c r="A333" s="190">
        <f t="shared" si="124"/>
        <v>86.970910335386719</v>
      </c>
      <c r="B333" s="82">
        <f t="shared" si="125"/>
        <v>22</v>
      </c>
      <c r="C333" s="83">
        <f t="shared" si="126"/>
        <v>255</v>
      </c>
      <c r="D333" s="14">
        <f t="shared" si="113"/>
        <v>4.8675505653430484E-3</v>
      </c>
      <c r="E333" s="16">
        <f t="shared" si="114"/>
        <v>0</v>
      </c>
      <c r="F333" s="127"/>
      <c r="G333" s="88">
        <f t="shared" si="115"/>
        <v>0</v>
      </c>
      <c r="H333" s="89">
        <f t="shared" si="127"/>
        <v>4.1666666666666666E-3</v>
      </c>
      <c r="I333" s="219"/>
      <c r="J333" s="219"/>
      <c r="K333" s="6">
        <f t="shared" si="135"/>
        <v>72536.603927261516</v>
      </c>
      <c r="M333" s="6">
        <f t="shared" si="116"/>
        <v>353.07558745420658</v>
      </c>
      <c r="N333" s="6">
        <f t="shared" si="128"/>
        <v>-82.158096515402477</v>
      </c>
      <c r="O333" s="90">
        <f t="shared" si="117"/>
        <v>505.2221146326404</v>
      </c>
      <c r="P333" s="91">
        <f t="shared" si="118"/>
        <v>0</v>
      </c>
      <c r="Q333" s="6">
        <f t="shared" si="119"/>
        <v>303.36467257583467</v>
      </c>
      <c r="R333" s="87">
        <f t="shared" si="138"/>
        <v>-569.73138404053395</v>
      </c>
      <c r="S333" s="6">
        <f t="shared" si="120"/>
        <v>-15.097973617785451</v>
      </c>
      <c r="T333" s="83">
        <f t="shared" si="129"/>
        <v>0</v>
      </c>
      <c r="U333" s="91">
        <f t="shared" si="136"/>
        <v>127016.77232881564</v>
      </c>
      <c r="V333" s="91">
        <f t="shared" si="130"/>
        <v>618.26056195717581</v>
      </c>
      <c r="W333" s="1">
        <f t="shared" si="144"/>
        <v>0</v>
      </c>
      <c r="X333" s="1">
        <f t="shared" si="144"/>
        <v>0</v>
      </c>
      <c r="Y333" s="1">
        <f t="shared" si="144"/>
        <v>0</v>
      </c>
      <c r="Z333" s="1">
        <f t="shared" si="144"/>
        <v>0</v>
      </c>
      <c r="AA333" s="1">
        <f t="shared" si="144"/>
        <v>0</v>
      </c>
      <c r="AB333" s="1">
        <f t="shared" si="144"/>
        <v>0</v>
      </c>
      <c r="AC333" s="1">
        <f t="shared" si="144"/>
        <v>0</v>
      </c>
      <c r="AD333" s="1">
        <f t="shared" si="144"/>
        <v>0</v>
      </c>
      <c r="AE333" s="1">
        <f t="shared" si="144"/>
        <v>1</v>
      </c>
      <c r="AF333" s="1">
        <f t="shared" si="144"/>
        <v>1</v>
      </c>
      <c r="AG333" s="1">
        <f t="shared" si="144"/>
        <v>1</v>
      </c>
      <c r="AH333" s="1">
        <f t="shared" si="144"/>
        <v>1</v>
      </c>
      <c r="AI333" s="44">
        <f t="shared" si="131"/>
        <v>72237.790034159785</v>
      </c>
      <c r="AJ333" s="44">
        <f t="shared" si="121"/>
        <v>72807.521418200326</v>
      </c>
      <c r="AK333" s="44" t="str">
        <f t="shared" si="139"/>
        <v>N</v>
      </c>
      <c r="AL333" s="4">
        <f t="shared" si="122"/>
        <v>255</v>
      </c>
      <c r="AM333" s="82">
        <f t="shared" si="132"/>
        <v>0</v>
      </c>
      <c r="AN333" s="82">
        <f t="shared" si="123"/>
        <v>0</v>
      </c>
      <c r="AO333" s="48">
        <f>0</f>
        <v>0</v>
      </c>
      <c r="AP333" s="91">
        <f t="shared" si="133"/>
        <v>-569.73138404053395</v>
      </c>
      <c r="AQ333" s="91">
        <f t="shared" si="134"/>
        <v>-569.73138404053395</v>
      </c>
      <c r="AV333" s="84"/>
    </row>
    <row r="334" spans="1:48">
      <c r="A334" s="190">
        <f t="shared" si="124"/>
        <v>87.054243668720048</v>
      </c>
      <c r="B334" s="82">
        <f t="shared" si="125"/>
        <v>22</v>
      </c>
      <c r="C334" s="83">
        <f t="shared" si="126"/>
        <v>256</v>
      </c>
      <c r="D334" s="14">
        <f t="shared" si="113"/>
        <v>4.8675505653430484E-3</v>
      </c>
      <c r="E334" s="16">
        <f t="shared" si="114"/>
        <v>0</v>
      </c>
      <c r="F334" s="127"/>
      <c r="G334" s="88">
        <f t="shared" si="115"/>
        <v>0</v>
      </c>
      <c r="H334" s="89">
        <f t="shared" si="127"/>
        <v>4.1666666666666666E-3</v>
      </c>
      <c r="I334" s="219"/>
      <c r="J334" s="219"/>
      <c r="K334" s="6">
        <f t="shared" si="135"/>
        <v>72237.790034159785</v>
      </c>
      <c r="M334" s="6">
        <f t="shared" si="116"/>
        <v>351.62109571990692</v>
      </c>
      <c r="N334" s="6">
        <f t="shared" si="128"/>
        <v>-81.819646969374475</v>
      </c>
      <c r="O334" s="90">
        <f t="shared" si="117"/>
        <v>505.2221146326404</v>
      </c>
      <c r="P334" s="91">
        <f t="shared" si="118"/>
        <v>0</v>
      </c>
      <c r="Q334" s="6">
        <f t="shared" si="119"/>
        <v>302.11496451212628</v>
      </c>
      <c r="R334" s="87">
        <f t="shared" si="138"/>
        <v>-583.99315286412184</v>
      </c>
      <c r="S334" s="6">
        <f t="shared" si="120"/>
        <v>-15.034045584097543</v>
      </c>
      <c r="T334" s="83">
        <f t="shared" si="129"/>
        <v>0</v>
      </c>
      <c r="U334" s="91">
        <f t="shared" si="136"/>
        <v>127065.30150673227</v>
      </c>
      <c r="V334" s="91">
        <f t="shared" si="130"/>
        <v>618.49678018457962</v>
      </c>
      <c r="W334" s="1">
        <f t="shared" si="144"/>
        <v>0</v>
      </c>
      <c r="X334" s="1">
        <f t="shared" si="144"/>
        <v>0</v>
      </c>
      <c r="Y334" s="1">
        <f t="shared" si="144"/>
        <v>0</v>
      </c>
      <c r="Z334" s="1">
        <f t="shared" si="144"/>
        <v>0</v>
      </c>
      <c r="AA334" s="1">
        <f t="shared" si="144"/>
        <v>0</v>
      </c>
      <c r="AB334" s="1">
        <f t="shared" si="144"/>
        <v>0</v>
      </c>
      <c r="AC334" s="1">
        <f t="shared" si="144"/>
        <v>0</v>
      </c>
      <c r="AD334" s="1">
        <f t="shared" si="144"/>
        <v>0</v>
      </c>
      <c r="AE334" s="1">
        <f t="shared" si="144"/>
        <v>1</v>
      </c>
      <c r="AF334" s="1">
        <f t="shared" si="144"/>
        <v>1</v>
      </c>
      <c r="AG334" s="1">
        <f t="shared" si="144"/>
        <v>1</v>
      </c>
      <c r="AH334" s="1">
        <f t="shared" si="144"/>
        <v>1</v>
      </c>
      <c r="AI334" s="44">
        <f t="shared" si="131"/>
        <v>71923.598330046196</v>
      </c>
      <c r="AJ334" s="44">
        <f t="shared" si="121"/>
        <v>72507.591482910313</v>
      </c>
      <c r="AK334" s="44" t="str">
        <f t="shared" si="139"/>
        <v>N</v>
      </c>
      <c r="AL334" s="4">
        <f t="shared" si="122"/>
        <v>256</v>
      </c>
      <c r="AM334" s="82">
        <f t="shared" si="132"/>
        <v>0</v>
      </c>
      <c r="AN334" s="82">
        <f t="shared" si="123"/>
        <v>0</v>
      </c>
      <c r="AO334" s="48">
        <f>0</f>
        <v>0</v>
      </c>
      <c r="AP334" s="91">
        <f t="shared" si="133"/>
        <v>-583.99315286412184</v>
      </c>
      <c r="AQ334" s="91">
        <f t="shared" si="134"/>
        <v>-583.99315286412184</v>
      </c>
      <c r="AV334" s="84"/>
    </row>
    <row r="335" spans="1:48">
      <c r="A335" s="190">
        <f t="shared" si="124"/>
        <v>87.137577002053376</v>
      </c>
      <c r="B335" s="82">
        <f t="shared" si="125"/>
        <v>22</v>
      </c>
      <c r="C335" s="83">
        <f t="shared" si="126"/>
        <v>257</v>
      </c>
      <c r="D335" s="14">
        <f t="shared" ref="D335:D398" si="145">Growth_Rate_1_Monthly</f>
        <v>4.8675505653430484E-3</v>
      </c>
      <c r="E335" s="16">
        <f t="shared" ref="E335:E398" si="146">IF(Gtee_Flag="on",1,0)</f>
        <v>0</v>
      </c>
      <c r="F335" s="127"/>
      <c r="G335" s="88">
        <f t="shared" ref="G335:G398" si="147">IF(ISERROR(VLOOKUP(Product_Code,Product_Parameters,B335+5,FALSE)),0,VLOOKUP(Product_Code,Product_Parameters,B335+5,FALSE))</f>
        <v>0</v>
      </c>
      <c r="H335" s="89">
        <f t="shared" si="127"/>
        <v>4.1666666666666666E-3</v>
      </c>
      <c r="I335" s="219"/>
      <c r="J335" s="219"/>
      <c r="K335" s="6">
        <f t="shared" si="135"/>
        <v>71923.598330046196</v>
      </c>
      <c r="M335" s="6">
        <f t="shared" ref="M335:M398" si="148">(K335+L335)*D335</f>
        <v>350.0917517129227</v>
      </c>
      <c r="N335" s="6">
        <f t="shared" si="128"/>
        <v>-81.463779849143862</v>
      </c>
      <c r="O335" s="90">
        <f t="shared" ref="O335:O398" si="149">IF(C335&gt;=Regular_Income_Start_Month,
MIN(Regular_Income_Amount/12*(1+Income_Escalation_Rate_Annual)^($B335-1),AJ335),0)</f>
        <v>505.2221146326404</v>
      </c>
      <c r="P335" s="91">
        <f t="shared" ref="P335:P398" si="150">MAX(IF(C335&gt;=Regular_Income_Start_Month,
MIN(IF(Income_Type="Fixed Percent",$C$51,0)/12*(K335+L335+M335+N335),AJ335),0),0)</f>
        <v>0</v>
      </c>
      <c r="Q335" s="6">
        <f t="shared" ref="Q335:Q398" si="151">MAX(IF(C335&gt;=Regular_Income_Start_Month,
MIN(H335*(K335+L335+M335+N335),AJ335),0),0)</f>
        <v>300.80094292462491</v>
      </c>
      <c r="R335" s="87">
        <f t="shared" si="138"/>
        <v>-583.73192017772863</v>
      </c>
      <c r="S335" s="6">
        <f t="shared" ref="S335:S398" si="152">-(($K335+I335+M335/2+N335/2+R335/2)*(Ongoing_Commission_Monthly)+(I335)*new_upfront_commission)</f>
        <v>-14.968418722204621</v>
      </c>
      <c r="T335" s="83">
        <f t="shared" si="129"/>
        <v>0</v>
      </c>
      <c r="U335" s="91">
        <f t="shared" si="136"/>
        <v>127099.80513405273</v>
      </c>
      <c r="V335" s="91">
        <f t="shared" si="130"/>
        <v>618.66472833524961</v>
      </c>
      <c r="W335" s="1">
        <f t="shared" si="144"/>
        <v>0</v>
      </c>
      <c r="X335" s="1">
        <f t="shared" si="144"/>
        <v>0</v>
      </c>
      <c r="Y335" s="1">
        <f t="shared" si="144"/>
        <v>0</v>
      </c>
      <c r="Z335" s="1">
        <f t="shared" si="144"/>
        <v>0</v>
      </c>
      <c r="AA335" s="1">
        <f t="shared" si="144"/>
        <v>0</v>
      </c>
      <c r="AB335" s="1">
        <f t="shared" si="144"/>
        <v>0</v>
      </c>
      <c r="AC335" s="1">
        <f t="shared" si="144"/>
        <v>0</v>
      </c>
      <c r="AD335" s="1">
        <f t="shared" si="144"/>
        <v>0</v>
      </c>
      <c r="AE335" s="1">
        <f t="shared" si="144"/>
        <v>1</v>
      </c>
      <c r="AF335" s="1">
        <f t="shared" si="144"/>
        <v>1</v>
      </c>
      <c r="AG335" s="1">
        <f t="shared" si="144"/>
        <v>1</v>
      </c>
      <c r="AH335" s="1">
        <f t="shared" si="144"/>
        <v>1</v>
      </c>
      <c r="AI335" s="44">
        <f t="shared" si="131"/>
        <v>71608.494381732249</v>
      </c>
      <c r="AJ335" s="44">
        <f t="shared" ref="AJ335:AJ398" si="153">MAX(0,SUM(K335:N335)-$C$66)</f>
        <v>72192.226301909977</v>
      </c>
      <c r="AK335" s="44" t="str">
        <f t="shared" si="139"/>
        <v>N</v>
      </c>
      <c r="AL335" s="4">
        <f t="shared" ref="AL335:AL398" si="154">C335</f>
        <v>257</v>
      </c>
      <c r="AM335" s="82">
        <f t="shared" si="132"/>
        <v>0</v>
      </c>
      <c r="AN335" s="82">
        <f t="shared" ref="AN335:AN398" si="155">IF(AND(B335=Fund_Zero_Year,K336=0,K335&gt;0),-U335,IF(AND(B335+1=Fund_Zero_Year,K336=0,K335&gt;0),-U335,0))</f>
        <v>0</v>
      </c>
      <c r="AO335" s="48">
        <f>0</f>
        <v>0</v>
      </c>
      <c r="AP335" s="91">
        <f t="shared" si="133"/>
        <v>-583.73192017772863</v>
      </c>
      <c r="AQ335" s="91">
        <f t="shared" si="134"/>
        <v>-583.73192017772863</v>
      </c>
      <c r="AV335" s="84"/>
    </row>
    <row r="336" spans="1:48">
      <c r="A336" s="190">
        <f t="shared" ref="A336:A399" si="156">$C$43+C335/12</f>
        <v>87.220910335386719</v>
      </c>
      <c r="B336" s="82">
        <f t="shared" ref="B336:B399" si="157">INT((C336-1)/12)+1</f>
        <v>22</v>
      </c>
      <c r="C336" s="83">
        <f t="shared" ref="C336:C399" si="158">C335+1</f>
        <v>258</v>
      </c>
      <c r="D336" s="14">
        <f t="shared" si="145"/>
        <v>4.8675505653430484E-3</v>
      </c>
      <c r="E336" s="16">
        <f t="shared" si="146"/>
        <v>0</v>
      </c>
      <c r="F336" s="127"/>
      <c r="G336" s="88">
        <f t="shared" si="147"/>
        <v>0</v>
      </c>
      <c r="H336" s="89">
        <f t="shared" ref="H336:H399" si="159">IF((K335+L335+M335+N335+R335)&gt;=2000000,VLOOKUP("&gt;=2000000",Default_IncomeRate_table,3,FALSE),
IF($A336&lt;71,VLOOKUP("&lt;71",Default_IncomeRate_table,3,FALSE),
IF($A336&gt;=71,VLOOKUP("&gt;=71",Default_IncomeRate_table,3,FALSE),"")))</f>
        <v>4.1666666666666666E-3</v>
      </c>
      <c r="I336" s="219"/>
      <c r="J336" s="219"/>
      <c r="K336" s="6">
        <f t="shared" si="135"/>
        <v>71608.494381732249</v>
      </c>
      <c r="M336" s="6">
        <f t="shared" si="148"/>
        <v>348.55796731116533</v>
      </c>
      <c r="N336" s="6">
        <f t="shared" ref="N336:N399" si="160">-(($K336+(L336)+M336/2)*(External_Fund_Charge_Monthly+Fund_Charge_Monthly+Gtee_Charge_Monthly*$E336))+MIN(J336,0)</f>
        <v>-81.106879481656009</v>
      </c>
      <c r="O336" s="90">
        <f t="shared" si="149"/>
        <v>505.2221146326404</v>
      </c>
      <c r="P336" s="91">
        <f t="shared" si="150"/>
        <v>0</v>
      </c>
      <c r="Q336" s="6">
        <f t="shared" si="151"/>
        <v>299.48310612317403</v>
      </c>
      <c r="R336" s="87">
        <f t="shared" si="138"/>
        <v>-583.47080434632949</v>
      </c>
      <c r="S336" s="6">
        <f t="shared" si="152"/>
        <v>-14.902601223816655</v>
      </c>
      <c r="T336" s="83">
        <f t="shared" ref="T336:T399" si="161">SUM(K336:N336,R336)*$G336</f>
        <v>0</v>
      </c>
      <c r="U336" s="91">
        <f t="shared" si="136"/>
        <v>127134.73794221025</v>
      </c>
      <c r="V336" s="91">
        <f t="shared" ref="V336:V399" si="162">U336*D336</f>
        <v>618.83476554534582</v>
      </c>
      <c r="W336" s="1">
        <f t="shared" si="144"/>
        <v>0</v>
      </c>
      <c r="X336" s="1">
        <f t="shared" si="144"/>
        <v>0</v>
      </c>
      <c r="Y336" s="1">
        <f t="shared" si="144"/>
        <v>0</v>
      </c>
      <c r="Z336" s="1">
        <f t="shared" si="144"/>
        <v>0</v>
      </c>
      <c r="AA336" s="1">
        <f t="shared" si="144"/>
        <v>0</v>
      </c>
      <c r="AB336" s="1">
        <f t="shared" si="144"/>
        <v>0</v>
      </c>
      <c r="AC336" s="1">
        <f t="shared" si="144"/>
        <v>0</v>
      </c>
      <c r="AD336" s="1">
        <f t="shared" si="144"/>
        <v>0</v>
      </c>
      <c r="AE336" s="1">
        <f t="shared" si="144"/>
        <v>1</v>
      </c>
      <c r="AF336" s="1">
        <f t="shared" si="144"/>
        <v>1</v>
      </c>
      <c r="AG336" s="1">
        <f t="shared" si="144"/>
        <v>1</v>
      </c>
      <c r="AH336" s="1">
        <f t="shared" si="144"/>
        <v>1</v>
      </c>
      <c r="AI336" s="44">
        <f t="shared" ref="AI336:AI399" si="163">SUM(K336:N336,R336)</f>
        <v>71292.474665215428</v>
      </c>
      <c r="AJ336" s="44">
        <f t="shared" si="153"/>
        <v>71875.945469561761</v>
      </c>
      <c r="AK336" s="44" t="str">
        <f t="shared" si="139"/>
        <v>N</v>
      </c>
      <c r="AL336" s="4">
        <f t="shared" si="154"/>
        <v>258</v>
      </c>
      <c r="AM336" s="82">
        <f t="shared" ref="AM336:AM399" si="164">I336</f>
        <v>0</v>
      </c>
      <c r="AN336" s="82">
        <f t="shared" si="155"/>
        <v>0</v>
      </c>
      <c r="AO336" s="48">
        <f>0</f>
        <v>0</v>
      </c>
      <c r="AP336" s="91">
        <f t="shared" ref="AP336:AP399" si="165">$R336+AN336+AM336</f>
        <v>-583.47080434632949</v>
      </c>
      <c r="AQ336" s="91">
        <f t="shared" ref="AQ336:AQ399" si="166">$R336+AO336+AM336</f>
        <v>-583.47080434632949</v>
      </c>
      <c r="AV336" s="84"/>
    </row>
    <row r="337" spans="1:48">
      <c r="A337" s="190">
        <f t="shared" si="156"/>
        <v>87.304243668720048</v>
      </c>
      <c r="B337" s="82">
        <f t="shared" si="157"/>
        <v>22</v>
      </c>
      <c r="C337" s="83">
        <f t="shared" si="158"/>
        <v>259</v>
      </c>
      <c r="D337" s="14">
        <f t="shared" si="145"/>
        <v>4.8675505653430484E-3</v>
      </c>
      <c r="E337" s="16">
        <f t="shared" si="146"/>
        <v>0</v>
      </c>
      <c r="F337" s="127"/>
      <c r="G337" s="88">
        <f t="shared" si="147"/>
        <v>0</v>
      </c>
      <c r="H337" s="89">
        <f t="shared" si="159"/>
        <v>4.1666666666666666E-3</v>
      </c>
      <c r="I337" s="219"/>
      <c r="J337" s="219"/>
      <c r="K337" s="6">
        <f t="shared" ref="K337:K400" si="167">SUM(K336:M336,N336,R336)</f>
        <v>71292.474665215428</v>
      </c>
      <c r="M337" s="6">
        <f t="shared" si="148"/>
        <v>347.0197253613743</v>
      </c>
      <c r="N337" s="6">
        <f t="shared" si="160"/>
        <v>-80.748941875473122</v>
      </c>
      <c r="O337" s="90">
        <f t="shared" si="149"/>
        <v>505.2221146326404</v>
      </c>
      <c r="P337" s="91">
        <f t="shared" si="150"/>
        <v>0</v>
      </c>
      <c r="Q337" s="6">
        <f t="shared" si="151"/>
        <v>298.16143936958889</v>
      </c>
      <c r="R337" s="87">
        <f t="shared" si="138"/>
        <v>-583.20980531765247</v>
      </c>
      <c r="S337" s="6">
        <f t="shared" si="152"/>
        <v>-14.836592352556725</v>
      </c>
      <c r="T337" s="83">
        <f t="shared" si="161"/>
        <v>0</v>
      </c>
      <c r="U337" s="91">
        <f t="shared" ref="U337:U400" si="168">IF(K337=0,0,SUM(U336,R336,V336))</f>
        <v>127170.10190340926</v>
      </c>
      <c r="V337" s="91">
        <f t="shared" si="162"/>
        <v>619.00690141467283</v>
      </c>
      <c r="W337" s="1">
        <f t="shared" si="144"/>
        <v>0</v>
      </c>
      <c r="X337" s="1">
        <f t="shared" si="144"/>
        <v>0</v>
      </c>
      <c r="Y337" s="1">
        <f t="shared" si="144"/>
        <v>0</v>
      </c>
      <c r="Z337" s="1">
        <f t="shared" si="144"/>
        <v>0</v>
      </c>
      <c r="AA337" s="1">
        <f t="shared" si="144"/>
        <v>0</v>
      </c>
      <c r="AB337" s="1">
        <f t="shared" si="144"/>
        <v>0</v>
      </c>
      <c r="AC337" s="1">
        <f t="shared" si="144"/>
        <v>0</v>
      </c>
      <c r="AD337" s="1">
        <f t="shared" si="144"/>
        <v>0</v>
      </c>
      <c r="AE337" s="1">
        <f t="shared" si="144"/>
        <v>1</v>
      </c>
      <c r="AF337" s="1">
        <f t="shared" si="144"/>
        <v>1</v>
      </c>
      <c r="AG337" s="1">
        <f t="shared" si="144"/>
        <v>1</v>
      </c>
      <c r="AH337" s="1">
        <f t="shared" si="144"/>
        <v>1</v>
      </c>
      <c r="AI337" s="44">
        <f t="shared" si="163"/>
        <v>70975.535643383671</v>
      </c>
      <c r="AJ337" s="44">
        <f t="shared" si="153"/>
        <v>71558.745448701331</v>
      </c>
      <c r="AK337" s="44" t="str">
        <f t="shared" si="139"/>
        <v>N</v>
      </c>
      <c r="AL337" s="4">
        <f t="shared" si="154"/>
        <v>259</v>
      </c>
      <c r="AM337" s="82">
        <f t="shared" si="164"/>
        <v>0</v>
      </c>
      <c r="AN337" s="82">
        <f t="shared" si="155"/>
        <v>0</v>
      </c>
      <c r="AO337" s="48">
        <f>0</f>
        <v>0</v>
      </c>
      <c r="AP337" s="91">
        <f t="shared" si="165"/>
        <v>-583.20980531765247</v>
      </c>
      <c r="AQ337" s="91">
        <f t="shared" si="166"/>
        <v>-583.20980531765247</v>
      </c>
      <c r="AV337" s="84"/>
    </row>
    <row r="338" spans="1:48">
      <c r="A338" s="190">
        <f t="shared" si="156"/>
        <v>87.387577002053376</v>
      </c>
      <c r="B338" s="82">
        <f t="shared" si="157"/>
        <v>22</v>
      </c>
      <c r="C338" s="83">
        <f t="shared" si="158"/>
        <v>260</v>
      </c>
      <c r="D338" s="14">
        <f t="shared" si="145"/>
        <v>4.8675505653430484E-3</v>
      </c>
      <c r="E338" s="16">
        <f t="shared" si="146"/>
        <v>0</v>
      </c>
      <c r="F338" s="127"/>
      <c r="G338" s="88">
        <f t="shared" si="147"/>
        <v>0</v>
      </c>
      <c r="H338" s="89">
        <f t="shared" si="159"/>
        <v>4.1666666666666666E-3</v>
      </c>
      <c r="I338" s="219"/>
      <c r="J338" s="219"/>
      <c r="K338" s="6">
        <f t="shared" si="167"/>
        <v>70975.535643383671</v>
      </c>
      <c r="M338" s="6">
        <f t="shared" si="148"/>
        <v>345.47700864647788</v>
      </c>
      <c r="N338" s="6">
        <f t="shared" si="160"/>
        <v>-80.389963024309054</v>
      </c>
      <c r="O338" s="90">
        <f t="shared" si="149"/>
        <v>505.2221146326404</v>
      </c>
      <c r="P338" s="91">
        <f t="shared" si="150"/>
        <v>0</v>
      </c>
      <c r="Q338" s="6">
        <f t="shared" si="151"/>
        <v>296.83592787085769</v>
      </c>
      <c r="R338" s="87">
        <f t="shared" si="138"/>
        <v>-582.94892303945005</v>
      </c>
      <c r="S338" s="6">
        <f t="shared" si="152"/>
        <v>-14.770391369308523</v>
      </c>
      <c r="T338" s="83">
        <f t="shared" si="161"/>
        <v>0</v>
      </c>
      <c r="U338" s="91">
        <f t="shared" si="168"/>
        <v>127205.89899950627</v>
      </c>
      <c r="V338" s="91">
        <f t="shared" si="162"/>
        <v>619.18114559001742</v>
      </c>
      <c r="W338" s="1">
        <f t="shared" si="144"/>
        <v>0</v>
      </c>
      <c r="X338" s="1">
        <f t="shared" si="144"/>
        <v>0</v>
      </c>
      <c r="Y338" s="1">
        <f t="shared" si="144"/>
        <v>0</v>
      </c>
      <c r="Z338" s="1">
        <f t="shared" si="144"/>
        <v>0</v>
      </c>
      <c r="AA338" s="1">
        <f t="shared" si="144"/>
        <v>0</v>
      </c>
      <c r="AB338" s="1">
        <f t="shared" si="144"/>
        <v>0</v>
      </c>
      <c r="AC338" s="1">
        <f t="shared" si="144"/>
        <v>0</v>
      </c>
      <c r="AD338" s="1">
        <f t="shared" si="144"/>
        <v>0</v>
      </c>
      <c r="AE338" s="1">
        <f t="shared" si="144"/>
        <v>1</v>
      </c>
      <c r="AF338" s="1">
        <f t="shared" si="144"/>
        <v>1</v>
      </c>
      <c r="AG338" s="1">
        <f t="shared" si="144"/>
        <v>1</v>
      </c>
      <c r="AH338" s="1">
        <f t="shared" si="144"/>
        <v>1</v>
      </c>
      <c r="AI338" s="44">
        <f t="shared" si="163"/>
        <v>70657.673765966392</v>
      </c>
      <c r="AJ338" s="44">
        <f t="shared" si="153"/>
        <v>71240.622689005846</v>
      </c>
      <c r="AK338" s="44" t="str">
        <f t="shared" si="139"/>
        <v>N</v>
      </c>
      <c r="AL338" s="4">
        <f t="shared" si="154"/>
        <v>260</v>
      </c>
      <c r="AM338" s="82">
        <f t="shared" si="164"/>
        <v>0</v>
      </c>
      <c r="AN338" s="82">
        <f t="shared" si="155"/>
        <v>0</v>
      </c>
      <c r="AO338" s="48">
        <f>0</f>
        <v>0</v>
      </c>
      <c r="AP338" s="91">
        <f t="shared" si="165"/>
        <v>-582.94892303945005</v>
      </c>
      <c r="AQ338" s="91">
        <f t="shared" si="166"/>
        <v>-582.94892303945005</v>
      </c>
      <c r="AV338" s="84"/>
    </row>
    <row r="339" spans="1:48">
      <c r="A339" s="190">
        <f t="shared" si="156"/>
        <v>87.470910335386719</v>
      </c>
      <c r="B339" s="82">
        <f t="shared" si="157"/>
        <v>22</v>
      </c>
      <c r="C339" s="83">
        <f t="shared" si="158"/>
        <v>261</v>
      </c>
      <c r="D339" s="14">
        <f t="shared" si="145"/>
        <v>4.8675505653430484E-3</v>
      </c>
      <c r="E339" s="16">
        <f t="shared" si="146"/>
        <v>0</v>
      </c>
      <c r="F339" s="127"/>
      <c r="G339" s="88">
        <f t="shared" si="147"/>
        <v>0</v>
      </c>
      <c r="H339" s="89">
        <f t="shared" si="159"/>
        <v>4.1666666666666666E-3</v>
      </c>
      <c r="I339" s="219"/>
      <c r="J339" s="219"/>
      <c r="K339" s="6">
        <f t="shared" si="167"/>
        <v>70657.673765966392</v>
      </c>
      <c r="M339" s="6">
        <f t="shared" si="148"/>
        <v>343.92979988535438</v>
      </c>
      <c r="N339" s="6">
        <f t="shared" si="160"/>
        <v>-80.029938906973712</v>
      </c>
      <c r="O339" s="90">
        <f t="shared" si="149"/>
        <v>505.2221146326404</v>
      </c>
      <c r="P339" s="91">
        <f t="shared" si="150"/>
        <v>0</v>
      </c>
      <c r="Q339" s="6">
        <f t="shared" si="151"/>
        <v>295.50655677893656</v>
      </c>
      <c r="R339" s="87">
        <f t="shared" si="138"/>
        <v>-582.6881574594961</v>
      </c>
      <c r="S339" s="6">
        <f t="shared" si="152"/>
        <v>-14.703997532206101</v>
      </c>
      <c r="T339" s="83">
        <f t="shared" si="161"/>
        <v>0</v>
      </c>
      <c r="U339" s="91">
        <f t="shared" si="168"/>
        <v>127242.13122205684</v>
      </c>
      <c r="V339" s="91">
        <f t="shared" si="162"/>
        <v>619.35750776537714</v>
      </c>
      <c r="W339" s="1">
        <f t="shared" ref="W339:AH348" si="169">IF($B339&lt;=W$78,1,0)</f>
        <v>0</v>
      </c>
      <c r="X339" s="1">
        <f t="shared" si="169"/>
        <v>0</v>
      </c>
      <c r="Y339" s="1">
        <f t="shared" si="169"/>
        <v>0</v>
      </c>
      <c r="Z339" s="1">
        <f t="shared" si="169"/>
        <v>0</v>
      </c>
      <c r="AA339" s="1">
        <f t="shared" si="169"/>
        <v>0</v>
      </c>
      <c r="AB339" s="1">
        <f t="shared" si="169"/>
        <v>0</v>
      </c>
      <c r="AC339" s="1">
        <f t="shared" si="169"/>
        <v>0</v>
      </c>
      <c r="AD339" s="1">
        <f t="shared" si="169"/>
        <v>0</v>
      </c>
      <c r="AE339" s="1">
        <f t="shared" si="169"/>
        <v>1</v>
      </c>
      <c r="AF339" s="1">
        <f t="shared" si="169"/>
        <v>1</v>
      </c>
      <c r="AG339" s="1">
        <f t="shared" si="169"/>
        <v>1</v>
      </c>
      <c r="AH339" s="1">
        <f t="shared" si="169"/>
        <v>1</v>
      </c>
      <c r="AI339" s="44">
        <f t="shared" si="163"/>
        <v>70338.885469485278</v>
      </c>
      <c r="AJ339" s="44">
        <f t="shared" si="153"/>
        <v>70921.573626944781</v>
      </c>
      <c r="AK339" s="44" t="str">
        <f t="shared" si="139"/>
        <v>N</v>
      </c>
      <c r="AL339" s="4">
        <f t="shared" si="154"/>
        <v>261</v>
      </c>
      <c r="AM339" s="82">
        <f t="shared" si="164"/>
        <v>0</v>
      </c>
      <c r="AN339" s="82">
        <f t="shared" si="155"/>
        <v>0</v>
      </c>
      <c r="AO339" s="48">
        <f>0</f>
        <v>0</v>
      </c>
      <c r="AP339" s="91">
        <f t="shared" si="165"/>
        <v>-582.6881574594961</v>
      </c>
      <c r="AQ339" s="91">
        <f t="shared" si="166"/>
        <v>-582.6881574594961</v>
      </c>
      <c r="AV339" s="84"/>
    </row>
    <row r="340" spans="1:48">
      <c r="A340" s="190">
        <f t="shared" si="156"/>
        <v>87.554243668720048</v>
      </c>
      <c r="B340" s="82">
        <f t="shared" si="157"/>
        <v>22</v>
      </c>
      <c r="C340" s="83">
        <f t="shared" si="158"/>
        <v>262</v>
      </c>
      <c r="D340" s="14">
        <f t="shared" si="145"/>
        <v>4.8675505653430484E-3</v>
      </c>
      <c r="E340" s="16">
        <f t="shared" si="146"/>
        <v>0</v>
      </c>
      <c r="F340" s="127"/>
      <c r="G340" s="88">
        <f t="shared" si="147"/>
        <v>0</v>
      </c>
      <c r="H340" s="89">
        <f t="shared" si="159"/>
        <v>4.1666666666666666E-3</v>
      </c>
      <c r="I340" s="219"/>
      <c r="J340" s="219"/>
      <c r="K340" s="6">
        <f t="shared" si="167"/>
        <v>70338.885469485278</v>
      </c>
      <c r="M340" s="6">
        <f t="shared" si="148"/>
        <v>342.37808173259299</v>
      </c>
      <c r="N340" s="6">
        <f t="shared" si="160"/>
        <v>-79.668865487317348</v>
      </c>
      <c r="O340" s="90">
        <f t="shared" si="149"/>
        <v>505.2221146326404</v>
      </c>
      <c r="P340" s="91">
        <f t="shared" si="150"/>
        <v>0</v>
      </c>
      <c r="Q340" s="6">
        <f t="shared" si="151"/>
        <v>294.17331119054398</v>
      </c>
      <c r="R340" s="87">
        <f t="shared" si="138"/>
        <v>-582.42750852558959</v>
      </c>
      <c r="S340" s="6">
        <f t="shared" si="152"/>
        <v>-14.637410096623599</v>
      </c>
      <c r="T340" s="83">
        <f t="shared" si="161"/>
        <v>0</v>
      </c>
      <c r="U340" s="91">
        <f t="shared" si="168"/>
        <v>127278.80057236271</v>
      </c>
      <c r="V340" s="91">
        <f t="shared" si="162"/>
        <v>619.53599768218919</v>
      </c>
      <c r="W340" s="1">
        <f t="shared" si="169"/>
        <v>0</v>
      </c>
      <c r="X340" s="1">
        <f t="shared" si="169"/>
        <v>0</v>
      </c>
      <c r="Y340" s="1">
        <f t="shared" si="169"/>
        <v>0</v>
      </c>
      <c r="Z340" s="1">
        <f t="shared" si="169"/>
        <v>0</v>
      </c>
      <c r="AA340" s="1">
        <f t="shared" si="169"/>
        <v>0</v>
      </c>
      <c r="AB340" s="1">
        <f t="shared" si="169"/>
        <v>0</v>
      </c>
      <c r="AC340" s="1">
        <f t="shared" si="169"/>
        <v>0</v>
      </c>
      <c r="AD340" s="1">
        <f t="shared" si="169"/>
        <v>0</v>
      </c>
      <c r="AE340" s="1">
        <f t="shared" si="169"/>
        <v>1</v>
      </c>
      <c r="AF340" s="1">
        <f t="shared" si="169"/>
        <v>1</v>
      </c>
      <c r="AG340" s="1">
        <f t="shared" si="169"/>
        <v>1</v>
      </c>
      <c r="AH340" s="1">
        <f t="shared" si="169"/>
        <v>1</v>
      </c>
      <c r="AI340" s="44">
        <f t="shared" si="163"/>
        <v>70019.167177204959</v>
      </c>
      <c r="AJ340" s="44">
        <f t="shared" si="153"/>
        <v>70601.594685730553</v>
      </c>
      <c r="AK340" s="44" t="str">
        <f t="shared" si="139"/>
        <v>N</v>
      </c>
      <c r="AL340" s="4">
        <f t="shared" si="154"/>
        <v>262</v>
      </c>
      <c r="AM340" s="82">
        <f t="shared" si="164"/>
        <v>0</v>
      </c>
      <c r="AN340" s="82">
        <f t="shared" si="155"/>
        <v>0</v>
      </c>
      <c r="AO340" s="48">
        <f>0</f>
        <v>0</v>
      </c>
      <c r="AP340" s="91">
        <f t="shared" si="165"/>
        <v>-582.42750852558959</v>
      </c>
      <c r="AQ340" s="91">
        <f t="shared" si="166"/>
        <v>-582.42750852558959</v>
      </c>
      <c r="AV340" s="84"/>
    </row>
    <row r="341" spans="1:48">
      <c r="A341" s="190">
        <f t="shared" si="156"/>
        <v>87.637577002053376</v>
      </c>
      <c r="B341" s="82">
        <f t="shared" si="157"/>
        <v>22</v>
      </c>
      <c r="C341" s="83">
        <f t="shared" si="158"/>
        <v>263</v>
      </c>
      <c r="D341" s="14">
        <f t="shared" si="145"/>
        <v>4.8675505653430484E-3</v>
      </c>
      <c r="E341" s="16">
        <f t="shared" si="146"/>
        <v>0</v>
      </c>
      <c r="F341" s="127"/>
      <c r="G341" s="88">
        <f t="shared" si="147"/>
        <v>0</v>
      </c>
      <c r="H341" s="89">
        <f t="shared" si="159"/>
        <v>4.1666666666666666E-3</v>
      </c>
      <c r="I341" s="219"/>
      <c r="J341" s="219"/>
      <c r="K341" s="6">
        <f t="shared" si="167"/>
        <v>70019.167177204959</v>
      </c>
      <c r="M341" s="6">
        <f t="shared" si="148"/>
        <v>340.82183677825344</v>
      </c>
      <c r="N341" s="6">
        <f t="shared" si="160"/>
        <v>-79.306738714174685</v>
      </c>
      <c r="O341" s="90">
        <f t="shared" si="149"/>
        <v>505.2221146326404</v>
      </c>
      <c r="P341" s="91">
        <f t="shared" si="150"/>
        <v>0</v>
      </c>
      <c r="Q341" s="6">
        <f t="shared" si="151"/>
        <v>292.8361761469543</v>
      </c>
      <c r="R341" s="87">
        <f t="shared" si="138"/>
        <v>-582.16697618555224</v>
      </c>
      <c r="S341" s="6">
        <f t="shared" si="152"/>
        <v>-14.57062831516493</v>
      </c>
      <c r="T341" s="83">
        <f t="shared" si="161"/>
        <v>0</v>
      </c>
      <c r="U341" s="91">
        <f t="shared" si="168"/>
        <v>127315.90906151931</v>
      </c>
      <c r="V341" s="91">
        <f t="shared" si="162"/>
        <v>619.71662512956243</v>
      </c>
      <c r="W341" s="1">
        <f t="shared" si="169"/>
        <v>0</v>
      </c>
      <c r="X341" s="1">
        <f t="shared" si="169"/>
        <v>0</v>
      </c>
      <c r="Y341" s="1">
        <f t="shared" si="169"/>
        <v>0</v>
      </c>
      <c r="Z341" s="1">
        <f t="shared" si="169"/>
        <v>0</v>
      </c>
      <c r="AA341" s="1">
        <f t="shared" si="169"/>
        <v>0</v>
      </c>
      <c r="AB341" s="1">
        <f t="shared" si="169"/>
        <v>0</v>
      </c>
      <c r="AC341" s="1">
        <f t="shared" si="169"/>
        <v>0</v>
      </c>
      <c r="AD341" s="1">
        <f t="shared" si="169"/>
        <v>0</v>
      </c>
      <c r="AE341" s="1">
        <f t="shared" si="169"/>
        <v>1</v>
      </c>
      <c r="AF341" s="1">
        <f t="shared" si="169"/>
        <v>1</v>
      </c>
      <c r="AG341" s="1">
        <f t="shared" si="169"/>
        <v>1</v>
      </c>
      <c r="AH341" s="1">
        <f t="shared" si="169"/>
        <v>1</v>
      </c>
      <c r="AI341" s="44">
        <f t="shared" si="163"/>
        <v>69698.515299083476</v>
      </c>
      <c r="AJ341" s="44">
        <f t="shared" si="153"/>
        <v>70280.682275269035</v>
      </c>
      <c r="AK341" s="44" t="str">
        <f t="shared" si="139"/>
        <v>N</v>
      </c>
      <c r="AL341" s="4">
        <f t="shared" si="154"/>
        <v>263</v>
      </c>
      <c r="AM341" s="82">
        <f t="shared" si="164"/>
        <v>0</v>
      </c>
      <c r="AN341" s="82">
        <f t="shared" si="155"/>
        <v>0</v>
      </c>
      <c r="AO341" s="48">
        <f>0</f>
        <v>0</v>
      </c>
      <c r="AP341" s="91">
        <f t="shared" si="165"/>
        <v>-582.16697618555224</v>
      </c>
      <c r="AQ341" s="91">
        <f t="shared" si="166"/>
        <v>-582.16697618555224</v>
      </c>
      <c r="AV341" s="84"/>
    </row>
    <row r="342" spans="1:48">
      <c r="A342" s="190">
        <f t="shared" si="156"/>
        <v>87.720910335386719</v>
      </c>
      <c r="B342" s="82">
        <f t="shared" si="157"/>
        <v>22</v>
      </c>
      <c r="C342" s="83">
        <f t="shared" si="158"/>
        <v>264</v>
      </c>
      <c r="D342" s="14">
        <f t="shared" si="145"/>
        <v>4.8675505653430484E-3</v>
      </c>
      <c r="E342" s="16">
        <f t="shared" si="146"/>
        <v>0</v>
      </c>
      <c r="F342" s="127"/>
      <c r="G342" s="88">
        <f t="shared" si="147"/>
        <v>0</v>
      </c>
      <c r="H342" s="89">
        <f t="shared" si="159"/>
        <v>4.1666666666666666E-3</v>
      </c>
      <c r="I342" s="219"/>
      <c r="J342" s="219"/>
      <c r="K342" s="6">
        <f t="shared" si="167"/>
        <v>69698.515299083476</v>
      </c>
      <c r="M342" s="6">
        <f t="shared" si="148"/>
        <v>339.26104754762486</v>
      </c>
      <c r="N342" s="6">
        <f t="shared" si="160"/>
        <v>-78.943554521308869</v>
      </c>
      <c r="O342" s="90">
        <f t="shared" si="149"/>
        <v>505.2221146326404</v>
      </c>
      <c r="P342" s="91">
        <f t="shared" si="150"/>
        <v>0</v>
      </c>
      <c r="Q342" s="6">
        <f t="shared" si="151"/>
        <v>291.49513663379082</v>
      </c>
      <c r="R342" s="87">
        <f t="shared" si="138"/>
        <v>-581.90656038722898</v>
      </c>
      <c r="S342" s="6">
        <f t="shared" si="152"/>
        <v>-14.503651437653433</v>
      </c>
      <c r="T342" s="83">
        <f t="shared" si="161"/>
        <v>0</v>
      </c>
      <c r="U342" s="91">
        <f t="shared" si="168"/>
        <v>127353.45871046331</v>
      </c>
      <c r="V342" s="91">
        <f t="shared" si="162"/>
        <v>619.89939994450822</v>
      </c>
      <c r="W342" s="1">
        <f t="shared" si="169"/>
        <v>0</v>
      </c>
      <c r="X342" s="1">
        <f t="shared" si="169"/>
        <v>0</v>
      </c>
      <c r="Y342" s="1">
        <f t="shared" si="169"/>
        <v>0</v>
      </c>
      <c r="Z342" s="1">
        <f t="shared" si="169"/>
        <v>0</v>
      </c>
      <c r="AA342" s="1">
        <f t="shared" si="169"/>
        <v>0</v>
      </c>
      <c r="AB342" s="1">
        <f t="shared" si="169"/>
        <v>0</v>
      </c>
      <c r="AC342" s="1">
        <f t="shared" si="169"/>
        <v>0</v>
      </c>
      <c r="AD342" s="1">
        <f t="shared" si="169"/>
        <v>0</v>
      </c>
      <c r="AE342" s="1">
        <f t="shared" si="169"/>
        <v>1</v>
      </c>
      <c r="AF342" s="1">
        <f t="shared" si="169"/>
        <v>1</v>
      </c>
      <c r="AG342" s="1">
        <f t="shared" si="169"/>
        <v>1</v>
      </c>
      <c r="AH342" s="1">
        <f t="shared" si="169"/>
        <v>1</v>
      </c>
      <c r="AI342" s="44">
        <f t="shared" si="163"/>
        <v>69376.926231722566</v>
      </c>
      <c r="AJ342" s="44">
        <f t="shared" si="153"/>
        <v>69958.832792109795</v>
      </c>
      <c r="AK342" s="44" t="str">
        <f t="shared" si="139"/>
        <v>N</v>
      </c>
      <c r="AL342" s="4">
        <f t="shared" si="154"/>
        <v>264</v>
      </c>
      <c r="AM342" s="82">
        <f t="shared" si="164"/>
        <v>0</v>
      </c>
      <c r="AN342" s="82">
        <f t="shared" si="155"/>
        <v>0</v>
      </c>
      <c r="AO342" s="48">
        <f>0</f>
        <v>0</v>
      </c>
      <c r="AP342" s="91">
        <f t="shared" si="165"/>
        <v>-581.90656038722898</v>
      </c>
      <c r="AQ342" s="91">
        <f t="shared" si="166"/>
        <v>-581.90656038722898</v>
      </c>
      <c r="AV342" s="84"/>
    </row>
    <row r="343" spans="1:48">
      <c r="A343" s="190">
        <f t="shared" si="156"/>
        <v>87.804243668720048</v>
      </c>
      <c r="B343" s="82">
        <f t="shared" si="157"/>
        <v>23</v>
      </c>
      <c r="C343" s="83">
        <f t="shared" si="158"/>
        <v>265</v>
      </c>
      <c r="D343" s="14">
        <f t="shared" si="145"/>
        <v>4.8675505653430484E-3</v>
      </c>
      <c r="E343" s="16">
        <f t="shared" si="146"/>
        <v>0</v>
      </c>
      <c r="F343" s="127"/>
      <c r="G343" s="88">
        <f t="shared" si="147"/>
        <v>0</v>
      </c>
      <c r="H343" s="89">
        <f t="shared" si="159"/>
        <v>4.1666666666666666E-3</v>
      </c>
      <c r="I343" s="219"/>
      <c r="J343" s="219"/>
      <c r="K343" s="6">
        <f t="shared" si="167"/>
        <v>69376.926231722566</v>
      </c>
      <c r="M343" s="6">
        <f t="shared" si="148"/>
        <v>337.69569650098413</v>
      </c>
      <c r="N343" s="6">
        <f t="shared" si="160"/>
        <v>-78.579308827355092</v>
      </c>
      <c r="O343" s="90">
        <f t="shared" si="149"/>
        <v>515.32655692529318</v>
      </c>
      <c r="P343" s="91">
        <f t="shared" si="150"/>
        <v>0</v>
      </c>
      <c r="Q343" s="6">
        <f t="shared" si="151"/>
        <v>290.15017758081751</v>
      </c>
      <c r="R343" s="87">
        <f t="shared" si="138"/>
        <v>-581.64626107848824</v>
      </c>
      <c r="S343" s="6">
        <f t="shared" si="152"/>
        <v>-14.436478711121497</v>
      </c>
      <c r="T343" s="83">
        <f t="shared" si="161"/>
        <v>0</v>
      </c>
      <c r="U343" s="91">
        <f t="shared" si="168"/>
        <v>127391.45155002059</v>
      </c>
      <c r="V343" s="91">
        <f t="shared" si="162"/>
        <v>620.08433201217429</v>
      </c>
      <c r="W343" s="1">
        <f t="shared" si="169"/>
        <v>0</v>
      </c>
      <c r="X343" s="1">
        <f t="shared" si="169"/>
        <v>0</v>
      </c>
      <c r="Y343" s="1">
        <f t="shared" si="169"/>
        <v>0</v>
      </c>
      <c r="Z343" s="1">
        <f t="shared" si="169"/>
        <v>0</v>
      </c>
      <c r="AA343" s="1">
        <f t="shared" si="169"/>
        <v>0</v>
      </c>
      <c r="AB343" s="1">
        <f t="shared" si="169"/>
        <v>0</v>
      </c>
      <c r="AC343" s="1">
        <f t="shared" si="169"/>
        <v>0</v>
      </c>
      <c r="AD343" s="1">
        <f t="shared" si="169"/>
        <v>0</v>
      </c>
      <c r="AE343" s="1">
        <f t="shared" si="169"/>
        <v>1</v>
      </c>
      <c r="AF343" s="1">
        <f t="shared" si="169"/>
        <v>1</v>
      </c>
      <c r="AG343" s="1">
        <f t="shared" si="169"/>
        <v>1</v>
      </c>
      <c r="AH343" s="1">
        <f t="shared" si="169"/>
        <v>1</v>
      </c>
      <c r="AI343" s="44">
        <f t="shared" si="163"/>
        <v>69054.39635831771</v>
      </c>
      <c r="AJ343" s="44">
        <f t="shared" si="153"/>
        <v>69636.042619396205</v>
      </c>
      <c r="AK343" s="44" t="str">
        <f t="shared" si="139"/>
        <v>N</v>
      </c>
      <c r="AL343" s="4">
        <f t="shared" si="154"/>
        <v>265</v>
      </c>
      <c r="AM343" s="82">
        <f t="shared" si="164"/>
        <v>0</v>
      </c>
      <c r="AN343" s="82">
        <f t="shared" si="155"/>
        <v>0</v>
      </c>
      <c r="AO343" s="48">
        <f>0</f>
        <v>0</v>
      </c>
      <c r="AP343" s="91">
        <f t="shared" si="165"/>
        <v>-581.64626107848824</v>
      </c>
      <c r="AQ343" s="91">
        <f t="shared" si="166"/>
        <v>-581.64626107848824</v>
      </c>
      <c r="AV343" s="84"/>
    </row>
    <row r="344" spans="1:48">
      <c r="A344" s="190">
        <f t="shared" si="156"/>
        <v>87.887577002053376</v>
      </c>
      <c r="B344" s="82">
        <f t="shared" si="157"/>
        <v>23</v>
      </c>
      <c r="C344" s="83">
        <f t="shared" si="158"/>
        <v>266</v>
      </c>
      <c r="D344" s="14">
        <f t="shared" si="145"/>
        <v>4.8675505653430484E-3</v>
      </c>
      <c r="E344" s="16">
        <f t="shared" si="146"/>
        <v>0</v>
      </c>
      <c r="F344" s="127"/>
      <c r="G344" s="88">
        <f t="shared" si="147"/>
        <v>0</v>
      </c>
      <c r="H344" s="89">
        <f t="shared" si="159"/>
        <v>4.1666666666666666E-3</v>
      </c>
      <c r="I344" s="219"/>
      <c r="J344" s="219"/>
      <c r="K344" s="6">
        <f t="shared" si="167"/>
        <v>69054.39635831771</v>
      </c>
      <c r="M344" s="6">
        <f t="shared" si="148"/>
        <v>336.12576603335231</v>
      </c>
      <c r="N344" s="6">
        <f t="shared" si="160"/>
        <v>-78.213997535764051</v>
      </c>
      <c r="O344" s="90">
        <f t="shared" si="149"/>
        <v>515.32655692529318</v>
      </c>
      <c r="P344" s="91">
        <f t="shared" si="150"/>
        <v>0</v>
      </c>
      <c r="Q344" s="6">
        <f t="shared" si="151"/>
        <v>288.80128386173044</v>
      </c>
      <c r="R344" s="87">
        <f t="shared" si="138"/>
        <v>-581.386078207222</v>
      </c>
      <c r="S344" s="6">
        <f t="shared" si="152"/>
        <v>-14.369109379800099</v>
      </c>
      <c r="T344" s="83">
        <f t="shared" si="161"/>
        <v>0</v>
      </c>
      <c r="U344" s="91">
        <f t="shared" si="168"/>
        <v>127429.88962095427</v>
      </c>
      <c r="V344" s="91">
        <f t="shared" si="162"/>
        <v>620.27143126607825</v>
      </c>
      <c r="W344" s="1">
        <f t="shared" si="169"/>
        <v>0</v>
      </c>
      <c r="X344" s="1">
        <f t="shared" si="169"/>
        <v>0</v>
      </c>
      <c r="Y344" s="1">
        <f t="shared" si="169"/>
        <v>0</v>
      </c>
      <c r="Z344" s="1">
        <f t="shared" si="169"/>
        <v>0</v>
      </c>
      <c r="AA344" s="1">
        <f t="shared" si="169"/>
        <v>0</v>
      </c>
      <c r="AB344" s="1">
        <f t="shared" si="169"/>
        <v>0</v>
      </c>
      <c r="AC344" s="1">
        <f t="shared" si="169"/>
        <v>0</v>
      </c>
      <c r="AD344" s="1">
        <f t="shared" si="169"/>
        <v>0</v>
      </c>
      <c r="AE344" s="1">
        <f t="shared" si="169"/>
        <v>1</v>
      </c>
      <c r="AF344" s="1">
        <f t="shared" si="169"/>
        <v>1</v>
      </c>
      <c r="AG344" s="1">
        <f t="shared" si="169"/>
        <v>1</v>
      </c>
      <c r="AH344" s="1">
        <f t="shared" si="169"/>
        <v>1</v>
      </c>
      <c r="AI344" s="44">
        <f t="shared" si="163"/>
        <v>68730.922048608089</v>
      </c>
      <c r="AJ344" s="44">
        <f t="shared" si="153"/>
        <v>69312.308126815304</v>
      </c>
      <c r="AK344" s="44" t="str">
        <f t="shared" si="139"/>
        <v>N</v>
      </c>
      <c r="AL344" s="4">
        <f t="shared" si="154"/>
        <v>266</v>
      </c>
      <c r="AM344" s="82">
        <f t="shared" si="164"/>
        <v>0</v>
      </c>
      <c r="AN344" s="82">
        <f t="shared" si="155"/>
        <v>0</v>
      </c>
      <c r="AO344" s="48">
        <f>0</f>
        <v>0</v>
      </c>
      <c r="AP344" s="91">
        <f t="shared" si="165"/>
        <v>-581.386078207222</v>
      </c>
      <c r="AQ344" s="91">
        <f t="shared" si="166"/>
        <v>-581.386078207222</v>
      </c>
      <c r="AV344" s="84"/>
    </row>
    <row r="345" spans="1:48">
      <c r="A345" s="190">
        <f t="shared" si="156"/>
        <v>87.970910335386719</v>
      </c>
      <c r="B345" s="82">
        <f t="shared" si="157"/>
        <v>23</v>
      </c>
      <c r="C345" s="83">
        <f t="shared" si="158"/>
        <v>267</v>
      </c>
      <c r="D345" s="14">
        <f t="shared" si="145"/>
        <v>4.8675505653430484E-3</v>
      </c>
      <c r="E345" s="16">
        <f t="shared" si="146"/>
        <v>0</v>
      </c>
      <c r="F345" s="127"/>
      <c r="G345" s="88">
        <f t="shared" si="147"/>
        <v>0</v>
      </c>
      <c r="H345" s="89">
        <f t="shared" si="159"/>
        <v>4.1666666666666666E-3</v>
      </c>
      <c r="I345" s="219"/>
      <c r="J345" s="219"/>
      <c r="K345" s="6">
        <f t="shared" si="167"/>
        <v>68730.922048608089</v>
      </c>
      <c r="M345" s="6">
        <f t="shared" si="148"/>
        <v>334.55123847425131</v>
      </c>
      <c r="N345" s="6">
        <f t="shared" si="160"/>
        <v>-77.847616534745214</v>
      </c>
      <c r="O345" s="90">
        <f t="shared" si="149"/>
        <v>515.32655692529318</v>
      </c>
      <c r="P345" s="91">
        <f t="shared" si="150"/>
        <v>0</v>
      </c>
      <c r="Q345" s="6">
        <f t="shared" si="151"/>
        <v>287.44844029394829</v>
      </c>
      <c r="R345" s="87">
        <f t="shared" si="138"/>
        <v>-581.12601172134464</v>
      </c>
      <c r="S345" s="6">
        <f t="shared" si="152"/>
        <v>-14.301542685108364</v>
      </c>
      <c r="T345" s="83">
        <f t="shared" si="161"/>
        <v>0</v>
      </c>
      <c r="U345" s="91">
        <f t="shared" si="168"/>
        <v>127468.77497401314</v>
      </c>
      <c r="V345" s="91">
        <f t="shared" si="162"/>
        <v>620.46070768834352</v>
      </c>
      <c r="W345" s="1">
        <f t="shared" si="169"/>
        <v>0</v>
      </c>
      <c r="X345" s="1">
        <f t="shared" si="169"/>
        <v>0</v>
      </c>
      <c r="Y345" s="1">
        <f t="shared" si="169"/>
        <v>0</v>
      </c>
      <c r="Z345" s="1">
        <f t="shared" si="169"/>
        <v>0</v>
      </c>
      <c r="AA345" s="1">
        <f t="shared" si="169"/>
        <v>0</v>
      </c>
      <c r="AB345" s="1">
        <f t="shared" si="169"/>
        <v>0</v>
      </c>
      <c r="AC345" s="1">
        <f t="shared" si="169"/>
        <v>0</v>
      </c>
      <c r="AD345" s="1">
        <f t="shared" si="169"/>
        <v>0</v>
      </c>
      <c r="AE345" s="1">
        <f t="shared" si="169"/>
        <v>1</v>
      </c>
      <c r="AF345" s="1">
        <f t="shared" si="169"/>
        <v>1</v>
      </c>
      <c r="AG345" s="1">
        <f t="shared" si="169"/>
        <v>1</v>
      </c>
      <c r="AH345" s="1">
        <f t="shared" si="169"/>
        <v>1</v>
      </c>
      <c r="AI345" s="44">
        <f t="shared" si="163"/>
        <v>68406.499658826258</v>
      </c>
      <c r="AJ345" s="44">
        <f t="shared" si="153"/>
        <v>68987.625670547597</v>
      </c>
      <c r="AK345" s="44" t="str">
        <f t="shared" si="139"/>
        <v>N</v>
      </c>
      <c r="AL345" s="4">
        <f t="shared" si="154"/>
        <v>267</v>
      </c>
      <c r="AM345" s="82">
        <f t="shared" si="164"/>
        <v>0</v>
      </c>
      <c r="AN345" s="82">
        <f t="shared" si="155"/>
        <v>0</v>
      </c>
      <c r="AO345" s="48">
        <f>0</f>
        <v>0</v>
      </c>
      <c r="AP345" s="91">
        <f t="shared" si="165"/>
        <v>-581.12601172134464</v>
      </c>
      <c r="AQ345" s="91">
        <f t="shared" si="166"/>
        <v>-581.12601172134464</v>
      </c>
      <c r="AV345" s="84"/>
    </row>
    <row r="346" spans="1:48">
      <c r="A346" s="190">
        <f t="shared" si="156"/>
        <v>88.054243668720048</v>
      </c>
      <c r="B346" s="82">
        <f t="shared" si="157"/>
        <v>23</v>
      </c>
      <c r="C346" s="83">
        <f t="shared" si="158"/>
        <v>268</v>
      </c>
      <c r="D346" s="14">
        <f t="shared" si="145"/>
        <v>4.8675505653430484E-3</v>
      </c>
      <c r="E346" s="16">
        <f t="shared" si="146"/>
        <v>0</v>
      </c>
      <c r="F346" s="127"/>
      <c r="G346" s="88">
        <f t="shared" si="147"/>
        <v>0</v>
      </c>
      <c r="H346" s="89">
        <f t="shared" si="159"/>
        <v>4.1666666666666666E-3</v>
      </c>
      <c r="I346" s="219"/>
      <c r="J346" s="219"/>
      <c r="K346" s="6">
        <f t="shared" si="167"/>
        <v>68406.499658826258</v>
      </c>
      <c r="M346" s="6">
        <f t="shared" si="148"/>
        <v>332.97209608745879</v>
      </c>
      <c r="N346" s="6">
        <f t="shared" si="160"/>
        <v>-77.480161697209937</v>
      </c>
      <c r="O346" s="90">
        <f t="shared" si="149"/>
        <v>515.32655692529318</v>
      </c>
      <c r="P346" s="91">
        <f t="shared" si="150"/>
        <v>0</v>
      </c>
      <c r="Q346" s="6">
        <f t="shared" si="151"/>
        <v>286.09163163840208</v>
      </c>
      <c r="R346" s="87">
        <f t="shared" si="138"/>
        <v>-595.67301592140427</v>
      </c>
      <c r="S346" s="6">
        <f t="shared" si="152"/>
        <v>-14.232233704413577</v>
      </c>
      <c r="T346" s="83">
        <f t="shared" si="161"/>
        <v>0</v>
      </c>
      <c r="U346" s="91">
        <f t="shared" si="168"/>
        <v>127508.10966998014</v>
      </c>
      <c r="V346" s="91">
        <f t="shared" si="162"/>
        <v>620.65217130993528</v>
      </c>
      <c r="W346" s="1">
        <f t="shared" si="169"/>
        <v>0</v>
      </c>
      <c r="X346" s="1">
        <f t="shared" si="169"/>
        <v>0</v>
      </c>
      <c r="Y346" s="1">
        <f t="shared" si="169"/>
        <v>0</v>
      </c>
      <c r="Z346" s="1">
        <f t="shared" si="169"/>
        <v>0</v>
      </c>
      <c r="AA346" s="1">
        <f t="shared" si="169"/>
        <v>0</v>
      </c>
      <c r="AB346" s="1">
        <f t="shared" si="169"/>
        <v>0</v>
      </c>
      <c r="AC346" s="1">
        <f t="shared" si="169"/>
        <v>0</v>
      </c>
      <c r="AD346" s="1">
        <f t="shared" si="169"/>
        <v>0</v>
      </c>
      <c r="AE346" s="1">
        <f t="shared" si="169"/>
        <v>1</v>
      </c>
      <c r="AF346" s="1">
        <f t="shared" si="169"/>
        <v>1</v>
      </c>
      <c r="AG346" s="1">
        <f t="shared" si="169"/>
        <v>1</v>
      </c>
      <c r="AH346" s="1">
        <f t="shared" si="169"/>
        <v>1</v>
      </c>
      <c r="AI346" s="44">
        <f t="shared" si="163"/>
        <v>68066.318577295096</v>
      </c>
      <c r="AJ346" s="44">
        <f t="shared" si="153"/>
        <v>68661.991593216502</v>
      </c>
      <c r="AK346" s="44" t="str">
        <f t="shared" si="139"/>
        <v>N</v>
      </c>
      <c r="AL346" s="4">
        <f t="shared" si="154"/>
        <v>268</v>
      </c>
      <c r="AM346" s="82">
        <f t="shared" si="164"/>
        <v>0</v>
      </c>
      <c r="AN346" s="82">
        <f t="shared" si="155"/>
        <v>0</v>
      </c>
      <c r="AO346" s="48">
        <f>0</f>
        <v>0</v>
      </c>
      <c r="AP346" s="91">
        <f t="shared" si="165"/>
        <v>-595.67301592140427</v>
      </c>
      <c r="AQ346" s="91">
        <f t="shared" si="166"/>
        <v>-595.67301592140427</v>
      </c>
      <c r="AV346" s="84"/>
    </row>
    <row r="347" spans="1:48">
      <c r="A347" s="190">
        <f t="shared" si="156"/>
        <v>88.137577002053376</v>
      </c>
      <c r="B347" s="82">
        <f t="shared" si="157"/>
        <v>23</v>
      </c>
      <c r="C347" s="83">
        <f t="shared" si="158"/>
        <v>269</v>
      </c>
      <c r="D347" s="14">
        <f t="shared" si="145"/>
        <v>4.8675505653430484E-3</v>
      </c>
      <c r="E347" s="16">
        <f t="shared" si="146"/>
        <v>0</v>
      </c>
      <c r="F347" s="127"/>
      <c r="G347" s="88">
        <f t="shared" si="147"/>
        <v>0</v>
      </c>
      <c r="H347" s="89">
        <f t="shared" si="159"/>
        <v>4.1666666666666666E-3</v>
      </c>
      <c r="I347" s="219"/>
      <c r="J347" s="219"/>
      <c r="K347" s="6">
        <f t="shared" si="167"/>
        <v>68066.318577295096</v>
      </c>
      <c r="M347" s="6">
        <f t="shared" si="148"/>
        <v>331.31624747173277</v>
      </c>
      <c r="N347" s="6">
        <f t="shared" si="160"/>
        <v>-77.094857883466759</v>
      </c>
      <c r="O347" s="90">
        <f t="shared" si="149"/>
        <v>515.32655692529318</v>
      </c>
      <c r="P347" s="91">
        <f t="shared" si="150"/>
        <v>0</v>
      </c>
      <c r="Q347" s="6">
        <f t="shared" si="151"/>
        <v>284.66891652868071</v>
      </c>
      <c r="R347" s="87">
        <f t="shared" si="138"/>
        <v>-595.40655858128321</v>
      </c>
      <c r="S347" s="6">
        <f t="shared" si="152"/>
        <v>-14.161176596917032</v>
      </c>
      <c r="T347" s="83">
        <f t="shared" si="161"/>
        <v>0</v>
      </c>
      <c r="U347" s="91">
        <f t="shared" si="168"/>
        <v>127533.08882536867</v>
      </c>
      <c r="V347" s="91">
        <f t="shared" si="162"/>
        <v>620.77375861186852</v>
      </c>
      <c r="W347" s="1">
        <f t="shared" si="169"/>
        <v>0</v>
      </c>
      <c r="X347" s="1">
        <f t="shared" si="169"/>
        <v>0</v>
      </c>
      <c r="Y347" s="1">
        <f t="shared" si="169"/>
        <v>0</v>
      </c>
      <c r="Z347" s="1">
        <f t="shared" si="169"/>
        <v>0</v>
      </c>
      <c r="AA347" s="1">
        <f t="shared" si="169"/>
        <v>0</v>
      </c>
      <c r="AB347" s="1">
        <f t="shared" si="169"/>
        <v>0</v>
      </c>
      <c r="AC347" s="1">
        <f t="shared" si="169"/>
        <v>0</v>
      </c>
      <c r="AD347" s="1">
        <f t="shared" si="169"/>
        <v>0</v>
      </c>
      <c r="AE347" s="1">
        <f t="shared" si="169"/>
        <v>1</v>
      </c>
      <c r="AF347" s="1">
        <f t="shared" si="169"/>
        <v>1</v>
      </c>
      <c r="AG347" s="1">
        <f t="shared" si="169"/>
        <v>1</v>
      </c>
      <c r="AH347" s="1">
        <f t="shared" si="169"/>
        <v>1</v>
      </c>
      <c r="AI347" s="44">
        <f t="shared" si="163"/>
        <v>67725.133408302092</v>
      </c>
      <c r="AJ347" s="44">
        <f t="shared" si="153"/>
        <v>68320.539966883371</v>
      </c>
      <c r="AK347" s="44" t="str">
        <f t="shared" si="139"/>
        <v>N</v>
      </c>
      <c r="AL347" s="4">
        <f t="shared" si="154"/>
        <v>269</v>
      </c>
      <c r="AM347" s="82">
        <f t="shared" si="164"/>
        <v>0</v>
      </c>
      <c r="AN347" s="82">
        <f t="shared" si="155"/>
        <v>0</v>
      </c>
      <c r="AO347" s="48">
        <f>0</f>
        <v>0</v>
      </c>
      <c r="AP347" s="91">
        <f t="shared" si="165"/>
        <v>-595.40655858128321</v>
      </c>
      <c r="AQ347" s="91">
        <f t="shared" si="166"/>
        <v>-595.40655858128321</v>
      </c>
      <c r="AV347" s="84"/>
    </row>
    <row r="348" spans="1:48">
      <c r="A348" s="190">
        <f t="shared" si="156"/>
        <v>88.220910335386719</v>
      </c>
      <c r="B348" s="82">
        <f t="shared" si="157"/>
        <v>23</v>
      </c>
      <c r="C348" s="83">
        <f t="shared" si="158"/>
        <v>270</v>
      </c>
      <c r="D348" s="14">
        <f t="shared" si="145"/>
        <v>4.8675505653430484E-3</v>
      </c>
      <c r="E348" s="16">
        <f t="shared" si="146"/>
        <v>0</v>
      </c>
      <c r="F348" s="127"/>
      <c r="G348" s="88">
        <f t="shared" si="147"/>
        <v>0</v>
      </c>
      <c r="H348" s="89">
        <f t="shared" si="159"/>
        <v>4.1666666666666666E-3</v>
      </c>
      <c r="I348" s="219"/>
      <c r="J348" s="219"/>
      <c r="K348" s="6">
        <f t="shared" si="167"/>
        <v>67725.133408302092</v>
      </c>
      <c r="M348" s="6">
        <f t="shared" si="148"/>
        <v>329.65551140951425</v>
      </c>
      <c r="N348" s="6">
        <f t="shared" si="160"/>
        <v>-76.708416796814006</v>
      </c>
      <c r="O348" s="90">
        <f t="shared" si="149"/>
        <v>515.32655692529318</v>
      </c>
      <c r="P348" s="91">
        <f t="shared" si="150"/>
        <v>0</v>
      </c>
      <c r="Q348" s="6">
        <f t="shared" si="151"/>
        <v>283.24200209547826</v>
      </c>
      <c r="R348" s="87">
        <f t="shared" ref="R348:R411" si="170">-MIN(MAX(O348,P348,Q348,-R336*1.02),AJ348)</f>
        <v>-595.1402204332561</v>
      </c>
      <c r="S348" s="6">
        <f t="shared" si="152"/>
        <v>-14.089909660936545</v>
      </c>
      <c r="T348" s="83">
        <f t="shared" si="161"/>
        <v>0</v>
      </c>
      <c r="U348" s="91">
        <f t="shared" si="168"/>
        <v>127558.45602539927</v>
      </c>
      <c r="V348" s="91">
        <f t="shared" si="162"/>
        <v>620.89723474071855</v>
      </c>
      <c r="W348" s="1">
        <f t="shared" si="169"/>
        <v>0</v>
      </c>
      <c r="X348" s="1">
        <f t="shared" si="169"/>
        <v>0</v>
      </c>
      <c r="Y348" s="1">
        <f t="shared" si="169"/>
        <v>0</v>
      </c>
      <c r="Z348" s="1">
        <f t="shared" si="169"/>
        <v>0</v>
      </c>
      <c r="AA348" s="1">
        <f t="shared" si="169"/>
        <v>0</v>
      </c>
      <c r="AB348" s="1">
        <f t="shared" si="169"/>
        <v>0</v>
      </c>
      <c r="AC348" s="1">
        <f t="shared" si="169"/>
        <v>0</v>
      </c>
      <c r="AD348" s="1">
        <f t="shared" si="169"/>
        <v>0</v>
      </c>
      <c r="AE348" s="1">
        <f t="shared" si="169"/>
        <v>1</v>
      </c>
      <c r="AF348" s="1">
        <f t="shared" si="169"/>
        <v>1</v>
      </c>
      <c r="AG348" s="1">
        <f t="shared" si="169"/>
        <v>1</v>
      </c>
      <c r="AH348" s="1">
        <f t="shared" si="169"/>
        <v>1</v>
      </c>
      <c r="AI348" s="44">
        <f t="shared" si="163"/>
        <v>67382.940282481533</v>
      </c>
      <c r="AJ348" s="44">
        <f t="shared" si="153"/>
        <v>67978.080502914789</v>
      </c>
      <c r="AK348" s="44" t="str">
        <f t="shared" ref="AK348:AK411" si="171">IF(R348=0,0,IF(R348&gt;R336,"Y","N"))</f>
        <v>N</v>
      </c>
      <c r="AL348" s="4">
        <f t="shared" si="154"/>
        <v>270</v>
      </c>
      <c r="AM348" s="82">
        <f t="shared" si="164"/>
        <v>0</v>
      </c>
      <c r="AN348" s="82">
        <f t="shared" si="155"/>
        <v>0</v>
      </c>
      <c r="AO348" s="48">
        <f>0</f>
        <v>0</v>
      </c>
      <c r="AP348" s="91">
        <f t="shared" si="165"/>
        <v>-595.1402204332561</v>
      </c>
      <c r="AQ348" s="91">
        <f t="shared" si="166"/>
        <v>-595.1402204332561</v>
      </c>
      <c r="AV348" s="84"/>
    </row>
    <row r="349" spans="1:48">
      <c r="A349" s="190">
        <f t="shared" si="156"/>
        <v>88.304243668720048</v>
      </c>
      <c r="B349" s="82">
        <f t="shared" si="157"/>
        <v>23</v>
      </c>
      <c r="C349" s="83">
        <f t="shared" si="158"/>
        <v>271</v>
      </c>
      <c r="D349" s="14">
        <f t="shared" si="145"/>
        <v>4.8675505653430484E-3</v>
      </c>
      <c r="E349" s="16">
        <f t="shared" si="146"/>
        <v>0</v>
      </c>
      <c r="F349" s="127"/>
      <c r="G349" s="88">
        <f t="shared" si="147"/>
        <v>0</v>
      </c>
      <c r="H349" s="89">
        <f t="shared" si="159"/>
        <v>4.1666666666666666E-3</v>
      </c>
      <c r="I349" s="219"/>
      <c r="J349" s="219"/>
      <c r="K349" s="6">
        <f t="shared" si="167"/>
        <v>67382.940282481533</v>
      </c>
      <c r="M349" s="6">
        <f t="shared" si="148"/>
        <v>327.98986906646985</v>
      </c>
      <c r="N349" s="6">
        <f t="shared" si="160"/>
        <v>-76.320834054640613</v>
      </c>
      <c r="O349" s="90">
        <f t="shared" si="149"/>
        <v>515.32655692529318</v>
      </c>
      <c r="P349" s="91">
        <f t="shared" si="150"/>
        <v>0</v>
      </c>
      <c r="Q349" s="6">
        <f t="shared" si="151"/>
        <v>281.81087215622233</v>
      </c>
      <c r="R349" s="87">
        <f t="shared" si="170"/>
        <v>-594.87400142400554</v>
      </c>
      <c r="S349" s="6">
        <f t="shared" si="152"/>
        <v>-14.018432087927552</v>
      </c>
      <c r="T349" s="83">
        <f t="shared" si="161"/>
        <v>0</v>
      </c>
      <c r="U349" s="91">
        <f t="shared" si="168"/>
        <v>127584.21303970674</v>
      </c>
      <c r="V349" s="91">
        <f t="shared" si="162"/>
        <v>621.02260831027252</v>
      </c>
      <c r="W349" s="1">
        <f t="shared" ref="W349:AH358" si="172">IF($B349&lt;=W$78,1,0)</f>
        <v>0</v>
      </c>
      <c r="X349" s="1">
        <f t="shared" si="172"/>
        <v>0</v>
      </c>
      <c r="Y349" s="1">
        <f t="shared" si="172"/>
        <v>0</v>
      </c>
      <c r="Z349" s="1">
        <f t="shared" si="172"/>
        <v>0</v>
      </c>
      <c r="AA349" s="1">
        <f t="shared" si="172"/>
        <v>0</v>
      </c>
      <c r="AB349" s="1">
        <f t="shared" si="172"/>
        <v>0</v>
      </c>
      <c r="AC349" s="1">
        <f t="shared" si="172"/>
        <v>0</v>
      </c>
      <c r="AD349" s="1">
        <f t="shared" si="172"/>
        <v>0</v>
      </c>
      <c r="AE349" s="1">
        <f t="shared" si="172"/>
        <v>1</v>
      </c>
      <c r="AF349" s="1">
        <f t="shared" si="172"/>
        <v>1</v>
      </c>
      <c r="AG349" s="1">
        <f t="shared" si="172"/>
        <v>1</v>
      </c>
      <c r="AH349" s="1">
        <f t="shared" si="172"/>
        <v>1</v>
      </c>
      <c r="AI349" s="44">
        <f t="shared" si="163"/>
        <v>67039.73531606936</v>
      </c>
      <c r="AJ349" s="44">
        <f t="shared" si="153"/>
        <v>67634.609317493363</v>
      </c>
      <c r="AK349" s="44" t="str">
        <f t="shared" si="171"/>
        <v>N</v>
      </c>
      <c r="AL349" s="4">
        <f t="shared" si="154"/>
        <v>271</v>
      </c>
      <c r="AM349" s="82">
        <f t="shared" si="164"/>
        <v>0</v>
      </c>
      <c r="AN349" s="82">
        <f t="shared" si="155"/>
        <v>0</v>
      </c>
      <c r="AO349" s="48">
        <f>0</f>
        <v>0</v>
      </c>
      <c r="AP349" s="91">
        <f t="shared" si="165"/>
        <v>-594.87400142400554</v>
      </c>
      <c r="AQ349" s="91">
        <f t="shared" si="166"/>
        <v>-594.87400142400554</v>
      </c>
      <c r="AV349" s="84"/>
    </row>
    <row r="350" spans="1:48">
      <c r="A350" s="190">
        <f t="shared" si="156"/>
        <v>88.387577002053376</v>
      </c>
      <c r="B350" s="82">
        <f t="shared" si="157"/>
        <v>23</v>
      </c>
      <c r="C350" s="83">
        <f t="shared" si="158"/>
        <v>272</v>
      </c>
      <c r="D350" s="14">
        <f t="shared" si="145"/>
        <v>4.8675505653430484E-3</v>
      </c>
      <c r="E350" s="16">
        <f t="shared" si="146"/>
        <v>0</v>
      </c>
      <c r="F350" s="127"/>
      <c r="G350" s="88">
        <f t="shared" si="147"/>
        <v>0</v>
      </c>
      <c r="H350" s="89">
        <f t="shared" si="159"/>
        <v>4.1666666666666666E-3</v>
      </c>
      <c r="I350" s="219"/>
      <c r="J350" s="219"/>
      <c r="K350" s="6">
        <f t="shared" si="167"/>
        <v>67039.73531606936</v>
      </c>
      <c r="M350" s="6">
        <f t="shared" si="148"/>
        <v>326.31930153818172</v>
      </c>
      <c r="N350" s="6">
        <f t="shared" si="160"/>
        <v>-75.932105258027363</v>
      </c>
      <c r="O350" s="90">
        <f t="shared" si="149"/>
        <v>515.32655692529318</v>
      </c>
      <c r="P350" s="91">
        <f t="shared" si="150"/>
        <v>0</v>
      </c>
      <c r="Q350" s="6">
        <f t="shared" si="151"/>
        <v>280.37551046812297</v>
      </c>
      <c r="R350" s="87">
        <f t="shared" si="170"/>
        <v>-594.60790150023911</v>
      </c>
      <c r="S350" s="6">
        <f t="shared" si="152"/>
        <v>-13.946743066336772</v>
      </c>
      <c r="T350" s="83">
        <f t="shared" si="161"/>
        <v>0</v>
      </c>
      <c r="U350" s="91">
        <f t="shared" si="168"/>
        <v>127610.36164659301</v>
      </c>
      <c r="V350" s="91">
        <f t="shared" si="162"/>
        <v>621.14988797650471</v>
      </c>
      <c r="W350" s="1">
        <f t="shared" si="172"/>
        <v>0</v>
      </c>
      <c r="X350" s="1">
        <f t="shared" si="172"/>
        <v>0</v>
      </c>
      <c r="Y350" s="1">
        <f t="shared" si="172"/>
        <v>0</v>
      </c>
      <c r="Z350" s="1">
        <f t="shared" si="172"/>
        <v>0</v>
      </c>
      <c r="AA350" s="1">
        <f t="shared" si="172"/>
        <v>0</v>
      </c>
      <c r="AB350" s="1">
        <f t="shared" si="172"/>
        <v>0</v>
      </c>
      <c r="AC350" s="1">
        <f t="shared" si="172"/>
        <v>0</v>
      </c>
      <c r="AD350" s="1">
        <f t="shared" si="172"/>
        <v>0</v>
      </c>
      <c r="AE350" s="1">
        <f t="shared" si="172"/>
        <v>1</v>
      </c>
      <c r="AF350" s="1">
        <f t="shared" si="172"/>
        <v>1</v>
      </c>
      <c r="AG350" s="1">
        <f t="shared" si="172"/>
        <v>1</v>
      </c>
      <c r="AH350" s="1">
        <f t="shared" si="172"/>
        <v>1</v>
      </c>
      <c r="AI350" s="44">
        <f t="shared" si="163"/>
        <v>66695.514610849277</v>
      </c>
      <c r="AJ350" s="44">
        <f t="shared" si="153"/>
        <v>67290.12251234951</v>
      </c>
      <c r="AK350" s="44" t="str">
        <f t="shared" si="171"/>
        <v>N</v>
      </c>
      <c r="AL350" s="4">
        <f t="shared" si="154"/>
        <v>272</v>
      </c>
      <c r="AM350" s="82">
        <f t="shared" si="164"/>
        <v>0</v>
      </c>
      <c r="AN350" s="82">
        <f t="shared" si="155"/>
        <v>0</v>
      </c>
      <c r="AO350" s="48">
        <f>0</f>
        <v>0</v>
      </c>
      <c r="AP350" s="91">
        <f t="shared" si="165"/>
        <v>-594.60790150023911</v>
      </c>
      <c r="AQ350" s="91">
        <f t="shared" si="166"/>
        <v>-594.60790150023911</v>
      </c>
      <c r="AV350" s="84"/>
    </row>
    <row r="351" spans="1:48">
      <c r="A351" s="190">
        <f t="shared" si="156"/>
        <v>88.470910335386719</v>
      </c>
      <c r="B351" s="82">
        <f t="shared" si="157"/>
        <v>23</v>
      </c>
      <c r="C351" s="83">
        <f t="shared" si="158"/>
        <v>273</v>
      </c>
      <c r="D351" s="14">
        <f t="shared" si="145"/>
        <v>4.8675505653430484E-3</v>
      </c>
      <c r="E351" s="16">
        <f t="shared" si="146"/>
        <v>0</v>
      </c>
      <c r="F351" s="127"/>
      <c r="G351" s="88">
        <f t="shared" si="147"/>
        <v>0</v>
      </c>
      <c r="H351" s="89">
        <f t="shared" si="159"/>
        <v>4.1666666666666666E-3</v>
      </c>
      <c r="I351" s="219"/>
      <c r="J351" s="219"/>
      <c r="K351" s="6">
        <f t="shared" si="167"/>
        <v>66695.514610849277</v>
      </c>
      <c r="M351" s="6">
        <f t="shared" si="148"/>
        <v>324.64378984988497</v>
      </c>
      <c r="N351" s="6">
        <f t="shared" si="160"/>
        <v>-75.542225991685783</v>
      </c>
      <c r="O351" s="90">
        <f t="shared" si="149"/>
        <v>515.32655692529318</v>
      </c>
      <c r="P351" s="91">
        <f t="shared" si="150"/>
        <v>0</v>
      </c>
      <c r="Q351" s="6">
        <f t="shared" si="151"/>
        <v>278.93590072794785</v>
      </c>
      <c r="R351" s="87">
        <f t="shared" si="170"/>
        <v>-594.341920608686</v>
      </c>
      <c r="S351" s="6">
        <f t="shared" si="152"/>
        <v>-13.874841781590964</v>
      </c>
      <c r="T351" s="83">
        <f t="shared" si="161"/>
        <v>0</v>
      </c>
      <c r="U351" s="91">
        <f t="shared" si="168"/>
        <v>127636.90363306928</v>
      </c>
      <c r="V351" s="91">
        <f t="shared" si="162"/>
        <v>621.27908243778256</v>
      </c>
      <c r="W351" s="1">
        <f t="shared" si="172"/>
        <v>0</v>
      </c>
      <c r="X351" s="1">
        <f t="shared" si="172"/>
        <v>0</v>
      </c>
      <c r="Y351" s="1">
        <f t="shared" si="172"/>
        <v>0</v>
      </c>
      <c r="Z351" s="1">
        <f t="shared" si="172"/>
        <v>0</v>
      </c>
      <c r="AA351" s="1">
        <f t="shared" si="172"/>
        <v>0</v>
      </c>
      <c r="AB351" s="1">
        <f t="shared" si="172"/>
        <v>0</v>
      </c>
      <c r="AC351" s="1">
        <f t="shared" si="172"/>
        <v>0</v>
      </c>
      <c r="AD351" s="1">
        <f t="shared" si="172"/>
        <v>0</v>
      </c>
      <c r="AE351" s="1">
        <f t="shared" si="172"/>
        <v>1</v>
      </c>
      <c r="AF351" s="1">
        <f t="shared" si="172"/>
        <v>1</v>
      </c>
      <c r="AG351" s="1">
        <f t="shared" si="172"/>
        <v>1</v>
      </c>
      <c r="AH351" s="1">
        <f t="shared" si="172"/>
        <v>1</v>
      </c>
      <c r="AI351" s="44">
        <f t="shared" si="163"/>
        <v>66350.274254098797</v>
      </c>
      <c r="AJ351" s="44">
        <f t="shared" si="153"/>
        <v>66944.61617470748</v>
      </c>
      <c r="AK351" s="44" t="str">
        <f t="shared" si="171"/>
        <v>N</v>
      </c>
      <c r="AL351" s="4">
        <f t="shared" si="154"/>
        <v>273</v>
      </c>
      <c r="AM351" s="82">
        <f t="shared" si="164"/>
        <v>0</v>
      </c>
      <c r="AN351" s="82">
        <f t="shared" si="155"/>
        <v>0</v>
      </c>
      <c r="AO351" s="48">
        <f>0</f>
        <v>0</v>
      </c>
      <c r="AP351" s="91">
        <f t="shared" si="165"/>
        <v>-594.341920608686</v>
      </c>
      <c r="AQ351" s="91">
        <f t="shared" si="166"/>
        <v>-594.341920608686</v>
      </c>
      <c r="AV351" s="84"/>
    </row>
    <row r="352" spans="1:48">
      <c r="A352" s="190">
        <f t="shared" si="156"/>
        <v>88.554243668720048</v>
      </c>
      <c r="B352" s="82">
        <f t="shared" si="157"/>
        <v>23</v>
      </c>
      <c r="C352" s="83">
        <f t="shared" si="158"/>
        <v>274</v>
      </c>
      <c r="D352" s="14">
        <f t="shared" si="145"/>
        <v>4.8675505653430484E-3</v>
      </c>
      <c r="E352" s="16">
        <f t="shared" si="146"/>
        <v>0</v>
      </c>
      <c r="F352" s="127"/>
      <c r="G352" s="88">
        <f t="shared" si="147"/>
        <v>0</v>
      </c>
      <c r="H352" s="89">
        <f t="shared" si="159"/>
        <v>4.1666666666666666E-3</v>
      </c>
      <c r="I352" s="219"/>
      <c r="J352" s="219"/>
      <c r="K352" s="6">
        <f t="shared" si="167"/>
        <v>66350.274254098797</v>
      </c>
      <c r="M352" s="6">
        <f t="shared" si="148"/>
        <v>322.9633149562049</v>
      </c>
      <c r="N352" s="6">
        <f t="shared" si="160"/>
        <v>-75.151191823897037</v>
      </c>
      <c r="O352" s="90">
        <f t="shared" si="149"/>
        <v>515.32655692529318</v>
      </c>
      <c r="P352" s="91">
        <f t="shared" si="150"/>
        <v>0</v>
      </c>
      <c r="Q352" s="6">
        <f t="shared" si="151"/>
        <v>277.49202657179626</v>
      </c>
      <c r="R352" s="87">
        <f t="shared" si="170"/>
        <v>-594.07605869610143</v>
      </c>
      <c r="S352" s="6">
        <f t="shared" si="152"/>
        <v>-13.802727416085638</v>
      </c>
      <c r="T352" s="83">
        <f t="shared" si="161"/>
        <v>0</v>
      </c>
      <c r="U352" s="91">
        <f t="shared" si="168"/>
        <v>127663.84079489838</v>
      </c>
      <c r="V352" s="91">
        <f t="shared" si="162"/>
        <v>621.41020043507251</v>
      </c>
      <c r="W352" s="1">
        <f t="shared" si="172"/>
        <v>0</v>
      </c>
      <c r="X352" s="1">
        <f t="shared" si="172"/>
        <v>0</v>
      </c>
      <c r="Y352" s="1">
        <f t="shared" si="172"/>
        <v>0</v>
      </c>
      <c r="Z352" s="1">
        <f t="shared" si="172"/>
        <v>0</v>
      </c>
      <c r="AA352" s="1">
        <f t="shared" si="172"/>
        <v>0</v>
      </c>
      <c r="AB352" s="1">
        <f t="shared" si="172"/>
        <v>0</v>
      </c>
      <c r="AC352" s="1">
        <f t="shared" si="172"/>
        <v>0</v>
      </c>
      <c r="AD352" s="1">
        <f t="shared" si="172"/>
        <v>0</v>
      </c>
      <c r="AE352" s="1">
        <f t="shared" si="172"/>
        <v>1</v>
      </c>
      <c r="AF352" s="1">
        <f t="shared" si="172"/>
        <v>1</v>
      </c>
      <c r="AG352" s="1">
        <f t="shared" si="172"/>
        <v>1</v>
      </c>
      <c r="AH352" s="1">
        <f t="shared" si="172"/>
        <v>1</v>
      </c>
      <c r="AI352" s="44">
        <f t="shared" si="163"/>
        <v>66004.010318535002</v>
      </c>
      <c r="AJ352" s="44">
        <f t="shared" si="153"/>
        <v>66598.086377231099</v>
      </c>
      <c r="AK352" s="44" t="str">
        <f t="shared" si="171"/>
        <v>N</v>
      </c>
      <c r="AL352" s="4">
        <f t="shared" si="154"/>
        <v>274</v>
      </c>
      <c r="AM352" s="82">
        <f t="shared" si="164"/>
        <v>0</v>
      </c>
      <c r="AN352" s="82">
        <f t="shared" si="155"/>
        <v>0</v>
      </c>
      <c r="AO352" s="48">
        <f>0</f>
        <v>0</v>
      </c>
      <c r="AP352" s="91">
        <f t="shared" si="165"/>
        <v>-594.07605869610143</v>
      </c>
      <c r="AQ352" s="91">
        <f t="shared" si="166"/>
        <v>-594.07605869610143</v>
      </c>
      <c r="AV352" s="84"/>
    </row>
    <row r="353" spans="1:48">
      <c r="A353" s="190">
        <f t="shared" si="156"/>
        <v>88.637577002053376</v>
      </c>
      <c r="B353" s="82">
        <f t="shared" si="157"/>
        <v>23</v>
      </c>
      <c r="C353" s="83">
        <f t="shared" si="158"/>
        <v>275</v>
      </c>
      <c r="D353" s="14">
        <f t="shared" si="145"/>
        <v>4.8675505653430484E-3</v>
      </c>
      <c r="E353" s="16">
        <f t="shared" si="146"/>
        <v>0</v>
      </c>
      <c r="F353" s="127"/>
      <c r="G353" s="88">
        <f t="shared" si="147"/>
        <v>0</v>
      </c>
      <c r="H353" s="89">
        <f t="shared" si="159"/>
        <v>4.1666666666666666E-3</v>
      </c>
      <c r="I353" s="219"/>
      <c r="J353" s="219"/>
      <c r="K353" s="6">
        <f t="shared" si="167"/>
        <v>66004.010318535002</v>
      </c>
      <c r="M353" s="6">
        <f t="shared" si="148"/>
        <v>321.27785774089347</v>
      </c>
      <c r="N353" s="6">
        <f t="shared" si="160"/>
        <v>-74.758998306450593</v>
      </c>
      <c r="O353" s="90">
        <f t="shared" si="149"/>
        <v>515.32655692529318</v>
      </c>
      <c r="P353" s="91">
        <f t="shared" si="150"/>
        <v>0</v>
      </c>
      <c r="Q353" s="6">
        <f t="shared" si="151"/>
        <v>276.04387157487264</v>
      </c>
      <c r="R353" s="87">
        <f t="shared" si="170"/>
        <v>-593.81031570926325</v>
      </c>
      <c r="S353" s="6">
        <f t="shared" si="152"/>
        <v>-13.730399149173726</v>
      </c>
      <c r="T353" s="83">
        <f t="shared" si="161"/>
        <v>0</v>
      </c>
      <c r="U353" s="91">
        <f t="shared" si="168"/>
        <v>127691.17493663736</v>
      </c>
      <c r="V353" s="91">
        <f t="shared" si="162"/>
        <v>621.54325075214729</v>
      </c>
      <c r="W353" s="1">
        <f t="shared" si="172"/>
        <v>0</v>
      </c>
      <c r="X353" s="1">
        <f t="shared" si="172"/>
        <v>0</v>
      </c>
      <c r="Y353" s="1">
        <f t="shared" si="172"/>
        <v>0</v>
      </c>
      <c r="Z353" s="1">
        <f t="shared" si="172"/>
        <v>0</v>
      </c>
      <c r="AA353" s="1">
        <f t="shared" si="172"/>
        <v>0</v>
      </c>
      <c r="AB353" s="1">
        <f t="shared" si="172"/>
        <v>0</v>
      </c>
      <c r="AC353" s="1">
        <f t="shared" si="172"/>
        <v>0</v>
      </c>
      <c r="AD353" s="1">
        <f t="shared" si="172"/>
        <v>0</v>
      </c>
      <c r="AE353" s="1">
        <f t="shared" si="172"/>
        <v>1</v>
      </c>
      <c r="AF353" s="1">
        <f t="shared" si="172"/>
        <v>1</v>
      </c>
      <c r="AG353" s="1">
        <f t="shared" si="172"/>
        <v>1</v>
      </c>
      <c r="AH353" s="1">
        <f t="shared" si="172"/>
        <v>1</v>
      </c>
      <c r="AI353" s="44">
        <f t="shared" si="163"/>
        <v>65656.718862260168</v>
      </c>
      <c r="AJ353" s="44">
        <f t="shared" si="153"/>
        <v>66250.529177969438</v>
      </c>
      <c r="AK353" s="44" t="str">
        <f t="shared" si="171"/>
        <v>N</v>
      </c>
      <c r="AL353" s="4">
        <f t="shared" si="154"/>
        <v>275</v>
      </c>
      <c r="AM353" s="82">
        <f t="shared" si="164"/>
        <v>0</v>
      </c>
      <c r="AN353" s="82">
        <f t="shared" si="155"/>
        <v>0</v>
      </c>
      <c r="AO353" s="48">
        <f>0</f>
        <v>0</v>
      </c>
      <c r="AP353" s="91">
        <f t="shared" si="165"/>
        <v>-593.81031570926325</v>
      </c>
      <c r="AQ353" s="91">
        <f t="shared" si="166"/>
        <v>-593.81031570926325</v>
      </c>
      <c r="AV353" s="84"/>
    </row>
    <row r="354" spans="1:48">
      <c r="A354" s="190">
        <f t="shared" si="156"/>
        <v>88.720910335386719</v>
      </c>
      <c r="B354" s="82">
        <f t="shared" si="157"/>
        <v>23</v>
      </c>
      <c r="C354" s="83">
        <f t="shared" si="158"/>
        <v>276</v>
      </c>
      <c r="D354" s="14">
        <f t="shared" si="145"/>
        <v>4.8675505653430484E-3</v>
      </c>
      <c r="E354" s="16">
        <f t="shared" si="146"/>
        <v>0</v>
      </c>
      <c r="F354" s="127"/>
      <c r="G354" s="88">
        <f t="shared" si="147"/>
        <v>0</v>
      </c>
      <c r="H354" s="89">
        <f t="shared" si="159"/>
        <v>4.1666666666666666E-3</v>
      </c>
      <c r="I354" s="219"/>
      <c r="J354" s="219"/>
      <c r="K354" s="6">
        <f t="shared" si="167"/>
        <v>65656.718862260168</v>
      </c>
      <c r="M354" s="6">
        <f t="shared" si="148"/>
        <v>319.58739901656406</v>
      </c>
      <c r="N354" s="6">
        <f t="shared" si="160"/>
        <v>-74.365640974582462</v>
      </c>
      <c r="O354" s="90">
        <f t="shared" si="149"/>
        <v>515.32655692529318</v>
      </c>
      <c r="P354" s="91">
        <f t="shared" si="150"/>
        <v>0</v>
      </c>
      <c r="Q354" s="6">
        <f t="shared" si="151"/>
        <v>274.59141925125897</v>
      </c>
      <c r="R354" s="87">
        <f t="shared" si="170"/>
        <v>-593.54469159497353</v>
      </c>
      <c r="S354" s="6">
        <f t="shared" si="152"/>
        <v>-13.657856157154217</v>
      </c>
      <c r="T354" s="83">
        <f t="shared" si="161"/>
        <v>0</v>
      </c>
      <c r="U354" s="91">
        <f t="shared" si="168"/>
        <v>127718.90787168023</v>
      </c>
      <c r="V354" s="91">
        <f t="shared" si="162"/>
        <v>621.67824221579383</v>
      </c>
      <c r="W354" s="1">
        <f t="shared" si="172"/>
        <v>0</v>
      </c>
      <c r="X354" s="1">
        <f t="shared" si="172"/>
        <v>0</v>
      </c>
      <c r="Y354" s="1">
        <f t="shared" si="172"/>
        <v>0</v>
      </c>
      <c r="Z354" s="1">
        <f t="shared" si="172"/>
        <v>0</v>
      </c>
      <c r="AA354" s="1">
        <f t="shared" si="172"/>
        <v>0</v>
      </c>
      <c r="AB354" s="1">
        <f t="shared" si="172"/>
        <v>0</v>
      </c>
      <c r="AC354" s="1">
        <f t="shared" si="172"/>
        <v>0</v>
      </c>
      <c r="AD354" s="1">
        <f t="shared" si="172"/>
        <v>0</v>
      </c>
      <c r="AE354" s="1">
        <f t="shared" si="172"/>
        <v>1</v>
      </c>
      <c r="AF354" s="1">
        <f t="shared" si="172"/>
        <v>1</v>
      </c>
      <c r="AG354" s="1">
        <f t="shared" si="172"/>
        <v>1</v>
      </c>
      <c r="AH354" s="1">
        <f t="shared" si="172"/>
        <v>1</v>
      </c>
      <c r="AI354" s="44">
        <f t="shared" si="163"/>
        <v>65308.395928707178</v>
      </c>
      <c r="AJ354" s="44">
        <f t="shared" si="153"/>
        <v>65901.94062030215</v>
      </c>
      <c r="AK354" s="44" t="str">
        <f t="shared" si="171"/>
        <v>N</v>
      </c>
      <c r="AL354" s="4">
        <f t="shared" si="154"/>
        <v>276</v>
      </c>
      <c r="AM354" s="82">
        <f t="shared" si="164"/>
        <v>0</v>
      </c>
      <c r="AN354" s="82">
        <f t="shared" si="155"/>
        <v>0</v>
      </c>
      <c r="AO354" s="48">
        <f>0</f>
        <v>0</v>
      </c>
      <c r="AP354" s="91">
        <f t="shared" si="165"/>
        <v>-593.54469159497353</v>
      </c>
      <c r="AQ354" s="91">
        <f t="shared" si="166"/>
        <v>-593.54469159497353</v>
      </c>
      <c r="AV354" s="84"/>
    </row>
    <row r="355" spans="1:48">
      <c r="A355" s="190">
        <f t="shared" si="156"/>
        <v>88.804243668720048</v>
      </c>
      <c r="B355" s="82">
        <f t="shared" si="157"/>
        <v>24</v>
      </c>
      <c r="C355" s="83">
        <f t="shared" si="158"/>
        <v>277</v>
      </c>
      <c r="D355" s="14">
        <f t="shared" si="145"/>
        <v>4.8675505653430484E-3</v>
      </c>
      <c r="E355" s="16">
        <f t="shared" si="146"/>
        <v>0</v>
      </c>
      <c r="F355" s="127"/>
      <c r="G355" s="88">
        <f t="shared" si="147"/>
        <v>0</v>
      </c>
      <c r="H355" s="89">
        <f t="shared" si="159"/>
        <v>4.1666666666666666E-3</v>
      </c>
      <c r="I355" s="219"/>
      <c r="J355" s="219"/>
      <c r="K355" s="6">
        <f t="shared" si="167"/>
        <v>65308.395928707178</v>
      </c>
      <c r="M355" s="6">
        <f t="shared" si="148"/>
        <v>317.89191952442627</v>
      </c>
      <c r="N355" s="6">
        <f t="shared" si="160"/>
        <v>-73.971115346913535</v>
      </c>
      <c r="O355" s="90">
        <f t="shared" si="149"/>
        <v>525.63308806379894</v>
      </c>
      <c r="P355" s="91">
        <f t="shared" si="150"/>
        <v>0</v>
      </c>
      <c r="Q355" s="6">
        <f t="shared" si="151"/>
        <v>273.13465305368618</v>
      </c>
      <c r="R355" s="87">
        <f t="shared" si="170"/>
        <v>-593.27918630005797</v>
      </c>
      <c r="S355" s="6">
        <f t="shared" si="152"/>
        <v>-13.585097613260755</v>
      </c>
      <c r="T355" s="83">
        <f t="shared" si="161"/>
        <v>0</v>
      </c>
      <c r="U355" s="91">
        <f t="shared" si="168"/>
        <v>127747.04142230106</v>
      </c>
      <c r="V355" s="91">
        <f t="shared" si="162"/>
        <v>621.81518369602338</v>
      </c>
      <c r="W355" s="1">
        <f t="shared" si="172"/>
        <v>0</v>
      </c>
      <c r="X355" s="1">
        <f t="shared" si="172"/>
        <v>0</v>
      </c>
      <c r="Y355" s="1">
        <f t="shared" si="172"/>
        <v>0</v>
      </c>
      <c r="Z355" s="1">
        <f t="shared" si="172"/>
        <v>0</v>
      </c>
      <c r="AA355" s="1">
        <f t="shared" si="172"/>
        <v>0</v>
      </c>
      <c r="AB355" s="1">
        <f t="shared" si="172"/>
        <v>0</v>
      </c>
      <c r="AC355" s="1">
        <f t="shared" si="172"/>
        <v>0</v>
      </c>
      <c r="AD355" s="1">
        <f t="shared" si="172"/>
        <v>0</v>
      </c>
      <c r="AE355" s="1">
        <f t="shared" si="172"/>
        <v>1</v>
      </c>
      <c r="AF355" s="1">
        <f t="shared" si="172"/>
        <v>1</v>
      </c>
      <c r="AG355" s="1">
        <f t="shared" si="172"/>
        <v>1</v>
      </c>
      <c r="AH355" s="1">
        <f t="shared" si="172"/>
        <v>1</v>
      </c>
      <c r="AI355" s="44">
        <f t="shared" si="163"/>
        <v>64959.03754658463</v>
      </c>
      <c r="AJ355" s="44">
        <f t="shared" si="153"/>
        <v>65552.31673288469</v>
      </c>
      <c r="AK355" s="44" t="str">
        <f t="shared" si="171"/>
        <v>N</v>
      </c>
      <c r="AL355" s="4">
        <f t="shared" si="154"/>
        <v>277</v>
      </c>
      <c r="AM355" s="82">
        <f t="shared" si="164"/>
        <v>0</v>
      </c>
      <c r="AN355" s="82">
        <f t="shared" si="155"/>
        <v>0</v>
      </c>
      <c r="AO355" s="48">
        <f>0</f>
        <v>0</v>
      </c>
      <c r="AP355" s="91">
        <f t="shared" si="165"/>
        <v>-593.27918630005797</v>
      </c>
      <c r="AQ355" s="91">
        <f t="shared" si="166"/>
        <v>-593.27918630005797</v>
      </c>
      <c r="AV355" s="84"/>
    </row>
    <row r="356" spans="1:48">
      <c r="A356" s="190">
        <f t="shared" si="156"/>
        <v>88.887577002053376</v>
      </c>
      <c r="B356" s="82">
        <f t="shared" si="157"/>
        <v>24</v>
      </c>
      <c r="C356" s="83">
        <f t="shared" si="158"/>
        <v>278</v>
      </c>
      <c r="D356" s="14">
        <f t="shared" si="145"/>
        <v>4.8675505653430484E-3</v>
      </c>
      <c r="E356" s="16">
        <f t="shared" si="146"/>
        <v>0</v>
      </c>
      <c r="F356" s="127"/>
      <c r="G356" s="88">
        <f t="shared" si="147"/>
        <v>0</v>
      </c>
      <c r="H356" s="89">
        <f t="shared" si="159"/>
        <v>4.1666666666666666E-3</v>
      </c>
      <c r="I356" s="219"/>
      <c r="J356" s="219"/>
      <c r="K356" s="6">
        <f t="shared" si="167"/>
        <v>64959.03754658463</v>
      </c>
      <c r="M356" s="6">
        <f t="shared" si="148"/>
        <v>316.19139993401831</v>
      </c>
      <c r="N356" s="6">
        <f t="shared" si="160"/>
        <v>-73.57541692538733</v>
      </c>
      <c r="O356" s="90">
        <f t="shared" si="149"/>
        <v>525.63308806379894</v>
      </c>
      <c r="P356" s="91">
        <f t="shared" si="150"/>
        <v>0</v>
      </c>
      <c r="Q356" s="6">
        <f t="shared" si="151"/>
        <v>271.67355637330525</v>
      </c>
      <c r="R356" s="87">
        <f t="shared" si="170"/>
        <v>-593.01379977136639</v>
      </c>
      <c r="S356" s="6">
        <f t="shared" si="152"/>
        <v>-13.512122687650173</v>
      </c>
      <c r="T356" s="83">
        <f t="shared" si="161"/>
        <v>0</v>
      </c>
      <c r="U356" s="91">
        <f t="shared" si="168"/>
        <v>127775.57741969702</v>
      </c>
      <c r="V356" s="91">
        <f t="shared" si="162"/>
        <v>621.95408410628067</v>
      </c>
      <c r="W356" s="1">
        <f t="shared" si="172"/>
        <v>0</v>
      </c>
      <c r="X356" s="1">
        <f t="shared" si="172"/>
        <v>0</v>
      </c>
      <c r="Y356" s="1">
        <f t="shared" si="172"/>
        <v>0</v>
      </c>
      <c r="Z356" s="1">
        <f t="shared" si="172"/>
        <v>0</v>
      </c>
      <c r="AA356" s="1">
        <f t="shared" si="172"/>
        <v>0</v>
      </c>
      <c r="AB356" s="1">
        <f t="shared" si="172"/>
        <v>0</v>
      </c>
      <c r="AC356" s="1">
        <f t="shared" si="172"/>
        <v>0</v>
      </c>
      <c r="AD356" s="1">
        <f t="shared" si="172"/>
        <v>0</v>
      </c>
      <c r="AE356" s="1">
        <f t="shared" si="172"/>
        <v>1</v>
      </c>
      <c r="AF356" s="1">
        <f t="shared" si="172"/>
        <v>1</v>
      </c>
      <c r="AG356" s="1">
        <f t="shared" si="172"/>
        <v>1</v>
      </c>
      <c r="AH356" s="1">
        <f t="shared" si="172"/>
        <v>1</v>
      </c>
      <c r="AI356" s="44">
        <f t="shared" si="163"/>
        <v>64608.639729821894</v>
      </c>
      <c r="AJ356" s="44">
        <f t="shared" si="153"/>
        <v>65201.653529593263</v>
      </c>
      <c r="AK356" s="44" t="str">
        <f t="shared" si="171"/>
        <v>N</v>
      </c>
      <c r="AL356" s="4">
        <f t="shared" si="154"/>
        <v>278</v>
      </c>
      <c r="AM356" s="82">
        <f t="shared" si="164"/>
        <v>0</v>
      </c>
      <c r="AN356" s="82">
        <f t="shared" si="155"/>
        <v>0</v>
      </c>
      <c r="AO356" s="48">
        <f>0</f>
        <v>0</v>
      </c>
      <c r="AP356" s="91">
        <f t="shared" si="165"/>
        <v>-593.01379977136639</v>
      </c>
      <c r="AQ356" s="91">
        <f t="shared" si="166"/>
        <v>-593.01379977136639</v>
      </c>
      <c r="AV356" s="84"/>
    </row>
    <row r="357" spans="1:48">
      <c r="A357" s="190">
        <f t="shared" si="156"/>
        <v>88.970910335386719</v>
      </c>
      <c r="B357" s="82">
        <f t="shared" si="157"/>
        <v>24</v>
      </c>
      <c r="C357" s="83">
        <f t="shared" si="158"/>
        <v>279</v>
      </c>
      <c r="D357" s="14">
        <f t="shared" si="145"/>
        <v>4.8675505653430484E-3</v>
      </c>
      <c r="E357" s="16">
        <f t="shared" si="146"/>
        <v>0</v>
      </c>
      <c r="F357" s="127"/>
      <c r="G357" s="88">
        <f t="shared" si="147"/>
        <v>0</v>
      </c>
      <c r="H357" s="89">
        <f t="shared" si="159"/>
        <v>4.1666666666666666E-3</v>
      </c>
      <c r="I357" s="219"/>
      <c r="J357" s="219"/>
      <c r="K357" s="6">
        <f t="shared" si="167"/>
        <v>64608.639729821894</v>
      </c>
      <c r="M357" s="6">
        <f t="shared" si="148"/>
        <v>314.48582084293992</v>
      </c>
      <c r="N357" s="6">
        <f t="shared" si="160"/>
        <v>-73.178541195207742</v>
      </c>
      <c r="O357" s="90">
        <f t="shared" si="149"/>
        <v>525.63308806379894</v>
      </c>
      <c r="P357" s="91">
        <f t="shared" si="150"/>
        <v>0</v>
      </c>
      <c r="Q357" s="6">
        <f t="shared" si="151"/>
        <v>270.20811253945681</v>
      </c>
      <c r="R357" s="87">
        <f t="shared" si="170"/>
        <v>-592.74853195577157</v>
      </c>
      <c r="S357" s="6">
        <f t="shared" si="152"/>
        <v>-13.438930547390997</v>
      </c>
      <c r="T357" s="83">
        <f t="shared" si="161"/>
        <v>0</v>
      </c>
      <c r="U357" s="91">
        <f t="shared" si="168"/>
        <v>127804.51770403194</v>
      </c>
      <c r="V357" s="91">
        <f t="shared" si="162"/>
        <v>622.09495240365629</v>
      </c>
      <c r="W357" s="1">
        <f t="shared" si="172"/>
        <v>0</v>
      </c>
      <c r="X357" s="1">
        <f t="shared" si="172"/>
        <v>0</v>
      </c>
      <c r="Y357" s="1">
        <f t="shared" si="172"/>
        <v>0</v>
      </c>
      <c r="Z357" s="1">
        <f t="shared" si="172"/>
        <v>0</v>
      </c>
      <c r="AA357" s="1">
        <f t="shared" si="172"/>
        <v>0</v>
      </c>
      <c r="AB357" s="1">
        <f t="shared" si="172"/>
        <v>0</v>
      </c>
      <c r="AC357" s="1">
        <f t="shared" si="172"/>
        <v>0</v>
      </c>
      <c r="AD357" s="1">
        <f t="shared" si="172"/>
        <v>0</v>
      </c>
      <c r="AE357" s="1">
        <f t="shared" si="172"/>
        <v>1</v>
      </c>
      <c r="AF357" s="1">
        <f t="shared" si="172"/>
        <v>1</v>
      </c>
      <c r="AG357" s="1">
        <f t="shared" si="172"/>
        <v>1</v>
      </c>
      <c r="AH357" s="1">
        <f t="shared" si="172"/>
        <v>1</v>
      </c>
      <c r="AI357" s="44">
        <f t="shared" si="163"/>
        <v>64257.198477513855</v>
      </c>
      <c r="AJ357" s="44">
        <f t="shared" si="153"/>
        <v>64849.94700946963</v>
      </c>
      <c r="AK357" s="44" t="str">
        <f t="shared" si="171"/>
        <v>N</v>
      </c>
      <c r="AL357" s="4">
        <f t="shared" si="154"/>
        <v>279</v>
      </c>
      <c r="AM357" s="82">
        <f t="shared" si="164"/>
        <v>0</v>
      </c>
      <c r="AN357" s="82">
        <f t="shared" si="155"/>
        <v>0</v>
      </c>
      <c r="AO357" s="48">
        <f>0</f>
        <v>0</v>
      </c>
      <c r="AP357" s="91">
        <f t="shared" si="165"/>
        <v>-592.74853195577157</v>
      </c>
      <c r="AQ357" s="91">
        <f t="shared" si="166"/>
        <v>-592.74853195577157</v>
      </c>
      <c r="AV357" s="84"/>
    </row>
    <row r="358" spans="1:48">
      <c r="A358" s="190">
        <f t="shared" si="156"/>
        <v>89.054243668720048</v>
      </c>
      <c r="B358" s="82">
        <f t="shared" si="157"/>
        <v>24</v>
      </c>
      <c r="C358" s="83">
        <f t="shared" si="158"/>
        <v>280</v>
      </c>
      <c r="D358" s="14">
        <f t="shared" si="145"/>
        <v>4.8675505653430484E-3</v>
      </c>
      <c r="E358" s="16">
        <f t="shared" si="146"/>
        <v>0</v>
      </c>
      <c r="F358" s="127"/>
      <c r="G358" s="88">
        <f t="shared" si="147"/>
        <v>0</v>
      </c>
      <c r="H358" s="89">
        <f t="shared" si="159"/>
        <v>4.1666666666666666E-3</v>
      </c>
      <c r="I358" s="219"/>
      <c r="J358" s="219"/>
      <c r="K358" s="6">
        <f t="shared" si="167"/>
        <v>64257.198477513855</v>
      </c>
      <c r="M358" s="6">
        <f t="shared" si="148"/>
        <v>312.77516277658304</v>
      </c>
      <c r="N358" s="6">
        <f t="shared" si="160"/>
        <v>-72.780483624776522</v>
      </c>
      <c r="O358" s="90">
        <f t="shared" si="149"/>
        <v>525.63308806379894</v>
      </c>
      <c r="P358" s="91">
        <f t="shared" si="150"/>
        <v>0</v>
      </c>
      <c r="Q358" s="6">
        <f t="shared" si="151"/>
        <v>268.73830481944026</v>
      </c>
      <c r="R358" s="87">
        <f t="shared" si="170"/>
        <v>-607.58647623983234</v>
      </c>
      <c r="S358" s="6">
        <f t="shared" si="152"/>
        <v>-13.363945311997849</v>
      </c>
      <c r="T358" s="83">
        <f t="shared" si="161"/>
        <v>0</v>
      </c>
      <c r="U358" s="91">
        <f t="shared" si="168"/>
        <v>127833.86412447982</v>
      </c>
      <c r="V358" s="91">
        <f t="shared" si="162"/>
        <v>622.23779758909814</v>
      </c>
      <c r="W358" s="1">
        <f t="shared" si="172"/>
        <v>0</v>
      </c>
      <c r="X358" s="1">
        <f t="shared" si="172"/>
        <v>0</v>
      </c>
      <c r="Y358" s="1">
        <f t="shared" si="172"/>
        <v>0</v>
      </c>
      <c r="Z358" s="1">
        <f t="shared" si="172"/>
        <v>0</v>
      </c>
      <c r="AA358" s="1">
        <f t="shared" si="172"/>
        <v>0</v>
      </c>
      <c r="AB358" s="1">
        <f t="shared" si="172"/>
        <v>0</v>
      </c>
      <c r="AC358" s="1">
        <f t="shared" si="172"/>
        <v>0</v>
      </c>
      <c r="AD358" s="1">
        <f t="shared" si="172"/>
        <v>0</v>
      </c>
      <c r="AE358" s="1">
        <f t="shared" si="172"/>
        <v>1</v>
      </c>
      <c r="AF358" s="1">
        <f t="shared" si="172"/>
        <v>1</v>
      </c>
      <c r="AG358" s="1">
        <f t="shared" si="172"/>
        <v>1</v>
      </c>
      <c r="AH358" s="1">
        <f t="shared" si="172"/>
        <v>1</v>
      </c>
      <c r="AI358" s="44">
        <f t="shared" si="163"/>
        <v>63889.60668042583</v>
      </c>
      <c r="AJ358" s="44">
        <f t="shared" si="153"/>
        <v>64497.193156665664</v>
      </c>
      <c r="AK358" s="44" t="str">
        <f t="shared" si="171"/>
        <v>N</v>
      </c>
      <c r="AL358" s="4">
        <f t="shared" si="154"/>
        <v>280</v>
      </c>
      <c r="AM358" s="82">
        <f t="shared" si="164"/>
        <v>0</v>
      </c>
      <c r="AN358" s="82">
        <f t="shared" si="155"/>
        <v>0</v>
      </c>
      <c r="AO358" s="48">
        <f>0</f>
        <v>0</v>
      </c>
      <c r="AP358" s="91">
        <f t="shared" si="165"/>
        <v>-607.58647623983234</v>
      </c>
      <c r="AQ358" s="91">
        <f t="shared" si="166"/>
        <v>-607.58647623983234</v>
      </c>
      <c r="AV358" s="84"/>
    </row>
    <row r="359" spans="1:48">
      <c r="A359" s="190">
        <f t="shared" si="156"/>
        <v>89.137577002053376</v>
      </c>
      <c r="B359" s="82">
        <f t="shared" si="157"/>
        <v>24</v>
      </c>
      <c r="C359" s="83">
        <f t="shared" si="158"/>
        <v>281</v>
      </c>
      <c r="D359" s="14">
        <f t="shared" si="145"/>
        <v>4.8675505653430484E-3</v>
      </c>
      <c r="E359" s="16">
        <f t="shared" si="146"/>
        <v>0</v>
      </c>
      <c r="F359" s="127"/>
      <c r="G359" s="88">
        <f t="shared" si="147"/>
        <v>0</v>
      </c>
      <c r="H359" s="89">
        <f t="shared" si="159"/>
        <v>4.1666666666666666E-3</v>
      </c>
      <c r="I359" s="219"/>
      <c r="J359" s="219"/>
      <c r="K359" s="6">
        <f t="shared" si="167"/>
        <v>63889.60668042583</v>
      </c>
      <c r="M359" s="6">
        <f t="shared" si="148"/>
        <v>310.98589111685175</v>
      </c>
      <c r="N359" s="6">
        <f t="shared" si="160"/>
        <v>-72.36413324843808</v>
      </c>
      <c r="O359" s="90">
        <f t="shared" si="149"/>
        <v>525.63308806379894</v>
      </c>
      <c r="P359" s="91">
        <f t="shared" si="150"/>
        <v>0</v>
      </c>
      <c r="Q359" s="6">
        <f t="shared" si="151"/>
        <v>267.200951826226</v>
      </c>
      <c r="R359" s="87">
        <f t="shared" si="170"/>
        <v>-607.31468975290886</v>
      </c>
      <c r="S359" s="6">
        <f t="shared" si="152"/>
        <v>-13.287160964234198</v>
      </c>
      <c r="T359" s="83">
        <f t="shared" si="161"/>
        <v>0</v>
      </c>
      <c r="U359" s="91">
        <f t="shared" si="168"/>
        <v>127848.51544582909</v>
      </c>
      <c r="V359" s="91">
        <f t="shared" si="162"/>
        <v>622.30911363661482</v>
      </c>
      <c r="W359" s="1">
        <f t="shared" ref="W359:AH368" si="173">IF($B359&lt;=W$78,1,0)</f>
        <v>0</v>
      </c>
      <c r="X359" s="1">
        <f t="shared" si="173"/>
        <v>0</v>
      </c>
      <c r="Y359" s="1">
        <f t="shared" si="173"/>
        <v>0</v>
      </c>
      <c r="Z359" s="1">
        <f t="shared" si="173"/>
        <v>0</v>
      </c>
      <c r="AA359" s="1">
        <f t="shared" si="173"/>
        <v>0</v>
      </c>
      <c r="AB359" s="1">
        <f t="shared" si="173"/>
        <v>0</v>
      </c>
      <c r="AC359" s="1">
        <f t="shared" si="173"/>
        <v>0</v>
      </c>
      <c r="AD359" s="1">
        <f t="shared" si="173"/>
        <v>0</v>
      </c>
      <c r="AE359" s="1">
        <f t="shared" si="173"/>
        <v>1</v>
      </c>
      <c r="AF359" s="1">
        <f t="shared" si="173"/>
        <v>1</v>
      </c>
      <c r="AG359" s="1">
        <f t="shared" si="173"/>
        <v>1</v>
      </c>
      <c r="AH359" s="1">
        <f t="shared" si="173"/>
        <v>1</v>
      </c>
      <c r="AI359" s="44">
        <f t="shared" si="163"/>
        <v>63520.91374854133</v>
      </c>
      <c r="AJ359" s="44">
        <f t="shared" si="153"/>
        <v>64128.228438294238</v>
      </c>
      <c r="AK359" s="44" t="str">
        <f t="shared" si="171"/>
        <v>N</v>
      </c>
      <c r="AL359" s="4">
        <f t="shared" si="154"/>
        <v>281</v>
      </c>
      <c r="AM359" s="82">
        <f t="shared" si="164"/>
        <v>0</v>
      </c>
      <c r="AN359" s="82">
        <f t="shared" si="155"/>
        <v>0</v>
      </c>
      <c r="AO359" s="48">
        <f>0</f>
        <v>0</v>
      </c>
      <c r="AP359" s="91">
        <f t="shared" si="165"/>
        <v>-607.31468975290886</v>
      </c>
      <c r="AQ359" s="91">
        <f t="shared" si="166"/>
        <v>-607.31468975290886</v>
      </c>
      <c r="AV359" s="84"/>
    </row>
    <row r="360" spans="1:48">
      <c r="A360" s="190">
        <f t="shared" si="156"/>
        <v>89.220910335386719</v>
      </c>
      <c r="B360" s="82">
        <f t="shared" si="157"/>
        <v>24</v>
      </c>
      <c r="C360" s="83">
        <f t="shared" si="158"/>
        <v>282</v>
      </c>
      <c r="D360" s="14">
        <f t="shared" si="145"/>
        <v>4.8675505653430484E-3</v>
      </c>
      <c r="E360" s="16">
        <f t="shared" si="146"/>
        <v>0</v>
      </c>
      <c r="F360" s="127"/>
      <c r="G360" s="88">
        <f t="shared" si="147"/>
        <v>0</v>
      </c>
      <c r="H360" s="89">
        <f t="shared" si="159"/>
        <v>4.1666666666666666E-3</v>
      </c>
      <c r="I360" s="219"/>
      <c r="J360" s="219"/>
      <c r="K360" s="6">
        <f t="shared" si="167"/>
        <v>63520.91374854133</v>
      </c>
      <c r="M360" s="6">
        <f t="shared" si="148"/>
        <v>309.19125962781936</v>
      </c>
      <c r="N360" s="6">
        <f t="shared" si="160"/>
        <v>-71.946535679179263</v>
      </c>
      <c r="O360" s="90">
        <f t="shared" si="149"/>
        <v>525.63308806379894</v>
      </c>
      <c r="P360" s="91">
        <f t="shared" si="150"/>
        <v>0</v>
      </c>
      <c r="Q360" s="6">
        <f t="shared" si="151"/>
        <v>265.65899363537488</v>
      </c>
      <c r="R360" s="87">
        <f t="shared" si="170"/>
        <v>-607.04302484192124</v>
      </c>
      <c r="S360" s="6">
        <f t="shared" si="152"/>
        <v>-13.210146508539665</v>
      </c>
      <c r="T360" s="83">
        <f t="shared" si="161"/>
        <v>0</v>
      </c>
      <c r="U360" s="91">
        <f t="shared" si="168"/>
        <v>127863.5098697128</v>
      </c>
      <c r="V360" s="91">
        <f t="shared" si="162"/>
        <v>622.382099753067</v>
      </c>
      <c r="W360" s="1">
        <f t="shared" si="173"/>
        <v>0</v>
      </c>
      <c r="X360" s="1">
        <f t="shared" si="173"/>
        <v>0</v>
      </c>
      <c r="Y360" s="1">
        <f t="shared" si="173"/>
        <v>0</v>
      </c>
      <c r="Z360" s="1">
        <f t="shared" si="173"/>
        <v>0</v>
      </c>
      <c r="AA360" s="1">
        <f t="shared" si="173"/>
        <v>0</v>
      </c>
      <c r="AB360" s="1">
        <f t="shared" si="173"/>
        <v>0</v>
      </c>
      <c r="AC360" s="1">
        <f t="shared" si="173"/>
        <v>0</v>
      </c>
      <c r="AD360" s="1">
        <f t="shared" si="173"/>
        <v>0</v>
      </c>
      <c r="AE360" s="1">
        <f t="shared" si="173"/>
        <v>1</v>
      </c>
      <c r="AF360" s="1">
        <f t="shared" si="173"/>
        <v>1</v>
      </c>
      <c r="AG360" s="1">
        <f t="shared" si="173"/>
        <v>1</v>
      </c>
      <c r="AH360" s="1">
        <f t="shared" si="173"/>
        <v>1</v>
      </c>
      <c r="AI360" s="44">
        <f t="shared" si="163"/>
        <v>63151.115447648051</v>
      </c>
      <c r="AJ360" s="44">
        <f t="shared" si="153"/>
        <v>63758.158472489973</v>
      </c>
      <c r="AK360" s="44" t="str">
        <f t="shared" si="171"/>
        <v>N</v>
      </c>
      <c r="AL360" s="4">
        <f t="shared" si="154"/>
        <v>282</v>
      </c>
      <c r="AM360" s="82">
        <f t="shared" si="164"/>
        <v>0</v>
      </c>
      <c r="AN360" s="82">
        <f t="shared" si="155"/>
        <v>0</v>
      </c>
      <c r="AO360" s="48">
        <f>0</f>
        <v>0</v>
      </c>
      <c r="AP360" s="91">
        <f t="shared" si="165"/>
        <v>-607.04302484192124</v>
      </c>
      <c r="AQ360" s="91">
        <f t="shared" si="166"/>
        <v>-607.04302484192124</v>
      </c>
      <c r="AV360" s="84"/>
    </row>
    <row r="361" spans="1:48">
      <c r="A361" s="190">
        <f t="shared" si="156"/>
        <v>89.304243668720048</v>
      </c>
      <c r="B361" s="82">
        <f t="shared" si="157"/>
        <v>24</v>
      </c>
      <c r="C361" s="83">
        <f t="shared" si="158"/>
        <v>283</v>
      </c>
      <c r="D361" s="14">
        <f t="shared" si="145"/>
        <v>4.8675505653430484E-3</v>
      </c>
      <c r="E361" s="16">
        <f t="shared" si="146"/>
        <v>0</v>
      </c>
      <c r="F361" s="127"/>
      <c r="G361" s="88">
        <f t="shared" si="147"/>
        <v>0</v>
      </c>
      <c r="H361" s="89">
        <f t="shared" si="159"/>
        <v>4.1666666666666666E-3</v>
      </c>
      <c r="I361" s="219"/>
      <c r="J361" s="219"/>
      <c r="K361" s="6">
        <f t="shared" si="167"/>
        <v>63151.115447648051</v>
      </c>
      <c r="M361" s="6">
        <f t="shared" si="148"/>
        <v>307.39124769924337</v>
      </c>
      <c r="N361" s="6">
        <f t="shared" si="160"/>
        <v>-71.527686121148008</v>
      </c>
      <c r="O361" s="90">
        <f t="shared" si="149"/>
        <v>525.63308806379894</v>
      </c>
      <c r="P361" s="91">
        <f t="shared" si="150"/>
        <v>0</v>
      </c>
      <c r="Q361" s="6">
        <f t="shared" si="151"/>
        <v>264.1124125384423</v>
      </c>
      <c r="R361" s="87">
        <f t="shared" si="170"/>
        <v>-606.77148145248566</v>
      </c>
      <c r="S361" s="6">
        <f t="shared" si="152"/>
        <v>-13.132901060130743</v>
      </c>
      <c r="T361" s="83">
        <f t="shared" si="161"/>
        <v>0</v>
      </c>
      <c r="U361" s="91">
        <f t="shared" si="168"/>
        <v>127878.84894462395</v>
      </c>
      <c r="V361" s="91">
        <f t="shared" si="162"/>
        <v>622.45676347582264</v>
      </c>
      <c r="W361" s="1">
        <f t="shared" si="173"/>
        <v>0</v>
      </c>
      <c r="X361" s="1">
        <f t="shared" si="173"/>
        <v>0</v>
      </c>
      <c r="Y361" s="1">
        <f t="shared" si="173"/>
        <v>0</v>
      </c>
      <c r="Z361" s="1">
        <f t="shared" si="173"/>
        <v>0</v>
      </c>
      <c r="AA361" s="1">
        <f t="shared" si="173"/>
        <v>0</v>
      </c>
      <c r="AB361" s="1">
        <f t="shared" si="173"/>
        <v>0</v>
      </c>
      <c r="AC361" s="1">
        <f t="shared" si="173"/>
        <v>0</v>
      </c>
      <c r="AD361" s="1">
        <f t="shared" si="173"/>
        <v>0</v>
      </c>
      <c r="AE361" s="1">
        <f t="shared" si="173"/>
        <v>1</v>
      </c>
      <c r="AF361" s="1">
        <f t="shared" si="173"/>
        <v>1</v>
      </c>
      <c r="AG361" s="1">
        <f t="shared" si="173"/>
        <v>1</v>
      </c>
      <c r="AH361" s="1">
        <f t="shared" si="173"/>
        <v>1</v>
      </c>
      <c r="AI361" s="44">
        <f t="shared" si="163"/>
        <v>62780.207527773659</v>
      </c>
      <c r="AJ361" s="44">
        <f t="shared" si="153"/>
        <v>63386.979009226146</v>
      </c>
      <c r="AK361" s="44" t="str">
        <f t="shared" si="171"/>
        <v>N</v>
      </c>
      <c r="AL361" s="4">
        <f t="shared" si="154"/>
        <v>283</v>
      </c>
      <c r="AM361" s="82">
        <f t="shared" si="164"/>
        <v>0</v>
      </c>
      <c r="AN361" s="82">
        <f t="shared" si="155"/>
        <v>0</v>
      </c>
      <c r="AO361" s="48">
        <f>0</f>
        <v>0</v>
      </c>
      <c r="AP361" s="91">
        <f t="shared" si="165"/>
        <v>-606.77148145248566</v>
      </c>
      <c r="AQ361" s="91">
        <f t="shared" si="166"/>
        <v>-606.77148145248566</v>
      </c>
      <c r="AV361" s="84"/>
    </row>
    <row r="362" spans="1:48">
      <c r="A362" s="190">
        <f t="shared" si="156"/>
        <v>89.387577002053376</v>
      </c>
      <c r="B362" s="82">
        <f t="shared" si="157"/>
        <v>24</v>
      </c>
      <c r="C362" s="83">
        <f t="shared" si="158"/>
        <v>284</v>
      </c>
      <c r="D362" s="14">
        <f t="shared" si="145"/>
        <v>4.8675505653430484E-3</v>
      </c>
      <c r="E362" s="16">
        <f t="shared" si="146"/>
        <v>0</v>
      </c>
      <c r="F362" s="127"/>
      <c r="G362" s="88">
        <f t="shared" si="147"/>
        <v>0</v>
      </c>
      <c r="H362" s="89">
        <f t="shared" si="159"/>
        <v>4.1666666666666666E-3</v>
      </c>
      <c r="I362" s="219"/>
      <c r="J362" s="219"/>
      <c r="K362" s="6">
        <f t="shared" si="167"/>
        <v>62780.207527773659</v>
      </c>
      <c r="M362" s="6">
        <f t="shared" si="148"/>
        <v>305.58583464416859</v>
      </c>
      <c r="N362" s="6">
        <f t="shared" si="160"/>
        <v>-71.107579760641727</v>
      </c>
      <c r="O362" s="90">
        <f t="shared" si="149"/>
        <v>525.63308806379894</v>
      </c>
      <c r="P362" s="91">
        <f t="shared" si="150"/>
        <v>0</v>
      </c>
      <c r="Q362" s="6">
        <f t="shared" si="151"/>
        <v>262.5611907610716</v>
      </c>
      <c r="R362" s="87">
        <f t="shared" si="170"/>
        <v>-606.5000595302439</v>
      </c>
      <c r="S362" s="6">
        <f t="shared" si="152"/>
        <v>-13.055423730930682</v>
      </c>
      <c r="T362" s="83">
        <f t="shared" si="161"/>
        <v>0</v>
      </c>
      <c r="U362" s="91">
        <f t="shared" si="168"/>
        <v>127894.5342266473</v>
      </c>
      <c r="V362" s="91">
        <f t="shared" si="162"/>
        <v>622.53311237920298</v>
      </c>
      <c r="W362" s="1">
        <f t="shared" si="173"/>
        <v>0</v>
      </c>
      <c r="X362" s="1">
        <f t="shared" si="173"/>
        <v>0</v>
      </c>
      <c r="Y362" s="1">
        <f t="shared" si="173"/>
        <v>0</v>
      </c>
      <c r="Z362" s="1">
        <f t="shared" si="173"/>
        <v>0</v>
      </c>
      <c r="AA362" s="1">
        <f t="shared" si="173"/>
        <v>0</v>
      </c>
      <c r="AB362" s="1">
        <f t="shared" si="173"/>
        <v>0</v>
      </c>
      <c r="AC362" s="1">
        <f t="shared" si="173"/>
        <v>0</v>
      </c>
      <c r="AD362" s="1">
        <f t="shared" si="173"/>
        <v>0</v>
      </c>
      <c r="AE362" s="1">
        <f t="shared" si="173"/>
        <v>1</v>
      </c>
      <c r="AF362" s="1">
        <f t="shared" si="173"/>
        <v>1</v>
      </c>
      <c r="AG362" s="1">
        <f t="shared" si="173"/>
        <v>1</v>
      </c>
      <c r="AH362" s="1">
        <f t="shared" si="173"/>
        <v>1</v>
      </c>
      <c r="AI362" s="44">
        <f t="shared" si="163"/>
        <v>62408.185723126946</v>
      </c>
      <c r="AJ362" s="44">
        <f t="shared" si="153"/>
        <v>63014.685782657187</v>
      </c>
      <c r="AK362" s="44" t="str">
        <f t="shared" si="171"/>
        <v>N</v>
      </c>
      <c r="AL362" s="4">
        <f t="shared" si="154"/>
        <v>284</v>
      </c>
      <c r="AM362" s="82">
        <f t="shared" si="164"/>
        <v>0</v>
      </c>
      <c r="AN362" s="82">
        <f t="shared" si="155"/>
        <v>0</v>
      </c>
      <c r="AO362" s="48">
        <f>0</f>
        <v>0</v>
      </c>
      <c r="AP362" s="91">
        <f t="shared" si="165"/>
        <v>-606.5000595302439</v>
      </c>
      <c r="AQ362" s="91">
        <f t="shared" si="166"/>
        <v>-606.5000595302439</v>
      </c>
      <c r="AV362" s="84"/>
    </row>
    <row r="363" spans="1:48">
      <c r="A363" s="190">
        <f t="shared" si="156"/>
        <v>89.470910335386719</v>
      </c>
      <c r="B363" s="82">
        <f t="shared" si="157"/>
        <v>24</v>
      </c>
      <c r="C363" s="83">
        <f t="shared" si="158"/>
        <v>285</v>
      </c>
      <c r="D363" s="14">
        <f t="shared" si="145"/>
        <v>4.8675505653430484E-3</v>
      </c>
      <c r="E363" s="16">
        <f t="shared" si="146"/>
        <v>0</v>
      </c>
      <c r="F363" s="127"/>
      <c r="G363" s="88">
        <f t="shared" si="147"/>
        <v>0</v>
      </c>
      <c r="H363" s="89">
        <f t="shared" si="159"/>
        <v>4.1666666666666666E-3</v>
      </c>
      <c r="I363" s="219"/>
      <c r="J363" s="219"/>
      <c r="K363" s="6">
        <f t="shared" si="167"/>
        <v>62408.185723126946</v>
      </c>
      <c r="M363" s="6">
        <f t="shared" si="148"/>
        <v>303.77499969864056</v>
      </c>
      <c r="N363" s="6">
        <f t="shared" si="160"/>
        <v>-70.686211766040699</v>
      </c>
      <c r="O363" s="90">
        <f t="shared" si="149"/>
        <v>525.63308806379894</v>
      </c>
      <c r="P363" s="91">
        <f t="shared" si="150"/>
        <v>0</v>
      </c>
      <c r="Q363" s="6">
        <f t="shared" si="151"/>
        <v>261.00531046274807</v>
      </c>
      <c r="R363" s="87">
        <f t="shared" si="170"/>
        <v>-606.22875902085968</v>
      </c>
      <c r="S363" s="6">
        <f t="shared" si="152"/>
        <v>-12.977713629557186</v>
      </c>
      <c r="T363" s="83">
        <f t="shared" si="161"/>
        <v>0</v>
      </c>
      <c r="U363" s="91">
        <f t="shared" si="168"/>
        <v>127910.56727949626</v>
      </c>
      <c r="V363" s="91">
        <f t="shared" si="162"/>
        <v>622.61115407466207</v>
      </c>
      <c r="W363" s="1">
        <f t="shared" si="173"/>
        <v>0</v>
      </c>
      <c r="X363" s="1">
        <f t="shared" si="173"/>
        <v>0</v>
      </c>
      <c r="Y363" s="1">
        <f t="shared" si="173"/>
        <v>0</v>
      </c>
      <c r="Z363" s="1">
        <f t="shared" si="173"/>
        <v>0</v>
      </c>
      <c r="AA363" s="1">
        <f t="shared" si="173"/>
        <v>0</v>
      </c>
      <c r="AB363" s="1">
        <f t="shared" si="173"/>
        <v>0</v>
      </c>
      <c r="AC363" s="1">
        <f t="shared" si="173"/>
        <v>0</v>
      </c>
      <c r="AD363" s="1">
        <f t="shared" si="173"/>
        <v>0</v>
      </c>
      <c r="AE363" s="1">
        <f t="shared" si="173"/>
        <v>1</v>
      </c>
      <c r="AF363" s="1">
        <f t="shared" si="173"/>
        <v>1</v>
      </c>
      <c r="AG363" s="1">
        <f t="shared" si="173"/>
        <v>1</v>
      </c>
      <c r="AH363" s="1">
        <f t="shared" si="173"/>
        <v>1</v>
      </c>
      <c r="AI363" s="44">
        <f t="shared" si="163"/>
        <v>62035.045752038684</v>
      </c>
      <c r="AJ363" s="44">
        <f t="shared" si="153"/>
        <v>62641.274511059542</v>
      </c>
      <c r="AK363" s="44" t="str">
        <f t="shared" si="171"/>
        <v>N</v>
      </c>
      <c r="AL363" s="4">
        <f t="shared" si="154"/>
        <v>285</v>
      </c>
      <c r="AM363" s="82">
        <f t="shared" si="164"/>
        <v>0</v>
      </c>
      <c r="AN363" s="82">
        <f t="shared" si="155"/>
        <v>0</v>
      </c>
      <c r="AO363" s="48">
        <f>0</f>
        <v>0</v>
      </c>
      <c r="AP363" s="91">
        <f t="shared" si="165"/>
        <v>-606.22875902085968</v>
      </c>
      <c r="AQ363" s="91">
        <f t="shared" si="166"/>
        <v>-606.22875902085968</v>
      </c>
      <c r="AV363" s="84"/>
    </row>
    <row r="364" spans="1:48">
      <c r="A364" s="190">
        <f t="shared" si="156"/>
        <v>89.554243668720048</v>
      </c>
      <c r="B364" s="82">
        <f t="shared" si="157"/>
        <v>24</v>
      </c>
      <c r="C364" s="83">
        <f t="shared" si="158"/>
        <v>286</v>
      </c>
      <c r="D364" s="14">
        <f t="shared" si="145"/>
        <v>4.8675505653430484E-3</v>
      </c>
      <c r="E364" s="16">
        <f t="shared" si="146"/>
        <v>0</v>
      </c>
      <c r="F364" s="127"/>
      <c r="G364" s="88">
        <f t="shared" si="147"/>
        <v>0</v>
      </c>
      <c r="H364" s="89">
        <f t="shared" si="159"/>
        <v>4.1666666666666666E-3</v>
      </c>
      <c r="I364" s="219"/>
      <c r="J364" s="219"/>
      <c r="K364" s="6">
        <f t="shared" si="167"/>
        <v>62035.045752038684</v>
      </c>
      <c r="M364" s="6">
        <f t="shared" si="148"/>
        <v>301.95872202141777</v>
      </c>
      <c r="N364" s="6">
        <f t="shared" si="160"/>
        <v>-70.263577287741086</v>
      </c>
      <c r="O364" s="90">
        <f t="shared" si="149"/>
        <v>525.63308806379894</v>
      </c>
      <c r="P364" s="91">
        <f t="shared" si="150"/>
        <v>0</v>
      </c>
      <c r="Q364" s="6">
        <f t="shared" si="151"/>
        <v>259.44475373655149</v>
      </c>
      <c r="R364" s="87">
        <f t="shared" si="170"/>
        <v>-605.95757987002344</v>
      </c>
      <c r="S364" s="6">
        <f t="shared" si="152"/>
        <v>-12.89976986131005</v>
      </c>
      <c r="T364" s="83">
        <f t="shared" si="161"/>
        <v>0</v>
      </c>
      <c r="U364" s="91">
        <f t="shared" si="168"/>
        <v>127926.94967455007</v>
      </c>
      <c r="V364" s="91">
        <f t="shared" si="162"/>
        <v>622.69089621096782</v>
      </c>
      <c r="W364" s="1">
        <f t="shared" si="173"/>
        <v>0</v>
      </c>
      <c r="X364" s="1">
        <f t="shared" si="173"/>
        <v>0</v>
      </c>
      <c r="Y364" s="1">
        <f t="shared" si="173"/>
        <v>0</v>
      </c>
      <c r="Z364" s="1">
        <f t="shared" si="173"/>
        <v>0</v>
      </c>
      <c r="AA364" s="1">
        <f t="shared" si="173"/>
        <v>0</v>
      </c>
      <c r="AB364" s="1">
        <f t="shared" si="173"/>
        <v>0</v>
      </c>
      <c r="AC364" s="1">
        <f t="shared" si="173"/>
        <v>0</v>
      </c>
      <c r="AD364" s="1">
        <f t="shared" si="173"/>
        <v>0</v>
      </c>
      <c r="AE364" s="1">
        <f t="shared" si="173"/>
        <v>1</v>
      </c>
      <c r="AF364" s="1">
        <f t="shared" si="173"/>
        <v>1</v>
      </c>
      <c r="AG364" s="1">
        <f t="shared" si="173"/>
        <v>1</v>
      </c>
      <c r="AH364" s="1">
        <f t="shared" si="173"/>
        <v>1</v>
      </c>
      <c r="AI364" s="44">
        <f t="shared" si="163"/>
        <v>61660.783316902336</v>
      </c>
      <c r="AJ364" s="44">
        <f t="shared" si="153"/>
        <v>62266.74089677236</v>
      </c>
      <c r="AK364" s="44" t="str">
        <f t="shared" si="171"/>
        <v>N</v>
      </c>
      <c r="AL364" s="4">
        <f t="shared" si="154"/>
        <v>286</v>
      </c>
      <c r="AM364" s="82">
        <f t="shared" si="164"/>
        <v>0</v>
      </c>
      <c r="AN364" s="82">
        <f t="shared" si="155"/>
        <v>0</v>
      </c>
      <c r="AO364" s="48">
        <f>0</f>
        <v>0</v>
      </c>
      <c r="AP364" s="91">
        <f t="shared" si="165"/>
        <v>-605.95757987002344</v>
      </c>
      <c r="AQ364" s="91">
        <f t="shared" si="166"/>
        <v>-605.95757987002344</v>
      </c>
      <c r="AV364" s="84"/>
    </row>
    <row r="365" spans="1:48">
      <c r="A365" s="190">
        <f t="shared" si="156"/>
        <v>89.637577002053376</v>
      </c>
      <c r="B365" s="82">
        <f t="shared" si="157"/>
        <v>24</v>
      </c>
      <c r="C365" s="83">
        <f t="shared" si="158"/>
        <v>287</v>
      </c>
      <c r="D365" s="14">
        <f t="shared" si="145"/>
        <v>4.8675505653430484E-3</v>
      </c>
      <c r="E365" s="16">
        <f t="shared" si="146"/>
        <v>0</v>
      </c>
      <c r="F365" s="127"/>
      <c r="G365" s="88">
        <f t="shared" si="147"/>
        <v>0</v>
      </c>
      <c r="H365" s="89">
        <f t="shared" si="159"/>
        <v>4.1666666666666666E-3</v>
      </c>
      <c r="I365" s="219"/>
      <c r="J365" s="219"/>
      <c r="K365" s="6">
        <f t="shared" si="167"/>
        <v>61660.783316902336</v>
      </c>
      <c r="M365" s="6">
        <f t="shared" si="148"/>
        <v>300.1369806936832</v>
      </c>
      <c r="N365" s="6">
        <f t="shared" si="160"/>
        <v>-69.83967145808775</v>
      </c>
      <c r="O365" s="90">
        <f t="shared" si="149"/>
        <v>525.63308806379894</v>
      </c>
      <c r="P365" s="91">
        <f t="shared" si="150"/>
        <v>0</v>
      </c>
      <c r="Q365" s="6">
        <f t="shared" si="151"/>
        <v>257.87950260890807</v>
      </c>
      <c r="R365" s="87">
        <f t="shared" si="170"/>
        <v>-605.68652202344856</v>
      </c>
      <c r="S365" s="6">
        <f t="shared" si="152"/>
        <v>-12.82159152815878</v>
      </c>
      <c r="T365" s="83">
        <f t="shared" si="161"/>
        <v>0</v>
      </c>
      <c r="U365" s="91">
        <f t="shared" si="168"/>
        <v>127943.68299089101</v>
      </c>
      <c r="V365" s="91">
        <f t="shared" si="162"/>
        <v>622.77234647438331</v>
      </c>
      <c r="W365" s="1">
        <f t="shared" si="173"/>
        <v>0</v>
      </c>
      <c r="X365" s="1">
        <f t="shared" si="173"/>
        <v>0</v>
      </c>
      <c r="Y365" s="1">
        <f t="shared" si="173"/>
        <v>0</v>
      </c>
      <c r="Z365" s="1">
        <f t="shared" si="173"/>
        <v>0</v>
      </c>
      <c r="AA365" s="1">
        <f t="shared" si="173"/>
        <v>0</v>
      </c>
      <c r="AB365" s="1">
        <f t="shared" si="173"/>
        <v>0</v>
      </c>
      <c r="AC365" s="1">
        <f t="shared" si="173"/>
        <v>0</v>
      </c>
      <c r="AD365" s="1">
        <f t="shared" si="173"/>
        <v>0</v>
      </c>
      <c r="AE365" s="1">
        <f t="shared" si="173"/>
        <v>1</v>
      </c>
      <c r="AF365" s="1">
        <f t="shared" si="173"/>
        <v>1</v>
      </c>
      <c r="AG365" s="1">
        <f t="shared" si="173"/>
        <v>1</v>
      </c>
      <c r="AH365" s="1">
        <f t="shared" si="173"/>
        <v>1</v>
      </c>
      <c r="AI365" s="44">
        <f t="shared" si="163"/>
        <v>61285.394104114486</v>
      </c>
      <c r="AJ365" s="44">
        <f t="shared" si="153"/>
        <v>61891.080626137933</v>
      </c>
      <c r="AK365" s="44" t="str">
        <f t="shared" si="171"/>
        <v>N</v>
      </c>
      <c r="AL365" s="4">
        <f t="shared" si="154"/>
        <v>287</v>
      </c>
      <c r="AM365" s="82">
        <f t="shared" si="164"/>
        <v>0</v>
      </c>
      <c r="AN365" s="82">
        <f t="shared" si="155"/>
        <v>0</v>
      </c>
      <c r="AO365" s="48">
        <f>0</f>
        <v>0</v>
      </c>
      <c r="AP365" s="91">
        <f t="shared" si="165"/>
        <v>-605.68652202344856</v>
      </c>
      <c r="AQ365" s="91">
        <f t="shared" si="166"/>
        <v>-605.68652202344856</v>
      </c>
      <c r="AV365" s="84"/>
    </row>
    <row r="366" spans="1:48">
      <c r="A366" s="190">
        <f t="shared" si="156"/>
        <v>89.720910335386719</v>
      </c>
      <c r="B366" s="82">
        <f t="shared" si="157"/>
        <v>24</v>
      </c>
      <c r="C366" s="83">
        <f t="shared" si="158"/>
        <v>288</v>
      </c>
      <c r="D366" s="14">
        <f t="shared" si="145"/>
        <v>4.8675505653430484E-3</v>
      </c>
      <c r="E366" s="16">
        <f t="shared" si="146"/>
        <v>0</v>
      </c>
      <c r="F366" s="127"/>
      <c r="G366" s="88">
        <f t="shared" si="147"/>
        <v>0</v>
      </c>
      <c r="H366" s="89">
        <f t="shared" si="159"/>
        <v>4.1666666666666666E-3</v>
      </c>
      <c r="I366" s="219"/>
      <c r="J366" s="219"/>
      <c r="K366" s="6">
        <f t="shared" si="167"/>
        <v>61285.394104114486</v>
      </c>
      <c r="M366" s="6">
        <f t="shared" si="148"/>
        <v>298.30975471875399</v>
      </c>
      <c r="N366" s="6">
        <f t="shared" si="160"/>
        <v>-69.414489391306773</v>
      </c>
      <c r="O366" s="90">
        <f t="shared" si="149"/>
        <v>525.63308806379894</v>
      </c>
      <c r="P366" s="91">
        <f t="shared" si="150"/>
        <v>0</v>
      </c>
      <c r="Q366" s="6">
        <f t="shared" si="151"/>
        <v>256.30953903934142</v>
      </c>
      <c r="R366" s="87">
        <f t="shared" si="170"/>
        <v>-605.41558542687301</v>
      </c>
      <c r="S366" s="6">
        <f t="shared" si="152"/>
        <v>-12.743177728730144</v>
      </c>
      <c r="T366" s="83">
        <f t="shared" si="161"/>
        <v>0</v>
      </c>
      <c r="U366" s="91">
        <f t="shared" si="168"/>
        <v>127960.76881534196</v>
      </c>
      <c r="V366" s="91">
        <f t="shared" si="162"/>
        <v>622.85551258884891</v>
      </c>
      <c r="W366" s="1">
        <f t="shared" si="173"/>
        <v>0</v>
      </c>
      <c r="X366" s="1">
        <f t="shared" si="173"/>
        <v>0</v>
      </c>
      <c r="Y366" s="1">
        <f t="shared" si="173"/>
        <v>0</v>
      </c>
      <c r="Z366" s="1">
        <f t="shared" si="173"/>
        <v>0</v>
      </c>
      <c r="AA366" s="1">
        <f t="shared" si="173"/>
        <v>0</v>
      </c>
      <c r="AB366" s="1">
        <f t="shared" si="173"/>
        <v>0</v>
      </c>
      <c r="AC366" s="1">
        <f t="shared" si="173"/>
        <v>0</v>
      </c>
      <c r="AD366" s="1">
        <f t="shared" si="173"/>
        <v>0</v>
      </c>
      <c r="AE366" s="1">
        <f t="shared" si="173"/>
        <v>1</v>
      </c>
      <c r="AF366" s="1">
        <f t="shared" si="173"/>
        <v>1</v>
      </c>
      <c r="AG366" s="1">
        <f t="shared" si="173"/>
        <v>1</v>
      </c>
      <c r="AH366" s="1">
        <f t="shared" si="173"/>
        <v>1</v>
      </c>
      <c r="AI366" s="44">
        <f t="shared" si="163"/>
        <v>60908.873784015064</v>
      </c>
      <c r="AJ366" s="44">
        <f t="shared" si="153"/>
        <v>61514.28936944194</v>
      </c>
      <c r="AK366" s="44" t="str">
        <f t="shared" si="171"/>
        <v>N</v>
      </c>
      <c r="AL366" s="4">
        <f t="shared" si="154"/>
        <v>288</v>
      </c>
      <c r="AM366" s="82">
        <f t="shared" si="164"/>
        <v>0</v>
      </c>
      <c r="AN366" s="82">
        <f t="shared" si="155"/>
        <v>0</v>
      </c>
      <c r="AO366" s="48">
        <f>0</f>
        <v>0</v>
      </c>
      <c r="AP366" s="91">
        <f t="shared" si="165"/>
        <v>-605.41558542687301</v>
      </c>
      <c r="AQ366" s="91">
        <f t="shared" si="166"/>
        <v>-605.41558542687301</v>
      </c>
      <c r="AV366" s="84"/>
    </row>
    <row r="367" spans="1:48">
      <c r="A367" s="190">
        <f t="shared" si="156"/>
        <v>89.804243668720048</v>
      </c>
      <c r="B367" s="82">
        <f t="shared" si="157"/>
        <v>25</v>
      </c>
      <c r="C367" s="83">
        <f t="shared" si="158"/>
        <v>289</v>
      </c>
      <c r="D367" s="14">
        <f t="shared" si="145"/>
        <v>4.8675505653430484E-3</v>
      </c>
      <c r="E367" s="16">
        <f t="shared" si="146"/>
        <v>0</v>
      </c>
      <c r="F367" s="127"/>
      <c r="G367" s="88">
        <f t="shared" si="147"/>
        <v>0</v>
      </c>
      <c r="H367" s="89">
        <f t="shared" si="159"/>
        <v>4.1666666666666666E-3</v>
      </c>
      <c r="I367" s="219"/>
      <c r="J367" s="219"/>
      <c r="K367" s="6">
        <f t="shared" si="167"/>
        <v>60908.873784015064</v>
      </c>
      <c r="M367" s="6">
        <f t="shared" si="148"/>
        <v>296.4770230217909</v>
      </c>
      <c r="N367" s="6">
        <f t="shared" si="160"/>
        <v>-68.988026183437839</v>
      </c>
      <c r="O367" s="90">
        <f t="shared" si="149"/>
        <v>536.14574982507497</v>
      </c>
      <c r="P367" s="91">
        <f t="shared" si="150"/>
        <v>0</v>
      </c>
      <c r="Q367" s="6">
        <f t="shared" si="151"/>
        <v>254.73484492022257</v>
      </c>
      <c r="R367" s="87">
        <f t="shared" si="170"/>
        <v>-605.14477002605918</v>
      </c>
      <c r="S367" s="6">
        <f t="shared" si="152"/>
        <v>-12.664527558295669</v>
      </c>
      <c r="T367" s="83">
        <f t="shared" si="161"/>
        <v>0</v>
      </c>
      <c r="U367" s="91">
        <f t="shared" si="168"/>
        <v>127978.20874250394</v>
      </c>
      <c r="V367" s="91">
        <f t="shared" si="162"/>
        <v>622.94040231616566</v>
      </c>
      <c r="W367" s="1">
        <f t="shared" si="173"/>
        <v>0</v>
      </c>
      <c r="X367" s="1">
        <f t="shared" si="173"/>
        <v>0</v>
      </c>
      <c r="Y367" s="1">
        <f t="shared" si="173"/>
        <v>0</v>
      </c>
      <c r="Z367" s="1">
        <f t="shared" si="173"/>
        <v>0</v>
      </c>
      <c r="AA367" s="1">
        <f t="shared" si="173"/>
        <v>0</v>
      </c>
      <c r="AB367" s="1">
        <f t="shared" si="173"/>
        <v>0</v>
      </c>
      <c r="AC367" s="1">
        <f t="shared" si="173"/>
        <v>0</v>
      </c>
      <c r="AD367" s="1">
        <f t="shared" si="173"/>
        <v>0</v>
      </c>
      <c r="AE367" s="1">
        <f t="shared" si="173"/>
        <v>1</v>
      </c>
      <c r="AF367" s="1">
        <f t="shared" si="173"/>
        <v>1</v>
      </c>
      <c r="AG367" s="1">
        <f t="shared" si="173"/>
        <v>1</v>
      </c>
      <c r="AH367" s="1">
        <f t="shared" si="173"/>
        <v>1</v>
      </c>
      <c r="AI367" s="44">
        <f t="shared" si="163"/>
        <v>60531.218010827353</v>
      </c>
      <c r="AJ367" s="44">
        <f t="shared" si="153"/>
        <v>61136.362780853415</v>
      </c>
      <c r="AK367" s="44" t="str">
        <f t="shared" si="171"/>
        <v>N</v>
      </c>
      <c r="AL367" s="4">
        <f t="shared" si="154"/>
        <v>289</v>
      </c>
      <c r="AM367" s="82">
        <f t="shared" si="164"/>
        <v>0</v>
      </c>
      <c r="AN367" s="82">
        <f t="shared" si="155"/>
        <v>0</v>
      </c>
      <c r="AO367" s="48">
        <f>0</f>
        <v>0</v>
      </c>
      <c r="AP367" s="91">
        <f t="shared" si="165"/>
        <v>-605.14477002605918</v>
      </c>
      <c r="AQ367" s="91">
        <f t="shared" si="166"/>
        <v>-605.14477002605918</v>
      </c>
      <c r="AV367" s="84"/>
    </row>
    <row r="368" spans="1:48">
      <c r="A368" s="190">
        <f t="shared" si="156"/>
        <v>89.887577002053376</v>
      </c>
      <c r="B368" s="82">
        <f t="shared" si="157"/>
        <v>25</v>
      </c>
      <c r="C368" s="83">
        <f t="shared" si="158"/>
        <v>290</v>
      </c>
      <c r="D368" s="14">
        <f t="shared" si="145"/>
        <v>4.8675505653430484E-3</v>
      </c>
      <c r="E368" s="16">
        <f t="shared" si="146"/>
        <v>0</v>
      </c>
      <c r="F368" s="127"/>
      <c r="G368" s="88">
        <f t="shared" si="147"/>
        <v>0</v>
      </c>
      <c r="H368" s="89">
        <f t="shared" si="159"/>
        <v>4.1666666666666666E-3</v>
      </c>
      <c r="I368" s="219"/>
      <c r="J368" s="219"/>
      <c r="K368" s="6">
        <f t="shared" si="167"/>
        <v>60531.218010827353</v>
      </c>
      <c r="M368" s="6">
        <f t="shared" si="148"/>
        <v>294.63876444950597</v>
      </c>
      <c r="N368" s="6">
        <f t="shared" si="160"/>
        <v>-68.560276912266161</v>
      </c>
      <c r="O368" s="90">
        <f t="shared" si="149"/>
        <v>536.14574982507497</v>
      </c>
      <c r="P368" s="91">
        <f t="shared" si="150"/>
        <v>0</v>
      </c>
      <c r="Q368" s="6">
        <f t="shared" si="151"/>
        <v>253.15540207651915</v>
      </c>
      <c r="R368" s="87">
        <f t="shared" si="170"/>
        <v>-604.87407576679368</v>
      </c>
      <c r="S368" s="6">
        <f t="shared" si="152"/>
        <v>-12.585640108759122</v>
      </c>
      <c r="T368" s="83">
        <f t="shared" si="161"/>
        <v>0</v>
      </c>
      <c r="U368" s="91">
        <f t="shared" si="168"/>
        <v>127996.00437479404</v>
      </c>
      <c r="V368" s="91">
        <f t="shared" si="162"/>
        <v>623.02702345618002</v>
      </c>
      <c r="W368" s="1">
        <f t="shared" si="173"/>
        <v>0</v>
      </c>
      <c r="X368" s="1">
        <f t="shared" si="173"/>
        <v>0</v>
      </c>
      <c r="Y368" s="1">
        <f t="shared" si="173"/>
        <v>0</v>
      </c>
      <c r="Z368" s="1">
        <f t="shared" si="173"/>
        <v>0</v>
      </c>
      <c r="AA368" s="1">
        <f t="shared" si="173"/>
        <v>0</v>
      </c>
      <c r="AB368" s="1">
        <f t="shared" si="173"/>
        <v>0</v>
      </c>
      <c r="AC368" s="1">
        <f t="shared" si="173"/>
        <v>0</v>
      </c>
      <c r="AD368" s="1">
        <f t="shared" si="173"/>
        <v>0</v>
      </c>
      <c r="AE368" s="1">
        <f t="shared" si="173"/>
        <v>1</v>
      </c>
      <c r="AF368" s="1">
        <f t="shared" si="173"/>
        <v>1</v>
      </c>
      <c r="AG368" s="1">
        <f t="shared" si="173"/>
        <v>1</v>
      </c>
      <c r="AH368" s="1">
        <f t="shared" si="173"/>
        <v>1</v>
      </c>
      <c r="AI368" s="44">
        <f t="shared" si="163"/>
        <v>60152.422422597803</v>
      </c>
      <c r="AJ368" s="44">
        <f t="shared" si="153"/>
        <v>60757.296498364594</v>
      </c>
      <c r="AK368" s="44" t="str">
        <f t="shared" si="171"/>
        <v>N</v>
      </c>
      <c r="AL368" s="4">
        <f t="shared" si="154"/>
        <v>290</v>
      </c>
      <c r="AM368" s="82">
        <f t="shared" si="164"/>
        <v>0</v>
      </c>
      <c r="AN368" s="82">
        <f t="shared" si="155"/>
        <v>0</v>
      </c>
      <c r="AO368" s="48">
        <f>0</f>
        <v>0</v>
      </c>
      <c r="AP368" s="91">
        <f t="shared" si="165"/>
        <v>-604.87407576679368</v>
      </c>
      <c r="AQ368" s="91">
        <f t="shared" si="166"/>
        <v>-604.87407576679368</v>
      </c>
      <c r="AV368" s="84"/>
    </row>
    <row r="369" spans="1:48">
      <c r="A369" s="190">
        <f t="shared" si="156"/>
        <v>89.970910335386719</v>
      </c>
      <c r="B369" s="82">
        <f t="shared" si="157"/>
        <v>25</v>
      </c>
      <c r="C369" s="83">
        <f t="shared" si="158"/>
        <v>291</v>
      </c>
      <c r="D369" s="14">
        <f t="shared" si="145"/>
        <v>4.8675505653430484E-3</v>
      </c>
      <c r="E369" s="16">
        <f t="shared" si="146"/>
        <v>0</v>
      </c>
      <c r="F369" s="127"/>
      <c r="G369" s="88">
        <f t="shared" si="147"/>
        <v>0</v>
      </c>
      <c r="H369" s="89">
        <f t="shared" si="159"/>
        <v>4.1666666666666666E-3</v>
      </c>
      <c r="I369" s="219"/>
      <c r="J369" s="219"/>
      <c r="K369" s="6">
        <f t="shared" si="167"/>
        <v>60152.422422597803</v>
      </c>
      <c r="M369" s="6">
        <f t="shared" si="148"/>
        <v>292.79495776986982</v>
      </c>
      <c r="N369" s="6">
        <f t="shared" si="160"/>
        <v>-68.131236637254403</v>
      </c>
      <c r="O369" s="90">
        <f t="shared" si="149"/>
        <v>536.14574982507497</v>
      </c>
      <c r="P369" s="91">
        <f t="shared" si="150"/>
        <v>0</v>
      </c>
      <c r="Q369" s="6">
        <f t="shared" si="151"/>
        <v>251.5711922655434</v>
      </c>
      <c r="R369" s="87">
        <f t="shared" si="170"/>
        <v>-604.603502594887</v>
      </c>
      <c r="S369" s="6">
        <f t="shared" si="152"/>
        <v>-12.506514468643921</v>
      </c>
      <c r="T369" s="83">
        <f t="shared" si="161"/>
        <v>0</v>
      </c>
      <c r="U369" s="91">
        <f t="shared" si="168"/>
        <v>128014.15732248341</v>
      </c>
      <c r="V369" s="91">
        <f t="shared" si="162"/>
        <v>623.11538384696803</v>
      </c>
      <c r="W369" s="1">
        <f t="shared" ref="W369:AH378" si="174">IF($B369&lt;=W$78,1,0)</f>
        <v>0</v>
      </c>
      <c r="X369" s="1">
        <f t="shared" si="174"/>
        <v>0</v>
      </c>
      <c r="Y369" s="1">
        <f t="shared" si="174"/>
        <v>0</v>
      </c>
      <c r="Z369" s="1">
        <f t="shared" si="174"/>
        <v>0</v>
      </c>
      <c r="AA369" s="1">
        <f t="shared" si="174"/>
        <v>0</v>
      </c>
      <c r="AB369" s="1">
        <f t="shared" si="174"/>
        <v>0</v>
      </c>
      <c r="AC369" s="1">
        <f t="shared" si="174"/>
        <v>0</v>
      </c>
      <c r="AD369" s="1">
        <f t="shared" si="174"/>
        <v>0</v>
      </c>
      <c r="AE369" s="1">
        <f t="shared" si="174"/>
        <v>1</v>
      </c>
      <c r="AF369" s="1">
        <f t="shared" si="174"/>
        <v>1</v>
      </c>
      <c r="AG369" s="1">
        <f t="shared" si="174"/>
        <v>1</v>
      </c>
      <c r="AH369" s="1">
        <f t="shared" si="174"/>
        <v>1</v>
      </c>
      <c r="AI369" s="44">
        <f t="shared" si="163"/>
        <v>59772.482641135532</v>
      </c>
      <c r="AJ369" s="44">
        <f t="shared" si="153"/>
        <v>60377.086143730419</v>
      </c>
      <c r="AK369" s="44" t="str">
        <f t="shared" si="171"/>
        <v>N</v>
      </c>
      <c r="AL369" s="4">
        <f t="shared" si="154"/>
        <v>291</v>
      </c>
      <c r="AM369" s="82">
        <f t="shared" si="164"/>
        <v>0</v>
      </c>
      <c r="AN369" s="82">
        <f t="shared" si="155"/>
        <v>0</v>
      </c>
      <c r="AO369" s="48">
        <f>0</f>
        <v>0</v>
      </c>
      <c r="AP369" s="91">
        <f t="shared" si="165"/>
        <v>-604.603502594887</v>
      </c>
      <c r="AQ369" s="91">
        <f t="shared" si="166"/>
        <v>-604.603502594887</v>
      </c>
      <c r="AV369" s="84"/>
    </row>
    <row r="370" spans="1:48">
      <c r="A370" s="190">
        <f t="shared" si="156"/>
        <v>90.054243668720048</v>
      </c>
      <c r="B370" s="82">
        <f t="shared" si="157"/>
        <v>25</v>
      </c>
      <c r="C370" s="83">
        <f t="shared" si="158"/>
        <v>292</v>
      </c>
      <c r="D370" s="14">
        <f t="shared" si="145"/>
        <v>4.8675505653430484E-3</v>
      </c>
      <c r="E370" s="16">
        <f t="shared" si="146"/>
        <v>0</v>
      </c>
      <c r="F370" s="127"/>
      <c r="G370" s="88">
        <f t="shared" si="147"/>
        <v>0</v>
      </c>
      <c r="H370" s="89">
        <f t="shared" si="159"/>
        <v>4.1666666666666666E-3</v>
      </c>
      <c r="I370" s="219"/>
      <c r="J370" s="219"/>
      <c r="K370" s="6">
        <f t="shared" si="167"/>
        <v>59772.482641135532</v>
      </c>
      <c r="M370" s="6">
        <f t="shared" si="148"/>
        <v>290.9455816718168</v>
      </c>
      <c r="N370" s="6">
        <f t="shared" si="160"/>
        <v>-67.700900399474079</v>
      </c>
      <c r="O370" s="90">
        <f t="shared" si="149"/>
        <v>536.14574982507497</v>
      </c>
      <c r="P370" s="91">
        <f t="shared" si="150"/>
        <v>0</v>
      </c>
      <c r="Q370" s="6">
        <f t="shared" si="151"/>
        <v>249.98219717669949</v>
      </c>
      <c r="R370" s="87">
        <f t="shared" si="170"/>
        <v>-619.73820576462901</v>
      </c>
      <c r="S370" s="6">
        <f t="shared" si="152"/>
        <v>-12.425543177737355</v>
      </c>
      <c r="T370" s="83">
        <f t="shared" si="161"/>
        <v>0</v>
      </c>
      <c r="U370" s="91">
        <f t="shared" si="168"/>
        <v>128032.6692037355</v>
      </c>
      <c r="V370" s="91">
        <f t="shared" si="162"/>
        <v>623.20549136502223</v>
      </c>
      <c r="W370" s="1">
        <f t="shared" si="174"/>
        <v>0</v>
      </c>
      <c r="X370" s="1">
        <f t="shared" si="174"/>
        <v>0</v>
      </c>
      <c r="Y370" s="1">
        <f t="shared" si="174"/>
        <v>0</v>
      </c>
      <c r="Z370" s="1">
        <f t="shared" si="174"/>
        <v>0</v>
      </c>
      <c r="AA370" s="1">
        <f t="shared" si="174"/>
        <v>0</v>
      </c>
      <c r="AB370" s="1">
        <f t="shared" si="174"/>
        <v>0</v>
      </c>
      <c r="AC370" s="1">
        <f t="shared" si="174"/>
        <v>0</v>
      </c>
      <c r="AD370" s="1">
        <f t="shared" si="174"/>
        <v>0</v>
      </c>
      <c r="AE370" s="1">
        <f t="shared" si="174"/>
        <v>1</v>
      </c>
      <c r="AF370" s="1">
        <f t="shared" si="174"/>
        <v>1</v>
      </c>
      <c r="AG370" s="1">
        <f t="shared" si="174"/>
        <v>1</v>
      </c>
      <c r="AH370" s="1">
        <f t="shared" si="174"/>
        <v>1</v>
      </c>
      <c r="AI370" s="44">
        <f t="shared" si="163"/>
        <v>59375.989116643243</v>
      </c>
      <c r="AJ370" s="44">
        <f t="shared" si="153"/>
        <v>59995.727322407874</v>
      </c>
      <c r="AK370" s="44" t="str">
        <f t="shared" si="171"/>
        <v>N</v>
      </c>
      <c r="AL370" s="4">
        <f t="shared" si="154"/>
        <v>292</v>
      </c>
      <c r="AM370" s="82">
        <f t="shared" si="164"/>
        <v>0</v>
      </c>
      <c r="AN370" s="82">
        <f t="shared" si="155"/>
        <v>0</v>
      </c>
      <c r="AO370" s="48">
        <f>0</f>
        <v>0</v>
      </c>
      <c r="AP370" s="91">
        <f t="shared" si="165"/>
        <v>-619.73820576462901</v>
      </c>
      <c r="AQ370" s="91">
        <f t="shared" si="166"/>
        <v>-619.73820576462901</v>
      </c>
      <c r="AV370" s="84"/>
    </row>
    <row r="371" spans="1:48">
      <c r="A371" s="190">
        <f t="shared" si="156"/>
        <v>90.137577002053376</v>
      </c>
      <c r="B371" s="82">
        <f t="shared" si="157"/>
        <v>25</v>
      </c>
      <c r="C371" s="83">
        <f t="shared" si="158"/>
        <v>293</v>
      </c>
      <c r="D371" s="14">
        <f t="shared" si="145"/>
        <v>4.8675505653430484E-3</v>
      </c>
      <c r="E371" s="16">
        <f t="shared" si="146"/>
        <v>0</v>
      </c>
      <c r="F371" s="127"/>
      <c r="G371" s="88">
        <f t="shared" si="147"/>
        <v>0</v>
      </c>
      <c r="H371" s="89">
        <f t="shared" si="159"/>
        <v>4.1666666666666666E-3</v>
      </c>
      <c r="I371" s="219"/>
      <c r="J371" s="219"/>
      <c r="K371" s="6">
        <f t="shared" si="167"/>
        <v>59375.989116643243</v>
      </c>
      <c r="M371" s="6">
        <f t="shared" si="148"/>
        <v>289.01562939251949</v>
      </c>
      <c r="N371" s="6">
        <f t="shared" si="160"/>
        <v>-67.251814676000805</v>
      </c>
      <c r="O371" s="90">
        <f t="shared" si="149"/>
        <v>536.14574982507497</v>
      </c>
      <c r="P371" s="91">
        <f t="shared" si="150"/>
        <v>0</v>
      </c>
      <c r="Q371" s="6">
        <f t="shared" si="151"/>
        <v>248.32397054733235</v>
      </c>
      <c r="R371" s="87">
        <f t="shared" si="170"/>
        <v>-619.46098354796709</v>
      </c>
      <c r="S371" s="6">
        <f t="shared" si="152"/>
        <v>-12.342720036108544</v>
      </c>
      <c r="T371" s="83">
        <f t="shared" si="161"/>
        <v>0</v>
      </c>
      <c r="U371" s="91">
        <f t="shared" si="168"/>
        <v>128036.13648933588</v>
      </c>
      <c r="V371" s="91">
        <f t="shared" si="162"/>
        <v>623.22236855300662</v>
      </c>
      <c r="W371" s="1">
        <f t="shared" si="174"/>
        <v>0</v>
      </c>
      <c r="X371" s="1">
        <f t="shared" si="174"/>
        <v>0</v>
      </c>
      <c r="Y371" s="1">
        <f t="shared" si="174"/>
        <v>0</v>
      </c>
      <c r="Z371" s="1">
        <f t="shared" si="174"/>
        <v>0</v>
      </c>
      <c r="AA371" s="1">
        <f t="shared" si="174"/>
        <v>0</v>
      </c>
      <c r="AB371" s="1">
        <f t="shared" si="174"/>
        <v>0</v>
      </c>
      <c r="AC371" s="1">
        <f t="shared" si="174"/>
        <v>0</v>
      </c>
      <c r="AD371" s="1">
        <f t="shared" si="174"/>
        <v>0</v>
      </c>
      <c r="AE371" s="1">
        <f t="shared" si="174"/>
        <v>1</v>
      </c>
      <c r="AF371" s="1">
        <f t="shared" si="174"/>
        <v>1</v>
      </c>
      <c r="AG371" s="1">
        <f t="shared" si="174"/>
        <v>1</v>
      </c>
      <c r="AH371" s="1">
        <f t="shared" si="174"/>
        <v>1</v>
      </c>
      <c r="AI371" s="44">
        <f t="shared" si="163"/>
        <v>58978.291947811798</v>
      </c>
      <c r="AJ371" s="44">
        <f t="shared" si="153"/>
        <v>59597.752931359762</v>
      </c>
      <c r="AK371" s="44" t="str">
        <f t="shared" si="171"/>
        <v>N</v>
      </c>
      <c r="AL371" s="4">
        <f t="shared" si="154"/>
        <v>293</v>
      </c>
      <c r="AM371" s="82">
        <f t="shared" si="164"/>
        <v>0</v>
      </c>
      <c r="AN371" s="82">
        <f t="shared" si="155"/>
        <v>0</v>
      </c>
      <c r="AO371" s="48">
        <f>0</f>
        <v>0</v>
      </c>
      <c r="AP371" s="91">
        <f t="shared" si="165"/>
        <v>-619.46098354796709</v>
      </c>
      <c r="AQ371" s="91">
        <f t="shared" si="166"/>
        <v>-619.46098354796709</v>
      </c>
      <c r="AV371" s="84"/>
    </row>
    <row r="372" spans="1:48">
      <c r="A372" s="190">
        <f t="shared" si="156"/>
        <v>90.220910335386719</v>
      </c>
      <c r="B372" s="82">
        <f t="shared" si="157"/>
        <v>25</v>
      </c>
      <c r="C372" s="83">
        <f t="shared" si="158"/>
        <v>294</v>
      </c>
      <c r="D372" s="14">
        <f t="shared" si="145"/>
        <v>4.8675505653430484E-3</v>
      </c>
      <c r="E372" s="16">
        <f t="shared" si="146"/>
        <v>0</v>
      </c>
      <c r="F372" s="127"/>
      <c r="G372" s="88">
        <f t="shared" si="147"/>
        <v>0</v>
      </c>
      <c r="H372" s="89">
        <f t="shared" si="159"/>
        <v>4.1666666666666666E-3</v>
      </c>
      <c r="I372" s="219"/>
      <c r="J372" s="219"/>
      <c r="K372" s="6">
        <f t="shared" si="167"/>
        <v>58978.291947811798</v>
      </c>
      <c r="M372" s="6">
        <f t="shared" si="148"/>
        <v>287.07981831353868</v>
      </c>
      <c r="N372" s="6">
        <f t="shared" si="160"/>
        <v>-66.801365652863169</v>
      </c>
      <c r="O372" s="90">
        <f t="shared" si="149"/>
        <v>536.14574982507497</v>
      </c>
      <c r="P372" s="91">
        <f t="shared" si="150"/>
        <v>0</v>
      </c>
      <c r="Q372" s="6">
        <f t="shared" si="151"/>
        <v>246.66071000196865</v>
      </c>
      <c r="R372" s="87">
        <f t="shared" si="170"/>
        <v>-619.18388533875964</v>
      </c>
      <c r="S372" s="6">
        <f t="shared" si="152"/>
        <v>-12.259645365703394</v>
      </c>
      <c r="T372" s="83">
        <f t="shared" si="161"/>
        <v>0</v>
      </c>
      <c r="U372" s="91">
        <f t="shared" si="168"/>
        <v>128039.89787434092</v>
      </c>
      <c r="V372" s="91">
        <f t="shared" si="162"/>
        <v>623.24067728471437</v>
      </c>
      <c r="W372" s="1">
        <f t="shared" si="174"/>
        <v>0</v>
      </c>
      <c r="X372" s="1">
        <f t="shared" si="174"/>
        <v>0</v>
      </c>
      <c r="Y372" s="1">
        <f t="shared" si="174"/>
        <v>0</v>
      </c>
      <c r="Z372" s="1">
        <f t="shared" si="174"/>
        <v>0</v>
      </c>
      <c r="AA372" s="1">
        <f t="shared" si="174"/>
        <v>0</v>
      </c>
      <c r="AB372" s="1">
        <f t="shared" si="174"/>
        <v>0</v>
      </c>
      <c r="AC372" s="1">
        <f t="shared" si="174"/>
        <v>0</v>
      </c>
      <c r="AD372" s="1">
        <f t="shared" si="174"/>
        <v>0</v>
      </c>
      <c r="AE372" s="1">
        <f t="shared" si="174"/>
        <v>1</v>
      </c>
      <c r="AF372" s="1">
        <f t="shared" si="174"/>
        <v>1</v>
      </c>
      <c r="AG372" s="1">
        <f t="shared" si="174"/>
        <v>1</v>
      </c>
      <c r="AH372" s="1">
        <f t="shared" si="174"/>
        <v>1</v>
      </c>
      <c r="AI372" s="44">
        <f t="shared" si="163"/>
        <v>58579.386515133716</v>
      </c>
      <c r="AJ372" s="44">
        <f t="shared" si="153"/>
        <v>59198.570400472476</v>
      </c>
      <c r="AK372" s="44" t="str">
        <f t="shared" si="171"/>
        <v>N</v>
      </c>
      <c r="AL372" s="4">
        <f t="shared" si="154"/>
        <v>294</v>
      </c>
      <c r="AM372" s="82">
        <f t="shared" si="164"/>
        <v>0</v>
      </c>
      <c r="AN372" s="82">
        <f t="shared" si="155"/>
        <v>0</v>
      </c>
      <c r="AO372" s="48">
        <f>0</f>
        <v>0</v>
      </c>
      <c r="AP372" s="91">
        <f t="shared" si="165"/>
        <v>-619.18388533875964</v>
      </c>
      <c r="AQ372" s="91">
        <f t="shared" si="166"/>
        <v>-619.18388533875964</v>
      </c>
      <c r="AV372" s="84"/>
    </row>
    <row r="373" spans="1:48">
      <c r="A373" s="190">
        <f t="shared" si="156"/>
        <v>90.304243668720048</v>
      </c>
      <c r="B373" s="82">
        <f t="shared" si="157"/>
        <v>25</v>
      </c>
      <c r="C373" s="83">
        <f t="shared" si="158"/>
        <v>295</v>
      </c>
      <c r="D373" s="14">
        <f t="shared" si="145"/>
        <v>4.8675505653430484E-3</v>
      </c>
      <c r="E373" s="16">
        <f t="shared" si="146"/>
        <v>0</v>
      </c>
      <c r="F373" s="127"/>
      <c r="G373" s="88">
        <f t="shared" si="147"/>
        <v>0</v>
      </c>
      <c r="H373" s="89">
        <f t="shared" si="159"/>
        <v>4.1666666666666666E-3</v>
      </c>
      <c r="I373" s="219"/>
      <c r="J373" s="219"/>
      <c r="K373" s="6">
        <f t="shared" si="167"/>
        <v>58579.386515133716</v>
      </c>
      <c r="M373" s="6">
        <f t="shared" si="148"/>
        <v>285.13812594918807</v>
      </c>
      <c r="N373" s="6">
        <f t="shared" si="160"/>
        <v>-66.349548097807116</v>
      </c>
      <c r="O373" s="90">
        <f t="shared" si="149"/>
        <v>536.14574982507497</v>
      </c>
      <c r="P373" s="91">
        <f t="shared" si="150"/>
        <v>0</v>
      </c>
      <c r="Q373" s="6">
        <f t="shared" si="151"/>
        <v>244.99239622077124</v>
      </c>
      <c r="R373" s="87">
        <f t="shared" si="170"/>
        <v>-618.90691108153533</v>
      </c>
      <c r="S373" s="6">
        <f t="shared" si="152"/>
        <v>-12.176318201226501</v>
      </c>
      <c r="T373" s="83">
        <f t="shared" si="161"/>
        <v>0</v>
      </c>
      <c r="U373" s="91">
        <f t="shared" si="168"/>
        <v>128043.95466628688</v>
      </c>
      <c r="V373" s="91">
        <f t="shared" si="162"/>
        <v>623.26042392464433</v>
      </c>
      <c r="W373" s="1">
        <f t="shared" si="174"/>
        <v>0</v>
      </c>
      <c r="X373" s="1">
        <f t="shared" si="174"/>
        <v>0</v>
      </c>
      <c r="Y373" s="1">
        <f t="shared" si="174"/>
        <v>0</v>
      </c>
      <c r="Z373" s="1">
        <f t="shared" si="174"/>
        <v>0</v>
      </c>
      <c r="AA373" s="1">
        <f t="shared" si="174"/>
        <v>0</v>
      </c>
      <c r="AB373" s="1">
        <f t="shared" si="174"/>
        <v>0</v>
      </c>
      <c r="AC373" s="1">
        <f t="shared" si="174"/>
        <v>0</v>
      </c>
      <c r="AD373" s="1">
        <f t="shared" si="174"/>
        <v>0</v>
      </c>
      <c r="AE373" s="1">
        <f t="shared" si="174"/>
        <v>1</v>
      </c>
      <c r="AF373" s="1">
        <f t="shared" si="174"/>
        <v>1</v>
      </c>
      <c r="AG373" s="1">
        <f t="shared" si="174"/>
        <v>1</v>
      </c>
      <c r="AH373" s="1">
        <f t="shared" si="174"/>
        <v>1</v>
      </c>
      <c r="AI373" s="44">
        <f t="shared" si="163"/>
        <v>58179.268181903564</v>
      </c>
      <c r="AJ373" s="44">
        <f t="shared" si="153"/>
        <v>58798.175092985097</v>
      </c>
      <c r="AK373" s="44" t="str">
        <f t="shared" si="171"/>
        <v>N</v>
      </c>
      <c r="AL373" s="4">
        <f t="shared" si="154"/>
        <v>295</v>
      </c>
      <c r="AM373" s="82">
        <f t="shared" si="164"/>
        <v>0</v>
      </c>
      <c r="AN373" s="82">
        <f t="shared" si="155"/>
        <v>0</v>
      </c>
      <c r="AO373" s="48">
        <f>0</f>
        <v>0</v>
      </c>
      <c r="AP373" s="91">
        <f t="shared" si="165"/>
        <v>-618.90691108153533</v>
      </c>
      <c r="AQ373" s="91">
        <f t="shared" si="166"/>
        <v>-618.90691108153533</v>
      </c>
      <c r="AV373" s="84"/>
    </row>
    <row r="374" spans="1:48">
      <c r="A374" s="190">
        <f t="shared" si="156"/>
        <v>90.387577002053376</v>
      </c>
      <c r="B374" s="82">
        <f t="shared" si="157"/>
        <v>25</v>
      </c>
      <c r="C374" s="83">
        <f t="shared" si="158"/>
        <v>296</v>
      </c>
      <c r="D374" s="14">
        <f t="shared" si="145"/>
        <v>4.8675505653430484E-3</v>
      </c>
      <c r="E374" s="16">
        <f t="shared" si="146"/>
        <v>0</v>
      </c>
      <c r="F374" s="127"/>
      <c r="G374" s="88">
        <f t="shared" si="147"/>
        <v>0</v>
      </c>
      <c r="H374" s="89">
        <f t="shared" si="159"/>
        <v>4.1666666666666666E-3</v>
      </c>
      <c r="I374" s="219"/>
      <c r="J374" s="219"/>
      <c r="K374" s="6">
        <f t="shared" si="167"/>
        <v>58179.268181903564</v>
      </c>
      <c r="M374" s="6">
        <f t="shared" si="148"/>
        <v>283.1905297300695</v>
      </c>
      <c r="N374" s="6">
        <f t="shared" si="160"/>
        <v>-65.896356759099433</v>
      </c>
      <c r="O374" s="90">
        <f t="shared" si="149"/>
        <v>536.14574982507497</v>
      </c>
      <c r="P374" s="91">
        <f t="shared" si="150"/>
        <v>0</v>
      </c>
      <c r="Q374" s="6">
        <f t="shared" si="151"/>
        <v>243.31900981197722</v>
      </c>
      <c r="R374" s="87">
        <f t="shared" si="170"/>
        <v>-618.63006072084875</v>
      </c>
      <c r="S374" s="6">
        <f t="shared" si="152"/>
        <v>-12.092737573788725</v>
      </c>
      <c r="T374" s="83">
        <f t="shared" si="161"/>
        <v>0</v>
      </c>
      <c r="U374" s="91">
        <f t="shared" si="168"/>
        <v>128048.30817912999</v>
      </c>
      <c r="V374" s="91">
        <f t="shared" si="162"/>
        <v>623.28161486854503</v>
      </c>
      <c r="W374" s="1">
        <f t="shared" si="174"/>
        <v>0</v>
      </c>
      <c r="X374" s="1">
        <f t="shared" si="174"/>
        <v>0</v>
      </c>
      <c r="Y374" s="1">
        <f t="shared" si="174"/>
        <v>0</v>
      </c>
      <c r="Z374" s="1">
        <f t="shared" si="174"/>
        <v>0</v>
      </c>
      <c r="AA374" s="1">
        <f t="shared" si="174"/>
        <v>0</v>
      </c>
      <c r="AB374" s="1">
        <f t="shared" si="174"/>
        <v>0</v>
      </c>
      <c r="AC374" s="1">
        <f t="shared" si="174"/>
        <v>0</v>
      </c>
      <c r="AD374" s="1">
        <f t="shared" si="174"/>
        <v>0</v>
      </c>
      <c r="AE374" s="1">
        <f t="shared" si="174"/>
        <v>1</v>
      </c>
      <c r="AF374" s="1">
        <f t="shared" si="174"/>
        <v>1</v>
      </c>
      <c r="AG374" s="1">
        <f t="shared" si="174"/>
        <v>1</v>
      </c>
      <c r="AH374" s="1">
        <f t="shared" si="174"/>
        <v>1</v>
      </c>
      <c r="AI374" s="44">
        <f t="shared" si="163"/>
        <v>57777.932294153688</v>
      </c>
      <c r="AJ374" s="44">
        <f t="shared" si="153"/>
        <v>58396.562354874535</v>
      </c>
      <c r="AK374" s="44" t="str">
        <f t="shared" si="171"/>
        <v>N</v>
      </c>
      <c r="AL374" s="4">
        <f t="shared" si="154"/>
        <v>296</v>
      </c>
      <c r="AM374" s="82">
        <f t="shared" si="164"/>
        <v>0</v>
      </c>
      <c r="AN374" s="82">
        <f t="shared" si="155"/>
        <v>0</v>
      </c>
      <c r="AO374" s="48">
        <f>0</f>
        <v>0</v>
      </c>
      <c r="AP374" s="91">
        <f t="shared" si="165"/>
        <v>-618.63006072084875</v>
      </c>
      <c r="AQ374" s="91">
        <f t="shared" si="166"/>
        <v>-618.63006072084875</v>
      </c>
      <c r="AV374" s="84"/>
    </row>
    <row r="375" spans="1:48">
      <c r="A375" s="190">
        <f t="shared" si="156"/>
        <v>90.470910335386719</v>
      </c>
      <c r="B375" s="82">
        <f t="shared" si="157"/>
        <v>25</v>
      </c>
      <c r="C375" s="83">
        <f t="shared" si="158"/>
        <v>297</v>
      </c>
      <c r="D375" s="14">
        <f t="shared" si="145"/>
        <v>4.8675505653430484E-3</v>
      </c>
      <c r="E375" s="16">
        <f t="shared" si="146"/>
        <v>0</v>
      </c>
      <c r="F375" s="127"/>
      <c r="G375" s="88">
        <f t="shared" si="147"/>
        <v>0</v>
      </c>
      <c r="H375" s="89">
        <f t="shared" si="159"/>
        <v>4.1666666666666666E-3</v>
      </c>
      <c r="I375" s="219"/>
      <c r="J375" s="219"/>
      <c r="K375" s="6">
        <f t="shared" si="167"/>
        <v>57777.932294153688</v>
      </c>
      <c r="M375" s="6">
        <f t="shared" si="148"/>
        <v>281.23700700276015</v>
      </c>
      <c r="N375" s="6">
        <f t="shared" si="160"/>
        <v>-65.441786365454945</v>
      </c>
      <c r="O375" s="90">
        <f t="shared" si="149"/>
        <v>536.14574982507497</v>
      </c>
      <c r="P375" s="91">
        <f t="shared" si="150"/>
        <v>0</v>
      </c>
      <c r="Q375" s="6">
        <f t="shared" si="151"/>
        <v>241.64053131162916</v>
      </c>
      <c r="R375" s="87">
        <f t="shared" si="170"/>
        <v>-618.35333420127688</v>
      </c>
      <c r="S375" s="6">
        <f t="shared" si="152"/>
        <v>-12.008902510893785</v>
      </c>
      <c r="T375" s="83">
        <f t="shared" si="161"/>
        <v>0</v>
      </c>
      <c r="U375" s="91">
        <f t="shared" si="168"/>
        <v>128052.95973327768</v>
      </c>
      <c r="V375" s="91">
        <f t="shared" si="162"/>
        <v>623.30425654356634</v>
      </c>
      <c r="W375" s="1">
        <f t="shared" si="174"/>
        <v>0</v>
      </c>
      <c r="X375" s="1">
        <f t="shared" si="174"/>
        <v>0</v>
      </c>
      <c r="Y375" s="1">
        <f t="shared" si="174"/>
        <v>0</v>
      </c>
      <c r="Z375" s="1">
        <f t="shared" si="174"/>
        <v>0</v>
      </c>
      <c r="AA375" s="1">
        <f t="shared" si="174"/>
        <v>0</v>
      </c>
      <c r="AB375" s="1">
        <f t="shared" si="174"/>
        <v>0</v>
      </c>
      <c r="AC375" s="1">
        <f t="shared" si="174"/>
        <v>0</v>
      </c>
      <c r="AD375" s="1">
        <f t="shared" si="174"/>
        <v>0</v>
      </c>
      <c r="AE375" s="1">
        <f t="shared" si="174"/>
        <v>1</v>
      </c>
      <c r="AF375" s="1">
        <f t="shared" si="174"/>
        <v>1</v>
      </c>
      <c r="AG375" s="1">
        <f t="shared" si="174"/>
        <v>1</v>
      </c>
      <c r="AH375" s="1">
        <f t="shared" si="174"/>
        <v>1</v>
      </c>
      <c r="AI375" s="44">
        <f t="shared" si="163"/>
        <v>57375.374180589723</v>
      </c>
      <c r="AJ375" s="44">
        <f t="shared" si="153"/>
        <v>57993.727514790997</v>
      </c>
      <c r="AK375" s="44" t="str">
        <f t="shared" si="171"/>
        <v>N</v>
      </c>
      <c r="AL375" s="4">
        <f t="shared" si="154"/>
        <v>297</v>
      </c>
      <c r="AM375" s="82">
        <f t="shared" si="164"/>
        <v>0</v>
      </c>
      <c r="AN375" s="82">
        <f t="shared" si="155"/>
        <v>0</v>
      </c>
      <c r="AO375" s="48">
        <f>0</f>
        <v>0</v>
      </c>
      <c r="AP375" s="91">
        <f t="shared" si="165"/>
        <v>-618.35333420127688</v>
      </c>
      <c r="AQ375" s="91">
        <f t="shared" si="166"/>
        <v>-618.35333420127688</v>
      </c>
      <c r="AV375" s="84"/>
    </row>
    <row r="376" spans="1:48">
      <c r="A376" s="190">
        <f t="shared" si="156"/>
        <v>90.554243668720048</v>
      </c>
      <c r="B376" s="82">
        <f t="shared" si="157"/>
        <v>25</v>
      </c>
      <c r="C376" s="83">
        <f t="shared" si="158"/>
        <v>298</v>
      </c>
      <c r="D376" s="14">
        <f t="shared" si="145"/>
        <v>4.8675505653430484E-3</v>
      </c>
      <c r="E376" s="16">
        <f t="shared" si="146"/>
        <v>0</v>
      </c>
      <c r="F376" s="127"/>
      <c r="G376" s="88">
        <f t="shared" si="147"/>
        <v>0</v>
      </c>
      <c r="H376" s="89">
        <f t="shared" si="159"/>
        <v>4.1666666666666666E-3</v>
      </c>
      <c r="I376" s="219"/>
      <c r="J376" s="219"/>
      <c r="K376" s="6">
        <f t="shared" si="167"/>
        <v>57375.374180589723</v>
      </c>
      <c r="M376" s="6">
        <f t="shared" si="148"/>
        <v>279.27753502949844</v>
      </c>
      <c r="N376" s="6">
        <f t="shared" si="160"/>
        <v>-64.985831625963542</v>
      </c>
      <c r="O376" s="90">
        <f t="shared" si="149"/>
        <v>536.14574982507497</v>
      </c>
      <c r="P376" s="91">
        <f t="shared" si="150"/>
        <v>0</v>
      </c>
      <c r="Q376" s="6">
        <f t="shared" si="151"/>
        <v>239.95694118330525</v>
      </c>
      <c r="R376" s="87">
        <f t="shared" si="170"/>
        <v>-618.07673146742388</v>
      </c>
      <c r="S376" s="6">
        <f t="shared" si="152"/>
        <v>-11.924812036424774</v>
      </c>
      <c r="T376" s="83">
        <f t="shared" si="161"/>
        <v>0</v>
      </c>
      <c r="U376" s="91">
        <f t="shared" si="168"/>
        <v>128057.91065561995</v>
      </c>
      <c r="V376" s="91">
        <f t="shared" si="162"/>
        <v>623.32835540841245</v>
      </c>
      <c r="W376" s="1">
        <f t="shared" si="174"/>
        <v>0</v>
      </c>
      <c r="X376" s="1">
        <f t="shared" si="174"/>
        <v>0</v>
      </c>
      <c r="Y376" s="1">
        <f t="shared" si="174"/>
        <v>0</v>
      </c>
      <c r="Z376" s="1">
        <f t="shared" si="174"/>
        <v>0</v>
      </c>
      <c r="AA376" s="1">
        <f t="shared" si="174"/>
        <v>0</v>
      </c>
      <c r="AB376" s="1">
        <f t="shared" si="174"/>
        <v>0</v>
      </c>
      <c r="AC376" s="1">
        <f t="shared" si="174"/>
        <v>0</v>
      </c>
      <c r="AD376" s="1">
        <f t="shared" si="174"/>
        <v>0</v>
      </c>
      <c r="AE376" s="1">
        <f t="shared" si="174"/>
        <v>1</v>
      </c>
      <c r="AF376" s="1">
        <f t="shared" si="174"/>
        <v>1</v>
      </c>
      <c r="AG376" s="1">
        <f t="shared" si="174"/>
        <v>1</v>
      </c>
      <c r="AH376" s="1">
        <f t="shared" si="174"/>
        <v>1</v>
      </c>
      <c r="AI376" s="44">
        <f t="shared" si="163"/>
        <v>56971.589152525834</v>
      </c>
      <c r="AJ376" s="44">
        <f t="shared" si="153"/>
        <v>57589.665883993257</v>
      </c>
      <c r="AK376" s="44" t="str">
        <f t="shared" si="171"/>
        <v>N</v>
      </c>
      <c r="AL376" s="4">
        <f t="shared" si="154"/>
        <v>298</v>
      </c>
      <c r="AM376" s="82">
        <f t="shared" si="164"/>
        <v>0</v>
      </c>
      <c r="AN376" s="82">
        <f t="shared" si="155"/>
        <v>0</v>
      </c>
      <c r="AO376" s="48">
        <f>0</f>
        <v>0</v>
      </c>
      <c r="AP376" s="91">
        <f t="shared" si="165"/>
        <v>-618.07673146742388</v>
      </c>
      <c r="AQ376" s="91">
        <f t="shared" si="166"/>
        <v>-618.07673146742388</v>
      </c>
      <c r="AV376" s="84"/>
    </row>
    <row r="377" spans="1:48">
      <c r="A377" s="190">
        <f t="shared" si="156"/>
        <v>90.637577002053376</v>
      </c>
      <c r="B377" s="82">
        <f t="shared" si="157"/>
        <v>25</v>
      </c>
      <c r="C377" s="83">
        <f t="shared" si="158"/>
        <v>299</v>
      </c>
      <c r="D377" s="14">
        <f t="shared" si="145"/>
        <v>4.8675505653430484E-3</v>
      </c>
      <c r="E377" s="16">
        <f t="shared" si="146"/>
        <v>0</v>
      </c>
      <c r="F377" s="127"/>
      <c r="G377" s="88">
        <f t="shared" si="147"/>
        <v>0</v>
      </c>
      <c r="H377" s="89">
        <f t="shared" si="159"/>
        <v>4.1666666666666666E-3</v>
      </c>
      <c r="I377" s="219"/>
      <c r="J377" s="219"/>
      <c r="K377" s="6">
        <f t="shared" si="167"/>
        <v>56971.589152525834</v>
      </c>
      <c r="M377" s="6">
        <f t="shared" si="148"/>
        <v>277.312090987869</v>
      </c>
      <c r="N377" s="6">
        <f t="shared" si="160"/>
        <v>-64.528487230016708</v>
      </c>
      <c r="O377" s="90">
        <f t="shared" si="149"/>
        <v>536.14574982507497</v>
      </c>
      <c r="P377" s="91">
        <f t="shared" si="150"/>
        <v>0</v>
      </c>
      <c r="Q377" s="6">
        <f t="shared" si="151"/>
        <v>238.26821981784869</v>
      </c>
      <c r="R377" s="87">
        <f t="shared" si="170"/>
        <v>-617.80025246391756</v>
      </c>
      <c r="S377" s="6">
        <f t="shared" si="152"/>
        <v>-11.840465170630624</v>
      </c>
      <c r="T377" s="83">
        <f t="shared" si="161"/>
        <v>0</v>
      </c>
      <c r="U377" s="91">
        <f t="shared" si="168"/>
        <v>128063.16227956094</v>
      </c>
      <c r="V377" s="91">
        <f t="shared" si="162"/>
        <v>623.3539179534954</v>
      </c>
      <c r="W377" s="1">
        <f t="shared" si="174"/>
        <v>0</v>
      </c>
      <c r="X377" s="1">
        <f t="shared" si="174"/>
        <v>0</v>
      </c>
      <c r="Y377" s="1">
        <f t="shared" si="174"/>
        <v>0</v>
      </c>
      <c r="Z377" s="1">
        <f t="shared" si="174"/>
        <v>0</v>
      </c>
      <c r="AA377" s="1">
        <f t="shared" si="174"/>
        <v>0</v>
      </c>
      <c r="AB377" s="1">
        <f t="shared" si="174"/>
        <v>0</v>
      </c>
      <c r="AC377" s="1">
        <f t="shared" si="174"/>
        <v>0</v>
      </c>
      <c r="AD377" s="1">
        <f t="shared" si="174"/>
        <v>0</v>
      </c>
      <c r="AE377" s="1">
        <f t="shared" si="174"/>
        <v>1</v>
      </c>
      <c r="AF377" s="1">
        <f t="shared" si="174"/>
        <v>1</v>
      </c>
      <c r="AG377" s="1">
        <f t="shared" si="174"/>
        <v>1</v>
      </c>
      <c r="AH377" s="1">
        <f t="shared" si="174"/>
        <v>1</v>
      </c>
      <c r="AI377" s="44">
        <f t="shared" si="163"/>
        <v>56566.572503819771</v>
      </c>
      <c r="AJ377" s="44">
        <f t="shared" si="153"/>
        <v>57184.372756283687</v>
      </c>
      <c r="AK377" s="44" t="str">
        <f t="shared" si="171"/>
        <v>N</v>
      </c>
      <c r="AL377" s="4">
        <f t="shared" si="154"/>
        <v>299</v>
      </c>
      <c r="AM377" s="82">
        <f t="shared" si="164"/>
        <v>0</v>
      </c>
      <c r="AN377" s="82">
        <f t="shared" si="155"/>
        <v>0</v>
      </c>
      <c r="AO377" s="48">
        <f>0</f>
        <v>0</v>
      </c>
      <c r="AP377" s="91">
        <f t="shared" si="165"/>
        <v>-617.80025246391756</v>
      </c>
      <c r="AQ377" s="91">
        <f t="shared" si="166"/>
        <v>-617.80025246391756</v>
      </c>
      <c r="AV377" s="84"/>
    </row>
    <row r="378" spans="1:48">
      <c r="A378" s="190">
        <f t="shared" si="156"/>
        <v>90.720910335386719</v>
      </c>
      <c r="B378" s="82">
        <f t="shared" si="157"/>
        <v>25</v>
      </c>
      <c r="C378" s="83">
        <f t="shared" si="158"/>
        <v>300</v>
      </c>
      <c r="D378" s="14">
        <f t="shared" si="145"/>
        <v>4.8675505653430484E-3</v>
      </c>
      <c r="E378" s="16">
        <f t="shared" si="146"/>
        <v>0</v>
      </c>
      <c r="F378" s="127"/>
      <c r="G378" s="88">
        <f t="shared" si="147"/>
        <v>0</v>
      </c>
      <c r="H378" s="89">
        <f t="shared" si="159"/>
        <v>4.1666666666666666E-3</v>
      </c>
      <c r="I378" s="219"/>
      <c r="J378" s="219"/>
      <c r="K378" s="6">
        <f t="shared" si="167"/>
        <v>56566.572503819771</v>
      </c>
      <c r="M378" s="6">
        <f t="shared" si="148"/>
        <v>275.34065197048648</v>
      </c>
      <c r="N378" s="6">
        <f t="shared" si="160"/>
        <v>-64.069747847234112</v>
      </c>
      <c r="O378" s="90">
        <f t="shared" si="149"/>
        <v>536.14574982507497</v>
      </c>
      <c r="P378" s="91">
        <f t="shared" si="150"/>
        <v>0</v>
      </c>
      <c r="Q378" s="6">
        <f t="shared" si="151"/>
        <v>236.57434753309593</v>
      </c>
      <c r="R378" s="87">
        <f t="shared" si="170"/>
        <v>-617.52389713541049</v>
      </c>
      <c r="S378" s="6">
        <f t="shared" si="152"/>
        <v>-11.75586093011254</v>
      </c>
      <c r="T378" s="83">
        <f t="shared" si="161"/>
        <v>0</v>
      </c>
      <c r="U378" s="91">
        <f t="shared" si="168"/>
        <v>128068.71594505053</v>
      </c>
      <c r="V378" s="91">
        <f t="shared" si="162"/>
        <v>623.38095070108898</v>
      </c>
      <c r="W378" s="1">
        <f t="shared" si="174"/>
        <v>0</v>
      </c>
      <c r="X378" s="1">
        <f t="shared" si="174"/>
        <v>0</v>
      </c>
      <c r="Y378" s="1">
        <f t="shared" si="174"/>
        <v>0</v>
      </c>
      <c r="Z378" s="1">
        <f t="shared" si="174"/>
        <v>0</v>
      </c>
      <c r="AA378" s="1">
        <f t="shared" si="174"/>
        <v>0</v>
      </c>
      <c r="AB378" s="1">
        <f t="shared" si="174"/>
        <v>0</v>
      </c>
      <c r="AC378" s="1">
        <f t="shared" si="174"/>
        <v>0</v>
      </c>
      <c r="AD378" s="1">
        <f t="shared" si="174"/>
        <v>0</v>
      </c>
      <c r="AE378" s="1">
        <f t="shared" si="174"/>
        <v>1</v>
      </c>
      <c r="AF378" s="1">
        <f t="shared" si="174"/>
        <v>1</v>
      </c>
      <c r="AG378" s="1">
        <f t="shared" si="174"/>
        <v>1</v>
      </c>
      <c r="AH378" s="1">
        <f t="shared" si="174"/>
        <v>1</v>
      </c>
      <c r="AI378" s="44">
        <f t="shared" si="163"/>
        <v>56160.319510807611</v>
      </c>
      <c r="AJ378" s="44">
        <f t="shared" si="153"/>
        <v>56777.843407943023</v>
      </c>
      <c r="AK378" s="44" t="str">
        <f t="shared" si="171"/>
        <v>N</v>
      </c>
      <c r="AL378" s="4">
        <f t="shared" si="154"/>
        <v>300</v>
      </c>
      <c r="AM378" s="82">
        <f t="shared" si="164"/>
        <v>0</v>
      </c>
      <c r="AN378" s="82">
        <f t="shared" si="155"/>
        <v>0</v>
      </c>
      <c r="AO378" s="48">
        <f>0</f>
        <v>0</v>
      </c>
      <c r="AP378" s="91">
        <f t="shared" si="165"/>
        <v>-617.52389713541049</v>
      </c>
      <c r="AQ378" s="91">
        <f t="shared" si="166"/>
        <v>-617.52389713541049</v>
      </c>
      <c r="AV378" s="84"/>
    </row>
    <row r="379" spans="1:48">
      <c r="A379" s="190">
        <f t="shared" si="156"/>
        <v>90.804243668720048</v>
      </c>
      <c r="B379" s="82">
        <f t="shared" si="157"/>
        <v>26</v>
      </c>
      <c r="C379" s="83">
        <f t="shared" si="158"/>
        <v>301</v>
      </c>
      <c r="D379" s="14">
        <f t="shared" si="145"/>
        <v>4.8675505653430484E-3</v>
      </c>
      <c r="E379" s="16">
        <f t="shared" si="146"/>
        <v>0</v>
      </c>
      <c r="F379" s="127"/>
      <c r="G379" s="88">
        <f t="shared" si="147"/>
        <v>0</v>
      </c>
      <c r="H379" s="89">
        <f t="shared" si="159"/>
        <v>4.1666666666666666E-3</v>
      </c>
      <c r="I379" s="219"/>
      <c r="J379" s="219"/>
      <c r="K379" s="6">
        <f t="shared" si="167"/>
        <v>56160.319510807611</v>
      </c>
      <c r="M379" s="6">
        <f t="shared" si="148"/>
        <v>273.36319498467782</v>
      </c>
      <c r="N379" s="6">
        <f t="shared" si="160"/>
        <v>-63.609608127389578</v>
      </c>
      <c r="O379" s="90">
        <f t="shared" si="149"/>
        <v>546.86866482157643</v>
      </c>
      <c r="P379" s="91">
        <f t="shared" si="150"/>
        <v>0</v>
      </c>
      <c r="Q379" s="6">
        <f t="shared" si="151"/>
        <v>234.87530457360376</v>
      </c>
      <c r="R379" s="87">
        <f t="shared" si="170"/>
        <v>-617.2476654265804</v>
      </c>
      <c r="S379" s="6">
        <f t="shared" si="152"/>
        <v>-11.670998327810363</v>
      </c>
      <c r="T379" s="83">
        <f t="shared" si="161"/>
        <v>0</v>
      </c>
      <c r="U379" s="91">
        <f t="shared" si="168"/>
        <v>128074.5729986162</v>
      </c>
      <c r="V379" s="91">
        <f t="shared" si="162"/>
        <v>623.40946020548381</v>
      </c>
      <c r="W379" s="1">
        <f t="shared" ref="W379:AH388" si="175">IF($B379&lt;=W$78,1,0)</f>
        <v>0</v>
      </c>
      <c r="X379" s="1">
        <f t="shared" si="175"/>
        <v>0</v>
      </c>
      <c r="Y379" s="1">
        <f t="shared" si="175"/>
        <v>0</v>
      </c>
      <c r="Z379" s="1">
        <f t="shared" si="175"/>
        <v>0</v>
      </c>
      <c r="AA379" s="1">
        <f t="shared" si="175"/>
        <v>0</v>
      </c>
      <c r="AB379" s="1">
        <f t="shared" si="175"/>
        <v>0</v>
      </c>
      <c r="AC379" s="1">
        <f t="shared" si="175"/>
        <v>0</v>
      </c>
      <c r="AD379" s="1">
        <f t="shared" si="175"/>
        <v>0</v>
      </c>
      <c r="AE379" s="1">
        <f t="shared" si="175"/>
        <v>0</v>
      </c>
      <c r="AF379" s="1">
        <f t="shared" si="175"/>
        <v>1</v>
      </c>
      <c r="AG379" s="1">
        <f t="shared" si="175"/>
        <v>1</v>
      </c>
      <c r="AH379" s="1">
        <f t="shared" si="175"/>
        <v>1</v>
      </c>
      <c r="AI379" s="44">
        <f t="shared" si="163"/>
        <v>55752.825432238322</v>
      </c>
      <c r="AJ379" s="44">
        <f t="shared" si="153"/>
        <v>56370.073097664899</v>
      </c>
      <c r="AK379" s="44" t="str">
        <f t="shared" si="171"/>
        <v>N</v>
      </c>
      <c r="AL379" s="4">
        <f t="shared" si="154"/>
        <v>301</v>
      </c>
      <c r="AM379" s="82">
        <f t="shared" si="164"/>
        <v>0</v>
      </c>
      <c r="AN379" s="82">
        <f t="shared" si="155"/>
        <v>0</v>
      </c>
      <c r="AO379" s="48">
        <f>0</f>
        <v>0</v>
      </c>
      <c r="AP379" s="91">
        <f t="shared" si="165"/>
        <v>-617.2476654265804</v>
      </c>
      <c r="AQ379" s="91">
        <f t="shared" si="166"/>
        <v>-617.2476654265804</v>
      </c>
      <c r="AV379" s="84"/>
    </row>
    <row r="380" spans="1:48">
      <c r="A380" s="190">
        <f t="shared" si="156"/>
        <v>90.887577002053376</v>
      </c>
      <c r="B380" s="82">
        <f t="shared" si="157"/>
        <v>26</v>
      </c>
      <c r="C380" s="83">
        <f t="shared" si="158"/>
        <v>302</v>
      </c>
      <c r="D380" s="14">
        <f t="shared" si="145"/>
        <v>4.8675505653430484E-3</v>
      </c>
      <c r="E380" s="16">
        <f t="shared" si="146"/>
        <v>0</v>
      </c>
      <c r="F380" s="127"/>
      <c r="G380" s="88">
        <f t="shared" si="147"/>
        <v>0</v>
      </c>
      <c r="H380" s="89">
        <f t="shared" si="159"/>
        <v>4.1666666666666666E-3</v>
      </c>
      <c r="I380" s="219"/>
      <c r="J380" s="219"/>
      <c r="K380" s="6">
        <f t="shared" si="167"/>
        <v>55752.825432238322</v>
      </c>
      <c r="M380" s="6">
        <f t="shared" si="148"/>
        <v>271.37969695216395</v>
      </c>
      <c r="N380" s="6">
        <f t="shared" si="160"/>
        <v>-63.148062700337015</v>
      </c>
      <c r="O380" s="90">
        <f t="shared" si="149"/>
        <v>546.86866482157643</v>
      </c>
      <c r="P380" s="91">
        <f t="shared" si="150"/>
        <v>0</v>
      </c>
      <c r="Q380" s="6">
        <f t="shared" si="151"/>
        <v>233.17107111037561</v>
      </c>
      <c r="R380" s="87">
        <f t="shared" si="170"/>
        <v>-616.97155728212954</v>
      </c>
      <c r="S380" s="6">
        <f t="shared" si="152"/>
        <v>-11.58587637298889</v>
      </c>
      <c r="T380" s="83">
        <f t="shared" si="161"/>
        <v>0</v>
      </c>
      <c r="U380" s="91">
        <f t="shared" si="168"/>
        <v>128080.73479339511</v>
      </c>
      <c r="V380" s="91">
        <f t="shared" si="162"/>
        <v>623.43945305314344</v>
      </c>
      <c r="W380" s="1">
        <f t="shared" si="175"/>
        <v>0</v>
      </c>
      <c r="X380" s="1">
        <f t="shared" si="175"/>
        <v>0</v>
      </c>
      <c r="Y380" s="1">
        <f t="shared" si="175"/>
        <v>0</v>
      </c>
      <c r="Z380" s="1">
        <f t="shared" si="175"/>
        <v>0</v>
      </c>
      <c r="AA380" s="1">
        <f t="shared" si="175"/>
        <v>0</v>
      </c>
      <c r="AB380" s="1">
        <f t="shared" si="175"/>
        <v>0</v>
      </c>
      <c r="AC380" s="1">
        <f t="shared" si="175"/>
        <v>0</v>
      </c>
      <c r="AD380" s="1">
        <f t="shared" si="175"/>
        <v>0</v>
      </c>
      <c r="AE380" s="1">
        <f t="shared" si="175"/>
        <v>0</v>
      </c>
      <c r="AF380" s="1">
        <f t="shared" si="175"/>
        <v>1</v>
      </c>
      <c r="AG380" s="1">
        <f t="shared" si="175"/>
        <v>1</v>
      </c>
      <c r="AH380" s="1">
        <f t="shared" si="175"/>
        <v>1</v>
      </c>
      <c r="AI380" s="44">
        <f t="shared" si="163"/>
        <v>55344.085509208016</v>
      </c>
      <c r="AJ380" s="44">
        <f t="shared" si="153"/>
        <v>55961.057066490146</v>
      </c>
      <c r="AK380" s="44" t="str">
        <f t="shared" si="171"/>
        <v>N</v>
      </c>
      <c r="AL380" s="4">
        <f t="shared" si="154"/>
        <v>302</v>
      </c>
      <c r="AM380" s="82">
        <f t="shared" si="164"/>
        <v>0</v>
      </c>
      <c r="AN380" s="82">
        <f t="shared" si="155"/>
        <v>0</v>
      </c>
      <c r="AO380" s="48">
        <f>0</f>
        <v>0</v>
      </c>
      <c r="AP380" s="91">
        <f t="shared" si="165"/>
        <v>-616.97155728212954</v>
      </c>
      <c r="AQ380" s="91">
        <f t="shared" si="166"/>
        <v>-616.97155728212954</v>
      </c>
      <c r="AV380" s="84"/>
    </row>
    <row r="381" spans="1:48">
      <c r="A381" s="190">
        <f t="shared" si="156"/>
        <v>90.970910335386719</v>
      </c>
      <c r="B381" s="82">
        <f t="shared" si="157"/>
        <v>26</v>
      </c>
      <c r="C381" s="83">
        <f t="shared" si="158"/>
        <v>303</v>
      </c>
      <c r="D381" s="14">
        <f t="shared" si="145"/>
        <v>4.8675505653430484E-3</v>
      </c>
      <c r="E381" s="16">
        <f t="shared" si="146"/>
        <v>0</v>
      </c>
      <c r="F381" s="127"/>
      <c r="G381" s="88">
        <f t="shared" si="147"/>
        <v>0</v>
      </c>
      <c r="H381" s="89">
        <f t="shared" si="159"/>
        <v>4.1666666666666666E-3</v>
      </c>
      <c r="I381" s="219"/>
      <c r="J381" s="219"/>
      <c r="K381" s="6">
        <f t="shared" si="167"/>
        <v>55344.085509208016</v>
      </c>
      <c r="M381" s="6">
        <f t="shared" si="148"/>
        <v>269.39013470873948</v>
      </c>
      <c r="N381" s="6">
        <f t="shared" si="160"/>
        <v>-62.685106175935942</v>
      </c>
      <c r="O381" s="90">
        <f t="shared" si="149"/>
        <v>546.86866482157643</v>
      </c>
      <c r="P381" s="91">
        <f t="shared" si="150"/>
        <v>0</v>
      </c>
      <c r="Q381" s="6">
        <f t="shared" si="151"/>
        <v>231.46162724058672</v>
      </c>
      <c r="R381" s="87">
        <f t="shared" si="170"/>
        <v>-616.69557264678474</v>
      </c>
      <c r="S381" s="6">
        <f t="shared" si="152"/>
        <v>-11.500494071224148</v>
      </c>
      <c r="T381" s="83">
        <f t="shared" si="161"/>
        <v>0</v>
      </c>
      <c r="U381" s="91">
        <f t="shared" si="168"/>
        <v>128087.20268916612</v>
      </c>
      <c r="V381" s="91">
        <f t="shared" si="162"/>
        <v>623.47093586286019</v>
      </c>
      <c r="W381" s="1">
        <f t="shared" si="175"/>
        <v>0</v>
      </c>
      <c r="X381" s="1">
        <f t="shared" si="175"/>
        <v>0</v>
      </c>
      <c r="Y381" s="1">
        <f t="shared" si="175"/>
        <v>0</v>
      </c>
      <c r="Z381" s="1">
        <f t="shared" si="175"/>
        <v>0</v>
      </c>
      <c r="AA381" s="1">
        <f t="shared" si="175"/>
        <v>0</v>
      </c>
      <c r="AB381" s="1">
        <f t="shared" si="175"/>
        <v>0</v>
      </c>
      <c r="AC381" s="1">
        <f t="shared" si="175"/>
        <v>0</v>
      </c>
      <c r="AD381" s="1">
        <f t="shared" si="175"/>
        <v>0</v>
      </c>
      <c r="AE381" s="1">
        <f t="shared" si="175"/>
        <v>0</v>
      </c>
      <c r="AF381" s="1">
        <f t="shared" si="175"/>
        <v>1</v>
      </c>
      <c r="AG381" s="1">
        <f t="shared" si="175"/>
        <v>1</v>
      </c>
      <c r="AH381" s="1">
        <f t="shared" si="175"/>
        <v>1</v>
      </c>
      <c r="AI381" s="44">
        <f t="shared" si="163"/>
        <v>54934.094965094031</v>
      </c>
      <c r="AJ381" s="44">
        <f t="shared" si="153"/>
        <v>55550.790537740817</v>
      </c>
      <c r="AK381" s="44" t="str">
        <f t="shared" si="171"/>
        <v>N</v>
      </c>
      <c r="AL381" s="4">
        <f t="shared" si="154"/>
        <v>303</v>
      </c>
      <c r="AM381" s="82">
        <f t="shared" si="164"/>
        <v>0</v>
      </c>
      <c r="AN381" s="82">
        <f t="shared" si="155"/>
        <v>0</v>
      </c>
      <c r="AO381" s="48">
        <f>0</f>
        <v>0</v>
      </c>
      <c r="AP381" s="91">
        <f t="shared" si="165"/>
        <v>-616.69557264678474</v>
      </c>
      <c r="AQ381" s="91">
        <f t="shared" si="166"/>
        <v>-616.69557264678474</v>
      </c>
      <c r="AV381" s="84"/>
    </row>
    <row r="382" spans="1:48">
      <c r="A382" s="190">
        <f t="shared" si="156"/>
        <v>91.054243668720048</v>
      </c>
      <c r="B382" s="82">
        <f t="shared" si="157"/>
        <v>26</v>
      </c>
      <c r="C382" s="83">
        <f t="shared" si="158"/>
        <v>304</v>
      </c>
      <c r="D382" s="14">
        <f t="shared" si="145"/>
        <v>4.8675505653430484E-3</v>
      </c>
      <c r="E382" s="16">
        <f t="shared" si="146"/>
        <v>0</v>
      </c>
      <c r="F382" s="127"/>
      <c r="G382" s="88">
        <f t="shared" si="147"/>
        <v>0</v>
      </c>
      <c r="H382" s="89">
        <f t="shared" si="159"/>
        <v>4.1666666666666666E-3</v>
      </c>
      <c r="I382" s="219"/>
      <c r="J382" s="219"/>
      <c r="K382" s="6">
        <f t="shared" si="167"/>
        <v>54934.094965094031</v>
      </c>
      <c r="M382" s="6">
        <f t="shared" si="148"/>
        <v>267.39448500395218</v>
      </c>
      <c r="N382" s="6">
        <f t="shared" si="160"/>
        <v>-62.220733143976837</v>
      </c>
      <c r="O382" s="90">
        <f t="shared" si="149"/>
        <v>546.86866482157643</v>
      </c>
      <c r="P382" s="91">
        <f t="shared" si="150"/>
        <v>0</v>
      </c>
      <c r="Q382" s="6">
        <f t="shared" si="151"/>
        <v>229.74695298730836</v>
      </c>
      <c r="R382" s="87">
        <f t="shared" si="170"/>
        <v>-632.13296987992157</v>
      </c>
      <c r="S382" s="6">
        <f t="shared" si="152"/>
        <v>-11.413211748139604</v>
      </c>
      <c r="T382" s="83">
        <f t="shared" si="161"/>
        <v>0</v>
      </c>
      <c r="U382" s="91">
        <f t="shared" si="168"/>
        <v>128093.9780523822</v>
      </c>
      <c r="V382" s="91">
        <f t="shared" si="162"/>
        <v>623.50391528591297</v>
      </c>
      <c r="W382" s="1">
        <f t="shared" si="175"/>
        <v>0</v>
      </c>
      <c r="X382" s="1">
        <f t="shared" si="175"/>
        <v>0</v>
      </c>
      <c r="Y382" s="1">
        <f t="shared" si="175"/>
        <v>0</v>
      </c>
      <c r="Z382" s="1">
        <f t="shared" si="175"/>
        <v>0</v>
      </c>
      <c r="AA382" s="1">
        <f t="shared" si="175"/>
        <v>0</v>
      </c>
      <c r="AB382" s="1">
        <f t="shared" si="175"/>
        <v>0</v>
      </c>
      <c r="AC382" s="1">
        <f t="shared" si="175"/>
        <v>0</v>
      </c>
      <c r="AD382" s="1">
        <f t="shared" si="175"/>
        <v>0</v>
      </c>
      <c r="AE382" s="1">
        <f t="shared" si="175"/>
        <v>0</v>
      </c>
      <c r="AF382" s="1">
        <f t="shared" si="175"/>
        <v>1</v>
      </c>
      <c r="AG382" s="1">
        <f t="shared" si="175"/>
        <v>1</v>
      </c>
      <c r="AH382" s="1">
        <f t="shared" si="175"/>
        <v>1</v>
      </c>
      <c r="AI382" s="44">
        <f t="shared" si="163"/>
        <v>54507.135747074084</v>
      </c>
      <c r="AJ382" s="44">
        <f t="shared" si="153"/>
        <v>55139.268716954008</v>
      </c>
      <c r="AK382" s="44" t="str">
        <f t="shared" si="171"/>
        <v>N</v>
      </c>
      <c r="AL382" s="4">
        <f t="shared" si="154"/>
        <v>304</v>
      </c>
      <c r="AM382" s="82">
        <f t="shared" si="164"/>
        <v>0</v>
      </c>
      <c r="AN382" s="82">
        <f t="shared" si="155"/>
        <v>0</v>
      </c>
      <c r="AO382" s="48">
        <f>0</f>
        <v>0</v>
      </c>
      <c r="AP382" s="91">
        <f t="shared" si="165"/>
        <v>-632.13296987992157</v>
      </c>
      <c r="AQ382" s="91">
        <f t="shared" si="166"/>
        <v>-632.13296987992157</v>
      </c>
      <c r="AV382" s="84"/>
    </row>
    <row r="383" spans="1:48">
      <c r="A383" s="190">
        <f t="shared" si="156"/>
        <v>91.137577002053376</v>
      </c>
      <c r="B383" s="82">
        <f t="shared" si="157"/>
        <v>26</v>
      </c>
      <c r="C383" s="83">
        <f t="shared" si="158"/>
        <v>305</v>
      </c>
      <c r="D383" s="14">
        <f t="shared" si="145"/>
        <v>4.8675505653430484E-3</v>
      </c>
      <c r="E383" s="16">
        <f t="shared" si="146"/>
        <v>0</v>
      </c>
      <c r="F383" s="127"/>
      <c r="G383" s="88">
        <f t="shared" si="147"/>
        <v>0</v>
      </c>
      <c r="H383" s="89">
        <f t="shared" si="159"/>
        <v>4.1666666666666666E-3</v>
      </c>
      <c r="I383" s="219"/>
      <c r="J383" s="219"/>
      <c r="K383" s="6">
        <f t="shared" si="167"/>
        <v>54507.135747074084</v>
      </c>
      <c r="M383" s="6">
        <f t="shared" si="148"/>
        <v>265.31623942090073</v>
      </c>
      <c r="N383" s="6">
        <f t="shared" si="160"/>
        <v>-61.737140657659182</v>
      </c>
      <c r="O383" s="90">
        <f t="shared" si="149"/>
        <v>546.86866482157643</v>
      </c>
      <c r="P383" s="91">
        <f t="shared" si="150"/>
        <v>0</v>
      </c>
      <c r="Q383" s="6">
        <f t="shared" si="151"/>
        <v>227.96131185765552</v>
      </c>
      <c r="R383" s="87">
        <f t="shared" si="170"/>
        <v>-631.85020321892648</v>
      </c>
      <c r="S383" s="6">
        <f t="shared" si="152"/>
        <v>-11.324023014603563</v>
      </c>
      <c r="T383" s="83">
        <f t="shared" si="161"/>
        <v>0</v>
      </c>
      <c r="U383" s="91">
        <f t="shared" si="168"/>
        <v>128085.34899778818</v>
      </c>
      <c r="V383" s="91">
        <f t="shared" si="162"/>
        <v>623.46191292634558</v>
      </c>
      <c r="W383" s="1">
        <f t="shared" si="175"/>
        <v>0</v>
      </c>
      <c r="X383" s="1">
        <f t="shared" si="175"/>
        <v>0</v>
      </c>
      <c r="Y383" s="1">
        <f t="shared" si="175"/>
        <v>0</v>
      </c>
      <c r="Z383" s="1">
        <f t="shared" si="175"/>
        <v>0</v>
      </c>
      <c r="AA383" s="1">
        <f t="shared" si="175"/>
        <v>0</v>
      </c>
      <c r="AB383" s="1">
        <f t="shared" si="175"/>
        <v>0</v>
      </c>
      <c r="AC383" s="1">
        <f t="shared" si="175"/>
        <v>0</v>
      </c>
      <c r="AD383" s="1">
        <f t="shared" si="175"/>
        <v>0</v>
      </c>
      <c r="AE383" s="1">
        <f t="shared" si="175"/>
        <v>0</v>
      </c>
      <c r="AF383" s="1">
        <f t="shared" si="175"/>
        <v>1</v>
      </c>
      <c r="AG383" s="1">
        <f t="shared" si="175"/>
        <v>1</v>
      </c>
      <c r="AH383" s="1">
        <f t="shared" si="175"/>
        <v>1</v>
      </c>
      <c r="AI383" s="44">
        <f t="shared" si="163"/>
        <v>54078.864642618399</v>
      </c>
      <c r="AJ383" s="44">
        <f t="shared" si="153"/>
        <v>54710.714845837327</v>
      </c>
      <c r="AK383" s="44" t="str">
        <f t="shared" si="171"/>
        <v>N</v>
      </c>
      <c r="AL383" s="4">
        <f t="shared" si="154"/>
        <v>305</v>
      </c>
      <c r="AM383" s="82">
        <f t="shared" si="164"/>
        <v>0</v>
      </c>
      <c r="AN383" s="82">
        <f t="shared" si="155"/>
        <v>0</v>
      </c>
      <c r="AO383" s="48">
        <f>0</f>
        <v>0</v>
      </c>
      <c r="AP383" s="91">
        <f t="shared" si="165"/>
        <v>-631.85020321892648</v>
      </c>
      <c r="AQ383" s="91">
        <f t="shared" si="166"/>
        <v>-631.85020321892648</v>
      </c>
      <c r="AV383" s="84"/>
    </row>
    <row r="384" spans="1:48">
      <c r="A384" s="190">
        <f t="shared" si="156"/>
        <v>91.220910335386719</v>
      </c>
      <c r="B384" s="82">
        <f t="shared" si="157"/>
        <v>26</v>
      </c>
      <c r="C384" s="83">
        <f t="shared" si="158"/>
        <v>306</v>
      </c>
      <c r="D384" s="14">
        <f t="shared" si="145"/>
        <v>4.8675505653430484E-3</v>
      </c>
      <c r="E384" s="16">
        <f t="shared" si="146"/>
        <v>0</v>
      </c>
      <c r="F384" s="127"/>
      <c r="G384" s="88">
        <f t="shared" si="147"/>
        <v>0</v>
      </c>
      <c r="H384" s="89">
        <f t="shared" si="159"/>
        <v>4.1666666666666666E-3</v>
      </c>
      <c r="I384" s="219"/>
      <c r="J384" s="219"/>
      <c r="K384" s="6">
        <f t="shared" si="167"/>
        <v>54078.864642618399</v>
      </c>
      <c r="M384" s="6">
        <f t="shared" si="148"/>
        <v>263.23160816428737</v>
      </c>
      <c r="N384" s="6">
        <f t="shared" si="160"/>
        <v>-61.252062271994589</v>
      </c>
      <c r="O384" s="90">
        <f t="shared" si="149"/>
        <v>546.86866482157643</v>
      </c>
      <c r="P384" s="91">
        <f t="shared" si="150"/>
        <v>0</v>
      </c>
      <c r="Q384" s="6">
        <f t="shared" si="151"/>
        <v>226.17018411879454</v>
      </c>
      <c r="R384" s="87">
        <f t="shared" si="170"/>
        <v>-631.56756304553483</v>
      </c>
      <c r="S384" s="6">
        <f t="shared" si="152"/>
        <v>-11.234560133555139</v>
      </c>
      <c r="T384" s="83">
        <f t="shared" si="161"/>
        <v>0</v>
      </c>
      <c r="U384" s="91">
        <f t="shared" si="168"/>
        <v>128076.9607074956</v>
      </c>
      <c r="V384" s="91">
        <f t="shared" si="162"/>
        <v>623.42108249918965</v>
      </c>
      <c r="W384" s="1">
        <f t="shared" si="175"/>
        <v>0</v>
      </c>
      <c r="X384" s="1">
        <f t="shared" si="175"/>
        <v>0</v>
      </c>
      <c r="Y384" s="1">
        <f t="shared" si="175"/>
        <v>0</v>
      </c>
      <c r="Z384" s="1">
        <f t="shared" si="175"/>
        <v>0</v>
      </c>
      <c r="AA384" s="1">
        <f t="shared" si="175"/>
        <v>0</v>
      </c>
      <c r="AB384" s="1">
        <f t="shared" si="175"/>
        <v>0</v>
      </c>
      <c r="AC384" s="1">
        <f t="shared" si="175"/>
        <v>0</v>
      </c>
      <c r="AD384" s="1">
        <f t="shared" si="175"/>
        <v>0</v>
      </c>
      <c r="AE384" s="1">
        <f t="shared" si="175"/>
        <v>0</v>
      </c>
      <c r="AF384" s="1">
        <f t="shared" si="175"/>
        <v>1</v>
      </c>
      <c r="AG384" s="1">
        <f t="shared" si="175"/>
        <v>1</v>
      </c>
      <c r="AH384" s="1">
        <f t="shared" si="175"/>
        <v>1</v>
      </c>
      <c r="AI384" s="44">
        <f t="shared" si="163"/>
        <v>53649.276625465151</v>
      </c>
      <c r="AJ384" s="44">
        <f t="shared" si="153"/>
        <v>54280.844188510688</v>
      </c>
      <c r="AK384" s="44" t="str">
        <f t="shared" si="171"/>
        <v>N</v>
      </c>
      <c r="AL384" s="4">
        <f t="shared" si="154"/>
        <v>306</v>
      </c>
      <c r="AM384" s="82">
        <f t="shared" si="164"/>
        <v>0</v>
      </c>
      <c r="AN384" s="82">
        <f t="shared" si="155"/>
        <v>0</v>
      </c>
      <c r="AO384" s="48">
        <f>0</f>
        <v>0</v>
      </c>
      <c r="AP384" s="91">
        <f t="shared" si="165"/>
        <v>-631.56756304553483</v>
      </c>
      <c r="AQ384" s="91">
        <f t="shared" si="166"/>
        <v>-631.56756304553483</v>
      </c>
      <c r="AV384" s="84"/>
    </row>
    <row r="385" spans="1:48">
      <c r="A385" s="190">
        <f t="shared" si="156"/>
        <v>91.304243668720048</v>
      </c>
      <c r="B385" s="82">
        <f t="shared" si="157"/>
        <v>26</v>
      </c>
      <c r="C385" s="83">
        <f t="shared" si="158"/>
        <v>307</v>
      </c>
      <c r="D385" s="14">
        <f t="shared" si="145"/>
        <v>4.8675505653430484E-3</v>
      </c>
      <c r="E385" s="16">
        <f t="shared" si="146"/>
        <v>0</v>
      </c>
      <c r="F385" s="127"/>
      <c r="G385" s="88">
        <f t="shared" si="147"/>
        <v>0</v>
      </c>
      <c r="H385" s="89">
        <f t="shared" si="159"/>
        <v>4.1666666666666666E-3</v>
      </c>
      <c r="I385" s="219"/>
      <c r="J385" s="219"/>
      <c r="K385" s="6">
        <f t="shared" si="167"/>
        <v>53649.276625465151</v>
      </c>
      <c r="M385" s="6">
        <f t="shared" si="148"/>
        <v>261.14056676852846</v>
      </c>
      <c r="N385" s="6">
        <f t="shared" si="160"/>
        <v>-60.765492294021406</v>
      </c>
      <c r="O385" s="90">
        <f t="shared" si="149"/>
        <v>546.86866482157643</v>
      </c>
      <c r="P385" s="91">
        <f t="shared" si="150"/>
        <v>0</v>
      </c>
      <c r="Q385" s="6">
        <f t="shared" si="151"/>
        <v>224.37354874974855</v>
      </c>
      <c r="R385" s="87">
        <f t="shared" si="170"/>
        <v>-631.28504930316603</v>
      </c>
      <c r="S385" s="6">
        <f t="shared" si="152"/>
        <v>-11.144822054702862</v>
      </c>
      <c r="T385" s="83">
        <f t="shared" si="161"/>
        <v>0</v>
      </c>
      <c r="U385" s="91">
        <f t="shared" si="168"/>
        <v>128068.81422694925</v>
      </c>
      <c r="V385" s="91">
        <f t="shared" si="162"/>
        <v>623.38142909320072</v>
      </c>
      <c r="W385" s="1">
        <f t="shared" si="175"/>
        <v>0</v>
      </c>
      <c r="X385" s="1">
        <f t="shared" si="175"/>
        <v>0</v>
      </c>
      <c r="Y385" s="1">
        <f t="shared" si="175"/>
        <v>0</v>
      </c>
      <c r="Z385" s="1">
        <f t="shared" si="175"/>
        <v>0</v>
      </c>
      <c r="AA385" s="1">
        <f t="shared" si="175"/>
        <v>0</v>
      </c>
      <c r="AB385" s="1">
        <f t="shared" si="175"/>
        <v>0</v>
      </c>
      <c r="AC385" s="1">
        <f t="shared" si="175"/>
        <v>0</v>
      </c>
      <c r="AD385" s="1">
        <f t="shared" si="175"/>
        <v>0</v>
      </c>
      <c r="AE385" s="1">
        <f t="shared" si="175"/>
        <v>0</v>
      </c>
      <c r="AF385" s="1">
        <f t="shared" si="175"/>
        <v>1</v>
      </c>
      <c r="AG385" s="1">
        <f t="shared" si="175"/>
        <v>1</v>
      </c>
      <c r="AH385" s="1">
        <f t="shared" si="175"/>
        <v>1</v>
      </c>
      <c r="AI385" s="44">
        <f t="shared" si="163"/>
        <v>53218.36665063649</v>
      </c>
      <c r="AJ385" s="44">
        <f t="shared" si="153"/>
        <v>53849.651699939655</v>
      </c>
      <c r="AK385" s="44" t="str">
        <f t="shared" si="171"/>
        <v>N</v>
      </c>
      <c r="AL385" s="4">
        <f t="shared" si="154"/>
        <v>307</v>
      </c>
      <c r="AM385" s="82">
        <f t="shared" si="164"/>
        <v>0</v>
      </c>
      <c r="AN385" s="82">
        <f t="shared" si="155"/>
        <v>0</v>
      </c>
      <c r="AO385" s="48">
        <f>0</f>
        <v>0</v>
      </c>
      <c r="AP385" s="91">
        <f t="shared" si="165"/>
        <v>-631.28504930316603</v>
      </c>
      <c r="AQ385" s="91">
        <f t="shared" si="166"/>
        <v>-631.28504930316603</v>
      </c>
      <c r="AV385" s="84"/>
    </row>
    <row r="386" spans="1:48">
      <c r="A386" s="190">
        <f t="shared" si="156"/>
        <v>91.387577002053376</v>
      </c>
      <c r="B386" s="82">
        <f t="shared" si="157"/>
        <v>26</v>
      </c>
      <c r="C386" s="83">
        <f t="shared" si="158"/>
        <v>308</v>
      </c>
      <c r="D386" s="14">
        <f t="shared" si="145"/>
        <v>4.8675505653430484E-3</v>
      </c>
      <c r="E386" s="16">
        <f t="shared" si="146"/>
        <v>0</v>
      </c>
      <c r="F386" s="127"/>
      <c r="G386" s="88">
        <f t="shared" si="147"/>
        <v>0</v>
      </c>
      <c r="H386" s="89">
        <f t="shared" si="159"/>
        <v>4.1666666666666666E-3</v>
      </c>
      <c r="I386" s="219"/>
      <c r="J386" s="219"/>
      <c r="K386" s="6">
        <f t="shared" si="167"/>
        <v>53218.36665063649</v>
      </c>
      <c r="M386" s="6">
        <f t="shared" si="148"/>
        <v>259.0430906769393</v>
      </c>
      <c r="N386" s="6">
        <f t="shared" si="160"/>
        <v>-60.27742500957941</v>
      </c>
      <c r="O386" s="90">
        <f t="shared" si="149"/>
        <v>546.86866482157643</v>
      </c>
      <c r="P386" s="91">
        <f t="shared" si="150"/>
        <v>0</v>
      </c>
      <c r="Q386" s="6">
        <f t="shared" si="151"/>
        <v>222.57138465126602</v>
      </c>
      <c r="R386" s="87">
        <f t="shared" si="170"/>
        <v>-631.00266193526568</v>
      </c>
      <c r="S386" s="6">
        <f t="shared" si="152"/>
        <v>-11.054807723844327</v>
      </c>
      <c r="T386" s="83">
        <f t="shared" si="161"/>
        <v>0</v>
      </c>
      <c r="U386" s="91">
        <f t="shared" si="168"/>
        <v>128060.91060673929</v>
      </c>
      <c r="V386" s="91">
        <f t="shared" si="162"/>
        <v>623.34295782217941</v>
      </c>
      <c r="W386" s="1">
        <f t="shared" si="175"/>
        <v>0</v>
      </c>
      <c r="X386" s="1">
        <f t="shared" si="175"/>
        <v>0</v>
      </c>
      <c r="Y386" s="1">
        <f t="shared" si="175"/>
        <v>0</v>
      </c>
      <c r="Z386" s="1">
        <f t="shared" si="175"/>
        <v>0</v>
      </c>
      <c r="AA386" s="1">
        <f t="shared" si="175"/>
        <v>0</v>
      </c>
      <c r="AB386" s="1">
        <f t="shared" si="175"/>
        <v>0</v>
      </c>
      <c r="AC386" s="1">
        <f t="shared" si="175"/>
        <v>0</v>
      </c>
      <c r="AD386" s="1">
        <f t="shared" si="175"/>
        <v>0</v>
      </c>
      <c r="AE386" s="1">
        <f t="shared" si="175"/>
        <v>0</v>
      </c>
      <c r="AF386" s="1">
        <f t="shared" si="175"/>
        <v>1</v>
      </c>
      <c r="AG386" s="1">
        <f t="shared" si="175"/>
        <v>1</v>
      </c>
      <c r="AH386" s="1">
        <f t="shared" si="175"/>
        <v>1</v>
      </c>
      <c r="AI386" s="44">
        <f t="shared" si="163"/>
        <v>52786.129654368582</v>
      </c>
      <c r="AJ386" s="44">
        <f t="shared" si="153"/>
        <v>53417.132316303847</v>
      </c>
      <c r="AK386" s="44" t="str">
        <f t="shared" si="171"/>
        <v>N</v>
      </c>
      <c r="AL386" s="4">
        <f t="shared" si="154"/>
        <v>308</v>
      </c>
      <c r="AM386" s="82">
        <f t="shared" si="164"/>
        <v>0</v>
      </c>
      <c r="AN386" s="82">
        <f t="shared" si="155"/>
        <v>0</v>
      </c>
      <c r="AO386" s="48">
        <f>0</f>
        <v>0</v>
      </c>
      <c r="AP386" s="91">
        <f t="shared" si="165"/>
        <v>-631.00266193526568</v>
      </c>
      <c r="AQ386" s="91">
        <f t="shared" si="166"/>
        <v>-631.00266193526568</v>
      </c>
      <c r="AV386" s="84"/>
    </row>
    <row r="387" spans="1:48">
      <c r="A387" s="190">
        <f t="shared" si="156"/>
        <v>91.470910335386719</v>
      </c>
      <c r="B387" s="82">
        <f t="shared" si="157"/>
        <v>26</v>
      </c>
      <c r="C387" s="83">
        <f t="shared" si="158"/>
        <v>309</v>
      </c>
      <c r="D387" s="14">
        <f t="shared" si="145"/>
        <v>4.8675505653430484E-3</v>
      </c>
      <c r="E387" s="16">
        <f t="shared" si="146"/>
        <v>0</v>
      </c>
      <c r="F387" s="127"/>
      <c r="G387" s="88">
        <f t="shared" si="147"/>
        <v>0</v>
      </c>
      <c r="H387" s="89">
        <f t="shared" si="159"/>
        <v>4.1666666666666666E-3</v>
      </c>
      <c r="I387" s="219"/>
      <c r="J387" s="219"/>
      <c r="K387" s="6">
        <f t="shared" si="167"/>
        <v>52786.129654368582</v>
      </c>
      <c r="M387" s="6">
        <f t="shared" si="148"/>
        <v>256.93915524139322</v>
      </c>
      <c r="N387" s="6">
        <f t="shared" si="160"/>
        <v>-59.787854683230563</v>
      </c>
      <c r="O387" s="90">
        <f t="shared" si="149"/>
        <v>546.86866482157643</v>
      </c>
      <c r="P387" s="91">
        <f t="shared" si="150"/>
        <v>0</v>
      </c>
      <c r="Q387" s="6">
        <f t="shared" si="151"/>
        <v>220.76367064552812</v>
      </c>
      <c r="R387" s="87">
        <f t="shared" si="170"/>
        <v>-630.72040088530241</v>
      </c>
      <c r="S387" s="6">
        <f t="shared" si="152"/>
        <v>-10.964516082851562</v>
      </c>
      <c r="T387" s="83">
        <f t="shared" si="161"/>
        <v>0</v>
      </c>
      <c r="U387" s="91">
        <f t="shared" si="168"/>
        <v>128053.2509026262</v>
      </c>
      <c r="V387" s="91">
        <f t="shared" si="162"/>
        <v>623.30567382509332</v>
      </c>
      <c r="W387" s="1">
        <f t="shared" si="175"/>
        <v>0</v>
      </c>
      <c r="X387" s="1">
        <f t="shared" si="175"/>
        <v>0</v>
      </c>
      <c r="Y387" s="1">
        <f t="shared" si="175"/>
        <v>0</v>
      </c>
      <c r="Z387" s="1">
        <f t="shared" si="175"/>
        <v>0</v>
      </c>
      <c r="AA387" s="1">
        <f t="shared" si="175"/>
        <v>0</v>
      </c>
      <c r="AB387" s="1">
        <f t="shared" si="175"/>
        <v>0</v>
      </c>
      <c r="AC387" s="1">
        <f t="shared" si="175"/>
        <v>0</v>
      </c>
      <c r="AD387" s="1">
        <f t="shared" si="175"/>
        <v>0</v>
      </c>
      <c r="AE387" s="1">
        <f t="shared" si="175"/>
        <v>0</v>
      </c>
      <c r="AF387" s="1">
        <f t="shared" si="175"/>
        <v>1</v>
      </c>
      <c r="AG387" s="1">
        <f t="shared" si="175"/>
        <v>1</v>
      </c>
      <c r="AH387" s="1">
        <f t="shared" si="175"/>
        <v>1</v>
      </c>
      <c r="AI387" s="44">
        <f t="shared" si="163"/>
        <v>52352.560554041447</v>
      </c>
      <c r="AJ387" s="44">
        <f t="shared" si="153"/>
        <v>52983.280954926748</v>
      </c>
      <c r="AK387" s="44" t="str">
        <f t="shared" si="171"/>
        <v>N</v>
      </c>
      <c r="AL387" s="4">
        <f t="shared" si="154"/>
        <v>309</v>
      </c>
      <c r="AM387" s="82">
        <f t="shared" si="164"/>
        <v>0</v>
      </c>
      <c r="AN387" s="82">
        <f t="shared" si="155"/>
        <v>0</v>
      </c>
      <c r="AO387" s="48">
        <f>0</f>
        <v>0</v>
      </c>
      <c r="AP387" s="91">
        <f t="shared" si="165"/>
        <v>-630.72040088530241</v>
      </c>
      <c r="AQ387" s="91">
        <f t="shared" si="166"/>
        <v>-630.72040088530241</v>
      </c>
      <c r="AV387" s="84"/>
    </row>
    <row r="388" spans="1:48">
      <c r="A388" s="190">
        <f t="shared" si="156"/>
        <v>91.554243668720048</v>
      </c>
      <c r="B388" s="82">
        <f t="shared" si="157"/>
        <v>26</v>
      </c>
      <c r="C388" s="83">
        <f t="shared" si="158"/>
        <v>310</v>
      </c>
      <c r="D388" s="14">
        <f t="shared" si="145"/>
        <v>4.8675505653430484E-3</v>
      </c>
      <c r="E388" s="16">
        <f t="shared" si="146"/>
        <v>0</v>
      </c>
      <c r="F388" s="127"/>
      <c r="G388" s="88">
        <f t="shared" si="147"/>
        <v>0</v>
      </c>
      <c r="H388" s="89">
        <f t="shared" si="159"/>
        <v>4.1666666666666666E-3</v>
      </c>
      <c r="I388" s="219"/>
      <c r="J388" s="219"/>
      <c r="K388" s="6">
        <f t="shared" si="167"/>
        <v>52352.560554041447</v>
      </c>
      <c r="M388" s="6">
        <f t="shared" si="148"/>
        <v>254.82873572198062</v>
      </c>
      <c r="N388" s="6">
        <f t="shared" si="160"/>
        <v>-59.296775558179533</v>
      </c>
      <c r="O388" s="90">
        <f t="shared" si="149"/>
        <v>546.86866482157643</v>
      </c>
      <c r="P388" s="91">
        <f t="shared" si="150"/>
        <v>0</v>
      </c>
      <c r="Q388" s="6">
        <f t="shared" si="151"/>
        <v>218.9503854758552</v>
      </c>
      <c r="R388" s="87">
        <f t="shared" si="170"/>
        <v>-630.4382660967724</v>
      </c>
      <c r="S388" s="6">
        <f t="shared" si="152"/>
        <v>-10.87394606965638</v>
      </c>
      <c r="T388" s="83">
        <f t="shared" si="161"/>
        <v>0</v>
      </c>
      <c r="U388" s="91">
        <f t="shared" si="168"/>
        <v>128045.83617556599</v>
      </c>
      <c r="V388" s="91">
        <f t="shared" si="162"/>
        <v>623.26958226619956</v>
      </c>
      <c r="W388" s="1">
        <f t="shared" si="175"/>
        <v>0</v>
      </c>
      <c r="X388" s="1">
        <f t="shared" si="175"/>
        <v>0</v>
      </c>
      <c r="Y388" s="1">
        <f t="shared" si="175"/>
        <v>0</v>
      </c>
      <c r="Z388" s="1">
        <f t="shared" si="175"/>
        <v>0</v>
      </c>
      <c r="AA388" s="1">
        <f t="shared" si="175"/>
        <v>0</v>
      </c>
      <c r="AB388" s="1">
        <f t="shared" si="175"/>
        <v>0</v>
      </c>
      <c r="AC388" s="1">
        <f t="shared" si="175"/>
        <v>0</v>
      </c>
      <c r="AD388" s="1">
        <f t="shared" si="175"/>
        <v>0</v>
      </c>
      <c r="AE388" s="1">
        <f t="shared" si="175"/>
        <v>0</v>
      </c>
      <c r="AF388" s="1">
        <f t="shared" si="175"/>
        <v>1</v>
      </c>
      <c r="AG388" s="1">
        <f t="shared" si="175"/>
        <v>1</v>
      </c>
      <c r="AH388" s="1">
        <f t="shared" si="175"/>
        <v>1</v>
      </c>
      <c r="AI388" s="44">
        <f t="shared" si="163"/>
        <v>51917.654248108476</v>
      </c>
      <c r="AJ388" s="44">
        <f t="shared" si="153"/>
        <v>52548.092514205251</v>
      </c>
      <c r="AK388" s="44" t="str">
        <f t="shared" si="171"/>
        <v>N</v>
      </c>
      <c r="AL388" s="4">
        <f t="shared" si="154"/>
        <v>310</v>
      </c>
      <c r="AM388" s="82">
        <f t="shared" si="164"/>
        <v>0</v>
      </c>
      <c r="AN388" s="82">
        <f t="shared" si="155"/>
        <v>0</v>
      </c>
      <c r="AO388" s="48">
        <f>0</f>
        <v>0</v>
      </c>
      <c r="AP388" s="91">
        <f t="shared" si="165"/>
        <v>-630.4382660967724</v>
      </c>
      <c r="AQ388" s="91">
        <f t="shared" si="166"/>
        <v>-630.4382660967724</v>
      </c>
      <c r="AV388" s="84"/>
    </row>
    <row r="389" spans="1:48">
      <c r="A389" s="190">
        <f t="shared" si="156"/>
        <v>91.637577002053376</v>
      </c>
      <c r="B389" s="82">
        <f t="shared" si="157"/>
        <v>26</v>
      </c>
      <c r="C389" s="83">
        <f t="shared" si="158"/>
        <v>311</v>
      </c>
      <c r="D389" s="14">
        <f t="shared" si="145"/>
        <v>4.8675505653430484E-3</v>
      </c>
      <c r="E389" s="16">
        <f t="shared" si="146"/>
        <v>0</v>
      </c>
      <c r="F389" s="127"/>
      <c r="G389" s="88">
        <f t="shared" si="147"/>
        <v>0</v>
      </c>
      <c r="H389" s="89">
        <f t="shared" si="159"/>
        <v>4.1666666666666666E-3</v>
      </c>
      <c r="I389" s="219"/>
      <c r="J389" s="219"/>
      <c r="K389" s="6">
        <f t="shared" si="167"/>
        <v>51917.654248108476</v>
      </c>
      <c r="M389" s="6">
        <f t="shared" si="148"/>
        <v>252.71180728666533</v>
      </c>
      <c r="N389" s="6">
        <f t="shared" si="160"/>
        <v>-58.804181856193864</v>
      </c>
      <c r="O389" s="90">
        <f t="shared" si="149"/>
        <v>546.86866482157643</v>
      </c>
      <c r="P389" s="91">
        <f t="shared" si="150"/>
        <v>0</v>
      </c>
      <c r="Q389" s="6">
        <f t="shared" si="151"/>
        <v>217.13150780641229</v>
      </c>
      <c r="R389" s="87">
        <f t="shared" si="170"/>
        <v>-630.1562575131959</v>
      </c>
      <c r="S389" s="6">
        <f t="shared" si="152"/>
        <v>-10.783096618235646</v>
      </c>
      <c r="T389" s="83">
        <f t="shared" si="161"/>
        <v>0</v>
      </c>
      <c r="U389" s="91">
        <f t="shared" si="168"/>
        <v>128038.66749173542</v>
      </c>
      <c r="V389" s="91">
        <f t="shared" si="162"/>
        <v>623.23468833516733</v>
      </c>
      <c r="W389" s="1">
        <f t="shared" ref="W389:AH398" si="176">IF($B389&lt;=W$78,1,0)</f>
        <v>0</v>
      </c>
      <c r="X389" s="1">
        <f t="shared" si="176"/>
        <v>0</v>
      </c>
      <c r="Y389" s="1">
        <f t="shared" si="176"/>
        <v>0</v>
      </c>
      <c r="Z389" s="1">
        <f t="shared" si="176"/>
        <v>0</v>
      </c>
      <c r="AA389" s="1">
        <f t="shared" si="176"/>
        <v>0</v>
      </c>
      <c r="AB389" s="1">
        <f t="shared" si="176"/>
        <v>0</v>
      </c>
      <c r="AC389" s="1">
        <f t="shared" si="176"/>
        <v>0</v>
      </c>
      <c r="AD389" s="1">
        <f t="shared" si="176"/>
        <v>0</v>
      </c>
      <c r="AE389" s="1">
        <f t="shared" si="176"/>
        <v>0</v>
      </c>
      <c r="AF389" s="1">
        <f t="shared" si="176"/>
        <v>1</v>
      </c>
      <c r="AG389" s="1">
        <f t="shared" si="176"/>
        <v>1</v>
      </c>
      <c r="AH389" s="1">
        <f t="shared" si="176"/>
        <v>1</v>
      </c>
      <c r="AI389" s="44">
        <f t="shared" si="163"/>
        <v>51481.405616025753</v>
      </c>
      <c r="AJ389" s="44">
        <f t="shared" si="153"/>
        <v>52111.561873538951</v>
      </c>
      <c r="AK389" s="44" t="str">
        <f t="shared" si="171"/>
        <v>N</v>
      </c>
      <c r="AL389" s="4">
        <f t="shared" si="154"/>
        <v>311</v>
      </c>
      <c r="AM389" s="82">
        <f t="shared" si="164"/>
        <v>0</v>
      </c>
      <c r="AN389" s="82">
        <f t="shared" si="155"/>
        <v>0</v>
      </c>
      <c r="AO389" s="48">
        <f>0</f>
        <v>0</v>
      </c>
      <c r="AP389" s="91">
        <f t="shared" si="165"/>
        <v>-630.1562575131959</v>
      </c>
      <c r="AQ389" s="91">
        <f t="shared" si="166"/>
        <v>-630.1562575131959</v>
      </c>
      <c r="AV389" s="84"/>
    </row>
    <row r="390" spans="1:48">
      <c r="A390" s="190">
        <f t="shared" si="156"/>
        <v>91.720910335386719</v>
      </c>
      <c r="B390" s="82">
        <f t="shared" si="157"/>
        <v>26</v>
      </c>
      <c r="C390" s="83">
        <f t="shared" si="158"/>
        <v>312</v>
      </c>
      <c r="D390" s="14">
        <f t="shared" si="145"/>
        <v>4.8675505653430484E-3</v>
      </c>
      <c r="E390" s="16">
        <f t="shared" si="146"/>
        <v>0</v>
      </c>
      <c r="F390" s="127"/>
      <c r="G390" s="88">
        <f t="shared" si="147"/>
        <v>0</v>
      </c>
      <c r="H390" s="89">
        <f t="shared" si="159"/>
        <v>4.1666666666666666E-3</v>
      </c>
      <c r="I390" s="219"/>
      <c r="J390" s="219"/>
      <c r="K390" s="6">
        <f t="shared" si="167"/>
        <v>51481.405616025753</v>
      </c>
      <c r="M390" s="6">
        <f t="shared" si="148"/>
        <v>250.58834501094094</v>
      </c>
      <c r="N390" s="6">
        <f t="shared" si="160"/>
        <v>-58.310067777523926</v>
      </c>
      <c r="O390" s="90">
        <f t="shared" si="149"/>
        <v>546.86866482157643</v>
      </c>
      <c r="P390" s="91">
        <f t="shared" si="150"/>
        <v>0</v>
      </c>
      <c r="Q390" s="6">
        <f t="shared" si="151"/>
        <v>215.30701622191322</v>
      </c>
      <c r="R390" s="87">
        <f t="shared" si="170"/>
        <v>-629.87437507811876</v>
      </c>
      <c r="S390" s="6">
        <f t="shared" si="152"/>
        <v>-10.691966658596506</v>
      </c>
      <c r="T390" s="83">
        <f t="shared" si="161"/>
        <v>0</v>
      </c>
      <c r="U390" s="91">
        <f t="shared" si="168"/>
        <v>128031.7459225574</v>
      </c>
      <c r="V390" s="91">
        <f t="shared" si="162"/>
        <v>623.20099724720183</v>
      </c>
      <c r="W390" s="1">
        <f t="shared" si="176"/>
        <v>0</v>
      </c>
      <c r="X390" s="1">
        <f t="shared" si="176"/>
        <v>0</v>
      </c>
      <c r="Y390" s="1">
        <f t="shared" si="176"/>
        <v>0</v>
      </c>
      <c r="Z390" s="1">
        <f t="shared" si="176"/>
        <v>0</v>
      </c>
      <c r="AA390" s="1">
        <f t="shared" si="176"/>
        <v>0</v>
      </c>
      <c r="AB390" s="1">
        <f t="shared" si="176"/>
        <v>0</v>
      </c>
      <c r="AC390" s="1">
        <f t="shared" si="176"/>
        <v>0</v>
      </c>
      <c r="AD390" s="1">
        <f t="shared" si="176"/>
        <v>0</v>
      </c>
      <c r="AE390" s="1">
        <f t="shared" si="176"/>
        <v>0</v>
      </c>
      <c r="AF390" s="1">
        <f t="shared" si="176"/>
        <v>1</v>
      </c>
      <c r="AG390" s="1">
        <f t="shared" si="176"/>
        <v>1</v>
      </c>
      <c r="AH390" s="1">
        <f t="shared" si="176"/>
        <v>1</v>
      </c>
      <c r="AI390" s="44">
        <f t="shared" si="163"/>
        <v>51043.809518181049</v>
      </c>
      <c r="AJ390" s="44">
        <f t="shared" si="153"/>
        <v>51673.683893259171</v>
      </c>
      <c r="AK390" s="44" t="str">
        <f t="shared" si="171"/>
        <v>N</v>
      </c>
      <c r="AL390" s="4">
        <f t="shared" si="154"/>
        <v>312</v>
      </c>
      <c r="AM390" s="82">
        <f t="shared" si="164"/>
        <v>0</v>
      </c>
      <c r="AN390" s="82">
        <f t="shared" si="155"/>
        <v>0</v>
      </c>
      <c r="AO390" s="48">
        <f>0</f>
        <v>0</v>
      </c>
      <c r="AP390" s="91">
        <f t="shared" si="165"/>
        <v>-629.87437507811876</v>
      </c>
      <c r="AQ390" s="91">
        <f t="shared" si="166"/>
        <v>-629.87437507811876</v>
      </c>
      <c r="AV390" s="84"/>
    </row>
    <row r="391" spans="1:48">
      <c r="A391" s="190">
        <f t="shared" si="156"/>
        <v>91.804243668720048</v>
      </c>
      <c r="B391" s="82">
        <f t="shared" si="157"/>
        <v>27</v>
      </c>
      <c r="C391" s="83">
        <f t="shared" si="158"/>
        <v>313</v>
      </c>
      <c r="D391" s="14">
        <f t="shared" si="145"/>
        <v>4.8675505653430484E-3</v>
      </c>
      <c r="E391" s="16">
        <f t="shared" si="146"/>
        <v>0</v>
      </c>
      <c r="F391" s="127"/>
      <c r="G391" s="88">
        <f t="shared" si="147"/>
        <v>0</v>
      </c>
      <c r="H391" s="89">
        <f t="shared" si="159"/>
        <v>4.1666666666666666E-3</v>
      </c>
      <c r="I391" s="219"/>
      <c r="J391" s="219"/>
      <c r="K391" s="6">
        <f t="shared" si="167"/>
        <v>51043.809518181049</v>
      </c>
      <c r="M391" s="6">
        <f t="shared" si="148"/>
        <v>248.45832387748504</v>
      </c>
      <c r="N391" s="6">
        <f t="shared" si="160"/>
        <v>-57.814427500822511</v>
      </c>
      <c r="O391" s="90">
        <f t="shared" si="149"/>
        <v>557.80603811800813</v>
      </c>
      <c r="P391" s="91">
        <f t="shared" si="150"/>
        <v>0</v>
      </c>
      <c r="Q391" s="6">
        <f t="shared" si="151"/>
        <v>213.4768892273238</v>
      </c>
      <c r="R391" s="87">
        <f t="shared" si="170"/>
        <v>-629.59261873511207</v>
      </c>
      <c r="S391" s="6">
        <f t="shared" si="152"/>
        <v>-10.600555116761557</v>
      </c>
      <c r="T391" s="83">
        <f t="shared" si="161"/>
        <v>0</v>
      </c>
      <c r="U391" s="91">
        <f t="shared" si="168"/>
        <v>128025.07254472648</v>
      </c>
      <c r="V391" s="91">
        <f t="shared" si="162"/>
        <v>623.16851424316815</v>
      </c>
      <c r="W391" s="1">
        <f t="shared" si="176"/>
        <v>0</v>
      </c>
      <c r="X391" s="1">
        <f t="shared" si="176"/>
        <v>0</v>
      </c>
      <c r="Y391" s="1">
        <f t="shared" si="176"/>
        <v>0</v>
      </c>
      <c r="Z391" s="1">
        <f t="shared" si="176"/>
        <v>0</v>
      </c>
      <c r="AA391" s="1">
        <f t="shared" si="176"/>
        <v>0</v>
      </c>
      <c r="AB391" s="1">
        <f t="shared" si="176"/>
        <v>0</v>
      </c>
      <c r="AC391" s="1">
        <f t="shared" si="176"/>
        <v>0</v>
      </c>
      <c r="AD391" s="1">
        <f t="shared" si="176"/>
        <v>0</v>
      </c>
      <c r="AE391" s="1">
        <f t="shared" si="176"/>
        <v>0</v>
      </c>
      <c r="AF391" s="1">
        <f t="shared" si="176"/>
        <v>1</v>
      </c>
      <c r="AG391" s="1">
        <f t="shared" si="176"/>
        <v>1</v>
      </c>
      <c r="AH391" s="1">
        <f t="shared" si="176"/>
        <v>1</v>
      </c>
      <c r="AI391" s="44">
        <f t="shared" si="163"/>
        <v>50604.860795822598</v>
      </c>
      <c r="AJ391" s="44">
        <f t="shared" si="153"/>
        <v>51234.453414557713</v>
      </c>
      <c r="AK391" s="44" t="str">
        <f t="shared" si="171"/>
        <v>N</v>
      </c>
      <c r="AL391" s="4">
        <f t="shared" si="154"/>
        <v>313</v>
      </c>
      <c r="AM391" s="82">
        <f t="shared" si="164"/>
        <v>0</v>
      </c>
      <c r="AN391" s="82">
        <f t="shared" si="155"/>
        <v>0</v>
      </c>
      <c r="AO391" s="48">
        <f>0</f>
        <v>0</v>
      </c>
      <c r="AP391" s="91">
        <f t="shared" si="165"/>
        <v>-629.59261873511207</v>
      </c>
      <c r="AQ391" s="91">
        <f t="shared" si="166"/>
        <v>-629.59261873511207</v>
      </c>
      <c r="AV391" s="84"/>
    </row>
    <row r="392" spans="1:48">
      <c r="A392" s="190">
        <f t="shared" si="156"/>
        <v>91.887577002053376</v>
      </c>
      <c r="B392" s="82">
        <f t="shared" si="157"/>
        <v>27</v>
      </c>
      <c r="C392" s="83">
        <f t="shared" si="158"/>
        <v>314</v>
      </c>
      <c r="D392" s="14">
        <f t="shared" si="145"/>
        <v>4.8675505653430484E-3</v>
      </c>
      <c r="E392" s="16">
        <f t="shared" si="146"/>
        <v>0</v>
      </c>
      <c r="F392" s="127"/>
      <c r="G392" s="88">
        <f t="shared" si="147"/>
        <v>0</v>
      </c>
      <c r="H392" s="89">
        <f t="shared" si="159"/>
        <v>4.1666666666666666E-3</v>
      </c>
      <c r="I392" s="219"/>
      <c r="J392" s="219"/>
      <c r="K392" s="6">
        <f t="shared" si="167"/>
        <v>50604.860795822598</v>
      </c>
      <c r="M392" s="6">
        <f t="shared" si="148"/>
        <v>246.32171877581257</v>
      </c>
      <c r="N392" s="6">
        <f t="shared" si="160"/>
        <v>-57.317255183064134</v>
      </c>
      <c r="O392" s="90">
        <f t="shared" si="149"/>
        <v>557.80603811800813</v>
      </c>
      <c r="P392" s="91">
        <f t="shared" si="150"/>
        <v>0</v>
      </c>
      <c r="Q392" s="6">
        <f t="shared" si="151"/>
        <v>211.64110524756393</v>
      </c>
      <c r="R392" s="87">
        <f t="shared" si="170"/>
        <v>-629.31098842777214</v>
      </c>
      <c r="S392" s="6">
        <f t="shared" si="152"/>
        <v>-10.508860914753958</v>
      </c>
      <c r="T392" s="83">
        <f t="shared" si="161"/>
        <v>0</v>
      </c>
      <c r="U392" s="91">
        <f t="shared" si="168"/>
        <v>128018.64844023454</v>
      </c>
      <c r="V392" s="91">
        <f t="shared" si="162"/>
        <v>623.1372445897166</v>
      </c>
      <c r="W392" s="1">
        <f t="shared" si="176"/>
        <v>0</v>
      </c>
      <c r="X392" s="1">
        <f t="shared" si="176"/>
        <v>0</v>
      </c>
      <c r="Y392" s="1">
        <f t="shared" si="176"/>
        <v>0</v>
      </c>
      <c r="Z392" s="1">
        <f t="shared" si="176"/>
        <v>0</v>
      </c>
      <c r="AA392" s="1">
        <f t="shared" si="176"/>
        <v>0</v>
      </c>
      <c r="AB392" s="1">
        <f t="shared" si="176"/>
        <v>0</v>
      </c>
      <c r="AC392" s="1">
        <f t="shared" si="176"/>
        <v>0</v>
      </c>
      <c r="AD392" s="1">
        <f t="shared" si="176"/>
        <v>0</v>
      </c>
      <c r="AE392" s="1">
        <f t="shared" si="176"/>
        <v>0</v>
      </c>
      <c r="AF392" s="1">
        <f t="shared" si="176"/>
        <v>1</v>
      </c>
      <c r="AG392" s="1">
        <f t="shared" si="176"/>
        <v>1</v>
      </c>
      <c r="AH392" s="1">
        <f t="shared" si="176"/>
        <v>1</v>
      </c>
      <c r="AI392" s="44">
        <f t="shared" si="163"/>
        <v>50164.554270987574</v>
      </c>
      <c r="AJ392" s="44">
        <f t="shared" si="153"/>
        <v>50793.865259415346</v>
      </c>
      <c r="AK392" s="44" t="str">
        <f t="shared" si="171"/>
        <v>N</v>
      </c>
      <c r="AL392" s="4">
        <f t="shared" si="154"/>
        <v>314</v>
      </c>
      <c r="AM392" s="82">
        <f t="shared" si="164"/>
        <v>0</v>
      </c>
      <c r="AN392" s="82">
        <f t="shared" si="155"/>
        <v>0</v>
      </c>
      <c r="AO392" s="48">
        <f>0</f>
        <v>0</v>
      </c>
      <c r="AP392" s="91">
        <f t="shared" si="165"/>
        <v>-629.31098842777214</v>
      </c>
      <c r="AQ392" s="91">
        <f t="shared" si="166"/>
        <v>-629.31098842777214</v>
      </c>
      <c r="AV392" s="84"/>
    </row>
    <row r="393" spans="1:48">
      <c r="A393" s="190">
        <f t="shared" si="156"/>
        <v>91.970910335386719</v>
      </c>
      <c r="B393" s="82">
        <f t="shared" si="157"/>
        <v>27</v>
      </c>
      <c r="C393" s="83">
        <f t="shared" si="158"/>
        <v>315</v>
      </c>
      <c r="D393" s="14">
        <f t="shared" si="145"/>
        <v>4.8675505653430484E-3</v>
      </c>
      <c r="E393" s="16">
        <f t="shared" si="146"/>
        <v>0</v>
      </c>
      <c r="F393" s="127"/>
      <c r="G393" s="88">
        <f t="shared" si="147"/>
        <v>0</v>
      </c>
      <c r="H393" s="89">
        <f t="shared" si="159"/>
        <v>4.1666666666666666E-3</v>
      </c>
      <c r="I393" s="219"/>
      <c r="J393" s="219"/>
      <c r="K393" s="6">
        <f t="shared" si="167"/>
        <v>50164.554270987574</v>
      </c>
      <c r="M393" s="6">
        <f t="shared" si="148"/>
        <v>244.17850450192759</v>
      </c>
      <c r="N393" s="6">
        <f t="shared" si="160"/>
        <v>-56.81854495946402</v>
      </c>
      <c r="O393" s="90">
        <f t="shared" si="149"/>
        <v>557.80603811800813</v>
      </c>
      <c r="P393" s="91">
        <f t="shared" si="150"/>
        <v>0</v>
      </c>
      <c r="Q393" s="6">
        <f t="shared" si="151"/>
        <v>209.79964262720847</v>
      </c>
      <c r="R393" s="87">
        <f t="shared" si="170"/>
        <v>-629.02948409972043</v>
      </c>
      <c r="S393" s="6">
        <f t="shared" si="152"/>
        <v>-10.416882970582478</v>
      </c>
      <c r="T393" s="83">
        <f t="shared" si="161"/>
        <v>0</v>
      </c>
      <c r="U393" s="91">
        <f t="shared" si="168"/>
        <v>128012.47469639649</v>
      </c>
      <c r="V393" s="91">
        <f t="shared" si="162"/>
        <v>623.10719357940741</v>
      </c>
      <c r="W393" s="1">
        <f t="shared" si="176"/>
        <v>0</v>
      </c>
      <c r="X393" s="1">
        <f t="shared" si="176"/>
        <v>0</v>
      </c>
      <c r="Y393" s="1">
        <f t="shared" si="176"/>
        <v>0</v>
      </c>
      <c r="Z393" s="1">
        <f t="shared" si="176"/>
        <v>0</v>
      </c>
      <c r="AA393" s="1">
        <f t="shared" si="176"/>
        <v>0</v>
      </c>
      <c r="AB393" s="1">
        <f t="shared" si="176"/>
        <v>0</v>
      </c>
      <c r="AC393" s="1">
        <f t="shared" si="176"/>
        <v>0</v>
      </c>
      <c r="AD393" s="1">
        <f t="shared" si="176"/>
        <v>0</v>
      </c>
      <c r="AE393" s="1">
        <f t="shared" si="176"/>
        <v>0</v>
      </c>
      <c r="AF393" s="1">
        <f t="shared" si="176"/>
        <v>1</v>
      </c>
      <c r="AG393" s="1">
        <f t="shared" si="176"/>
        <v>1</v>
      </c>
      <c r="AH393" s="1">
        <f t="shared" si="176"/>
        <v>1</v>
      </c>
      <c r="AI393" s="44">
        <f t="shared" si="163"/>
        <v>49722.884746430311</v>
      </c>
      <c r="AJ393" s="44">
        <f t="shared" si="153"/>
        <v>50351.914230530034</v>
      </c>
      <c r="AK393" s="44" t="str">
        <f t="shared" si="171"/>
        <v>N</v>
      </c>
      <c r="AL393" s="4">
        <f t="shared" si="154"/>
        <v>315</v>
      </c>
      <c r="AM393" s="82">
        <f t="shared" si="164"/>
        <v>0</v>
      </c>
      <c r="AN393" s="82">
        <f t="shared" si="155"/>
        <v>0</v>
      </c>
      <c r="AO393" s="48">
        <f>0</f>
        <v>0</v>
      </c>
      <c r="AP393" s="91">
        <f t="shared" si="165"/>
        <v>-629.02948409972043</v>
      </c>
      <c r="AQ393" s="91">
        <f t="shared" si="166"/>
        <v>-629.02948409972043</v>
      </c>
      <c r="AV393" s="84"/>
    </row>
    <row r="394" spans="1:48">
      <c r="A394" s="190">
        <f t="shared" si="156"/>
        <v>92.054243668720048</v>
      </c>
      <c r="B394" s="82">
        <f t="shared" si="157"/>
        <v>27</v>
      </c>
      <c r="C394" s="83">
        <f t="shared" si="158"/>
        <v>316</v>
      </c>
      <c r="D394" s="14">
        <f t="shared" si="145"/>
        <v>4.8675505653430484E-3</v>
      </c>
      <c r="E394" s="16">
        <f t="shared" si="146"/>
        <v>0</v>
      </c>
      <c r="F394" s="127"/>
      <c r="G394" s="88">
        <f t="shared" si="147"/>
        <v>0</v>
      </c>
      <c r="H394" s="89">
        <f t="shared" si="159"/>
        <v>4.1666666666666666E-3</v>
      </c>
      <c r="I394" s="219"/>
      <c r="J394" s="219"/>
      <c r="K394" s="6">
        <f t="shared" si="167"/>
        <v>49722.884746430311</v>
      </c>
      <c r="M394" s="6">
        <f t="shared" si="148"/>
        <v>242.02865575797409</v>
      </c>
      <c r="N394" s="6">
        <f t="shared" si="160"/>
        <v>-56.318290943396832</v>
      </c>
      <c r="O394" s="90">
        <f t="shared" si="149"/>
        <v>557.80603811800813</v>
      </c>
      <c r="P394" s="91">
        <f t="shared" si="150"/>
        <v>0</v>
      </c>
      <c r="Q394" s="6">
        <f t="shared" si="151"/>
        <v>207.95247963018704</v>
      </c>
      <c r="R394" s="87">
        <f t="shared" si="170"/>
        <v>-644.77562927752001</v>
      </c>
      <c r="S394" s="6">
        <f t="shared" si="152"/>
        <v>-10.322948748451507</v>
      </c>
      <c r="T394" s="83">
        <f t="shared" si="161"/>
        <v>0</v>
      </c>
      <c r="U394" s="91">
        <f t="shared" si="168"/>
        <v>128006.55240587617</v>
      </c>
      <c r="V394" s="91">
        <f t="shared" si="162"/>
        <v>623.07836653083712</v>
      </c>
      <c r="W394" s="1">
        <f t="shared" si="176"/>
        <v>0</v>
      </c>
      <c r="X394" s="1">
        <f t="shared" si="176"/>
        <v>0</v>
      </c>
      <c r="Y394" s="1">
        <f t="shared" si="176"/>
        <v>0</v>
      </c>
      <c r="Z394" s="1">
        <f t="shared" si="176"/>
        <v>0</v>
      </c>
      <c r="AA394" s="1">
        <f t="shared" si="176"/>
        <v>0</v>
      </c>
      <c r="AB394" s="1">
        <f t="shared" si="176"/>
        <v>0</v>
      </c>
      <c r="AC394" s="1">
        <f t="shared" si="176"/>
        <v>0</v>
      </c>
      <c r="AD394" s="1">
        <f t="shared" si="176"/>
        <v>0</v>
      </c>
      <c r="AE394" s="1">
        <f t="shared" si="176"/>
        <v>0</v>
      </c>
      <c r="AF394" s="1">
        <f t="shared" si="176"/>
        <v>1</v>
      </c>
      <c r="AG394" s="1">
        <f t="shared" si="176"/>
        <v>1</v>
      </c>
      <c r="AH394" s="1">
        <f t="shared" si="176"/>
        <v>1</v>
      </c>
      <c r="AI394" s="44">
        <f t="shared" si="163"/>
        <v>49263.819481967366</v>
      </c>
      <c r="AJ394" s="44">
        <f t="shared" si="153"/>
        <v>49908.595111244889</v>
      </c>
      <c r="AK394" s="44" t="str">
        <f t="shared" si="171"/>
        <v>N</v>
      </c>
      <c r="AL394" s="4">
        <f t="shared" si="154"/>
        <v>316</v>
      </c>
      <c r="AM394" s="82">
        <f t="shared" si="164"/>
        <v>0</v>
      </c>
      <c r="AN394" s="82">
        <f t="shared" si="155"/>
        <v>0</v>
      </c>
      <c r="AO394" s="48">
        <f>0</f>
        <v>0</v>
      </c>
      <c r="AP394" s="91">
        <f t="shared" si="165"/>
        <v>-644.77562927752001</v>
      </c>
      <c r="AQ394" s="91">
        <f t="shared" si="166"/>
        <v>-644.77562927752001</v>
      </c>
      <c r="AV394" s="84"/>
    </row>
    <row r="395" spans="1:48">
      <c r="A395" s="190">
        <f t="shared" si="156"/>
        <v>92.137577002053376</v>
      </c>
      <c r="B395" s="82">
        <f t="shared" si="157"/>
        <v>27</v>
      </c>
      <c r="C395" s="83">
        <f t="shared" si="158"/>
        <v>317</v>
      </c>
      <c r="D395" s="14">
        <f t="shared" si="145"/>
        <v>4.8675505653430484E-3</v>
      </c>
      <c r="E395" s="16">
        <f t="shared" si="146"/>
        <v>0</v>
      </c>
      <c r="F395" s="127"/>
      <c r="G395" s="88">
        <f t="shared" si="147"/>
        <v>0</v>
      </c>
      <c r="H395" s="89">
        <f t="shared" si="159"/>
        <v>4.1666666666666666E-3</v>
      </c>
      <c r="I395" s="219"/>
      <c r="J395" s="219"/>
      <c r="K395" s="6">
        <f t="shared" si="167"/>
        <v>49263.819481967366</v>
      </c>
      <c r="M395" s="6">
        <f t="shared" si="148"/>
        <v>239.79413237040814</v>
      </c>
      <c r="N395" s="6">
        <f t="shared" si="160"/>
        <v>-55.798333759539204</v>
      </c>
      <c r="O395" s="90">
        <f t="shared" si="149"/>
        <v>557.80603811800813</v>
      </c>
      <c r="P395" s="91">
        <f t="shared" si="150"/>
        <v>0</v>
      </c>
      <c r="Q395" s="6">
        <f t="shared" si="151"/>
        <v>206.03256366907598</v>
      </c>
      <c r="R395" s="87">
        <f t="shared" si="170"/>
        <v>-644.487207283305</v>
      </c>
      <c r="S395" s="6">
        <f t="shared" si="152"/>
        <v>-10.227051663261458</v>
      </c>
      <c r="T395" s="83">
        <f t="shared" si="161"/>
        <v>0</v>
      </c>
      <c r="U395" s="91">
        <f t="shared" si="168"/>
        <v>127984.85514312949</v>
      </c>
      <c r="V395" s="91">
        <f t="shared" si="162"/>
        <v>622.97275400728813</v>
      </c>
      <c r="W395" s="1">
        <f t="shared" si="176"/>
        <v>0</v>
      </c>
      <c r="X395" s="1">
        <f t="shared" si="176"/>
        <v>0</v>
      </c>
      <c r="Y395" s="1">
        <f t="shared" si="176"/>
        <v>0</v>
      </c>
      <c r="Z395" s="1">
        <f t="shared" si="176"/>
        <v>0</v>
      </c>
      <c r="AA395" s="1">
        <f t="shared" si="176"/>
        <v>0</v>
      </c>
      <c r="AB395" s="1">
        <f t="shared" si="176"/>
        <v>0</v>
      </c>
      <c r="AC395" s="1">
        <f t="shared" si="176"/>
        <v>0</v>
      </c>
      <c r="AD395" s="1">
        <f t="shared" si="176"/>
        <v>0</v>
      </c>
      <c r="AE395" s="1">
        <f t="shared" si="176"/>
        <v>0</v>
      </c>
      <c r="AF395" s="1">
        <f t="shared" si="176"/>
        <v>1</v>
      </c>
      <c r="AG395" s="1">
        <f t="shared" si="176"/>
        <v>1</v>
      </c>
      <c r="AH395" s="1">
        <f t="shared" si="176"/>
        <v>1</v>
      </c>
      <c r="AI395" s="44">
        <f t="shared" si="163"/>
        <v>48803.328073294935</v>
      </c>
      <c r="AJ395" s="44">
        <f t="shared" si="153"/>
        <v>49447.815280578237</v>
      </c>
      <c r="AK395" s="44" t="str">
        <f t="shared" si="171"/>
        <v>N</v>
      </c>
      <c r="AL395" s="4">
        <f t="shared" si="154"/>
        <v>317</v>
      </c>
      <c r="AM395" s="82">
        <f t="shared" si="164"/>
        <v>0</v>
      </c>
      <c r="AN395" s="82">
        <f t="shared" si="155"/>
        <v>0</v>
      </c>
      <c r="AO395" s="48">
        <f>0</f>
        <v>0</v>
      </c>
      <c r="AP395" s="91">
        <f t="shared" si="165"/>
        <v>-644.487207283305</v>
      </c>
      <c r="AQ395" s="91">
        <f t="shared" si="166"/>
        <v>-644.487207283305</v>
      </c>
      <c r="AV395" s="84"/>
    </row>
    <row r="396" spans="1:48">
      <c r="A396" s="190">
        <f t="shared" si="156"/>
        <v>92.220910335386719</v>
      </c>
      <c r="B396" s="82">
        <f t="shared" si="157"/>
        <v>27</v>
      </c>
      <c r="C396" s="83">
        <f t="shared" si="158"/>
        <v>318</v>
      </c>
      <c r="D396" s="14">
        <f t="shared" si="145"/>
        <v>4.8675505653430484E-3</v>
      </c>
      <c r="E396" s="16">
        <f t="shared" si="146"/>
        <v>0</v>
      </c>
      <c r="F396" s="127"/>
      <c r="G396" s="88">
        <f t="shared" si="147"/>
        <v>0</v>
      </c>
      <c r="H396" s="89">
        <f t="shared" si="159"/>
        <v>4.1666666666666666E-3</v>
      </c>
      <c r="I396" s="219"/>
      <c r="J396" s="219"/>
      <c r="K396" s="6">
        <f t="shared" si="167"/>
        <v>48803.328073294935</v>
      </c>
      <c r="M396" s="6">
        <f t="shared" si="148"/>
        <v>237.55266715378903</v>
      </c>
      <c r="N396" s="6">
        <f t="shared" si="160"/>
        <v>-55.276761263035766</v>
      </c>
      <c r="O396" s="90">
        <f t="shared" si="149"/>
        <v>557.80603811800813</v>
      </c>
      <c r="P396" s="91">
        <f t="shared" si="150"/>
        <v>0</v>
      </c>
      <c r="Q396" s="6">
        <f t="shared" si="151"/>
        <v>204.10668324660705</v>
      </c>
      <c r="R396" s="87">
        <f t="shared" si="170"/>
        <v>-644.19891430644554</v>
      </c>
      <c r="S396" s="6">
        <f t="shared" si="152"/>
        <v>-10.130856554770293</v>
      </c>
      <c r="T396" s="83">
        <f t="shared" si="161"/>
        <v>0</v>
      </c>
      <c r="U396" s="91">
        <f t="shared" si="168"/>
        <v>127963.34068985347</v>
      </c>
      <c r="V396" s="91">
        <f t="shared" si="162"/>
        <v>622.86803131808142</v>
      </c>
      <c r="W396" s="1">
        <f t="shared" si="176"/>
        <v>0</v>
      </c>
      <c r="X396" s="1">
        <f t="shared" si="176"/>
        <v>0</v>
      </c>
      <c r="Y396" s="1">
        <f t="shared" si="176"/>
        <v>0</v>
      </c>
      <c r="Z396" s="1">
        <f t="shared" si="176"/>
        <v>0</v>
      </c>
      <c r="AA396" s="1">
        <f t="shared" si="176"/>
        <v>0</v>
      </c>
      <c r="AB396" s="1">
        <f t="shared" si="176"/>
        <v>0</v>
      </c>
      <c r="AC396" s="1">
        <f t="shared" si="176"/>
        <v>0</v>
      </c>
      <c r="AD396" s="1">
        <f t="shared" si="176"/>
        <v>0</v>
      </c>
      <c r="AE396" s="1">
        <f t="shared" si="176"/>
        <v>0</v>
      </c>
      <c r="AF396" s="1">
        <f t="shared" si="176"/>
        <v>1</v>
      </c>
      <c r="AG396" s="1">
        <f t="shared" si="176"/>
        <v>1</v>
      </c>
      <c r="AH396" s="1">
        <f t="shared" si="176"/>
        <v>1</v>
      </c>
      <c r="AI396" s="44">
        <f t="shared" si="163"/>
        <v>48341.405064879247</v>
      </c>
      <c r="AJ396" s="44">
        <f t="shared" si="153"/>
        <v>48985.603979185689</v>
      </c>
      <c r="AK396" s="44" t="str">
        <f t="shared" si="171"/>
        <v>N</v>
      </c>
      <c r="AL396" s="4">
        <f t="shared" si="154"/>
        <v>318</v>
      </c>
      <c r="AM396" s="82">
        <f t="shared" si="164"/>
        <v>0</v>
      </c>
      <c r="AN396" s="82">
        <f t="shared" si="155"/>
        <v>0</v>
      </c>
      <c r="AO396" s="48">
        <f>0</f>
        <v>0</v>
      </c>
      <c r="AP396" s="91">
        <f t="shared" si="165"/>
        <v>-644.19891430644554</v>
      </c>
      <c r="AQ396" s="91">
        <f t="shared" si="166"/>
        <v>-644.19891430644554</v>
      </c>
      <c r="AV396" s="84"/>
    </row>
    <row r="397" spans="1:48">
      <c r="A397" s="190">
        <f t="shared" si="156"/>
        <v>92.304243668720048</v>
      </c>
      <c r="B397" s="82">
        <f t="shared" si="157"/>
        <v>27</v>
      </c>
      <c r="C397" s="83">
        <f t="shared" si="158"/>
        <v>319</v>
      </c>
      <c r="D397" s="14">
        <f t="shared" si="145"/>
        <v>4.8675505653430484E-3</v>
      </c>
      <c r="E397" s="16">
        <f t="shared" si="146"/>
        <v>0</v>
      </c>
      <c r="F397" s="127"/>
      <c r="G397" s="88">
        <f t="shared" si="147"/>
        <v>0</v>
      </c>
      <c r="H397" s="89">
        <f t="shared" si="159"/>
        <v>4.1666666666666666E-3</v>
      </c>
      <c r="I397" s="219"/>
      <c r="J397" s="219"/>
      <c r="K397" s="6">
        <f t="shared" si="167"/>
        <v>48341.405064879247</v>
      </c>
      <c r="M397" s="6">
        <f t="shared" si="148"/>
        <v>235.30423355303029</v>
      </c>
      <c r="N397" s="6">
        <f t="shared" si="160"/>
        <v>-54.753567274712879</v>
      </c>
      <c r="O397" s="90">
        <f t="shared" si="149"/>
        <v>557.80603811800813</v>
      </c>
      <c r="P397" s="91">
        <f t="shared" si="150"/>
        <v>0</v>
      </c>
      <c r="Q397" s="6">
        <f t="shared" si="151"/>
        <v>202.17481554648987</v>
      </c>
      <c r="R397" s="87">
        <f t="shared" si="170"/>
        <v>-643.91075028922933</v>
      </c>
      <c r="S397" s="6">
        <f t="shared" si="152"/>
        <v>-10.034362282985171</v>
      </c>
      <c r="T397" s="83">
        <f t="shared" si="161"/>
        <v>0</v>
      </c>
      <c r="U397" s="91">
        <f t="shared" si="168"/>
        <v>127942.00980686511</v>
      </c>
      <c r="V397" s="91">
        <f t="shared" si="162"/>
        <v>622.76420216653207</v>
      </c>
      <c r="W397" s="1">
        <f t="shared" si="176"/>
        <v>0</v>
      </c>
      <c r="X397" s="1">
        <f t="shared" si="176"/>
        <v>0</v>
      </c>
      <c r="Y397" s="1">
        <f t="shared" si="176"/>
        <v>0</v>
      </c>
      <c r="Z397" s="1">
        <f t="shared" si="176"/>
        <v>0</v>
      </c>
      <c r="AA397" s="1">
        <f t="shared" si="176"/>
        <v>0</v>
      </c>
      <c r="AB397" s="1">
        <f t="shared" si="176"/>
        <v>0</v>
      </c>
      <c r="AC397" s="1">
        <f t="shared" si="176"/>
        <v>0</v>
      </c>
      <c r="AD397" s="1">
        <f t="shared" si="176"/>
        <v>0</v>
      </c>
      <c r="AE397" s="1">
        <f t="shared" si="176"/>
        <v>0</v>
      </c>
      <c r="AF397" s="1">
        <f t="shared" si="176"/>
        <v>1</v>
      </c>
      <c r="AG397" s="1">
        <f t="shared" si="176"/>
        <v>1</v>
      </c>
      <c r="AH397" s="1">
        <f t="shared" si="176"/>
        <v>1</v>
      </c>
      <c r="AI397" s="44">
        <f t="shared" si="163"/>
        <v>47878.044980868341</v>
      </c>
      <c r="AJ397" s="44">
        <f t="shared" si="153"/>
        <v>48521.95573115757</v>
      </c>
      <c r="AK397" s="44" t="str">
        <f t="shared" si="171"/>
        <v>N</v>
      </c>
      <c r="AL397" s="4">
        <f t="shared" si="154"/>
        <v>319</v>
      </c>
      <c r="AM397" s="82">
        <f t="shared" si="164"/>
        <v>0</v>
      </c>
      <c r="AN397" s="82">
        <f t="shared" si="155"/>
        <v>0</v>
      </c>
      <c r="AO397" s="48">
        <f>0</f>
        <v>0</v>
      </c>
      <c r="AP397" s="91">
        <f t="shared" si="165"/>
        <v>-643.91075028922933</v>
      </c>
      <c r="AQ397" s="91">
        <f t="shared" si="166"/>
        <v>-643.91075028922933</v>
      </c>
      <c r="AV397" s="84"/>
    </row>
    <row r="398" spans="1:48">
      <c r="A398" s="190">
        <f t="shared" si="156"/>
        <v>92.387577002053376</v>
      </c>
      <c r="B398" s="82">
        <f t="shared" si="157"/>
        <v>27</v>
      </c>
      <c r="C398" s="83">
        <f t="shared" si="158"/>
        <v>320</v>
      </c>
      <c r="D398" s="14">
        <f t="shared" si="145"/>
        <v>4.8675505653430484E-3</v>
      </c>
      <c r="E398" s="16">
        <f t="shared" si="146"/>
        <v>0</v>
      </c>
      <c r="F398" s="127"/>
      <c r="G398" s="88">
        <f t="shared" si="147"/>
        <v>0</v>
      </c>
      <c r="H398" s="89">
        <f t="shared" si="159"/>
        <v>4.1666666666666666E-3</v>
      </c>
      <c r="I398" s="219"/>
      <c r="J398" s="219"/>
      <c r="K398" s="6">
        <f t="shared" si="167"/>
        <v>47878.044980868341</v>
      </c>
      <c r="M398" s="6">
        <f t="shared" si="148"/>
        <v>233.04880491414559</v>
      </c>
      <c r="N398" s="6">
        <f t="shared" si="160"/>
        <v>-54.228745592383667</v>
      </c>
      <c r="O398" s="90">
        <f t="shared" si="149"/>
        <v>557.80603811800813</v>
      </c>
      <c r="P398" s="91">
        <f t="shared" si="150"/>
        <v>0</v>
      </c>
      <c r="Q398" s="6">
        <f t="shared" si="151"/>
        <v>200.23693766745873</v>
      </c>
      <c r="R398" s="87">
        <f t="shared" si="170"/>
        <v>-643.62271517397096</v>
      </c>
      <c r="S398" s="6">
        <f t="shared" si="152"/>
        <v>-9.9375677036675132</v>
      </c>
      <c r="T398" s="83">
        <f t="shared" si="161"/>
        <v>0</v>
      </c>
      <c r="U398" s="91">
        <f t="shared" si="168"/>
        <v>127920.86325874242</v>
      </c>
      <c r="V398" s="91">
        <f t="shared" si="162"/>
        <v>622.66127027426251</v>
      </c>
      <c r="W398" s="1">
        <f t="shared" si="176"/>
        <v>0</v>
      </c>
      <c r="X398" s="1">
        <f t="shared" si="176"/>
        <v>0</v>
      </c>
      <c r="Y398" s="1">
        <f t="shared" si="176"/>
        <v>0</v>
      </c>
      <c r="Z398" s="1">
        <f t="shared" si="176"/>
        <v>0</v>
      </c>
      <c r="AA398" s="1">
        <f t="shared" si="176"/>
        <v>0</v>
      </c>
      <c r="AB398" s="1">
        <f t="shared" si="176"/>
        <v>0</v>
      </c>
      <c r="AC398" s="1">
        <f t="shared" si="176"/>
        <v>0</v>
      </c>
      <c r="AD398" s="1">
        <f t="shared" si="176"/>
        <v>0</v>
      </c>
      <c r="AE398" s="1">
        <f t="shared" si="176"/>
        <v>0</v>
      </c>
      <c r="AF398" s="1">
        <f t="shared" si="176"/>
        <v>1</v>
      </c>
      <c r="AG398" s="1">
        <f t="shared" si="176"/>
        <v>1</v>
      </c>
      <c r="AH398" s="1">
        <f t="shared" si="176"/>
        <v>1</v>
      </c>
      <c r="AI398" s="44">
        <f t="shared" si="163"/>
        <v>47413.242325016123</v>
      </c>
      <c r="AJ398" s="44">
        <f t="shared" si="153"/>
        <v>48056.865040190096</v>
      </c>
      <c r="AK398" s="44" t="str">
        <f t="shared" si="171"/>
        <v>N</v>
      </c>
      <c r="AL398" s="4">
        <f t="shared" si="154"/>
        <v>320</v>
      </c>
      <c r="AM398" s="82">
        <f t="shared" si="164"/>
        <v>0</v>
      </c>
      <c r="AN398" s="82">
        <f t="shared" si="155"/>
        <v>0</v>
      </c>
      <c r="AO398" s="48">
        <f>0</f>
        <v>0</v>
      </c>
      <c r="AP398" s="91">
        <f t="shared" si="165"/>
        <v>-643.62271517397096</v>
      </c>
      <c r="AQ398" s="91">
        <f t="shared" si="166"/>
        <v>-643.62271517397096</v>
      </c>
      <c r="AV398" s="84"/>
    </row>
    <row r="399" spans="1:48">
      <c r="A399" s="190">
        <f t="shared" si="156"/>
        <v>92.470910335386719</v>
      </c>
      <c r="B399" s="82">
        <f t="shared" si="157"/>
        <v>27</v>
      </c>
      <c r="C399" s="83">
        <f t="shared" si="158"/>
        <v>321</v>
      </c>
      <c r="D399" s="14">
        <f t="shared" ref="D399:D462" si="177">Growth_Rate_1_Monthly</f>
        <v>4.8675505653430484E-3</v>
      </c>
      <c r="E399" s="16">
        <f t="shared" ref="E399:E462" si="178">IF(Gtee_Flag="on",1,0)</f>
        <v>0</v>
      </c>
      <c r="F399" s="127"/>
      <c r="G399" s="88">
        <f t="shared" ref="G399:G462" si="179">IF(ISERROR(VLOOKUP(Product_Code,Product_Parameters,B399+5,FALSE)),0,VLOOKUP(Product_Code,Product_Parameters,B399+5,FALSE))</f>
        <v>0</v>
      </c>
      <c r="H399" s="89">
        <f t="shared" si="159"/>
        <v>4.1666666666666666E-3</v>
      </c>
      <c r="I399" s="219"/>
      <c r="J399" s="219"/>
      <c r="K399" s="6">
        <f t="shared" si="167"/>
        <v>47413.242325016123</v>
      </c>
      <c r="M399" s="6">
        <f t="shared" ref="M399:M462" si="180">(K399+L399)*D399</f>
        <v>230.78635448387919</v>
      </c>
      <c r="N399" s="6">
        <f t="shared" si="160"/>
        <v>-53.702289990761955</v>
      </c>
      <c r="O399" s="90">
        <f t="shared" ref="O399:O462" si="181">IF(C399&gt;=Regular_Income_Start_Month,
MIN(Regular_Income_Amount/12*(1+Income_Escalation_Rate_Annual)^($B399-1),AJ399),0)</f>
        <v>557.80603811800813</v>
      </c>
      <c r="P399" s="91">
        <f t="shared" ref="P399:P462" si="182">MAX(IF(C399&gt;=Regular_Income_Start_Month,
MIN(IF(Income_Type="Fixed Percent",$C$51,0)/12*(K399+L399+M399+N399),AJ399),0),0)</f>
        <v>0</v>
      </c>
      <c r="Q399" s="6">
        <f t="shared" ref="Q399:Q462" si="183">MAX(IF(C399&gt;=Regular_Income_Start_Month,
MIN(H399*(K399+L399+M399+N399),AJ399),0),0)</f>
        <v>198.29302662295515</v>
      </c>
      <c r="R399" s="87">
        <f t="shared" si="170"/>
        <v>-643.33480890300848</v>
      </c>
      <c r="S399" s="6">
        <f t="shared" ref="S399:S462" si="184">-(($K399+I399+M399/2+N399/2+R399/2)*(Ongoing_Commission_Monthly)+(I399)*new_upfront_commission)</f>
        <v>-9.8404716683171412</v>
      </c>
      <c r="T399" s="83">
        <f t="shared" si="161"/>
        <v>0</v>
      </c>
      <c r="U399" s="91">
        <f t="shared" si="168"/>
        <v>127899.90181384271</v>
      </c>
      <c r="V399" s="91">
        <f t="shared" si="162"/>
        <v>622.55923938129047</v>
      </c>
      <c r="W399" s="1">
        <f t="shared" ref="W399:AH408" si="185">IF($B399&lt;=W$78,1,0)</f>
        <v>0</v>
      </c>
      <c r="X399" s="1">
        <f t="shared" si="185"/>
        <v>0</v>
      </c>
      <c r="Y399" s="1">
        <f t="shared" si="185"/>
        <v>0</v>
      </c>
      <c r="Z399" s="1">
        <f t="shared" si="185"/>
        <v>0</v>
      </c>
      <c r="AA399" s="1">
        <f t="shared" si="185"/>
        <v>0</v>
      </c>
      <c r="AB399" s="1">
        <f t="shared" si="185"/>
        <v>0</v>
      </c>
      <c r="AC399" s="1">
        <f t="shared" si="185"/>
        <v>0</v>
      </c>
      <c r="AD399" s="1">
        <f t="shared" si="185"/>
        <v>0</v>
      </c>
      <c r="AE399" s="1">
        <f t="shared" si="185"/>
        <v>0</v>
      </c>
      <c r="AF399" s="1">
        <f t="shared" si="185"/>
        <v>1</v>
      </c>
      <c r="AG399" s="1">
        <f t="shared" si="185"/>
        <v>1</v>
      </c>
      <c r="AH399" s="1">
        <f t="shared" si="185"/>
        <v>1</v>
      </c>
      <c r="AI399" s="44">
        <f t="shared" si="163"/>
        <v>46946.991580606227</v>
      </c>
      <c r="AJ399" s="44">
        <f t="shared" ref="AJ399:AJ462" si="186">MAX(0,SUM(K399:N399)-$C$66)</f>
        <v>47590.326389509239</v>
      </c>
      <c r="AK399" s="44" t="str">
        <f t="shared" si="171"/>
        <v>N</v>
      </c>
      <c r="AL399" s="4">
        <f t="shared" ref="AL399:AL462" si="187">C399</f>
        <v>321</v>
      </c>
      <c r="AM399" s="82">
        <f t="shared" si="164"/>
        <v>0</v>
      </c>
      <c r="AN399" s="82">
        <f t="shared" ref="AN399:AN462" si="188">IF(AND(B399=Fund_Zero_Year,K400=0,K399&gt;0),-U399,IF(AND(B399+1=Fund_Zero_Year,K400=0,K399&gt;0),-U399,0))</f>
        <v>0</v>
      </c>
      <c r="AO399" s="48">
        <f>0</f>
        <v>0</v>
      </c>
      <c r="AP399" s="91">
        <f t="shared" si="165"/>
        <v>-643.33480890300848</v>
      </c>
      <c r="AQ399" s="91">
        <f t="shared" si="166"/>
        <v>-643.33480890300848</v>
      </c>
      <c r="AV399" s="84"/>
    </row>
    <row r="400" spans="1:48">
      <c r="A400" s="190">
        <f t="shared" ref="A400:A463" si="189">$C$43+C399/12</f>
        <v>92.554243668720048</v>
      </c>
      <c r="B400" s="82">
        <f t="shared" ref="B400:B463" si="190">INT((C400-1)/12)+1</f>
        <v>27</v>
      </c>
      <c r="C400" s="83">
        <f t="shared" ref="C400:C463" si="191">C399+1</f>
        <v>322</v>
      </c>
      <c r="D400" s="14">
        <f t="shared" si="177"/>
        <v>4.8675505653430484E-3</v>
      </c>
      <c r="E400" s="16">
        <f t="shared" si="178"/>
        <v>0</v>
      </c>
      <c r="F400" s="127"/>
      <c r="G400" s="88">
        <f t="shared" si="179"/>
        <v>0</v>
      </c>
      <c r="H400" s="89">
        <f t="shared" ref="H400:H463" si="192">IF((K399+L399+M399+N399+R399)&gt;=2000000,VLOOKUP("&gt;=2000000",Default_IncomeRate_table,3,FALSE),
IF($A400&lt;71,VLOOKUP("&lt;71",Default_IncomeRate_table,3,FALSE),
IF($A400&gt;=71,VLOOKUP("&gt;=71",Default_IncomeRate_table,3,FALSE),"")))</f>
        <v>4.1666666666666666E-3</v>
      </c>
      <c r="I400" s="219"/>
      <c r="J400" s="219"/>
      <c r="K400" s="6">
        <f t="shared" si="167"/>
        <v>46946.991580606227</v>
      </c>
      <c r="M400" s="6">
        <f t="shared" si="180"/>
        <v>228.51685540933516</v>
      </c>
      <c r="N400" s="6">
        <f t="shared" ref="N400:N463" si="193">-(($K400+(L400)+M400/2)*(External_Fund_Charge_Monthly+Fund_Charge_Monthly+Gtee_Charge_Monthly*$E400))+MIN(J400,0)</f>
        <v>-53.174194221376077</v>
      </c>
      <c r="O400" s="90">
        <f t="shared" si="181"/>
        <v>557.80603811800813</v>
      </c>
      <c r="P400" s="91">
        <f t="shared" si="182"/>
        <v>0</v>
      </c>
      <c r="Q400" s="6">
        <f t="shared" si="183"/>
        <v>196.34305934080908</v>
      </c>
      <c r="R400" s="87">
        <f t="shared" si="170"/>
        <v>-643.04703141870789</v>
      </c>
      <c r="S400" s="6">
        <f t="shared" si="184"/>
        <v>-9.7430730241563666</v>
      </c>
      <c r="T400" s="83">
        <f t="shared" ref="T400:T463" si="194">SUM(K400:N400,R400)*$G400</f>
        <v>0</v>
      </c>
      <c r="U400" s="91">
        <f t="shared" si="168"/>
        <v>127879.12624432099</v>
      </c>
      <c r="V400" s="91">
        <f t="shared" ref="V400:V463" si="195">U400*D400</f>
        <v>622.45811324611964</v>
      </c>
      <c r="W400" s="1">
        <f t="shared" si="185"/>
        <v>0</v>
      </c>
      <c r="X400" s="1">
        <f t="shared" si="185"/>
        <v>0</v>
      </c>
      <c r="Y400" s="1">
        <f t="shared" si="185"/>
        <v>0</v>
      </c>
      <c r="Z400" s="1">
        <f t="shared" si="185"/>
        <v>0</v>
      </c>
      <c r="AA400" s="1">
        <f t="shared" si="185"/>
        <v>0</v>
      </c>
      <c r="AB400" s="1">
        <f t="shared" si="185"/>
        <v>0</v>
      </c>
      <c r="AC400" s="1">
        <f t="shared" si="185"/>
        <v>0</v>
      </c>
      <c r="AD400" s="1">
        <f t="shared" si="185"/>
        <v>0</v>
      </c>
      <c r="AE400" s="1">
        <f t="shared" si="185"/>
        <v>0</v>
      </c>
      <c r="AF400" s="1">
        <f t="shared" si="185"/>
        <v>1</v>
      </c>
      <c r="AG400" s="1">
        <f t="shared" si="185"/>
        <v>1</v>
      </c>
      <c r="AH400" s="1">
        <f t="shared" si="185"/>
        <v>1</v>
      </c>
      <c r="AI400" s="44">
        <f t="shared" ref="AI400:AI463" si="196">SUM(K400:N400,R400)</f>
        <v>46479.287210375471</v>
      </c>
      <c r="AJ400" s="44">
        <f t="shared" si="186"/>
        <v>47122.334241794182</v>
      </c>
      <c r="AK400" s="44" t="str">
        <f t="shared" si="171"/>
        <v>N</v>
      </c>
      <c r="AL400" s="4">
        <f t="shared" si="187"/>
        <v>322</v>
      </c>
      <c r="AM400" s="82">
        <f t="shared" ref="AM400:AM463" si="197">I400</f>
        <v>0</v>
      </c>
      <c r="AN400" s="82">
        <f t="shared" si="188"/>
        <v>0</v>
      </c>
      <c r="AO400" s="48">
        <f>0</f>
        <v>0</v>
      </c>
      <c r="AP400" s="91">
        <f t="shared" ref="AP400:AP463" si="198">$R400+AN400+AM400</f>
        <v>-643.04703141870789</v>
      </c>
      <c r="AQ400" s="91">
        <f t="shared" ref="AQ400:AQ463" si="199">$R400+AO400+AM400</f>
        <v>-643.04703141870789</v>
      </c>
      <c r="AV400" s="84"/>
    </row>
    <row r="401" spans="1:48">
      <c r="A401" s="190">
        <f t="shared" si="189"/>
        <v>92.637577002053376</v>
      </c>
      <c r="B401" s="82">
        <f t="shared" si="190"/>
        <v>27</v>
      </c>
      <c r="C401" s="83">
        <f t="shared" si="191"/>
        <v>323</v>
      </c>
      <c r="D401" s="14">
        <f t="shared" si="177"/>
        <v>4.8675505653430484E-3</v>
      </c>
      <c r="E401" s="16">
        <f t="shared" si="178"/>
        <v>0</v>
      </c>
      <c r="F401" s="127"/>
      <c r="G401" s="88">
        <f t="shared" si="179"/>
        <v>0</v>
      </c>
      <c r="H401" s="89">
        <f t="shared" si="192"/>
        <v>4.1666666666666666E-3</v>
      </c>
      <c r="I401" s="219"/>
      <c r="J401" s="219"/>
      <c r="K401" s="6">
        <f t="shared" ref="K401:K464" si="200">SUM(K400:M400,N400,R400)</f>
        <v>46479.287210375471</v>
      </c>
      <c r="M401" s="6">
        <f t="shared" si="180"/>
        <v>226.24028073760505</v>
      </c>
      <c r="N401" s="6">
        <f t="shared" si="193"/>
        <v>-52.644452012482112</v>
      </c>
      <c r="O401" s="90">
        <f t="shared" si="181"/>
        <v>557.80603811800813</v>
      </c>
      <c r="P401" s="91">
        <f t="shared" si="182"/>
        <v>0</v>
      </c>
      <c r="Q401" s="6">
        <f t="shared" si="183"/>
        <v>194.38701266291915</v>
      </c>
      <c r="R401" s="87">
        <f t="shared" si="170"/>
        <v>-642.75938266345986</v>
      </c>
      <c r="S401" s="6">
        <f t="shared" si="184"/>
        <v>-9.6453706141139968</v>
      </c>
      <c r="T401" s="83">
        <f t="shared" si="194"/>
        <v>0</v>
      </c>
      <c r="U401" s="91">
        <f t="shared" ref="U401:U464" si="201">IF(K401=0,0,SUM(U400,R400,V400))</f>
        <v>127858.53732614839</v>
      </c>
      <c r="V401" s="91">
        <f t="shared" si="195"/>
        <v>622.35789564582888</v>
      </c>
      <c r="W401" s="1">
        <f t="shared" si="185"/>
        <v>0</v>
      </c>
      <c r="X401" s="1">
        <f t="shared" si="185"/>
        <v>0</v>
      </c>
      <c r="Y401" s="1">
        <f t="shared" si="185"/>
        <v>0</v>
      </c>
      <c r="Z401" s="1">
        <f t="shared" si="185"/>
        <v>0</v>
      </c>
      <c r="AA401" s="1">
        <f t="shared" si="185"/>
        <v>0</v>
      </c>
      <c r="AB401" s="1">
        <f t="shared" si="185"/>
        <v>0</v>
      </c>
      <c r="AC401" s="1">
        <f t="shared" si="185"/>
        <v>0</v>
      </c>
      <c r="AD401" s="1">
        <f t="shared" si="185"/>
        <v>0</v>
      </c>
      <c r="AE401" s="1">
        <f t="shared" si="185"/>
        <v>0</v>
      </c>
      <c r="AF401" s="1">
        <f t="shared" si="185"/>
        <v>1</v>
      </c>
      <c r="AG401" s="1">
        <f t="shared" si="185"/>
        <v>1</v>
      </c>
      <c r="AH401" s="1">
        <f t="shared" si="185"/>
        <v>1</v>
      </c>
      <c r="AI401" s="44">
        <f t="shared" si="196"/>
        <v>46010.123656437136</v>
      </c>
      <c r="AJ401" s="44">
        <f t="shared" si="186"/>
        <v>46652.883039100598</v>
      </c>
      <c r="AK401" s="44" t="str">
        <f t="shared" si="171"/>
        <v>N</v>
      </c>
      <c r="AL401" s="4">
        <f t="shared" si="187"/>
        <v>323</v>
      </c>
      <c r="AM401" s="82">
        <f t="shared" si="197"/>
        <v>0</v>
      </c>
      <c r="AN401" s="82">
        <f t="shared" si="188"/>
        <v>0</v>
      </c>
      <c r="AO401" s="48">
        <f>0</f>
        <v>0</v>
      </c>
      <c r="AP401" s="91">
        <f t="shared" si="198"/>
        <v>-642.75938266345986</v>
      </c>
      <c r="AQ401" s="91">
        <f t="shared" si="199"/>
        <v>-642.75938266345986</v>
      </c>
      <c r="AV401" s="84"/>
    </row>
    <row r="402" spans="1:48">
      <c r="A402" s="190">
        <f t="shared" si="189"/>
        <v>92.720910335386719</v>
      </c>
      <c r="B402" s="82">
        <f t="shared" si="190"/>
        <v>27</v>
      </c>
      <c r="C402" s="83">
        <f t="shared" si="191"/>
        <v>324</v>
      </c>
      <c r="D402" s="14">
        <f t="shared" si="177"/>
        <v>4.8675505653430484E-3</v>
      </c>
      <c r="E402" s="16">
        <f t="shared" si="178"/>
        <v>0</v>
      </c>
      <c r="F402" s="127"/>
      <c r="G402" s="88">
        <f t="shared" si="179"/>
        <v>0</v>
      </c>
      <c r="H402" s="89">
        <f t="shared" si="192"/>
        <v>4.1666666666666666E-3</v>
      </c>
      <c r="I402" s="219"/>
      <c r="J402" s="219"/>
      <c r="K402" s="6">
        <f t="shared" si="200"/>
        <v>46010.123656437136</v>
      </c>
      <c r="M402" s="6">
        <f t="shared" si="180"/>
        <v>223.95660341539414</v>
      </c>
      <c r="N402" s="6">
        <f t="shared" si="193"/>
        <v>-52.113057068977064</v>
      </c>
      <c r="O402" s="90">
        <f t="shared" si="181"/>
        <v>557.80603811800813</v>
      </c>
      <c r="P402" s="91">
        <f t="shared" si="182"/>
        <v>0</v>
      </c>
      <c r="Q402" s="6">
        <f t="shared" si="183"/>
        <v>192.42486334493148</v>
      </c>
      <c r="R402" s="87">
        <f t="shared" si="170"/>
        <v>-642.4718625796811</v>
      </c>
      <c r="S402" s="6">
        <f t="shared" si="184"/>
        <v>-9.5473632768092997</v>
      </c>
      <c r="T402" s="83">
        <f t="shared" si="194"/>
        <v>0</v>
      </c>
      <c r="U402" s="91">
        <f t="shared" si="201"/>
        <v>127838.13583913076</v>
      </c>
      <c r="V402" s="91">
        <f t="shared" si="195"/>
        <v>622.25859037616237</v>
      </c>
      <c r="W402" s="1">
        <f t="shared" si="185"/>
        <v>0</v>
      </c>
      <c r="X402" s="1">
        <f t="shared" si="185"/>
        <v>0</v>
      </c>
      <c r="Y402" s="1">
        <f t="shared" si="185"/>
        <v>0</v>
      </c>
      <c r="Z402" s="1">
        <f t="shared" si="185"/>
        <v>0</v>
      </c>
      <c r="AA402" s="1">
        <f t="shared" si="185"/>
        <v>0</v>
      </c>
      <c r="AB402" s="1">
        <f t="shared" si="185"/>
        <v>0</v>
      </c>
      <c r="AC402" s="1">
        <f t="shared" si="185"/>
        <v>0</v>
      </c>
      <c r="AD402" s="1">
        <f t="shared" si="185"/>
        <v>0</v>
      </c>
      <c r="AE402" s="1">
        <f t="shared" si="185"/>
        <v>0</v>
      </c>
      <c r="AF402" s="1">
        <f t="shared" si="185"/>
        <v>1</v>
      </c>
      <c r="AG402" s="1">
        <f t="shared" si="185"/>
        <v>1</v>
      </c>
      <c r="AH402" s="1">
        <f t="shared" si="185"/>
        <v>1</v>
      </c>
      <c r="AI402" s="44">
        <f t="shared" si="196"/>
        <v>45539.495340203874</v>
      </c>
      <c r="AJ402" s="44">
        <f t="shared" si="186"/>
        <v>46181.967202783555</v>
      </c>
      <c r="AK402" s="44" t="str">
        <f t="shared" si="171"/>
        <v>N</v>
      </c>
      <c r="AL402" s="4">
        <f t="shared" si="187"/>
        <v>324</v>
      </c>
      <c r="AM402" s="82">
        <f t="shared" si="197"/>
        <v>0</v>
      </c>
      <c r="AN402" s="82">
        <f t="shared" si="188"/>
        <v>0</v>
      </c>
      <c r="AO402" s="48">
        <f>0</f>
        <v>0</v>
      </c>
      <c r="AP402" s="91">
        <f t="shared" si="198"/>
        <v>-642.4718625796811</v>
      </c>
      <c r="AQ402" s="91">
        <f t="shared" si="199"/>
        <v>-642.4718625796811</v>
      </c>
      <c r="AV402" s="84"/>
    </row>
    <row r="403" spans="1:48">
      <c r="A403" s="190">
        <f t="shared" si="189"/>
        <v>92.804243668720048</v>
      </c>
      <c r="B403" s="82">
        <f t="shared" si="190"/>
        <v>28</v>
      </c>
      <c r="C403" s="83">
        <f t="shared" si="191"/>
        <v>325</v>
      </c>
      <c r="D403" s="14">
        <f t="shared" si="177"/>
        <v>4.8675505653430484E-3</v>
      </c>
      <c r="E403" s="16">
        <f t="shared" si="178"/>
        <v>0</v>
      </c>
      <c r="F403" s="127"/>
      <c r="G403" s="88">
        <f t="shared" si="179"/>
        <v>0</v>
      </c>
      <c r="H403" s="89">
        <f t="shared" si="192"/>
        <v>4.1666666666666666E-3</v>
      </c>
      <c r="I403" s="219"/>
      <c r="J403" s="219"/>
      <c r="K403" s="6">
        <f t="shared" si="200"/>
        <v>45539.495340203874</v>
      </c>
      <c r="M403" s="6">
        <f t="shared" si="180"/>
        <v>221.66579628864648</v>
      </c>
      <c r="N403" s="6">
        <f t="shared" si="193"/>
        <v>-51.580003072311506</v>
      </c>
      <c r="O403" s="90">
        <f t="shared" si="181"/>
        <v>568.96215888036818</v>
      </c>
      <c r="P403" s="91">
        <f t="shared" si="182"/>
        <v>0</v>
      </c>
      <c r="Q403" s="6">
        <f t="shared" si="183"/>
        <v>190.45658805591754</v>
      </c>
      <c r="R403" s="87">
        <f t="shared" si="170"/>
        <v>-642.18447110981435</v>
      </c>
      <c r="S403" s="6">
        <f t="shared" si="184"/>
        <v>-9.4490498465359014</v>
      </c>
      <c r="T403" s="83">
        <f t="shared" si="194"/>
        <v>0</v>
      </c>
      <c r="U403" s="91">
        <f t="shared" si="201"/>
        <v>127817.92256692724</v>
      </c>
      <c r="V403" s="91">
        <f t="shared" si="195"/>
        <v>622.16020125162072</v>
      </c>
      <c r="W403" s="1">
        <f t="shared" si="185"/>
        <v>0</v>
      </c>
      <c r="X403" s="1">
        <f t="shared" si="185"/>
        <v>0</v>
      </c>
      <c r="Y403" s="1">
        <f t="shared" si="185"/>
        <v>0</v>
      </c>
      <c r="Z403" s="1">
        <f t="shared" si="185"/>
        <v>0</v>
      </c>
      <c r="AA403" s="1">
        <f t="shared" si="185"/>
        <v>0</v>
      </c>
      <c r="AB403" s="1">
        <f t="shared" si="185"/>
        <v>0</v>
      </c>
      <c r="AC403" s="1">
        <f t="shared" si="185"/>
        <v>0</v>
      </c>
      <c r="AD403" s="1">
        <f t="shared" si="185"/>
        <v>0</v>
      </c>
      <c r="AE403" s="1">
        <f t="shared" si="185"/>
        <v>0</v>
      </c>
      <c r="AF403" s="1">
        <f t="shared" si="185"/>
        <v>1</v>
      </c>
      <c r="AG403" s="1">
        <f t="shared" si="185"/>
        <v>1</v>
      </c>
      <c r="AH403" s="1">
        <f t="shared" si="185"/>
        <v>1</v>
      </c>
      <c r="AI403" s="44">
        <f t="shared" si="196"/>
        <v>45067.396662310392</v>
      </c>
      <c r="AJ403" s="44">
        <f t="shared" si="186"/>
        <v>45709.581133420208</v>
      </c>
      <c r="AK403" s="44" t="str">
        <f t="shared" si="171"/>
        <v>N</v>
      </c>
      <c r="AL403" s="4">
        <f t="shared" si="187"/>
        <v>325</v>
      </c>
      <c r="AM403" s="82">
        <f t="shared" si="197"/>
        <v>0</v>
      </c>
      <c r="AN403" s="82">
        <f t="shared" si="188"/>
        <v>0</v>
      </c>
      <c r="AO403" s="48">
        <f>0</f>
        <v>0</v>
      </c>
      <c r="AP403" s="91">
        <f t="shared" si="198"/>
        <v>-642.18447110981435</v>
      </c>
      <c r="AQ403" s="91">
        <f t="shared" si="199"/>
        <v>-642.18447110981435</v>
      </c>
      <c r="AV403" s="84"/>
    </row>
    <row r="404" spans="1:48">
      <c r="A404" s="190">
        <f t="shared" si="189"/>
        <v>92.887577002053376</v>
      </c>
      <c r="B404" s="82">
        <f t="shared" si="190"/>
        <v>28</v>
      </c>
      <c r="C404" s="83">
        <f t="shared" si="191"/>
        <v>326</v>
      </c>
      <c r="D404" s="14">
        <f t="shared" si="177"/>
        <v>4.8675505653430484E-3</v>
      </c>
      <c r="E404" s="16">
        <f t="shared" si="178"/>
        <v>0</v>
      </c>
      <c r="F404" s="127"/>
      <c r="G404" s="88">
        <f t="shared" si="179"/>
        <v>0</v>
      </c>
      <c r="H404" s="89">
        <f t="shared" si="192"/>
        <v>4.1666666666666666E-3</v>
      </c>
      <c r="I404" s="219"/>
      <c r="J404" s="219"/>
      <c r="K404" s="6">
        <f t="shared" si="200"/>
        <v>45067.396662310392</v>
      </c>
      <c r="M404" s="6">
        <f t="shared" si="180"/>
        <v>219.36783210216836</v>
      </c>
      <c r="N404" s="6">
        <f t="shared" si="193"/>
        <v>-51.045283680401987</v>
      </c>
      <c r="O404" s="90">
        <f t="shared" si="181"/>
        <v>568.96215888036818</v>
      </c>
      <c r="P404" s="91">
        <f t="shared" si="182"/>
        <v>0</v>
      </c>
      <c r="Q404" s="6">
        <f t="shared" si="183"/>
        <v>188.48216337805064</v>
      </c>
      <c r="R404" s="87">
        <f t="shared" si="170"/>
        <v>-641.8972081963276</v>
      </c>
      <c r="S404" s="6">
        <f t="shared" si="184"/>
        <v>-9.3504291532456225</v>
      </c>
      <c r="T404" s="83">
        <f t="shared" si="194"/>
        <v>0</v>
      </c>
      <c r="U404" s="91">
        <f t="shared" si="201"/>
        <v>127797.89829706906</v>
      </c>
      <c r="V404" s="91">
        <f t="shared" si="195"/>
        <v>622.06273210555185</v>
      </c>
      <c r="W404" s="1">
        <f t="shared" si="185"/>
        <v>0</v>
      </c>
      <c r="X404" s="1">
        <f t="shared" si="185"/>
        <v>0</v>
      </c>
      <c r="Y404" s="1">
        <f t="shared" si="185"/>
        <v>0</v>
      </c>
      <c r="Z404" s="1">
        <f t="shared" si="185"/>
        <v>0</v>
      </c>
      <c r="AA404" s="1">
        <f t="shared" si="185"/>
        <v>0</v>
      </c>
      <c r="AB404" s="1">
        <f t="shared" si="185"/>
        <v>0</v>
      </c>
      <c r="AC404" s="1">
        <f t="shared" si="185"/>
        <v>0</v>
      </c>
      <c r="AD404" s="1">
        <f t="shared" si="185"/>
        <v>0</v>
      </c>
      <c r="AE404" s="1">
        <f t="shared" si="185"/>
        <v>0</v>
      </c>
      <c r="AF404" s="1">
        <f t="shared" si="185"/>
        <v>1</v>
      </c>
      <c r="AG404" s="1">
        <f t="shared" si="185"/>
        <v>1</v>
      </c>
      <c r="AH404" s="1">
        <f t="shared" si="185"/>
        <v>1</v>
      </c>
      <c r="AI404" s="44">
        <f t="shared" si="196"/>
        <v>44593.822002535824</v>
      </c>
      <c r="AJ404" s="44">
        <f t="shared" si="186"/>
        <v>45235.719210732153</v>
      </c>
      <c r="AK404" s="44" t="str">
        <f t="shared" si="171"/>
        <v>N</v>
      </c>
      <c r="AL404" s="4">
        <f t="shared" si="187"/>
        <v>326</v>
      </c>
      <c r="AM404" s="82">
        <f t="shared" si="197"/>
        <v>0</v>
      </c>
      <c r="AN404" s="82">
        <f t="shared" si="188"/>
        <v>0</v>
      </c>
      <c r="AO404" s="48">
        <f>0</f>
        <v>0</v>
      </c>
      <c r="AP404" s="91">
        <f t="shared" si="198"/>
        <v>-641.8972081963276</v>
      </c>
      <c r="AQ404" s="91">
        <f t="shared" si="199"/>
        <v>-641.8972081963276</v>
      </c>
      <c r="AV404" s="84"/>
    </row>
    <row r="405" spans="1:48">
      <c r="A405" s="190">
        <f t="shared" si="189"/>
        <v>92.970910335386719</v>
      </c>
      <c r="B405" s="82">
        <f t="shared" si="190"/>
        <v>28</v>
      </c>
      <c r="C405" s="83">
        <f t="shared" si="191"/>
        <v>327</v>
      </c>
      <c r="D405" s="14">
        <f t="shared" si="177"/>
        <v>4.8675505653430484E-3</v>
      </c>
      <c r="E405" s="16">
        <f t="shared" si="178"/>
        <v>0</v>
      </c>
      <c r="F405" s="127"/>
      <c r="G405" s="88">
        <f t="shared" si="179"/>
        <v>0</v>
      </c>
      <c r="H405" s="89">
        <f t="shared" si="192"/>
        <v>4.1666666666666666E-3</v>
      </c>
      <c r="I405" s="219"/>
      <c r="J405" s="219"/>
      <c r="K405" s="6">
        <f t="shared" si="200"/>
        <v>44593.822002535824</v>
      </c>
      <c r="M405" s="6">
        <f t="shared" si="180"/>
        <v>217.06268349925051</v>
      </c>
      <c r="N405" s="6">
        <f t="shared" si="193"/>
        <v>-50.508892527543161</v>
      </c>
      <c r="O405" s="90">
        <f t="shared" si="181"/>
        <v>568.96215888036818</v>
      </c>
      <c r="P405" s="91">
        <f t="shared" si="182"/>
        <v>0</v>
      </c>
      <c r="Q405" s="6">
        <f t="shared" si="183"/>
        <v>186.50156580628138</v>
      </c>
      <c r="R405" s="87">
        <f t="shared" si="170"/>
        <v>-641.61007378171485</v>
      </c>
      <c r="S405" s="6">
        <f t="shared" si="184"/>
        <v>-9.2515000225322606</v>
      </c>
      <c r="T405" s="83">
        <f t="shared" si="194"/>
        <v>0</v>
      </c>
      <c r="U405" s="91">
        <f t="shared" si="201"/>
        <v>127778.06382097828</v>
      </c>
      <c r="V405" s="91">
        <f t="shared" si="195"/>
        <v>621.96618679024289</v>
      </c>
      <c r="W405" s="1">
        <f t="shared" si="185"/>
        <v>0</v>
      </c>
      <c r="X405" s="1">
        <f t="shared" si="185"/>
        <v>0</v>
      </c>
      <c r="Y405" s="1">
        <f t="shared" si="185"/>
        <v>0</v>
      </c>
      <c r="Z405" s="1">
        <f t="shared" si="185"/>
        <v>0</v>
      </c>
      <c r="AA405" s="1">
        <f t="shared" si="185"/>
        <v>0</v>
      </c>
      <c r="AB405" s="1">
        <f t="shared" si="185"/>
        <v>0</v>
      </c>
      <c r="AC405" s="1">
        <f t="shared" si="185"/>
        <v>0</v>
      </c>
      <c r="AD405" s="1">
        <f t="shared" si="185"/>
        <v>0</v>
      </c>
      <c r="AE405" s="1">
        <f t="shared" si="185"/>
        <v>0</v>
      </c>
      <c r="AF405" s="1">
        <f t="shared" si="185"/>
        <v>1</v>
      </c>
      <c r="AG405" s="1">
        <f t="shared" si="185"/>
        <v>1</v>
      </c>
      <c r="AH405" s="1">
        <f t="shared" si="185"/>
        <v>1</v>
      </c>
      <c r="AI405" s="44">
        <f t="shared" si="196"/>
        <v>44118.765719725816</v>
      </c>
      <c r="AJ405" s="44">
        <f t="shared" si="186"/>
        <v>44760.375793507534</v>
      </c>
      <c r="AK405" s="44" t="str">
        <f t="shared" si="171"/>
        <v>N</v>
      </c>
      <c r="AL405" s="4">
        <f t="shared" si="187"/>
        <v>327</v>
      </c>
      <c r="AM405" s="82">
        <f t="shared" si="197"/>
        <v>0</v>
      </c>
      <c r="AN405" s="82">
        <f t="shared" si="188"/>
        <v>0</v>
      </c>
      <c r="AO405" s="48">
        <f>0</f>
        <v>0</v>
      </c>
      <c r="AP405" s="91">
        <f t="shared" si="198"/>
        <v>-641.61007378171485</v>
      </c>
      <c r="AQ405" s="91">
        <f t="shared" si="199"/>
        <v>-641.61007378171485</v>
      </c>
      <c r="AV405" s="84"/>
    </row>
    <row r="406" spans="1:48">
      <c r="A406" s="190">
        <f t="shared" si="189"/>
        <v>93.054243668720048</v>
      </c>
      <c r="B406" s="82">
        <f t="shared" si="190"/>
        <v>28</v>
      </c>
      <c r="C406" s="83">
        <f t="shared" si="191"/>
        <v>328</v>
      </c>
      <c r="D406" s="14">
        <f t="shared" si="177"/>
        <v>4.8675505653430484E-3</v>
      </c>
      <c r="E406" s="16">
        <f t="shared" si="178"/>
        <v>0</v>
      </c>
      <c r="F406" s="127"/>
      <c r="G406" s="88">
        <f t="shared" si="179"/>
        <v>0</v>
      </c>
      <c r="H406" s="89">
        <f t="shared" si="192"/>
        <v>4.1666666666666666E-3</v>
      </c>
      <c r="I406" s="219"/>
      <c r="J406" s="219"/>
      <c r="K406" s="6">
        <f t="shared" si="200"/>
        <v>44118.765719725816</v>
      </c>
      <c r="M406" s="6">
        <f t="shared" si="180"/>
        <v>214.75032302128889</v>
      </c>
      <c r="N406" s="6">
        <f t="shared" si="193"/>
        <v>-49.970823224319489</v>
      </c>
      <c r="O406" s="90">
        <f t="shared" si="181"/>
        <v>568.96215888036818</v>
      </c>
      <c r="P406" s="91">
        <f t="shared" si="182"/>
        <v>0</v>
      </c>
      <c r="Q406" s="6">
        <f t="shared" si="183"/>
        <v>184.51477174801161</v>
      </c>
      <c r="R406" s="87">
        <f t="shared" si="170"/>
        <v>-657.67114186307037</v>
      </c>
      <c r="S406" s="6">
        <f t="shared" si="184"/>
        <v>-9.1505563968448076</v>
      </c>
      <c r="T406" s="83">
        <f t="shared" si="194"/>
        <v>0</v>
      </c>
      <c r="U406" s="91">
        <f t="shared" si="201"/>
        <v>127758.41993398681</v>
      </c>
      <c r="V406" s="91">
        <f t="shared" si="195"/>
        <v>621.87056917701204</v>
      </c>
      <c r="W406" s="1">
        <f t="shared" si="185"/>
        <v>0</v>
      </c>
      <c r="X406" s="1">
        <f t="shared" si="185"/>
        <v>0</v>
      </c>
      <c r="Y406" s="1">
        <f t="shared" si="185"/>
        <v>0</v>
      </c>
      <c r="Z406" s="1">
        <f t="shared" si="185"/>
        <v>0</v>
      </c>
      <c r="AA406" s="1">
        <f t="shared" si="185"/>
        <v>0</v>
      </c>
      <c r="AB406" s="1">
        <f t="shared" si="185"/>
        <v>0</v>
      </c>
      <c r="AC406" s="1">
        <f t="shared" si="185"/>
        <v>0</v>
      </c>
      <c r="AD406" s="1">
        <f t="shared" si="185"/>
        <v>0</v>
      </c>
      <c r="AE406" s="1">
        <f t="shared" si="185"/>
        <v>0</v>
      </c>
      <c r="AF406" s="1">
        <f t="shared" si="185"/>
        <v>1</v>
      </c>
      <c r="AG406" s="1">
        <f t="shared" si="185"/>
        <v>1</v>
      </c>
      <c r="AH406" s="1">
        <f t="shared" si="185"/>
        <v>1</v>
      </c>
      <c r="AI406" s="44">
        <f t="shared" si="196"/>
        <v>43625.874077659711</v>
      </c>
      <c r="AJ406" s="44">
        <f t="shared" si="186"/>
        <v>44283.545219522784</v>
      </c>
      <c r="AK406" s="44" t="str">
        <f t="shared" si="171"/>
        <v>N</v>
      </c>
      <c r="AL406" s="4">
        <f t="shared" si="187"/>
        <v>328</v>
      </c>
      <c r="AM406" s="82">
        <f t="shared" si="197"/>
        <v>0</v>
      </c>
      <c r="AN406" s="82">
        <f t="shared" si="188"/>
        <v>0</v>
      </c>
      <c r="AO406" s="48">
        <f>0</f>
        <v>0</v>
      </c>
      <c r="AP406" s="91">
        <f t="shared" si="198"/>
        <v>-657.67114186307037</v>
      </c>
      <c r="AQ406" s="91">
        <f t="shared" si="199"/>
        <v>-657.67114186307037</v>
      </c>
      <c r="AV406" s="84"/>
    </row>
    <row r="407" spans="1:48">
      <c r="A407" s="190">
        <f t="shared" si="189"/>
        <v>93.137577002053376</v>
      </c>
      <c r="B407" s="82">
        <f t="shared" si="190"/>
        <v>28</v>
      </c>
      <c r="C407" s="83">
        <f t="shared" si="191"/>
        <v>329</v>
      </c>
      <c r="D407" s="14">
        <f t="shared" si="177"/>
        <v>4.8675505653430484E-3</v>
      </c>
      <c r="E407" s="16">
        <f t="shared" si="178"/>
        <v>0</v>
      </c>
      <c r="F407" s="127"/>
      <c r="G407" s="88">
        <f t="shared" si="179"/>
        <v>0</v>
      </c>
      <c r="H407" s="89">
        <f t="shared" si="192"/>
        <v>4.1666666666666666E-3</v>
      </c>
      <c r="I407" s="219"/>
      <c r="J407" s="219"/>
      <c r="K407" s="6">
        <f t="shared" si="200"/>
        <v>43625.874077659711</v>
      </c>
      <c r="M407" s="6">
        <f t="shared" si="180"/>
        <v>212.35114803029717</v>
      </c>
      <c r="N407" s="6">
        <f t="shared" si="193"/>
        <v>-49.412552821405264</v>
      </c>
      <c r="O407" s="90">
        <f t="shared" si="181"/>
        <v>568.96215888036818</v>
      </c>
      <c r="P407" s="91">
        <f t="shared" si="182"/>
        <v>0</v>
      </c>
      <c r="Q407" s="6">
        <f t="shared" si="183"/>
        <v>182.4533861369525</v>
      </c>
      <c r="R407" s="87">
        <f t="shared" si="170"/>
        <v>-657.3769514289711</v>
      </c>
      <c r="S407" s="6">
        <f t="shared" si="184"/>
        <v>-9.0475914880768578</v>
      </c>
      <c r="T407" s="83">
        <f t="shared" si="194"/>
        <v>0</v>
      </c>
      <c r="U407" s="91">
        <f t="shared" si="201"/>
        <v>127722.61936130075</v>
      </c>
      <c r="V407" s="91">
        <f t="shared" si="195"/>
        <v>621.69630807919441</v>
      </c>
      <c r="W407" s="1">
        <f t="shared" si="185"/>
        <v>0</v>
      </c>
      <c r="X407" s="1">
        <f t="shared" si="185"/>
        <v>0</v>
      </c>
      <c r="Y407" s="1">
        <f t="shared" si="185"/>
        <v>0</v>
      </c>
      <c r="Z407" s="1">
        <f t="shared" si="185"/>
        <v>0</v>
      </c>
      <c r="AA407" s="1">
        <f t="shared" si="185"/>
        <v>0</v>
      </c>
      <c r="AB407" s="1">
        <f t="shared" si="185"/>
        <v>0</v>
      </c>
      <c r="AC407" s="1">
        <f t="shared" si="185"/>
        <v>0</v>
      </c>
      <c r="AD407" s="1">
        <f t="shared" si="185"/>
        <v>0</v>
      </c>
      <c r="AE407" s="1">
        <f t="shared" si="185"/>
        <v>0</v>
      </c>
      <c r="AF407" s="1">
        <f t="shared" si="185"/>
        <v>1</v>
      </c>
      <c r="AG407" s="1">
        <f t="shared" si="185"/>
        <v>1</v>
      </c>
      <c r="AH407" s="1">
        <f t="shared" si="185"/>
        <v>1</v>
      </c>
      <c r="AI407" s="44">
        <f t="shared" si="196"/>
        <v>43131.43572143963</v>
      </c>
      <c r="AJ407" s="44">
        <f t="shared" si="186"/>
        <v>43788.812672868604</v>
      </c>
      <c r="AK407" s="44" t="str">
        <f t="shared" si="171"/>
        <v>N</v>
      </c>
      <c r="AL407" s="4">
        <f t="shared" si="187"/>
        <v>329</v>
      </c>
      <c r="AM407" s="82">
        <f t="shared" si="197"/>
        <v>0</v>
      </c>
      <c r="AN407" s="82">
        <f t="shared" si="188"/>
        <v>0</v>
      </c>
      <c r="AO407" s="48">
        <f>0</f>
        <v>0</v>
      </c>
      <c r="AP407" s="91">
        <f t="shared" si="198"/>
        <v>-657.3769514289711</v>
      </c>
      <c r="AQ407" s="91">
        <f t="shared" si="199"/>
        <v>-657.3769514289711</v>
      </c>
      <c r="AV407" s="84"/>
    </row>
    <row r="408" spans="1:48">
      <c r="A408" s="190">
        <f t="shared" si="189"/>
        <v>93.220910335386719</v>
      </c>
      <c r="B408" s="82">
        <f t="shared" si="190"/>
        <v>28</v>
      </c>
      <c r="C408" s="83">
        <f t="shared" si="191"/>
        <v>330</v>
      </c>
      <c r="D408" s="14">
        <f t="shared" si="177"/>
        <v>4.8675505653430484E-3</v>
      </c>
      <c r="E408" s="16">
        <f t="shared" si="178"/>
        <v>0</v>
      </c>
      <c r="F408" s="127"/>
      <c r="G408" s="88">
        <f t="shared" si="179"/>
        <v>0</v>
      </c>
      <c r="H408" s="89">
        <f t="shared" si="192"/>
        <v>4.1666666666666666E-3</v>
      </c>
      <c r="I408" s="219"/>
      <c r="J408" s="219"/>
      <c r="K408" s="6">
        <f t="shared" si="200"/>
        <v>43131.43572143963</v>
      </c>
      <c r="M408" s="6">
        <f t="shared" si="180"/>
        <v>209.94444432995081</v>
      </c>
      <c r="N408" s="6">
        <f t="shared" si="193"/>
        <v>-48.852530543108621</v>
      </c>
      <c r="O408" s="90">
        <f t="shared" si="181"/>
        <v>568.96215888036818</v>
      </c>
      <c r="P408" s="91">
        <f t="shared" si="182"/>
        <v>0</v>
      </c>
      <c r="Q408" s="6">
        <f t="shared" si="183"/>
        <v>180.38553181344363</v>
      </c>
      <c r="R408" s="87">
        <f t="shared" si="170"/>
        <v>-657.08289259257447</v>
      </c>
      <c r="S408" s="6">
        <f t="shared" si="184"/>
        <v>-8.9443033612104088</v>
      </c>
      <c r="T408" s="83">
        <f t="shared" si="194"/>
        <v>0</v>
      </c>
      <c r="U408" s="91">
        <f t="shared" si="201"/>
        <v>127686.93871795096</v>
      </c>
      <c r="V408" s="91">
        <f t="shared" si="195"/>
        <v>621.52263074348537</v>
      </c>
      <c r="W408" s="1">
        <f t="shared" si="185"/>
        <v>0</v>
      </c>
      <c r="X408" s="1">
        <f t="shared" si="185"/>
        <v>0</v>
      </c>
      <c r="Y408" s="1">
        <f t="shared" si="185"/>
        <v>0</v>
      </c>
      <c r="Z408" s="1">
        <f t="shared" si="185"/>
        <v>0</v>
      </c>
      <c r="AA408" s="1">
        <f t="shared" si="185"/>
        <v>0</v>
      </c>
      <c r="AB408" s="1">
        <f t="shared" si="185"/>
        <v>0</v>
      </c>
      <c r="AC408" s="1">
        <f t="shared" si="185"/>
        <v>0</v>
      </c>
      <c r="AD408" s="1">
        <f t="shared" si="185"/>
        <v>0</v>
      </c>
      <c r="AE408" s="1">
        <f t="shared" si="185"/>
        <v>0</v>
      </c>
      <c r="AF408" s="1">
        <f t="shared" si="185"/>
        <v>1</v>
      </c>
      <c r="AG408" s="1">
        <f t="shared" si="185"/>
        <v>1</v>
      </c>
      <c r="AH408" s="1">
        <f t="shared" si="185"/>
        <v>1</v>
      </c>
      <c r="AI408" s="44">
        <f t="shared" si="196"/>
        <v>42635.444742633896</v>
      </c>
      <c r="AJ408" s="44">
        <f t="shared" si="186"/>
        <v>43292.52763522647</v>
      </c>
      <c r="AK408" s="44" t="str">
        <f t="shared" si="171"/>
        <v>N</v>
      </c>
      <c r="AL408" s="4">
        <f t="shared" si="187"/>
        <v>330</v>
      </c>
      <c r="AM408" s="82">
        <f t="shared" si="197"/>
        <v>0</v>
      </c>
      <c r="AN408" s="82">
        <f t="shared" si="188"/>
        <v>0</v>
      </c>
      <c r="AO408" s="48">
        <f>0</f>
        <v>0</v>
      </c>
      <c r="AP408" s="91">
        <f t="shared" si="198"/>
        <v>-657.08289259257447</v>
      </c>
      <c r="AQ408" s="91">
        <f t="shared" si="199"/>
        <v>-657.08289259257447</v>
      </c>
      <c r="AV408" s="84"/>
    </row>
    <row r="409" spans="1:48">
      <c r="A409" s="190">
        <f t="shared" si="189"/>
        <v>93.304243668720048</v>
      </c>
      <c r="B409" s="82">
        <f t="shared" si="190"/>
        <v>28</v>
      </c>
      <c r="C409" s="83">
        <f t="shared" si="191"/>
        <v>331</v>
      </c>
      <c r="D409" s="14">
        <f t="shared" si="177"/>
        <v>4.8675505653430484E-3</v>
      </c>
      <c r="E409" s="16">
        <f t="shared" si="178"/>
        <v>0</v>
      </c>
      <c r="F409" s="127"/>
      <c r="G409" s="88">
        <f t="shared" si="179"/>
        <v>0</v>
      </c>
      <c r="H409" s="89">
        <f t="shared" si="192"/>
        <v>4.1666666666666666E-3</v>
      </c>
      <c r="I409" s="219"/>
      <c r="J409" s="219"/>
      <c r="K409" s="6">
        <f t="shared" si="200"/>
        <v>42635.444742633896</v>
      </c>
      <c r="M409" s="6">
        <f t="shared" si="180"/>
        <v>207.53018316065993</v>
      </c>
      <c r="N409" s="6">
        <f t="shared" si="193"/>
        <v>-48.290749697284163</v>
      </c>
      <c r="O409" s="90">
        <f t="shared" si="181"/>
        <v>568.96215888036818</v>
      </c>
      <c r="P409" s="91">
        <f t="shared" si="182"/>
        <v>0</v>
      </c>
      <c r="Q409" s="6">
        <f t="shared" si="183"/>
        <v>178.31118406707196</v>
      </c>
      <c r="R409" s="87">
        <f t="shared" si="170"/>
        <v>-656.7889652950139</v>
      </c>
      <c r="S409" s="6">
        <f t="shared" si="184"/>
        <v>-8.8406907816143132</v>
      </c>
      <c r="T409" s="83">
        <f t="shared" si="194"/>
        <v>0</v>
      </c>
      <c r="U409" s="91">
        <f t="shared" si="201"/>
        <v>127651.37845610187</v>
      </c>
      <c r="V409" s="91">
        <f t="shared" si="195"/>
        <v>621.34953937081809</v>
      </c>
      <c r="W409" s="1">
        <f t="shared" ref="W409:AH418" si="202">IF($B409&lt;=W$78,1,0)</f>
        <v>0</v>
      </c>
      <c r="X409" s="1">
        <f t="shared" si="202"/>
        <v>0</v>
      </c>
      <c r="Y409" s="1">
        <f t="shared" si="202"/>
        <v>0</v>
      </c>
      <c r="Z409" s="1">
        <f t="shared" si="202"/>
        <v>0</v>
      </c>
      <c r="AA409" s="1">
        <f t="shared" si="202"/>
        <v>0</v>
      </c>
      <c r="AB409" s="1">
        <f t="shared" si="202"/>
        <v>0</v>
      </c>
      <c r="AC409" s="1">
        <f t="shared" si="202"/>
        <v>0</v>
      </c>
      <c r="AD409" s="1">
        <f t="shared" si="202"/>
        <v>0</v>
      </c>
      <c r="AE409" s="1">
        <f t="shared" si="202"/>
        <v>0</v>
      </c>
      <c r="AF409" s="1">
        <f t="shared" si="202"/>
        <v>1</v>
      </c>
      <c r="AG409" s="1">
        <f t="shared" si="202"/>
        <v>1</v>
      </c>
      <c r="AH409" s="1">
        <f t="shared" si="202"/>
        <v>1</v>
      </c>
      <c r="AI409" s="44">
        <f t="shared" si="196"/>
        <v>42137.895210802264</v>
      </c>
      <c r="AJ409" s="44">
        <f t="shared" si="186"/>
        <v>42794.684176097275</v>
      </c>
      <c r="AK409" s="44" t="str">
        <f t="shared" si="171"/>
        <v>N</v>
      </c>
      <c r="AL409" s="4">
        <f t="shared" si="187"/>
        <v>331</v>
      </c>
      <c r="AM409" s="82">
        <f t="shared" si="197"/>
        <v>0</v>
      </c>
      <c r="AN409" s="82">
        <f t="shared" si="188"/>
        <v>0</v>
      </c>
      <c r="AO409" s="48">
        <f>0</f>
        <v>0</v>
      </c>
      <c r="AP409" s="91">
        <f t="shared" si="198"/>
        <v>-656.7889652950139</v>
      </c>
      <c r="AQ409" s="91">
        <f t="shared" si="199"/>
        <v>-656.7889652950139</v>
      </c>
      <c r="AV409" s="84"/>
    </row>
    <row r="410" spans="1:48">
      <c r="A410" s="190">
        <f t="shared" si="189"/>
        <v>93.387577002053376</v>
      </c>
      <c r="B410" s="82">
        <f t="shared" si="190"/>
        <v>28</v>
      </c>
      <c r="C410" s="83">
        <f t="shared" si="191"/>
        <v>332</v>
      </c>
      <c r="D410" s="14">
        <f t="shared" si="177"/>
        <v>4.8675505653430484E-3</v>
      </c>
      <c r="E410" s="16">
        <f t="shared" si="178"/>
        <v>0</v>
      </c>
      <c r="F410" s="127"/>
      <c r="G410" s="88">
        <f t="shared" si="179"/>
        <v>0</v>
      </c>
      <c r="H410" s="89">
        <f t="shared" si="192"/>
        <v>4.1666666666666666E-3</v>
      </c>
      <c r="I410" s="219"/>
      <c r="J410" s="219"/>
      <c r="K410" s="6">
        <f t="shared" si="200"/>
        <v>42137.895210802264</v>
      </c>
      <c r="M410" s="6">
        <f t="shared" si="180"/>
        <v>205.1083356557067</v>
      </c>
      <c r="N410" s="6">
        <f t="shared" si="193"/>
        <v>-47.727203566858641</v>
      </c>
      <c r="O410" s="90">
        <f t="shared" si="181"/>
        <v>568.96215888036818</v>
      </c>
      <c r="P410" s="91">
        <f t="shared" si="182"/>
        <v>0</v>
      </c>
      <c r="Q410" s="6">
        <f t="shared" si="183"/>
        <v>176.23031809537963</v>
      </c>
      <c r="R410" s="87">
        <f t="shared" si="170"/>
        <v>-656.49516947745042</v>
      </c>
      <c r="S410" s="6">
        <f t="shared" si="184"/>
        <v>-8.7367525100584711</v>
      </c>
      <c r="T410" s="83">
        <f t="shared" si="194"/>
        <v>0</v>
      </c>
      <c r="U410" s="91">
        <f t="shared" si="201"/>
        <v>127615.93903017767</v>
      </c>
      <c r="V410" s="91">
        <f t="shared" si="195"/>
        <v>621.17703617312532</v>
      </c>
      <c r="W410" s="1">
        <f t="shared" si="202"/>
        <v>0</v>
      </c>
      <c r="X410" s="1">
        <f t="shared" si="202"/>
        <v>0</v>
      </c>
      <c r="Y410" s="1">
        <f t="shared" si="202"/>
        <v>0</v>
      </c>
      <c r="Z410" s="1">
        <f t="shared" si="202"/>
        <v>0</v>
      </c>
      <c r="AA410" s="1">
        <f t="shared" si="202"/>
        <v>0</v>
      </c>
      <c r="AB410" s="1">
        <f t="shared" si="202"/>
        <v>0</v>
      </c>
      <c r="AC410" s="1">
        <f t="shared" si="202"/>
        <v>0</v>
      </c>
      <c r="AD410" s="1">
        <f t="shared" si="202"/>
        <v>0</v>
      </c>
      <c r="AE410" s="1">
        <f t="shared" si="202"/>
        <v>0</v>
      </c>
      <c r="AF410" s="1">
        <f t="shared" si="202"/>
        <v>1</v>
      </c>
      <c r="AG410" s="1">
        <f t="shared" si="202"/>
        <v>1</v>
      </c>
      <c r="AH410" s="1">
        <f t="shared" si="202"/>
        <v>1</v>
      </c>
      <c r="AI410" s="44">
        <f t="shared" si="196"/>
        <v>41638.781173413663</v>
      </c>
      <c r="AJ410" s="44">
        <f t="shared" si="186"/>
        <v>42295.276342891113</v>
      </c>
      <c r="AK410" s="44" t="str">
        <f t="shared" si="171"/>
        <v>N</v>
      </c>
      <c r="AL410" s="4">
        <f t="shared" si="187"/>
        <v>332</v>
      </c>
      <c r="AM410" s="82">
        <f t="shared" si="197"/>
        <v>0</v>
      </c>
      <c r="AN410" s="82">
        <f t="shared" si="188"/>
        <v>0</v>
      </c>
      <c r="AO410" s="48">
        <f>0</f>
        <v>0</v>
      </c>
      <c r="AP410" s="91">
        <f t="shared" si="198"/>
        <v>-656.49516947745042</v>
      </c>
      <c r="AQ410" s="91">
        <f t="shared" si="199"/>
        <v>-656.49516947745042</v>
      </c>
      <c r="AV410" s="84"/>
    </row>
    <row r="411" spans="1:48">
      <c r="A411" s="190">
        <f t="shared" si="189"/>
        <v>93.470910335386719</v>
      </c>
      <c r="B411" s="82">
        <f t="shared" si="190"/>
        <v>28</v>
      </c>
      <c r="C411" s="83">
        <f t="shared" si="191"/>
        <v>333</v>
      </c>
      <c r="D411" s="14">
        <f t="shared" si="177"/>
        <v>4.8675505653430484E-3</v>
      </c>
      <c r="E411" s="16">
        <f t="shared" si="178"/>
        <v>0</v>
      </c>
      <c r="F411" s="127"/>
      <c r="G411" s="88">
        <f t="shared" si="179"/>
        <v>0</v>
      </c>
      <c r="H411" s="89">
        <f t="shared" si="192"/>
        <v>4.1666666666666666E-3</v>
      </c>
      <c r="I411" s="219"/>
      <c r="J411" s="219"/>
      <c r="K411" s="6">
        <f t="shared" si="200"/>
        <v>41638.781173413663</v>
      </c>
      <c r="M411" s="6">
        <f t="shared" si="180"/>
        <v>202.67887284084514</v>
      </c>
      <c r="N411" s="6">
        <f t="shared" si="193"/>
        <v>-47.161885409737785</v>
      </c>
      <c r="O411" s="90">
        <f t="shared" si="181"/>
        <v>568.96215888036818</v>
      </c>
      <c r="P411" s="91">
        <f t="shared" si="182"/>
        <v>0</v>
      </c>
      <c r="Q411" s="6">
        <f t="shared" si="183"/>
        <v>174.14290900351986</v>
      </c>
      <c r="R411" s="87">
        <f t="shared" si="170"/>
        <v>-656.20150508106872</v>
      </c>
      <c r="S411" s="6">
        <f t="shared" si="184"/>
        <v>-8.6324873026966316</v>
      </c>
      <c r="T411" s="83">
        <f t="shared" si="194"/>
        <v>0</v>
      </c>
      <c r="U411" s="91">
        <f t="shared" si="201"/>
        <v>127580.62089687336</v>
      </c>
      <c r="V411" s="91">
        <f t="shared" si="195"/>
        <v>621.00512337339308</v>
      </c>
      <c r="W411" s="1">
        <f t="shared" si="202"/>
        <v>0</v>
      </c>
      <c r="X411" s="1">
        <f t="shared" si="202"/>
        <v>0</v>
      </c>
      <c r="Y411" s="1">
        <f t="shared" si="202"/>
        <v>0</v>
      </c>
      <c r="Z411" s="1">
        <f t="shared" si="202"/>
        <v>0</v>
      </c>
      <c r="AA411" s="1">
        <f t="shared" si="202"/>
        <v>0</v>
      </c>
      <c r="AB411" s="1">
        <f t="shared" si="202"/>
        <v>0</v>
      </c>
      <c r="AC411" s="1">
        <f t="shared" si="202"/>
        <v>0</v>
      </c>
      <c r="AD411" s="1">
        <f t="shared" si="202"/>
        <v>0</v>
      </c>
      <c r="AE411" s="1">
        <f t="shared" si="202"/>
        <v>0</v>
      </c>
      <c r="AF411" s="1">
        <f t="shared" si="202"/>
        <v>1</v>
      </c>
      <c r="AG411" s="1">
        <f t="shared" si="202"/>
        <v>1</v>
      </c>
      <c r="AH411" s="1">
        <f t="shared" si="202"/>
        <v>1</v>
      </c>
      <c r="AI411" s="44">
        <f t="shared" si="196"/>
        <v>41138.0966557637</v>
      </c>
      <c r="AJ411" s="44">
        <f t="shared" si="186"/>
        <v>41794.298160844766</v>
      </c>
      <c r="AK411" s="44" t="str">
        <f t="shared" si="171"/>
        <v>N</v>
      </c>
      <c r="AL411" s="4">
        <f t="shared" si="187"/>
        <v>333</v>
      </c>
      <c r="AM411" s="82">
        <f t="shared" si="197"/>
        <v>0</v>
      </c>
      <c r="AN411" s="82">
        <f t="shared" si="188"/>
        <v>0</v>
      </c>
      <c r="AO411" s="48">
        <f>0</f>
        <v>0</v>
      </c>
      <c r="AP411" s="91">
        <f t="shared" si="198"/>
        <v>-656.20150508106872</v>
      </c>
      <c r="AQ411" s="91">
        <f t="shared" si="199"/>
        <v>-656.20150508106872</v>
      </c>
      <c r="AV411" s="84"/>
    </row>
    <row r="412" spans="1:48">
      <c r="A412" s="190">
        <f t="shared" si="189"/>
        <v>93.554243668720048</v>
      </c>
      <c r="B412" s="82">
        <f t="shared" si="190"/>
        <v>28</v>
      </c>
      <c r="C412" s="83">
        <f t="shared" si="191"/>
        <v>334</v>
      </c>
      <c r="D412" s="14">
        <f t="shared" si="177"/>
        <v>4.8675505653430484E-3</v>
      </c>
      <c r="E412" s="16">
        <f t="shared" si="178"/>
        <v>0</v>
      </c>
      <c r="F412" s="127"/>
      <c r="G412" s="88">
        <f t="shared" si="179"/>
        <v>0</v>
      </c>
      <c r="H412" s="89">
        <f t="shared" si="192"/>
        <v>4.1666666666666666E-3</v>
      </c>
      <c r="I412" s="219"/>
      <c r="J412" s="219"/>
      <c r="K412" s="6">
        <f t="shared" si="200"/>
        <v>41138.0966557637</v>
      </c>
      <c r="M412" s="6">
        <f t="shared" si="180"/>
        <v>200.24176563389958</v>
      </c>
      <c r="N412" s="6">
        <f t="shared" si="193"/>
        <v>-46.594788458712848</v>
      </c>
      <c r="O412" s="90">
        <f t="shared" si="181"/>
        <v>568.96215888036818</v>
      </c>
      <c r="P412" s="91">
        <f t="shared" si="182"/>
        <v>0</v>
      </c>
      <c r="Q412" s="6">
        <f t="shared" si="183"/>
        <v>172.04893180391204</v>
      </c>
      <c r="R412" s="87">
        <f t="shared" ref="R412:R475" si="203">-MIN(MAX(O412,P412,Q412,-R400*1.02),AJ412)</f>
        <v>-655.90797204708201</v>
      </c>
      <c r="S412" s="6">
        <f t="shared" si="184"/>
        <v>-8.5278939110491674</v>
      </c>
      <c r="T412" s="83">
        <f t="shared" si="194"/>
        <v>0</v>
      </c>
      <c r="U412" s="91">
        <f t="shared" si="201"/>
        <v>127545.42451516568</v>
      </c>
      <c r="V412" s="91">
        <f t="shared" si="195"/>
        <v>620.83380320571382</v>
      </c>
      <c r="W412" s="1">
        <f t="shared" si="202"/>
        <v>0</v>
      </c>
      <c r="X412" s="1">
        <f t="shared" si="202"/>
        <v>0</v>
      </c>
      <c r="Y412" s="1">
        <f t="shared" si="202"/>
        <v>0</v>
      </c>
      <c r="Z412" s="1">
        <f t="shared" si="202"/>
        <v>0</v>
      </c>
      <c r="AA412" s="1">
        <f t="shared" si="202"/>
        <v>0</v>
      </c>
      <c r="AB412" s="1">
        <f t="shared" si="202"/>
        <v>0</v>
      </c>
      <c r="AC412" s="1">
        <f t="shared" si="202"/>
        <v>0</v>
      </c>
      <c r="AD412" s="1">
        <f t="shared" si="202"/>
        <v>0</v>
      </c>
      <c r="AE412" s="1">
        <f t="shared" si="202"/>
        <v>0</v>
      </c>
      <c r="AF412" s="1">
        <f t="shared" si="202"/>
        <v>1</v>
      </c>
      <c r="AG412" s="1">
        <f t="shared" si="202"/>
        <v>1</v>
      </c>
      <c r="AH412" s="1">
        <f t="shared" si="202"/>
        <v>1</v>
      </c>
      <c r="AI412" s="44">
        <f t="shared" si="196"/>
        <v>40635.835660891804</v>
      </c>
      <c r="AJ412" s="44">
        <f t="shared" si="186"/>
        <v>41291.743632938887</v>
      </c>
      <c r="AK412" s="44" t="str">
        <f t="shared" ref="AK412:AK475" si="204">IF(R412=0,0,IF(R412&gt;R400,"Y","N"))</f>
        <v>N</v>
      </c>
      <c r="AL412" s="4">
        <f t="shared" si="187"/>
        <v>334</v>
      </c>
      <c r="AM412" s="82">
        <f t="shared" si="197"/>
        <v>0</v>
      </c>
      <c r="AN412" s="82">
        <f t="shared" si="188"/>
        <v>0</v>
      </c>
      <c r="AO412" s="48">
        <f>0</f>
        <v>0</v>
      </c>
      <c r="AP412" s="91">
        <f t="shared" si="198"/>
        <v>-655.90797204708201</v>
      </c>
      <c r="AQ412" s="91">
        <f t="shared" si="199"/>
        <v>-655.90797204708201</v>
      </c>
      <c r="AV412" s="84"/>
    </row>
    <row r="413" spans="1:48">
      <c r="A413" s="190">
        <f t="shared" si="189"/>
        <v>93.637577002053376</v>
      </c>
      <c r="B413" s="82">
        <f t="shared" si="190"/>
        <v>28</v>
      </c>
      <c r="C413" s="83">
        <f t="shared" si="191"/>
        <v>335</v>
      </c>
      <c r="D413" s="14">
        <f t="shared" si="177"/>
        <v>4.8675505653430484E-3</v>
      </c>
      <c r="E413" s="16">
        <f t="shared" si="178"/>
        <v>0</v>
      </c>
      <c r="F413" s="127"/>
      <c r="G413" s="88">
        <f t="shared" si="179"/>
        <v>0</v>
      </c>
      <c r="H413" s="89">
        <f t="shared" si="192"/>
        <v>4.1666666666666666E-3</v>
      </c>
      <c r="I413" s="219"/>
      <c r="J413" s="219"/>
      <c r="K413" s="6">
        <f t="shared" si="200"/>
        <v>40635.835660891804</v>
      </c>
      <c r="M413" s="6">
        <f t="shared" si="180"/>
        <v>197.79698484436111</v>
      </c>
      <c r="N413" s="6">
        <f t="shared" si="193"/>
        <v>-46.025905921366785</v>
      </c>
      <c r="O413" s="90">
        <f t="shared" si="181"/>
        <v>568.96215888036818</v>
      </c>
      <c r="P413" s="91">
        <f t="shared" si="182"/>
        <v>0</v>
      </c>
      <c r="Q413" s="6">
        <f t="shared" si="183"/>
        <v>169.94836141589499</v>
      </c>
      <c r="R413" s="87">
        <f t="shared" si="203"/>
        <v>-655.6145703167291</v>
      </c>
      <c r="S413" s="6">
        <f t="shared" si="184"/>
        <v>-8.4229710819857484</v>
      </c>
      <c r="T413" s="83">
        <f t="shared" si="194"/>
        <v>0</v>
      </c>
      <c r="U413" s="91">
        <f t="shared" si="201"/>
        <v>127510.35034632431</v>
      </c>
      <c r="V413" s="91">
        <f t="shared" si="195"/>
        <v>620.66307791534109</v>
      </c>
      <c r="W413" s="1">
        <f t="shared" si="202"/>
        <v>0</v>
      </c>
      <c r="X413" s="1">
        <f t="shared" si="202"/>
        <v>0</v>
      </c>
      <c r="Y413" s="1">
        <f t="shared" si="202"/>
        <v>0</v>
      </c>
      <c r="Z413" s="1">
        <f t="shared" si="202"/>
        <v>0</v>
      </c>
      <c r="AA413" s="1">
        <f t="shared" si="202"/>
        <v>0</v>
      </c>
      <c r="AB413" s="1">
        <f t="shared" si="202"/>
        <v>0</v>
      </c>
      <c r="AC413" s="1">
        <f t="shared" si="202"/>
        <v>0</v>
      </c>
      <c r="AD413" s="1">
        <f t="shared" si="202"/>
        <v>0</v>
      </c>
      <c r="AE413" s="1">
        <f t="shared" si="202"/>
        <v>0</v>
      </c>
      <c r="AF413" s="1">
        <f t="shared" si="202"/>
        <v>1</v>
      </c>
      <c r="AG413" s="1">
        <f t="shared" si="202"/>
        <v>1</v>
      </c>
      <c r="AH413" s="1">
        <f t="shared" si="202"/>
        <v>1</v>
      </c>
      <c r="AI413" s="44">
        <f t="shared" si="196"/>
        <v>40131.992169498073</v>
      </c>
      <c r="AJ413" s="44">
        <f t="shared" si="186"/>
        <v>40787.606739814801</v>
      </c>
      <c r="AK413" s="44" t="str">
        <f t="shared" si="204"/>
        <v>N</v>
      </c>
      <c r="AL413" s="4">
        <f t="shared" si="187"/>
        <v>335</v>
      </c>
      <c r="AM413" s="82">
        <f t="shared" si="197"/>
        <v>0</v>
      </c>
      <c r="AN413" s="82">
        <f t="shared" si="188"/>
        <v>0</v>
      </c>
      <c r="AO413" s="48">
        <f>0</f>
        <v>0</v>
      </c>
      <c r="AP413" s="91">
        <f t="shared" si="198"/>
        <v>-655.6145703167291</v>
      </c>
      <c r="AQ413" s="91">
        <f t="shared" si="199"/>
        <v>-655.6145703167291</v>
      </c>
      <c r="AV413" s="84"/>
    </row>
    <row r="414" spans="1:48">
      <c r="A414" s="190">
        <f t="shared" si="189"/>
        <v>93.720910335386719</v>
      </c>
      <c r="B414" s="82">
        <f t="shared" si="190"/>
        <v>28</v>
      </c>
      <c r="C414" s="83">
        <f t="shared" si="191"/>
        <v>336</v>
      </c>
      <c r="D414" s="14">
        <f t="shared" si="177"/>
        <v>4.8675505653430484E-3</v>
      </c>
      <c r="E414" s="16">
        <f t="shared" si="178"/>
        <v>0</v>
      </c>
      <c r="F414" s="127"/>
      <c r="G414" s="88">
        <f t="shared" si="179"/>
        <v>0</v>
      </c>
      <c r="H414" s="89">
        <f t="shared" si="192"/>
        <v>4.1666666666666666E-3</v>
      </c>
      <c r="I414" s="219"/>
      <c r="J414" s="219"/>
      <c r="K414" s="6">
        <f t="shared" si="200"/>
        <v>40131.992169498073</v>
      </c>
      <c r="M414" s="6">
        <f t="shared" si="180"/>
        <v>195.34450117298314</v>
      </c>
      <c r="N414" s="6">
        <f t="shared" si="193"/>
        <v>-45.455230979980037</v>
      </c>
      <c r="O414" s="90">
        <f t="shared" si="181"/>
        <v>568.96215888036818</v>
      </c>
      <c r="P414" s="91">
        <f t="shared" si="182"/>
        <v>0</v>
      </c>
      <c r="Q414" s="6">
        <f t="shared" si="183"/>
        <v>167.8411726653795</v>
      </c>
      <c r="R414" s="87">
        <f t="shared" si="203"/>
        <v>-655.3212998312747</v>
      </c>
      <c r="S414" s="6">
        <f t="shared" si="184"/>
        <v>-8.3177175577079776</v>
      </c>
      <c r="T414" s="83">
        <f t="shared" si="194"/>
        <v>0</v>
      </c>
      <c r="U414" s="91">
        <f t="shared" si="201"/>
        <v>127475.39885392292</v>
      </c>
      <c r="V414" s="91">
        <f t="shared" si="195"/>
        <v>620.49294975874307</v>
      </c>
      <c r="W414" s="1">
        <f t="shared" si="202"/>
        <v>0</v>
      </c>
      <c r="X414" s="1">
        <f t="shared" si="202"/>
        <v>0</v>
      </c>
      <c r="Y414" s="1">
        <f t="shared" si="202"/>
        <v>0</v>
      </c>
      <c r="Z414" s="1">
        <f t="shared" si="202"/>
        <v>0</v>
      </c>
      <c r="AA414" s="1">
        <f t="shared" si="202"/>
        <v>0</v>
      </c>
      <c r="AB414" s="1">
        <f t="shared" si="202"/>
        <v>0</v>
      </c>
      <c r="AC414" s="1">
        <f t="shared" si="202"/>
        <v>0</v>
      </c>
      <c r="AD414" s="1">
        <f t="shared" si="202"/>
        <v>0</v>
      </c>
      <c r="AE414" s="1">
        <f t="shared" si="202"/>
        <v>0</v>
      </c>
      <c r="AF414" s="1">
        <f t="shared" si="202"/>
        <v>1</v>
      </c>
      <c r="AG414" s="1">
        <f t="shared" si="202"/>
        <v>1</v>
      </c>
      <c r="AH414" s="1">
        <f t="shared" si="202"/>
        <v>1</v>
      </c>
      <c r="AI414" s="44">
        <f t="shared" si="196"/>
        <v>39626.560139859808</v>
      </c>
      <c r="AJ414" s="44">
        <f t="shared" si="186"/>
        <v>40281.881439691082</v>
      </c>
      <c r="AK414" s="44" t="str">
        <f t="shared" si="204"/>
        <v>N</v>
      </c>
      <c r="AL414" s="4">
        <f t="shared" si="187"/>
        <v>336</v>
      </c>
      <c r="AM414" s="82">
        <f t="shared" si="197"/>
        <v>0</v>
      </c>
      <c r="AN414" s="82">
        <f t="shared" si="188"/>
        <v>0</v>
      </c>
      <c r="AO414" s="48">
        <f>0</f>
        <v>0</v>
      </c>
      <c r="AP414" s="91">
        <f t="shared" si="198"/>
        <v>-655.3212998312747</v>
      </c>
      <c r="AQ414" s="91">
        <f t="shared" si="199"/>
        <v>-655.3212998312747</v>
      </c>
      <c r="AV414" s="84"/>
    </row>
    <row r="415" spans="1:48">
      <c r="A415" s="190">
        <f t="shared" si="189"/>
        <v>93.804243668720048</v>
      </c>
      <c r="B415" s="82">
        <f t="shared" si="190"/>
        <v>29</v>
      </c>
      <c r="C415" s="83">
        <f t="shared" si="191"/>
        <v>337</v>
      </c>
      <c r="D415" s="14">
        <f t="shared" si="177"/>
        <v>4.8675505653430484E-3</v>
      </c>
      <c r="E415" s="16">
        <f t="shared" si="178"/>
        <v>0</v>
      </c>
      <c r="F415" s="127"/>
      <c r="G415" s="88">
        <f t="shared" si="179"/>
        <v>0</v>
      </c>
      <c r="H415" s="89">
        <f t="shared" si="192"/>
        <v>4.1666666666666666E-3</v>
      </c>
      <c r="I415" s="219"/>
      <c r="J415" s="219"/>
      <c r="K415" s="6">
        <f t="shared" si="200"/>
        <v>39626.560139859808</v>
      </c>
      <c r="M415" s="6">
        <f t="shared" si="180"/>
        <v>192.88428521137493</v>
      </c>
      <c r="N415" s="6">
        <f t="shared" si="193"/>
        <v>-44.882756791436044</v>
      </c>
      <c r="O415" s="90">
        <f t="shared" si="181"/>
        <v>580.34140205797564</v>
      </c>
      <c r="P415" s="91">
        <f t="shared" si="182"/>
        <v>0</v>
      </c>
      <c r="Q415" s="6">
        <f t="shared" si="183"/>
        <v>165.72734028449895</v>
      </c>
      <c r="R415" s="87">
        <f t="shared" si="203"/>
        <v>-655.0281605320107</v>
      </c>
      <c r="S415" s="6">
        <f t="shared" si="184"/>
        <v>-8.2121320757319456</v>
      </c>
      <c r="T415" s="83">
        <f t="shared" si="194"/>
        <v>0</v>
      </c>
      <c r="U415" s="91">
        <f t="shared" si="201"/>
        <v>127440.57050385038</v>
      </c>
      <c r="V415" s="91">
        <f t="shared" si="195"/>
        <v>620.32342100365759</v>
      </c>
      <c r="W415" s="1">
        <f t="shared" si="202"/>
        <v>0</v>
      </c>
      <c r="X415" s="1">
        <f t="shared" si="202"/>
        <v>0</v>
      </c>
      <c r="Y415" s="1">
        <f t="shared" si="202"/>
        <v>0</v>
      </c>
      <c r="Z415" s="1">
        <f t="shared" si="202"/>
        <v>0</v>
      </c>
      <c r="AA415" s="1">
        <f t="shared" si="202"/>
        <v>0</v>
      </c>
      <c r="AB415" s="1">
        <f t="shared" si="202"/>
        <v>0</v>
      </c>
      <c r="AC415" s="1">
        <f t="shared" si="202"/>
        <v>0</v>
      </c>
      <c r="AD415" s="1">
        <f t="shared" si="202"/>
        <v>0</v>
      </c>
      <c r="AE415" s="1">
        <f t="shared" si="202"/>
        <v>0</v>
      </c>
      <c r="AF415" s="1">
        <f t="shared" si="202"/>
        <v>1</v>
      </c>
      <c r="AG415" s="1">
        <f t="shared" si="202"/>
        <v>1</v>
      </c>
      <c r="AH415" s="1">
        <f t="shared" si="202"/>
        <v>1</v>
      </c>
      <c r="AI415" s="44">
        <f t="shared" si="196"/>
        <v>39119.533507747736</v>
      </c>
      <c r="AJ415" s="44">
        <f t="shared" si="186"/>
        <v>39774.561668279748</v>
      </c>
      <c r="AK415" s="44" t="str">
        <f t="shared" si="204"/>
        <v>N</v>
      </c>
      <c r="AL415" s="4">
        <f t="shared" si="187"/>
        <v>337</v>
      </c>
      <c r="AM415" s="82">
        <f t="shared" si="197"/>
        <v>0</v>
      </c>
      <c r="AN415" s="82">
        <f t="shared" si="188"/>
        <v>0</v>
      </c>
      <c r="AO415" s="48">
        <f>0</f>
        <v>0</v>
      </c>
      <c r="AP415" s="91">
        <f t="shared" si="198"/>
        <v>-655.0281605320107</v>
      </c>
      <c r="AQ415" s="91">
        <f t="shared" si="199"/>
        <v>-655.0281605320107</v>
      </c>
      <c r="AV415" s="84"/>
    </row>
    <row r="416" spans="1:48">
      <c r="A416" s="190">
        <f t="shared" si="189"/>
        <v>93.887577002053376</v>
      </c>
      <c r="B416" s="82">
        <f t="shared" si="190"/>
        <v>29</v>
      </c>
      <c r="C416" s="83">
        <f t="shared" si="191"/>
        <v>338</v>
      </c>
      <c r="D416" s="14">
        <f t="shared" si="177"/>
        <v>4.8675505653430484E-3</v>
      </c>
      <c r="E416" s="16">
        <f t="shared" si="178"/>
        <v>0</v>
      </c>
      <c r="F416" s="127"/>
      <c r="G416" s="88">
        <f t="shared" si="179"/>
        <v>0</v>
      </c>
      <c r="H416" s="89">
        <f t="shared" si="192"/>
        <v>4.1666666666666666E-3</v>
      </c>
      <c r="I416" s="219"/>
      <c r="J416" s="219"/>
      <c r="K416" s="6">
        <f t="shared" si="200"/>
        <v>39119.533507747736</v>
      </c>
      <c r="M416" s="6">
        <f t="shared" si="180"/>
        <v>190.41630744159383</v>
      </c>
      <c r="N416" s="6">
        <f t="shared" si="193"/>
        <v>-44.308476487126299</v>
      </c>
      <c r="O416" s="90">
        <f t="shared" si="181"/>
        <v>580.34140205797564</v>
      </c>
      <c r="P416" s="91">
        <f t="shared" si="182"/>
        <v>0</v>
      </c>
      <c r="Q416" s="6">
        <f t="shared" si="183"/>
        <v>163.60683891125919</v>
      </c>
      <c r="R416" s="87">
        <f t="shared" si="203"/>
        <v>-654.73515236025412</v>
      </c>
      <c r="S416" s="6">
        <f t="shared" si="184"/>
        <v>-8.1062133688707139</v>
      </c>
      <c r="T416" s="83">
        <f t="shared" si="194"/>
        <v>0</v>
      </c>
      <c r="U416" s="91">
        <f t="shared" si="201"/>
        <v>127405.86576432204</v>
      </c>
      <c r="V416" s="91">
        <f t="shared" si="195"/>
        <v>620.15449392914627</v>
      </c>
      <c r="W416" s="1">
        <f t="shared" si="202"/>
        <v>0</v>
      </c>
      <c r="X416" s="1">
        <f t="shared" si="202"/>
        <v>0</v>
      </c>
      <c r="Y416" s="1">
        <f t="shared" si="202"/>
        <v>0</v>
      </c>
      <c r="Z416" s="1">
        <f t="shared" si="202"/>
        <v>0</v>
      </c>
      <c r="AA416" s="1">
        <f t="shared" si="202"/>
        <v>0</v>
      </c>
      <c r="AB416" s="1">
        <f t="shared" si="202"/>
        <v>0</v>
      </c>
      <c r="AC416" s="1">
        <f t="shared" si="202"/>
        <v>0</v>
      </c>
      <c r="AD416" s="1">
        <f t="shared" si="202"/>
        <v>0</v>
      </c>
      <c r="AE416" s="1">
        <f t="shared" si="202"/>
        <v>0</v>
      </c>
      <c r="AF416" s="1">
        <f t="shared" si="202"/>
        <v>1</v>
      </c>
      <c r="AG416" s="1">
        <f t="shared" si="202"/>
        <v>1</v>
      </c>
      <c r="AH416" s="1">
        <f t="shared" si="202"/>
        <v>1</v>
      </c>
      <c r="AI416" s="44">
        <f t="shared" si="196"/>
        <v>38610.906186341948</v>
      </c>
      <c r="AJ416" s="44">
        <f t="shared" si="186"/>
        <v>39265.641338702204</v>
      </c>
      <c r="AK416" s="44" t="str">
        <f t="shared" si="204"/>
        <v>N</v>
      </c>
      <c r="AL416" s="4">
        <f t="shared" si="187"/>
        <v>338</v>
      </c>
      <c r="AM416" s="82">
        <f t="shared" si="197"/>
        <v>0</v>
      </c>
      <c r="AN416" s="82">
        <f t="shared" si="188"/>
        <v>0</v>
      </c>
      <c r="AO416" s="48">
        <f>0</f>
        <v>0</v>
      </c>
      <c r="AP416" s="91">
        <f t="shared" si="198"/>
        <v>-654.73515236025412</v>
      </c>
      <c r="AQ416" s="91">
        <f t="shared" si="199"/>
        <v>-654.73515236025412</v>
      </c>
      <c r="AV416" s="84"/>
    </row>
    <row r="417" spans="1:48">
      <c r="A417" s="190">
        <f t="shared" si="189"/>
        <v>93.970910335386719</v>
      </c>
      <c r="B417" s="82">
        <f t="shared" si="190"/>
        <v>29</v>
      </c>
      <c r="C417" s="83">
        <f t="shared" si="191"/>
        <v>339</v>
      </c>
      <c r="D417" s="14">
        <f t="shared" si="177"/>
        <v>4.8675505653430484E-3</v>
      </c>
      <c r="E417" s="16">
        <f t="shared" si="178"/>
        <v>0</v>
      </c>
      <c r="F417" s="127"/>
      <c r="G417" s="88">
        <f t="shared" si="179"/>
        <v>0</v>
      </c>
      <c r="H417" s="89">
        <f t="shared" si="192"/>
        <v>4.1666666666666666E-3</v>
      </c>
      <c r="I417" s="219"/>
      <c r="J417" s="219"/>
      <c r="K417" s="6">
        <f t="shared" si="200"/>
        <v>38610.906186341948</v>
      </c>
      <c r="M417" s="6">
        <f t="shared" si="180"/>
        <v>187.94053823573617</v>
      </c>
      <c r="N417" s="6">
        <f t="shared" si="193"/>
        <v>-43.73238317285518</v>
      </c>
      <c r="O417" s="90">
        <f t="shared" si="181"/>
        <v>580.34140205797564</v>
      </c>
      <c r="P417" s="91">
        <f t="shared" si="182"/>
        <v>0</v>
      </c>
      <c r="Q417" s="6">
        <f t="shared" si="183"/>
        <v>161.47964308918677</v>
      </c>
      <c r="R417" s="87">
        <f t="shared" si="203"/>
        <v>-654.44227525734914</v>
      </c>
      <c r="S417" s="6">
        <f t="shared" si="184"/>
        <v>-7.9999601652167689</v>
      </c>
      <c r="T417" s="83">
        <f t="shared" si="194"/>
        <v>0</v>
      </c>
      <c r="U417" s="91">
        <f t="shared" si="201"/>
        <v>127371.28510589093</v>
      </c>
      <c r="V417" s="91">
        <f t="shared" si="195"/>
        <v>619.98617082564999</v>
      </c>
      <c r="W417" s="1">
        <f t="shared" si="202"/>
        <v>0</v>
      </c>
      <c r="X417" s="1">
        <f t="shared" si="202"/>
        <v>0</v>
      </c>
      <c r="Y417" s="1">
        <f t="shared" si="202"/>
        <v>0</v>
      </c>
      <c r="Z417" s="1">
        <f t="shared" si="202"/>
        <v>0</v>
      </c>
      <c r="AA417" s="1">
        <f t="shared" si="202"/>
        <v>0</v>
      </c>
      <c r="AB417" s="1">
        <f t="shared" si="202"/>
        <v>0</v>
      </c>
      <c r="AC417" s="1">
        <f t="shared" si="202"/>
        <v>0</v>
      </c>
      <c r="AD417" s="1">
        <f t="shared" si="202"/>
        <v>0</v>
      </c>
      <c r="AE417" s="1">
        <f t="shared" si="202"/>
        <v>0</v>
      </c>
      <c r="AF417" s="1">
        <f t="shared" si="202"/>
        <v>1</v>
      </c>
      <c r="AG417" s="1">
        <f t="shared" si="202"/>
        <v>1</v>
      </c>
      <c r="AH417" s="1">
        <f t="shared" si="202"/>
        <v>1</v>
      </c>
      <c r="AI417" s="44">
        <f t="shared" si="196"/>
        <v>38100.672066147476</v>
      </c>
      <c r="AJ417" s="44">
        <f t="shared" si="186"/>
        <v>38755.114341404827</v>
      </c>
      <c r="AK417" s="44" t="str">
        <f t="shared" si="204"/>
        <v>N</v>
      </c>
      <c r="AL417" s="4">
        <f t="shared" si="187"/>
        <v>339</v>
      </c>
      <c r="AM417" s="82">
        <f t="shared" si="197"/>
        <v>0</v>
      </c>
      <c r="AN417" s="82">
        <f t="shared" si="188"/>
        <v>0</v>
      </c>
      <c r="AO417" s="48">
        <f>0</f>
        <v>0</v>
      </c>
      <c r="AP417" s="91">
        <f t="shared" si="198"/>
        <v>-654.44227525734914</v>
      </c>
      <c r="AQ417" s="91">
        <f t="shared" si="199"/>
        <v>-654.44227525734914</v>
      </c>
      <c r="AV417" s="84"/>
    </row>
    <row r="418" spans="1:48">
      <c r="A418" s="190">
        <f t="shared" si="189"/>
        <v>94.054243668720048</v>
      </c>
      <c r="B418" s="82">
        <f t="shared" si="190"/>
        <v>29</v>
      </c>
      <c r="C418" s="83">
        <f t="shared" si="191"/>
        <v>340</v>
      </c>
      <c r="D418" s="14">
        <f t="shared" si="177"/>
        <v>4.8675505653430484E-3</v>
      </c>
      <c r="E418" s="16">
        <f t="shared" si="178"/>
        <v>0</v>
      </c>
      <c r="F418" s="127"/>
      <c r="G418" s="88">
        <f t="shared" si="179"/>
        <v>0</v>
      </c>
      <c r="H418" s="89">
        <f t="shared" si="192"/>
        <v>4.1666666666666666E-3</v>
      </c>
      <c r="I418" s="219"/>
      <c r="J418" s="219"/>
      <c r="K418" s="6">
        <f t="shared" si="200"/>
        <v>38100.672066147476</v>
      </c>
      <c r="M418" s="6">
        <f t="shared" si="180"/>
        <v>185.45694785552624</v>
      </c>
      <c r="N418" s="6">
        <f t="shared" si="193"/>
        <v>-43.154469928744312</v>
      </c>
      <c r="O418" s="90">
        <f t="shared" si="181"/>
        <v>580.34140205797564</v>
      </c>
      <c r="P418" s="91">
        <f t="shared" si="182"/>
        <v>0</v>
      </c>
      <c r="Q418" s="6">
        <f t="shared" si="183"/>
        <v>159.34572726697607</v>
      </c>
      <c r="R418" s="87">
        <f t="shared" si="203"/>
        <v>-670.82456470033185</v>
      </c>
      <c r="S418" s="6">
        <f t="shared" si="184"/>
        <v>-7.891632211778445</v>
      </c>
      <c r="T418" s="83">
        <f t="shared" si="194"/>
        <v>0</v>
      </c>
      <c r="U418" s="91">
        <f t="shared" si="201"/>
        <v>127336.82900145923</v>
      </c>
      <c r="V418" s="91">
        <f t="shared" si="195"/>
        <v>619.81845399504402</v>
      </c>
      <c r="W418" s="1">
        <f t="shared" si="202"/>
        <v>0</v>
      </c>
      <c r="X418" s="1">
        <f t="shared" si="202"/>
        <v>0</v>
      </c>
      <c r="Y418" s="1">
        <f t="shared" si="202"/>
        <v>0</v>
      </c>
      <c r="Z418" s="1">
        <f t="shared" si="202"/>
        <v>0</v>
      </c>
      <c r="AA418" s="1">
        <f t="shared" si="202"/>
        <v>0</v>
      </c>
      <c r="AB418" s="1">
        <f t="shared" si="202"/>
        <v>0</v>
      </c>
      <c r="AC418" s="1">
        <f t="shared" si="202"/>
        <v>0</v>
      </c>
      <c r="AD418" s="1">
        <f t="shared" si="202"/>
        <v>0</v>
      </c>
      <c r="AE418" s="1">
        <f t="shared" si="202"/>
        <v>0</v>
      </c>
      <c r="AF418" s="1">
        <f t="shared" si="202"/>
        <v>1</v>
      </c>
      <c r="AG418" s="1">
        <f t="shared" si="202"/>
        <v>1</v>
      </c>
      <c r="AH418" s="1">
        <f t="shared" si="202"/>
        <v>1</v>
      </c>
      <c r="AI418" s="44">
        <f t="shared" si="196"/>
        <v>37572.14997937392</v>
      </c>
      <c r="AJ418" s="44">
        <f t="shared" si="186"/>
        <v>38242.974544074255</v>
      </c>
      <c r="AK418" s="44" t="str">
        <f t="shared" si="204"/>
        <v>N</v>
      </c>
      <c r="AL418" s="4">
        <f t="shared" si="187"/>
        <v>340</v>
      </c>
      <c r="AM418" s="82">
        <f t="shared" si="197"/>
        <v>0</v>
      </c>
      <c r="AN418" s="82">
        <f t="shared" si="188"/>
        <v>0</v>
      </c>
      <c r="AO418" s="48">
        <f>0</f>
        <v>0</v>
      </c>
      <c r="AP418" s="91">
        <f t="shared" si="198"/>
        <v>-670.82456470033185</v>
      </c>
      <c r="AQ418" s="91">
        <f t="shared" si="199"/>
        <v>-670.82456470033185</v>
      </c>
      <c r="AV418" s="84"/>
    </row>
    <row r="419" spans="1:48">
      <c r="A419" s="190">
        <f t="shared" si="189"/>
        <v>94.137577002053376</v>
      </c>
      <c r="B419" s="82">
        <f t="shared" si="190"/>
        <v>29</v>
      </c>
      <c r="C419" s="83">
        <f t="shared" si="191"/>
        <v>341</v>
      </c>
      <c r="D419" s="14">
        <f t="shared" si="177"/>
        <v>4.8675505653430484E-3</v>
      </c>
      <c r="E419" s="16">
        <f t="shared" si="178"/>
        <v>0</v>
      </c>
      <c r="F419" s="127"/>
      <c r="G419" s="88">
        <f t="shared" si="179"/>
        <v>0</v>
      </c>
      <c r="H419" s="89">
        <f t="shared" si="192"/>
        <v>4.1666666666666666E-3</v>
      </c>
      <c r="I419" s="219"/>
      <c r="J419" s="219"/>
      <c r="K419" s="6">
        <f t="shared" si="200"/>
        <v>37572.14997937392</v>
      </c>
      <c r="M419" s="6">
        <f t="shared" si="180"/>
        <v>182.88433987325533</v>
      </c>
      <c r="N419" s="6">
        <f t="shared" si="193"/>
        <v>-42.555842942303002</v>
      </c>
      <c r="O419" s="90">
        <f t="shared" si="181"/>
        <v>580.34140205797564</v>
      </c>
      <c r="P419" s="91">
        <f t="shared" si="182"/>
        <v>0</v>
      </c>
      <c r="Q419" s="6">
        <f t="shared" si="183"/>
        <v>157.13532698460364</v>
      </c>
      <c r="R419" s="87">
        <f t="shared" si="203"/>
        <v>-670.52449045755054</v>
      </c>
      <c r="S419" s="6">
        <f t="shared" si="184"/>
        <v>-7.7812225101201298</v>
      </c>
      <c r="T419" s="83">
        <f t="shared" si="194"/>
        <v>0</v>
      </c>
      <c r="U419" s="91">
        <f t="shared" si="201"/>
        <v>127285.82289075395</v>
      </c>
      <c r="V419" s="91">
        <f t="shared" si="195"/>
        <v>619.5701791720445</v>
      </c>
      <c r="W419" s="1">
        <f t="shared" ref="W419:AH428" si="205">IF($B419&lt;=W$78,1,0)</f>
        <v>0</v>
      </c>
      <c r="X419" s="1">
        <f t="shared" si="205"/>
        <v>0</v>
      </c>
      <c r="Y419" s="1">
        <f t="shared" si="205"/>
        <v>0</v>
      </c>
      <c r="Z419" s="1">
        <f t="shared" si="205"/>
        <v>0</v>
      </c>
      <c r="AA419" s="1">
        <f t="shared" si="205"/>
        <v>0</v>
      </c>
      <c r="AB419" s="1">
        <f t="shared" si="205"/>
        <v>0</v>
      </c>
      <c r="AC419" s="1">
        <f t="shared" si="205"/>
        <v>0</v>
      </c>
      <c r="AD419" s="1">
        <f t="shared" si="205"/>
        <v>0</v>
      </c>
      <c r="AE419" s="1">
        <f t="shared" si="205"/>
        <v>0</v>
      </c>
      <c r="AF419" s="1">
        <f t="shared" si="205"/>
        <v>1</v>
      </c>
      <c r="AG419" s="1">
        <f t="shared" si="205"/>
        <v>1</v>
      </c>
      <c r="AH419" s="1">
        <f t="shared" si="205"/>
        <v>1</v>
      </c>
      <c r="AI419" s="44">
        <f t="shared" si="196"/>
        <v>37041.953985847322</v>
      </c>
      <c r="AJ419" s="44">
        <f t="shared" si="186"/>
        <v>37712.478476304874</v>
      </c>
      <c r="AK419" s="44" t="str">
        <f t="shared" si="204"/>
        <v>N</v>
      </c>
      <c r="AL419" s="4">
        <f t="shared" si="187"/>
        <v>341</v>
      </c>
      <c r="AM419" s="82">
        <f t="shared" si="197"/>
        <v>0</v>
      </c>
      <c r="AN419" s="82">
        <f t="shared" si="188"/>
        <v>0</v>
      </c>
      <c r="AO419" s="48">
        <f>0</f>
        <v>0</v>
      </c>
      <c r="AP419" s="91">
        <f t="shared" si="198"/>
        <v>-670.52449045755054</v>
      </c>
      <c r="AQ419" s="91">
        <f t="shared" si="199"/>
        <v>-670.52449045755054</v>
      </c>
      <c r="AV419" s="84"/>
    </row>
    <row r="420" spans="1:48">
      <c r="A420" s="190">
        <f t="shared" si="189"/>
        <v>94.220910335386719</v>
      </c>
      <c r="B420" s="82">
        <f t="shared" si="190"/>
        <v>29</v>
      </c>
      <c r="C420" s="83">
        <f t="shared" si="191"/>
        <v>342</v>
      </c>
      <c r="D420" s="14">
        <f t="shared" si="177"/>
        <v>4.8675505653430484E-3</v>
      </c>
      <c r="E420" s="16">
        <f t="shared" si="178"/>
        <v>0</v>
      </c>
      <c r="F420" s="127"/>
      <c r="G420" s="88">
        <f t="shared" si="179"/>
        <v>0</v>
      </c>
      <c r="H420" s="89">
        <f t="shared" si="192"/>
        <v>4.1666666666666666E-3</v>
      </c>
      <c r="I420" s="219"/>
      <c r="J420" s="219"/>
      <c r="K420" s="6">
        <f t="shared" si="200"/>
        <v>37041.953985847322</v>
      </c>
      <c r="M420" s="6">
        <f t="shared" si="180"/>
        <v>180.30358406522231</v>
      </c>
      <c r="N420" s="6">
        <f t="shared" si="193"/>
        <v>-41.955320016637508</v>
      </c>
      <c r="O420" s="90">
        <f t="shared" si="181"/>
        <v>580.34140205797564</v>
      </c>
      <c r="P420" s="91">
        <f t="shared" si="182"/>
        <v>0</v>
      </c>
      <c r="Q420" s="6">
        <f t="shared" si="183"/>
        <v>154.91792604123293</v>
      </c>
      <c r="R420" s="87">
        <f t="shared" si="203"/>
        <v>-670.22455044442597</v>
      </c>
      <c r="S420" s="6">
        <f t="shared" si="184"/>
        <v>-7.6704630116778603</v>
      </c>
      <c r="T420" s="83">
        <f t="shared" si="194"/>
        <v>0</v>
      </c>
      <c r="U420" s="91">
        <f t="shared" si="201"/>
        <v>127234.86857946844</v>
      </c>
      <c r="V420" s="91">
        <f t="shared" si="195"/>
        <v>619.32215648534009</v>
      </c>
      <c r="W420" s="1">
        <f t="shared" si="205"/>
        <v>0</v>
      </c>
      <c r="X420" s="1">
        <f t="shared" si="205"/>
        <v>0</v>
      </c>
      <c r="Y420" s="1">
        <f t="shared" si="205"/>
        <v>0</v>
      </c>
      <c r="Z420" s="1">
        <f t="shared" si="205"/>
        <v>0</v>
      </c>
      <c r="AA420" s="1">
        <f t="shared" si="205"/>
        <v>0</v>
      </c>
      <c r="AB420" s="1">
        <f t="shared" si="205"/>
        <v>0</v>
      </c>
      <c r="AC420" s="1">
        <f t="shared" si="205"/>
        <v>0</v>
      </c>
      <c r="AD420" s="1">
        <f t="shared" si="205"/>
        <v>0</v>
      </c>
      <c r="AE420" s="1">
        <f t="shared" si="205"/>
        <v>0</v>
      </c>
      <c r="AF420" s="1">
        <f t="shared" si="205"/>
        <v>1</v>
      </c>
      <c r="AG420" s="1">
        <f t="shared" si="205"/>
        <v>1</v>
      </c>
      <c r="AH420" s="1">
        <f t="shared" si="205"/>
        <v>1</v>
      </c>
      <c r="AI420" s="44">
        <f t="shared" si="196"/>
        <v>36510.077699451474</v>
      </c>
      <c r="AJ420" s="44">
        <f t="shared" si="186"/>
        <v>37180.302249895904</v>
      </c>
      <c r="AK420" s="44" t="str">
        <f t="shared" si="204"/>
        <v>N</v>
      </c>
      <c r="AL420" s="4">
        <f t="shared" si="187"/>
        <v>342</v>
      </c>
      <c r="AM420" s="82">
        <f t="shared" si="197"/>
        <v>0</v>
      </c>
      <c r="AN420" s="82">
        <f t="shared" si="188"/>
        <v>0</v>
      </c>
      <c r="AO420" s="48">
        <f>0</f>
        <v>0</v>
      </c>
      <c r="AP420" s="91">
        <f t="shared" si="198"/>
        <v>-670.22455044442597</v>
      </c>
      <c r="AQ420" s="91">
        <f t="shared" si="199"/>
        <v>-670.22455044442597</v>
      </c>
      <c r="AV420" s="84"/>
    </row>
    <row r="421" spans="1:48">
      <c r="A421" s="190">
        <f t="shared" si="189"/>
        <v>94.304243668720048</v>
      </c>
      <c r="B421" s="82">
        <f t="shared" si="190"/>
        <v>29</v>
      </c>
      <c r="C421" s="83">
        <f t="shared" si="191"/>
        <v>343</v>
      </c>
      <c r="D421" s="14">
        <f t="shared" si="177"/>
        <v>4.8675505653430484E-3</v>
      </c>
      <c r="E421" s="16">
        <f t="shared" si="178"/>
        <v>0</v>
      </c>
      <c r="F421" s="127"/>
      <c r="G421" s="88">
        <f t="shared" si="179"/>
        <v>0</v>
      </c>
      <c r="H421" s="89">
        <f t="shared" si="192"/>
        <v>4.1666666666666666E-3</v>
      </c>
      <c r="I421" s="219"/>
      <c r="J421" s="219"/>
      <c r="K421" s="6">
        <f t="shared" si="200"/>
        <v>36510.077699451474</v>
      </c>
      <c r="M421" s="6">
        <f t="shared" si="180"/>
        <v>177.71464934668364</v>
      </c>
      <c r="N421" s="6">
        <f t="shared" si="193"/>
        <v>-41.352893918556276</v>
      </c>
      <c r="O421" s="90">
        <f t="shared" si="181"/>
        <v>580.34140205797564</v>
      </c>
      <c r="P421" s="91">
        <f t="shared" si="182"/>
        <v>0</v>
      </c>
      <c r="Q421" s="6">
        <f t="shared" si="183"/>
        <v>152.69349772866502</v>
      </c>
      <c r="R421" s="87">
        <f t="shared" si="203"/>
        <v>-669.92474460091421</v>
      </c>
      <c r="S421" s="6">
        <f t="shared" si="184"/>
        <v>-7.5593523820027384</v>
      </c>
      <c r="T421" s="83">
        <f t="shared" si="194"/>
        <v>0</v>
      </c>
      <c r="U421" s="91">
        <f t="shared" si="201"/>
        <v>127183.96618550936</v>
      </c>
      <c r="V421" s="91">
        <f t="shared" si="195"/>
        <v>619.07438650884728</v>
      </c>
      <c r="W421" s="1">
        <f t="shared" si="205"/>
        <v>0</v>
      </c>
      <c r="X421" s="1">
        <f t="shared" si="205"/>
        <v>0</v>
      </c>
      <c r="Y421" s="1">
        <f t="shared" si="205"/>
        <v>0</v>
      </c>
      <c r="Z421" s="1">
        <f t="shared" si="205"/>
        <v>0</v>
      </c>
      <c r="AA421" s="1">
        <f t="shared" si="205"/>
        <v>0</v>
      </c>
      <c r="AB421" s="1">
        <f t="shared" si="205"/>
        <v>0</v>
      </c>
      <c r="AC421" s="1">
        <f t="shared" si="205"/>
        <v>0</v>
      </c>
      <c r="AD421" s="1">
        <f t="shared" si="205"/>
        <v>0</v>
      </c>
      <c r="AE421" s="1">
        <f t="shared" si="205"/>
        <v>0</v>
      </c>
      <c r="AF421" s="1">
        <f t="shared" si="205"/>
        <v>1</v>
      </c>
      <c r="AG421" s="1">
        <f t="shared" si="205"/>
        <v>1</v>
      </c>
      <c r="AH421" s="1">
        <f t="shared" si="205"/>
        <v>1</v>
      </c>
      <c r="AI421" s="44">
        <f t="shared" si="196"/>
        <v>35976.514710278687</v>
      </c>
      <c r="AJ421" s="44">
        <f t="shared" si="186"/>
        <v>36646.439454879604</v>
      </c>
      <c r="AK421" s="44" t="str">
        <f t="shared" si="204"/>
        <v>N</v>
      </c>
      <c r="AL421" s="4">
        <f t="shared" si="187"/>
        <v>343</v>
      </c>
      <c r="AM421" s="82">
        <f t="shared" si="197"/>
        <v>0</v>
      </c>
      <c r="AN421" s="82">
        <f t="shared" si="188"/>
        <v>0</v>
      </c>
      <c r="AO421" s="48">
        <f>0</f>
        <v>0</v>
      </c>
      <c r="AP421" s="91">
        <f t="shared" si="198"/>
        <v>-669.92474460091421</v>
      </c>
      <c r="AQ421" s="91">
        <f t="shared" si="199"/>
        <v>-669.92474460091421</v>
      </c>
      <c r="AV421" s="84"/>
    </row>
    <row r="422" spans="1:48">
      <c r="A422" s="190">
        <f t="shared" si="189"/>
        <v>94.387577002053376</v>
      </c>
      <c r="B422" s="82">
        <f t="shared" si="190"/>
        <v>29</v>
      </c>
      <c r="C422" s="83">
        <f t="shared" si="191"/>
        <v>344</v>
      </c>
      <c r="D422" s="14">
        <f t="shared" si="177"/>
        <v>4.8675505653430484E-3</v>
      </c>
      <c r="E422" s="16">
        <f t="shared" si="178"/>
        <v>0</v>
      </c>
      <c r="F422" s="127"/>
      <c r="G422" s="88">
        <f t="shared" si="179"/>
        <v>0</v>
      </c>
      <c r="H422" s="89">
        <f t="shared" si="192"/>
        <v>4.1666666666666666E-3</v>
      </c>
      <c r="I422" s="219"/>
      <c r="J422" s="219"/>
      <c r="K422" s="6">
        <f t="shared" si="200"/>
        <v>35976.514710278687</v>
      </c>
      <c r="M422" s="6">
        <f t="shared" si="180"/>
        <v>175.11750451708951</v>
      </c>
      <c r="N422" s="6">
        <f t="shared" si="193"/>
        <v>-40.748557387920478</v>
      </c>
      <c r="O422" s="90">
        <f t="shared" si="181"/>
        <v>580.34140205797564</v>
      </c>
      <c r="P422" s="91">
        <f t="shared" si="182"/>
        <v>0</v>
      </c>
      <c r="Q422" s="6">
        <f t="shared" si="183"/>
        <v>150.46201523919939</v>
      </c>
      <c r="R422" s="87">
        <f t="shared" si="203"/>
        <v>-669.6250728669994</v>
      </c>
      <c r="S422" s="6">
        <f t="shared" si="184"/>
        <v>-7.4478892816743389</v>
      </c>
      <c r="T422" s="83">
        <f t="shared" si="194"/>
        <v>0</v>
      </c>
      <c r="U422" s="91">
        <f t="shared" si="201"/>
        <v>127133.11582741729</v>
      </c>
      <c r="V422" s="91">
        <f t="shared" si="195"/>
        <v>618.82686981956829</v>
      </c>
      <c r="W422" s="1">
        <f t="shared" si="205"/>
        <v>0</v>
      </c>
      <c r="X422" s="1">
        <f t="shared" si="205"/>
        <v>0</v>
      </c>
      <c r="Y422" s="1">
        <f t="shared" si="205"/>
        <v>0</v>
      </c>
      <c r="Z422" s="1">
        <f t="shared" si="205"/>
        <v>0</v>
      </c>
      <c r="AA422" s="1">
        <f t="shared" si="205"/>
        <v>0</v>
      </c>
      <c r="AB422" s="1">
        <f t="shared" si="205"/>
        <v>0</v>
      </c>
      <c r="AC422" s="1">
        <f t="shared" si="205"/>
        <v>0</v>
      </c>
      <c r="AD422" s="1">
        <f t="shared" si="205"/>
        <v>0</v>
      </c>
      <c r="AE422" s="1">
        <f t="shared" si="205"/>
        <v>0</v>
      </c>
      <c r="AF422" s="1">
        <f t="shared" si="205"/>
        <v>1</v>
      </c>
      <c r="AG422" s="1">
        <f t="shared" si="205"/>
        <v>1</v>
      </c>
      <c r="AH422" s="1">
        <f t="shared" si="205"/>
        <v>1</v>
      </c>
      <c r="AI422" s="44">
        <f t="shared" si="196"/>
        <v>35441.258584540854</v>
      </c>
      <c r="AJ422" s="44">
        <f t="shared" si="186"/>
        <v>36110.883657407852</v>
      </c>
      <c r="AK422" s="44" t="str">
        <f t="shared" si="204"/>
        <v>N</v>
      </c>
      <c r="AL422" s="4">
        <f t="shared" si="187"/>
        <v>344</v>
      </c>
      <c r="AM422" s="82">
        <f t="shared" si="197"/>
        <v>0</v>
      </c>
      <c r="AN422" s="82">
        <f t="shared" si="188"/>
        <v>0</v>
      </c>
      <c r="AO422" s="48">
        <f>0</f>
        <v>0</v>
      </c>
      <c r="AP422" s="91">
        <f t="shared" si="198"/>
        <v>-669.6250728669994</v>
      </c>
      <c r="AQ422" s="91">
        <f t="shared" si="199"/>
        <v>-669.6250728669994</v>
      </c>
      <c r="AV422" s="84"/>
    </row>
    <row r="423" spans="1:48">
      <c r="A423" s="190">
        <f t="shared" si="189"/>
        <v>94.470910335386719</v>
      </c>
      <c r="B423" s="82">
        <f t="shared" si="190"/>
        <v>29</v>
      </c>
      <c r="C423" s="83">
        <f t="shared" si="191"/>
        <v>345</v>
      </c>
      <c r="D423" s="14">
        <f t="shared" si="177"/>
        <v>4.8675505653430484E-3</v>
      </c>
      <c r="E423" s="16">
        <f t="shared" si="178"/>
        <v>0</v>
      </c>
      <c r="F423" s="127"/>
      <c r="G423" s="88">
        <f t="shared" si="179"/>
        <v>0</v>
      </c>
      <c r="H423" s="89">
        <f t="shared" si="192"/>
        <v>4.1666666666666666E-3</v>
      </c>
      <c r="I423" s="219"/>
      <c r="J423" s="219"/>
      <c r="K423" s="6">
        <f t="shared" si="200"/>
        <v>35441.258584540854</v>
      </c>
      <c r="M423" s="6">
        <f t="shared" si="180"/>
        <v>172.512118259651</v>
      </c>
      <c r="N423" s="6">
        <f t="shared" si="193"/>
        <v>-40.14230313754328</v>
      </c>
      <c r="O423" s="90">
        <f t="shared" si="181"/>
        <v>580.34140205797564</v>
      </c>
      <c r="P423" s="91">
        <f t="shared" si="182"/>
        <v>0</v>
      </c>
      <c r="Q423" s="6">
        <f t="shared" si="183"/>
        <v>148.22345166526233</v>
      </c>
      <c r="R423" s="87">
        <f t="shared" si="203"/>
        <v>-669.32553518269015</v>
      </c>
      <c r="S423" s="6">
        <f t="shared" si="184"/>
        <v>-7.336072366282135</v>
      </c>
      <c r="T423" s="83">
        <f t="shared" si="194"/>
        <v>0</v>
      </c>
      <c r="U423" s="91">
        <f t="shared" si="201"/>
        <v>127082.31762436987</v>
      </c>
      <c r="V423" s="91">
        <f t="shared" si="195"/>
        <v>618.57960699760645</v>
      </c>
      <c r="W423" s="1">
        <f t="shared" si="205"/>
        <v>0</v>
      </c>
      <c r="X423" s="1">
        <f t="shared" si="205"/>
        <v>0</v>
      </c>
      <c r="Y423" s="1">
        <f t="shared" si="205"/>
        <v>0</v>
      </c>
      <c r="Z423" s="1">
        <f t="shared" si="205"/>
        <v>0</v>
      </c>
      <c r="AA423" s="1">
        <f t="shared" si="205"/>
        <v>0</v>
      </c>
      <c r="AB423" s="1">
        <f t="shared" si="205"/>
        <v>0</v>
      </c>
      <c r="AC423" s="1">
        <f t="shared" si="205"/>
        <v>0</v>
      </c>
      <c r="AD423" s="1">
        <f t="shared" si="205"/>
        <v>0</v>
      </c>
      <c r="AE423" s="1">
        <f t="shared" si="205"/>
        <v>0</v>
      </c>
      <c r="AF423" s="1">
        <f t="shared" si="205"/>
        <v>1</v>
      </c>
      <c r="AG423" s="1">
        <f t="shared" si="205"/>
        <v>1</v>
      </c>
      <c r="AH423" s="1">
        <f t="shared" si="205"/>
        <v>1</v>
      </c>
      <c r="AI423" s="44">
        <f t="shared" si="196"/>
        <v>34904.302864480269</v>
      </c>
      <c r="AJ423" s="44">
        <f t="shared" si="186"/>
        <v>35573.628399662957</v>
      </c>
      <c r="AK423" s="44" t="str">
        <f t="shared" si="204"/>
        <v>N</v>
      </c>
      <c r="AL423" s="4">
        <f t="shared" si="187"/>
        <v>345</v>
      </c>
      <c r="AM423" s="82">
        <f t="shared" si="197"/>
        <v>0</v>
      </c>
      <c r="AN423" s="82">
        <f t="shared" si="188"/>
        <v>0</v>
      </c>
      <c r="AO423" s="48">
        <f>0</f>
        <v>0</v>
      </c>
      <c r="AP423" s="91">
        <f t="shared" si="198"/>
        <v>-669.32553518269015</v>
      </c>
      <c r="AQ423" s="91">
        <f t="shared" si="199"/>
        <v>-669.32553518269015</v>
      </c>
      <c r="AV423" s="84"/>
    </row>
    <row r="424" spans="1:48">
      <c r="A424" s="190">
        <f t="shared" si="189"/>
        <v>94.554243668720048</v>
      </c>
      <c r="B424" s="82">
        <f t="shared" si="190"/>
        <v>29</v>
      </c>
      <c r="C424" s="83">
        <f t="shared" si="191"/>
        <v>346</v>
      </c>
      <c r="D424" s="14">
        <f t="shared" si="177"/>
        <v>4.8675505653430484E-3</v>
      </c>
      <c r="E424" s="16">
        <f t="shared" si="178"/>
        <v>0</v>
      </c>
      <c r="F424" s="127"/>
      <c r="G424" s="88">
        <f t="shared" si="179"/>
        <v>0</v>
      </c>
      <c r="H424" s="89">
        <f t="shared" si="192"/>
        <v>4.1666666666666666E-3</v>
      </c>
      <c r="I424" s="219"/>
      <c r="J424" s="219"/>
      <c r="K424" s="6">
        <f t="shared" si="200"/>
        <v>34904.302864480269</v>
      </c>
      <c r="M424" s="6">
        <f t="shared" si="180"/>
        <v>169.89845914090591</v>
      </c>
      <c r="N424" s="6">
        <f t="shared" si="193"/>
        <v>-39.534123853088872</v>
      </c>
      <c r="O424" s="90">
        <f t="shared" si="181"/>
        <v>580.34140205797564</v>
      </c>
      <c r="P424" s="91">
        <f t="shared" si="182"/>
        <v>0</v>
      </c>
      <c r="Q424" s="6">
        <f t="shared" si="183"/>
        <v>145.97777999903369</v>
      </c>
      <c r="R424" s="87">
        <f t="shared" si="203"/>
        <v>-669.02613148802368</v>
      </c>
      <c r="S424" s="6">
        <f t="shared" si="184"/>
        <v>-7.2239002864068746</v>
      </c>
      <c r="T424" s="83">
        <f t="shared" si="194"/>
        <v>0</v>
      </c>
      <c r="U424" s="91">
        <f t="shared" si="201"/>
        <v>127031.57169618478</v>
      </c>
      <c r="V424" s="91">
        <f t="shared" si="195"/>
        <v>618.33259862618024</v>
      </c>
      <c r="W424" s="1">
        <f t="shared" si="205"/>
        <v>0</v>
      </c>
      <c r="X424" s="1">
        <f t="shared" si="205"/>
        <v>0</v>
      </c>
      <c r="Y424" s="1">
        <f t="shared" si="205"/>
        <v>0</v>
      </c>
      <c r="Z424" s="1">
        <f t="shared" si="205"/>
        <v>0</v>
      </c>
      <c r="AA424" s="1">
        <f t="shared" si="205"/>
        <v>0</v>
      </c>
      <c r="AB424" s="1">
        <f t="shared" si="205"/>
        <v>0</v>
      </c>
      <c r="AC424" s="1">
        <f t="shared" si="205"/>
        <v>0</v>
      </c>
      <c r="AD424" s="1">
        <f t="shared" si="205"/>
        <v>0</v>
      </c>
      <c r="AE424" s="1">
        <f t="shared" si="205"/>
        <v>0</v>
      </c>
      <c r="AF424" s="1">
        <f t="shared" si="205"/>
        <v>1</v>
      </c>
      <c r="AG424" s="1">
        <f t="shared" si="205"/>
        <v>1</v>
      </c>
      <c r="AH424" s="1">
        <f t="shared" si="205"/>
        <v>1</v>
      </c>
      <c r="AI424" s="44">
        <f t="shared" si="196"/>
        <v>34365.641068280056</v>
      </c>
      <c r="AJ424" s="44">
        <f t="shared" si="186"/>
        <v>35034.667199768082</v>
      </c>
      <c r="AK424" s="44" t="str">
        <f t="shared" si="204"/>
        <v>N</v>
      </c>
      <c r="AL424" s="4">
        <f t="shared" si="187"/>
        <v>346</v>
      </c>
      <c r="AM424" s="82">
        <f t="shared" si="197"/>
        <v>0</v>
      </c>
      <c r="AN424" s="82">
        <f t="shared" si="188"/>
        <v>0</v>
      </c>
      <c r="AO424" s="48">
        <f>0</f>
        <v>0</v>
      </c>
      <c r="AP424" s="91">
        <f t="shared" si="198"/>
        <v>-669.02613148802368</v>
      </c>
      <c r="AQ424" s="91">
        <f t="shared" si="199"/>
        <v>-669.02613148802368</v>
      </c>
      <c r="AV424" s="84"/>
    </row>
    <row r="425" spans="1:48">
      <c r="A425" s="190">
        <f t="shared" si="189"/>
        <v>94.637577002053376</v>
      </c>
      <c r="B425" s="82">
        <f t="shared" si="190"/>
        <v>29</v>
      </c>
      <c r="C425" s="83">
        <f t="shared" si="191"/>
        <v>347</v>
      </c>
      <c r="D425" s="14">
        <f t="shared" si="177"/>
        <v>4.8675505653430484E-3</v>
      </c>
      <c r="E425" s="16">
        <f t="shared" si="178"/>
        <v>0</v>
      </c>
      <c r="F425" s="127"/>
      <c r="G425" s="88">
        <f t="shared" si="179"/>
        <v>0</v>
      </c>
      <c r="H425" s="89">
        <f t="shared" si="192"/>
        <v>4.1666666666666666E-3</v>
      </c>
      <c r="I425" s="219"/>
      <c r="J425" s="219"/>
      <c r="K425" s="6">
        <f t="shared" si="200"/>
        <v>34365.641068280056</v>
      </c>
      <c r="M425" s="6">
        <f t="shared" si="180"/>
        <v>167.27649561028286</v>
      </c>
      <c r="N425" s="6">
        <f t="shared" si="193"/>
        <v>-38.924012192970956</v>
      </c>
      <c r="O425" s="90">
        <f t="shared" si="181"/>
        <v>580.34140205797564</v>
      </c>
      <c r="P425" s="91">
        <f t="shared" si="182"/>
        <v>0</v>
      </c>
      <c r="Q425" s="6">
        <f t="shared" si="183"/>
        <v>143.72497313207236</v>
      </c>
      <c r="R425" s="87">
        <f t="shared" si="203"/>
        <v>-668.72686172306373</v>
      </c>
      <c r="S425" s="6">
        <f t="shared" si="184"/>
        <v>-7.1113716876018342</v>
      </c>
      <c r="T425" s="83">
        <f t="shared" si="194"/>
        <v>0</v>
      </c>
      <c r="U425" s="91">
        <f t="shared" si="201"/>
        <v>126980.87816332294</v>
      </c>
      <c r="V425" s="91">
        <f t="shared" si="195"/>
        <v>618.08584529163932</v>
      </c>
      <c r="W425" s="1">
        <f t="shared" si="205"/>
        <v>0</v>
      </c>
      <c r="X425" s="1">
        <f t="shared" si="205"/>
        <v>0</v>
      </c>
      <c r="Y425" s="1">
        <f t="shared" si="205"/>
        <v>0</v>
      </c>
      <c r="Z425" s="1">
        <f t="shared" si="205"/>
        <v>0</v>
      </c>
      <c r="AA425" s="1">
        <f t="shared" si="205"/>
        <v>0</v>
      </c>
      <c r="AB425" s="1">
        <f t="shared" si="205"/>
        <v>0</v>
      </c>
      <c r="AC425" s="1">
        <f t="shared" si="205"/>
        <v>0</v>
      </c>
      <c r="AD425" s="1">
        <f t="shared" si="205"/>
        <v>0</v>
      </c>
      <c r="AE425" s="1">
        <f t="shared" si="205"/>
        <v>0</v>
      </c>
      <c r="AF425" s="1">
        <f t="shared" si="205"/>
        <v>1</v>
      </c>
      <c r="AG425" s="1">
        <f t="shared" si="205"/>
        <v>1</v>
      </c>
      <c r="AH425" s="1">
        <f t="shared" si="205"/>
        <v>1</v>
      </c>
      <c r="AI425" s="44">
        <f t="shared" si="196"/>
        <v>33825.266689974305</v>
      </c>
      <c r="AJ425" s="44">
        <f t="shared" si="186"/>
        <v>34493.993551697371</v>
      </c>
      <c r="AK425" s="44" t="str">
        <f t="shared" si="204"/>
        <v>N</v>
      </c>
      <c r="AL425" s="4">
        <f t="shared" si="187"/>
        <v>347</v>
      </c>
      <c r="AM425" s="82">
        <f t="shared" si="197"/>
        <v>0</v>
      </c>
      <c r="AN425" s="82">
        <f t="shared" si="188"/>
        <v>0</v>
      </c>
      <c r="AO425" s="48">
        <f>0</f>
        <v>0</v>
      </c>
      <c r="AP425" s="91">
        <f t="shared" si="198"/>
        <v>-668.72686172306373</v>
      </c>
      <c r="AQ425" s="91">
        <f t="shared" si="199"/>
        <v>-668.72686172306373</v>
      </c>
      <c r="AV425" s="84"/>
    </row>
    <row r="426" spans="1:48">
      <c r="A426" s="190">
        <f t="shared" si="189"/>
        <v>94.720910335386719</v>
      </c>
      <c r="B426" s="82">
        <f t="shared" si="190"/>
        <v>29</v>
      </c>
      <c r="C426" s="83">
        <f t="shared" si="191"/>
        <v>348</v>
      </c>
      <c r="D426" s="14">
        <f t="shared" si="177"/>
        <v>4.8675505653430484E-3</v>
      </c>
      <c r="E426" s="16">
        <f t="shared" si="178"/>
        <v>0</v>
      </c>
      <c r="F426" s="127"/>
      <c r="G426" s="88">
        <f t="shared" si="179"/>
        <v>0</v>
      </c>
      <c r="H426" s="89">
        <f t="shared" si="192"/>
        <v>4.1666666666666666E-3</v>
      </c>
      <c r="I426" s="219"/>
      <c r="J426" s="219"/>
      <c r="K426" s="6">
        <f t="shared" si="200"/>
        <v>33825.266689974305</v>
      </c>
      <c r="M426" s="6">
        <f t="shared" si="180"/>
        <v>164.6461959996638</v>
      </c>
      <c r="N426" s="6">
        <f t="shared" si="193"/>
        <v>-38.311960788251014</v>
      </c>
      <c r="O426" s="90">
        <f t="shared" si="181"/>
        <v>580.34140205797564</v>
      </c>
      <c r="P426" s="91">
        <f t="shared" si="182"/>
        <v>0</v>
      </c>
      <c r="Q426" s="6">
        <f t="shared" si="183"/>
        <v>141.46500385494048</v>
      </c>
      <c r="R426" s="87">
        <f t="shared" si="203"/>
        <v>-668.42772582790019</v>
      </c>
      <c r="S426" s="6">
        <f t="shared" si="184"/>
        <v>-6.9984852103740769</v>
      </c>
      <c r="T426" s="83">
        <f t="shared" si="194"/>
        <v>0</v>
      </c>
      <c r="U426" s="91">
        <f t="shared" si="201"/>
        <v>126930.23714689152</v>
      </c>
      <c r="V426" s="91">
        <f t="shared" si="195"/>
        <v>617.83934758347903</v>
      </c>
      <c r="W426" s="1">
        <f t="shared" si="205"/>
        <v>0</v>
      </c>
      <c r="X426" s="1">
        <f t="shared" si="205"/>
        <v>0</v>
      </c>
      <c r="Y426" s="1">
        <f t="shared" si="205"/>
        <v>0</v>
      </c>
      <c r="Z426" s="1">
        <f t="shared" si="205"/>
        <v>0</v>
      </c>
      <c r="AA426" s="1">
        <f t="shared" si="205"/>
        <v>0</v>
      </c>
      <c r="AB426" s="1">
        <f t="shared" si="205"/>
        <v>0</v>
      </c>
      <c r="AC426" s="1">
        <f t="shared" si="205"/>
        <v>0</v>
      </c>
      <c r="AD426" s="1">
        <f t="shared" si="205"/>
        <v>0</v>
      </c>
      <c r="AE426" s="1">
        <f t="shared" si="205"/>
        <v>0</v>
      </c>
      <c r="AF426" s="1">
        <f t="shared" si="205"/>
        <v>1</v>
      </c>
      <c r="AG426" s="1">
        <f t="shared" si="205"/>
        <v>1</v>
      </c>
      <c r="AH426" s="1">
        <f t="shared" si="205"/>
        <v>1</v>
      </c>
      <c r="AI426" s="44">
        <f t="shared" si="196"/>
        <v>33283.173199357814</v>
      </c>
      <c r="AJ426" s="44">
        <f t="shared" si="186"/>
        <v>33951.600925185718</v>
      </c>
      <c r="AK426" s="44" t="str">
        <f t="shared" si="204"/>
        <v>N</v>
      </c>
      <c r="AL426" s="4">
        <f t="shared" si="187"/>
        <v>348</v>
      </c>
      <c r="AM426" s="82">
        <f t="shared" si="197"/>
        <v>0</v>
      </c>
      <c r="AN426" s="82">
        <f t="shared" si="188"/>
        <v>0</v>
      </c>
      <c r="AO426" s="48">
        <f>0</f>
        <v>0</v>
      </c>
      <c r="AP426" s="91">
        <f t="shared" si="198"/>
        <v>-668.42772582790019</v>
      </c>
      <c r="AQ426" s="91">
        <f t="shared" si="199"/>
        <v>-668.42772582790019</v>
      </c>
      <c r="AV426" s="84"/>
    </row>
    <row r="427" spans="1:48">
      <c r="A427" s="190">
        <f t="shared" si="189"/>
        <v>94.804243668720048</v>
      </c>
      <c r="B427" s="82">
        <f t="shared" si="190"/>
        <v>30</v>
      </c>
      <c r="C427" s="83">
        <f t="shared" si="191"/>
        <v>349</v>
      </c>
      <c r="D427" s="14">
        <f t="shared" si="177"/>
        <v>4.8675505653430484E-3</v>
      </c>
      <c r="E427" s="16">
        <f t="shared" si="178"/>
        <v>0</v>
      </c>
      <c r="F427" s="127"/>
      <c r="G427" s="88">
        <f t="shared" si="179"/>
        <v>0</v>
      </c>
      <c r="H427" s="89">
        <f t="shared" si="192"/>
        <v>4.1666666666666666E-3</v>
      </c>
      <c r="I427" s="219"/>
      <c r="J427" s="219"/>
      <c r="K427" s="6">
        <f t="shared" si="200"/>
        <v>33283.173199357814</v>
      </c>
      <c r="M427" s="6">
        <f t="shared" si="180"/>
        <v>162.00752852294474</v>
      </c>
      <c r="N427" s="6">
        <f t="shared" si="193"/>
        <v>-37.697962242536043</v>
      </c>
      <c r="O427" s="90">
        <f t="shared" si="181"/>
        <v>591.948230099135</v>
      </c>
      <c r="P427" s="91">
        <f t="shared" si="182"/>
        <v>0</v>
      </c>
      <c r="Q427" s="6">
        <f t="shared" si="183"/>
        <v>139.19784485682595</v>
      </c>
      <c r="R427" s="87">
        <f t="shared" si="203"/>
        <v>-668.12872374265089</v>
      </c>
      <c r="S427" s="6">
        <f t="shared" si="184"/>
        <v>-6.8852394901655627</v>
      </c>
      <c r="T427" s="83">
        <f t="shared" si="194"/>
        <v>0</v>
      </c>
      <c r="U427" s="91">
        <f t="shared" si="201"/>
        <v>126879.64876864709</v>
      </c>
      <c r="V427" s="91">
        <f t="shared" si="195"/>
        <v>617.59310609435556</v>
      </c>
      <c r="W427" s="1">
        <f t="shared" si="205"/>
        <v>0</v>
      </c>
      <c r="X427" s="1">
        <f t="shared" si="205"/>
        <v>0</v>
      </c>
      <c r="Y427" s="1">
        <f t="shared" si="205"/>
        <v>0</v>
      </c>
      <c r="Z427" s="1">
        <f t="shared" si="205"/>
        <v>0</v>
      </c>
      <c r="AA427" s="1">
        <f t="shared" si="205"/>
        <v>0</v>
      </c>
      <c r="AB427" s="1">
        <f t="shared" si="205"/>
        <v>0</v>
      </c>
      <c r="AC427" s="1">
        <f t="shared" si="205"/>
        <v>0</v>
      </c>
      <c r="AD427" s="1">
        <f t="shared" si="205"/>
        <v>0</v>
      </c>
      <c r="AE427" s="1">
        <f t="shared" si="205"/>
        <v>0</v>
      </c>
      <c r="AF427" s="1">
        <f t="shared" si="205"/>
        <v>1</v>
      </c>
      <c r="AG427" s="1">
        <f t="shared" si="205"/>
        <v>1</v>
      </c>
      <c r="AH427" s="1">
        <f t="shared" si="205"/>
        <v>1</v>
      </c>
      <c r="AI427" s="44">
        <f t="shared" si="196"/>
        <v>32739.354041895574</v>
      </c>
      <c r="AJ427" s="44">
        <f t="shared" si="186"/>
        <v>33407.482765638226</v>
      </c>
      <c r="AK427" s="44" t="str">
        <f t="shared" si="204"/>
        <v>N</v>
      </c>
      <c r="AL427" s="4">
        <f t="shared" si="187"/>
        <v>349</v>
      </c>
      <c r="AM427" s="82">
        <f t="shared" si="197"/>
        <v>0</v>
      </c>
      <c r="AN427" s="82">
        <f t="shared" si="188"/>
        <v>0</v>
      </c>
      <c r="AO427" s="48">
        <f>0</f>
        <v>0</v>
      </c>
      <c r="AP427" s="91">
        <f t="shared" si="198"/>
        <v>-668.12872374265089</v>
      </c>
      <c r="AQ427" s="91">
        <f t="shared" si="199"/>
        <v>-668.12872374265089</v>
      </c>
      <c r="AV427" s="84"/>
    </row>
    <row r="428" spans="1:48">
      <c r="A428" s="190">
        <f t="shared" si="189"/>
        <v>94.887577002053376</v>
      </c>
      <c r="B428" s="82">
        <f t="shared" si="190"/>
        <v>30</v>
      </c>
      <c r="C428" s="83">
        <f t="shared" si="191"/>
        <v>350</v>
      </c>
      <c r="D428" s="14">
        <f t="shared" si="177"/>
        <v>4.8675505653430484E-3</v>
      </c>
      <c r="E428" s="16">
        <f t="shared" si="178"/>
        <v>0</v>
      </c>
      <c r="F428" s="127"/>
      <c r="G428" s="88">
        <f t="shared" si="179"/>
        <v>0</v>
      </c>
      <c r="H428" s="89">
        <f t="shared" si="192"/>
        <v>4.1666666666666666E-3</v>
      </c>
      <c r="I428" s="219"/>
      <c r="J428" s="219"/>
      <c r="K428" s="6">
        <f t="shared" si="200"/>
        <v>32739.354041895574</v>
      </c>
      <c r="M428" s="6">
        <f t="shared" si="180"/>
        <v>159.36046127559501</v>
      </c>
      <c r="N428" s="6">
        <f t="shared" si="193"/>
        <v>-37.082009131876063</v>
      </c>
      <c r="O428" s="90">
        <f t="shared" si="181"/>
        <v>591.948230099135</v>
      </c>
      <c r="P428" s="91">
        <f t="shared" si="182"/>
        <v>0</v>
      </c>
      <c r="Q428" s="6">
        <f t="shared" si="183"/>
        <v>136.92346872516373</v>
      </c>
      <c r="R428" s="87">
        <f t="shared" si="203"/>
        <v>-667.82985540745926</v>
      </c>
      <c r="S428" s="6">
        <f t="shared" si="184"/>
        <v>-6.7716331573342492</v>
      </c>
      <c r="T428" s="83">
        <f t="shared" si="194"/>
        <v>0</v>
      </c>
      <c r="U428" s="91">
        <f t="shared" si="201"/>
        <v>126829.1131509988</v>
      </c>
      <c r="V428" s="91">
        <f t="shared" si="195"/>
        <v>617.34712142010164</v>
      </c>
      <c r="W428" s="1">
        <f t="shared" si="205"/>
        <v>0</v>
      </c>
      <c r="X428" s="1">
        <f t="shared" si="205"/>
        <v>0</v>
      </c>
      <c r="Y428" s="1">
        <f t="shared" si="205"/>
        <v>0</v>
      </c>
      <c r="Z428" s="1">
        <f t="shared" si="205"/>
        <v>0</v>
      </c>
      <c r="AA428" s="1">
        <f t="shared" si="205"/>
        <v>0</v>
      </c>
      <c r="AB428" s="1">
        <f t="shared" si="205"/>
        <v>0</v>
      </c>
      <c r="AC428" s="1">
        <f t="shared" si="205"/>
        <v>0</v>
      </c>
      <c r="AD428" s="1">
        <f t="shared" si="205"/>
        <v>0</v>
      </c>
      <c r="AE428" s="1">
        <f t="shared" si="205"/>
        <v>0</v>
      </c>
      <c r="AF428" s="1">
        <f t="shared" si="205"/>
        <v>1</v>
      </c>
      <c r="AG428" s="1">
        <f t="shared" si="205"/>
        <v>1</v>
      </c>
      <c r="AH428" s="1">
        <f t="shared" si="205"/>
        <v>1</v>
      </c>
      <c r="AI428" s="44">
        <f t="shared" si="196"/>
        <v>32193.802638631834</v>
      </c>
      <c r="AJ428" s="44">
        <f t="shared" si="186"/>
        <v>32861.632494039295</v>
      </c>
      <c r="AK428" s="44" t="str">
        <f t="shared" si="204"/>
        <v>N</v>
      </c>
      <c r="AL428" s="4">
        <f t="shared" si="187"/>
        <v>350</v>
      </c>
      <c r="AM428" s="82">
        <f t="shared" si="197"/>
        <v>0</v>
      </c>
      <c r="AN428" s="82">
        <f t="shared" si="188"/>
        <v>0</v>
      </c>
      <c r="AO428" s="48">
        <f>0</f>
        <v>0</v>
      </c>
      <c r="AP428" s="91">
        <f t="shared" si="198"/>
        <v>-667.82985540745926</v>
      </c>
      <c r="AQ428" s="91">
        <f t="shared" si="199"/>
        <v>-667.82985540745926</v>
      </c>
      <c r="AV428" s="84"/>
    </row>
    <row r="429" spans="1:48">
      <c r="A429" s="190">
        <f t="shared" si="189"/>
        <v>94.970910335386719</v>
      </c>
      <c r="B429" s="82">
        <f t="shared" si="190"/>
        <v>30</v>
      </c>
      <c r="C429" s="83">
        <f t="shared" si="191"/>
        <v>351</v>
      </c>
      <c r="D429" s="14">
        <f t="shared" si="177"/>
        <v>4.8675505653430484E-3</v>
      </c>
      <c r="E429" s="16">
        <f t="shared" si="178"/>
        <v>0</v>
      </c>
      <c r="F429" s="127"/>
      <c r="G429" s="88">
        <f t="shared" si="179"/>
        <v>0</v>
      </c>
      <c r="H429" s="89">
        <f t="shared" si="192"/>
        <v>4.1666666666666666E-3</v>
      </c>
      <c r="I429" s="219"/>
      <c r="J429" s="219"/>
      <c r="K429" s="6">
        <f t="shared" si="200"/>
        <v>32193.802638631834</v>
      </c>
      <c r="M429" s="6">
        <f t="shared" si="180"/>
        <v>156.70496223421492</v>
      </c>
      <c r="N429" s="6">
        <f t="shared" si="193"/>
        <v>-36.464094004661099</v>
      </c>
      <c r="O429" s="90">
        <f t="shared" si="181"/>
        <v>591.948230099135</v>
      </c>
      <c r="P429" s="91">
        <f t="shared" si="182"/>
        <v>0</v>
      </c>
      <c r="Q429" s="6">
        <f t="shared" si="183"/>
        <v>134.64184794525579</v>
      </c>
      <c r="R429" s="87">
        <f t="shared" si="203"/>
        <v>-667.53112076249613</v>
      </c>
      <c r="S429" s="6">
        <f t="shared" si="184"/>
        <v>-6.6576648371350853</v>
      </c>
      <c r="T429" s="83">
        <f t="shared" si="194"/>
        <v>0</v>
      </c>
      <c r="U429" s="91">
        <f t="shared" si="201"/>
        <v>126778.63041701145</v>
      </c>
      <c r="V429" s="91">
        <f t="shared" si="195"/>
        <v>617.1013941597414</v>
      </c>
      <c r="W429" s="1">
        <f t="shared" ref="W429:AH438" si="206">IF($B429&lt;=W$78,1,0)</f>
        <v>0</v>
      </c>
      <c r="X429" s="1">
        <f t="shared" si="206"/>
        <v>0</v>
      </c>
      <c r="Y429" s="1">
        <f t="shared" si="206"/>
        <v>0</v>
      </c>
      <c r="Z429" s="1">
        <f t="shared" si="206"/>
        <v>0</v>
      </c>
      <c r="AA429" s="1">
        <f t="shared" si="206"/>
        <v>0</v>
      </c>
      <c r="AB429" s="1">
        <f t="shared" si="206"/>
        <v>0</v>
      </c>
      <c r="AC429" s="1">
        <f t="shared" si="206"/>
        <v>0</v>
      </c>
      <c r="AD429" s="1">
        <f t="shared" si="206"/>
        <v>0</v>
      </c>
      <c r="AE429" s="1">
        <f t="shared" si="206"/>
        <v>0</v>
      </c>
      <c r="AF429" s="1">
        <f t="shared" si="206"/>
        <v>1</v>
      </c>
      <c r="AG429" s="1">
        <f t="shared" si="206"/>
        <v>1</v>
      </c>
      <c r="AH429" s="1">
        <f t="shared" si="206"/>
        <v>1</v>
      </c>
      <c r="AI429" s="44">
        <f t="shared" si="196"/>
        <v>31646.512386098893</v>
      </c>
      <c r="AJ429" s="44">
        <f t="shared" si="186"/>
        <v>32314.043506861388</v>
      </c>
      <c r="AK429" s="44" t="str">
        <f t="shared" si="204"/>
        <v>N</v>
      </c>
      <c r="AL429" s="4">
        <f t="shared" si="187"/>
        <v>351</v>
      </c>
      <c r="AM429" s="82">
        <f t="shared" si="197"/>
        <v>0</v>
      </c>
      <c r="AN429" s="82">
        <f t="shared" si="188"/>
        <v>0</v>
      </c>
      <c r="AO429" s="48">
        <f>0</f>
        <v>0</v>
      </c>
      <c r="AP429" s="91">
        <f t="shared" si="198"/>
        <v>-667.53112076249613</v>
      </c>
      <c r="AQ429" s="91">
        <f t="shared" si="199"/>
        <v>-667.53112076249613</v>
      </c>
      <c r="AV429" s="84"/>
    </row>
    <row r="430" spans="1:48">
      <c r="A430" s="190">
        <f t="shared" si="189"/>
        <v>95.054243668720048</v>
      </c>
      <c r="B430" s="82">
        <f t="shared" si="190"/>
        <v>30</v>
      </c>
      <c r="C430" s="83">
        <f t="shared" si="191"/>
        <v>352</v>
      </c>
      <c r="D430" s="14">
        <f t="shared" si="177"/>
        <v>4.8675505653430484E-3</v>
      </c>
      <c r="E430" s="16">
        <f t="shared" si="178"/>
        <v>0</v>
      </c>
      <c r="F430" s="127"/>
      <c r="G430" s="88">
        <f t="shared" si="179"/>
        <v>0</v>
      </c>
      <c r="H430" s="89">
        <f t="shared" si="192"/>
        <v>4.1666666666666666E-3</v>
      </c>
      <c r="I430" s="219"/>
      <c r="J430" s="219"/>
      <c r="K430" s="6">
        <f t="shared" si="200"/>
        <v>31646.512386098893</v>
      </c>
      <c r="M430" s="6">
        <f t="shared" si="180"/>
        <v>154.04099925609145</v>
      </c>
      <c r="N430" s="6">
        <f t="shared" si="193"/>
        <v>-35.844209381517864</v>
      </c>
      <c r="O430" s="90">
        <f t="shared" si="181"/>
        <v>591.948230099135</v>
      </c>
      <c r="P430" s="91">
        <f t="shared" si="182"/>
        <v>0</v>
      </c>
      <c r="Q430" s="6">
        <f t="shared" si="183"/>
        <v>132.35295489988945</v>
      </c>
      <c r="R430" s="87">
        <f t="shared" si="203"/>
        <v>-684.24105599433847</v>
      </c>
      <c r="S430" s="6">
        <f t="shared" si="184"/>
        <v>-6.5415593938281171</v>
      </c>
      <c r="T430" s="83">
        <f t="shared" si="194"/>
        <v>0</v>
      </c>
      <c r="U430" s="91">
        <f t="shared" si="201"/>
        <v>126728.2006904087</v>
      </c>
      <c r="V430" s="91">
        <f t="shared" si="195"/>
        <v>616.85592491550619</v>
      </c>
      <c r="W430" s="1">
        <f t="shared" si="206"/>
        <v>0</v>
      </c>
      <c r="X430" s="1">
        <f t="shared" si="206"/>
        <v>0</v>
      </c>
      <c r="Y430" s="1">
        <f t="shared" si="206"/>
        <v>0</v>
      </c>
      <c r="Z430" s="1">
        <f t="shared" si="206"/>
        <v>0</v>
      </c>
      <c r="AA430" s="1">
        <f t="shared" si="206"/>
        <v>0</v>
      </c>
      <c r="AB430" s="1">
        <f t="shared" si="206"/>
        <v>0</v>
      </c>
      <c r="AC430" s="1">
        <f t="shared" si="206"/>
        <v>0</v>
      </c>
      <c r="AD430" s="1">
        <f t="shared" si="206"/>
        <v>0</v>
      </c>
      <c r="AE430" s="1">
        <f t="shared" si="206"/>
        <v>0</v>
      </c>
      <c r="AF430" s="1">
        <f t="shared" si="206"/>
        <v>1</v>
      </c>
      <c r="AG430" s="1">
        <f t="shared" si="206"/>
        <v>1</v>
      </c>
      <c r="AH430" s="1">
        <f t="shared" si="206"/>
        <v>1</v>
      </c>
      <c r="AI430" s="44">
        <f t="shared" si="196"/>
        <v>31080.46811997913</v>
      </c>
      <c r="AJ430" s="44">
        <f t="shared" si="186"/>
        <v>31764.709175973469</v>
      </c>
      <c r="AK430" s="44" t="str">
        <f t="shared" si="204"/>
        <v>N</v>
      </c>
      <c r="AL430" s="4">
        <f t="shared" si="187"/>
        <v>352</v>
      </c>
      <c r="AM430" s="82">
        <f t="shared" si="197"/>
        <v>0</v>
      </c>
      <c r="AN430" s="82">
        <f t="shared" si="188"/>
        <v>0</v>
      </c>
      <c r="AO430" s="48">
        <f>0</f>
        <v>0</v>
      </c>
      <c r="AP430" s="91">
        <f t="shared" si="198"/>
        <v>-684.24105599433847</v>
      </c>
      <c r="AQ430" s="91">
        <f t="shared" si="199"/>
        <v>-684.24105599433847</v>
      </c>
      <c r="AV430" s="84"/>
    </row>
    <row r="431" spans="1:48">
      <c r="A431" s="190">
        <f t="shared" si="189"/>
        <v>95.137577002053376</v>
      </c>
      <c r="B431" s="82">
        <f t="shared" si="190"/>
        <v>30</v>
      </c>
      <c r="C431" s="83">
        <f t="shared" si="191"/>
        <v>353</v>
      </c>
      <c r="D431" s="14">
        <f t="shared" si="177"/>
        <v>4.8675505653430484E-3</v>
      </c>
      <c r="E431" s="16">
        <f t="shared" si="178"/>
        <v>0</v>
      </c>
      <c r="F431" s="127"/>
      <c r="G431" s="88">
        <f t="shared" si="179"/>
        <v>0</v>
      </c>
      <c r="H431" s="89">
        <f t="shared" si="192"/>
        <v>4.1666666666666666E-3</v>
      </c>
      <c r="I431" s="219"/>
      <c r="J431" s="219"/>
      <c r="K431" s="6">
        <f t="shared" si="200"/>
        <v>31080.46811997913</v>
      </c>
      <c r="M431" s="6">
        <f t="shared" si="180"/>
        <v>151.285750168531</v>
      </c>
      <c r="N431" s="6">
        <f t="shared" si="193"/>
        <v>-35.203083151035777</v>
      </c>
      <c r="O431" s="90">
        <f t="shared" si="181"/>
        <v>591.948230099135</v>
      </c>
      <c r="P431" s="91">
        <f t="shared" si="182"/>
        <v>0</v>
      </c>
      <c r="Q431" s="6">
        <f t="shared" si="183"/>
        <v>129.98562827915262</v>
      </c>
      <c r="R431" s="87">
        <f t="shared" si="203"/>
        <v>-683.93498026670159</v>
      </c>
      <c r="S431" s="6">
        <f t="shared" si="184"/>
        <v>-6.4233096110303958</v>
      </c>
      <c r="T431" s="83">
        <f t="shared" si="194"/>
        <v>0</v>
      </c>
      <c r="U431" s="91">
        <f t="shared" si="201"/>
        <v>126660.81555932987</v>
      </c>
      <c r="V431" s="91">
        <f t="shared" si="195"/>
        <v>616.5279243826277</v>
      </c>
      <c r="W431" s="1">
        <f t="shared" si="206"/>
        <v>0</v>
      </c>
      <c r="X431" s="1">
        <f t="shared" si="206"/>
        <v>0</v>
      </c>
      <c r="Y431" s="1">
        <f t="shared" si="206"/>
        <v>0</v>
      </c>
      <c r="Z431" s="1">
        <f t="shared" si="206"/>
        <v>0</v>
      </c>
      <c r="AA431" s="1">
        <f t="shared" si="206"/>
        <v>0</v>
      </c>
      <c r="AB431" s="1">
        <f t="shared" si="206"/>
        <v>0</v>
      </c>
      <c r="AC431" s="1">
        <f t="shared" si="206"/>
        <v>0</v>
      </c>
      <c r="AD431" s="1">
        <f t="shared" si="206"/>
        <v>0</v>
      </c>
      <c r="AE431" s="1">
        <f t="shared" si="206"/>
        <v>0</v>
      </c>
      <c r="AF431" s="1">
        <f t="shared" si="206"/>
        <v>1</v>
      </c>
      <c r="AG431" s="1">
        <f t="shared" si="206"/>
        <v>1</v>
      </c>
      <c r="AH431" s="1">
        <f t="shared" si="206"/>
        <v>1</v>
      </c>
      <c r="AI431" s="44">
        <f t="shared" si="196"/>
        <v>30512.615806729926</v>
      </c>
      <c r="AJ431" s="44">
        <f t="shared" si="186"/>
        <v>31196.550786996628</v>
      </c>
      <c r="AK431" s="44" t="str">
        <f t="shared" si="204"/>
        <v>N</v>
      </c>
      <c r="AL431" s="4">
        <f t="shared" si="187"/>
        <v>353</v>
      </c>
      <c r="AM431" s="82">
        <f t="shared" si="197"/>
        <v>0</v>
      </c>
      <c r="AN431" s="82">
        <f t="shared" si="188"/>
        <v>0</v>
      </c>
      <c r="AO431" s="48">
        <f>0</f>
        <v>0</v>
      </c>
      <c r="AP431" s="91">
        <f t="shared" si="198"/>
        <v>-683.93498026670159</v>
      </c>
      <c r="AQ431" s="91">
        <f t="shared" si="199"/>
        <v>-683.93498026670159</v>
      </c>
      <c r="AV431" s="84"/>
    </row>
    <row r="432" spans="1:48">
      <c r="A432" s="190">
        <f t="shared" si="189"/>
        <v>95.220910335386719</v>
      </c>
      <c r="B432" s="82">
        <f t="shared" si="190"/>
        <v>30</v>
      </c>
      <c r="C432" s="83">
        <f t="shared" si="191"/>
        <v>354</v>
      </c>
      <c r="D432" s="14">
        <f t="shared" si="177"/>
        <v>4.8675505653430484E-3</v>
      </c>
      <c r="E432" s="16">
        <f t="shared" si="178"/>
        <v>0</v>
      </c>
      <c r="F432" s="127"/>
      <c r="G432" s="88">
        <f t="shared" si="179"/>
        <v>0</v>
      </c>
      <c r="H432" s="89">
        <f t="shared" si="192"/>
        <v>4.1666666666666666E-3</v>
      </c>
      <c r="I432" s="219"/>
      <c r="J432" s="219"/>
      <c r="K432" s="6">
        <f t="shared" si="200"/>
        <v>30512.615806729926</v>
      </c>
      <c r="M432" s="6">
        <f t="shared" si="180"/>
        <v>148.52170032014348</v>
      </c>
      <c r="N432" s="6">
        <f t="shared" si="193"/>
        <v>-34.559909048134486</v>
      </c>
      <c r="O432" s="90">
        <f t="shared" si="181"/>
        <v>591.948230099135</v>
      </c>
      <c r="P432" s="91">
        <f t="shared" si="182"/>
        <v>0</v>
      </c>
      <c r="Q432" s="6">
        <f t="shared" si="183"/>
        <v>127.61073999167473</v>
      </c>
      <c r="R432" s="87">
        <f t="shared" si="203"/>
        <v>-683.62904145331447</v>
      </c>
      <c r="S432" s="6">
        <f t="shared" si="184"/>
        <v>-6.3046820009368245</v>
      </c>
      <c r="T432" s="83">
        <f t="shared" si="194"/>
        <v>0</v>
      </c>
      <c r="U432" s="91">
        <f t="shared" si="201"/>
        <v>126593.4085034458</v>
      </c>
      <c r="V432" s="91">
        <f t="shared" si="195"/>
        <v>616.19981712965102</v>
      </c>
      <c r="W432" s="1">
        <f t="shared" si="206"/>
        <v>0</v>
      </c>
      <c r="X432" s="1">
        <f t="shared" si="206"/>
        <v>0</v>
      </c>
      <c r="Y432" s="1">
        <f t="shared" si="206"/>
        <v>0</v>
      </c>
      <c r="Z432" s="1">
        <f t="shared" si="206"/>
        <v>0</v>
      </c>
      <c r="AA432" s="1">
        <f t="shared" si="206"/>
        <v>0</v>
      </c>
      <c r="AB432" s="1">
        <f t="shared" si="206"/>
        <v>0</v>
      </c>
      <c r="AC432" s="1">
        <f t="shared" si="206"/>
        <v>0</v>
      </c>
      <c r="AD432" s="1">
        <f t="shared" si="206"/>
        <v>0</v>
      </c>
      <c r="AE432" s="1">
        <f t="shared" si="206"/>
        <v>0</v>
      </c>
      <c r="AF432" s="1">
        <f t="shared" si="206"/>
        <v>1</v>
      </c>
      <c r="AG432" s="1">
        <f t="shared" si="206"/>
        <v>1</v>
      </c>
      <c r="AH432" s="1">
        <f t="shared" si="206"/>
        <v>1</v>
      </c>
      <c r="AI432" s="44">
        <f t="shared" si="196"/>
        <v>29942.948556548621</v>
      </c>
      <c r="AJ432" s="44">
        <f t="shared" si="186"/>
        <v>30626.577598001935</v>
      </c>
      <c r="AK432" s="44" t="str">
        <f t="shared" si="204"/>
        <v>N</v>
      </c>
      <c r="AL432" s="4">
        <f t="shared" si="187"/>
        <v>354</v>
      </c>
      <c r="AM432" s="82">
        <f t="shared" si="197"/>
        <v>0</v>
      </c>
      <c r="AN432" s="82">
        <f t="shared" si="188"/>
        <v>0</v>
      </c>
      <c r="AO432" s="48">
        <f>0</f>
        <v>0</v>
      </c>
      <c r="AP432" s="91">
        <f t="shared" si="198"/>
        <v>-683.62904145331447</v>
      </c>
      <c r="AQ432" s="91">
        <f t="shared" si="199"/>
        <v>-683.62904145331447</v>
      </c>
      <c r="AV432" s="84"/>
    </row>
    <row r="433" spans="1:48">
      <c r="A433" s="190">
        <f t="shared" si="189"/>
        <v>95.304243668720048</v>
      </c>
      <c r="B433" s="82">
        <f t="shared" si="190"/>
        <v>30</v>
      </c>
      <c r="C433" s="83">
        <f t="shared" si="191"/>
        <v>355</v>
      </c>
      <c r="D433" s="14">
        <f t="shared" si="177"/>
        <v>4.8675505653430484E-3</v>
      </c>
      <c r="E433" s="16">
        <f t="shared" si="178"/>
        <v>0</v>
      </c>
      <c r="F433" s="127"/>
      <c r="G433" s="88">
        <f t="shared" si="179"/>
        <v>0</v>
      </c>
      <c r="H433" s="89">
        <f t="shared" si="192"/>
        <v>4.1666666666666666E-3</v>
      </c>
      <c r="I433" s="219"/>
      <c r="J433" s="219"/>
      <c r="K433" s="6">
        <f t="shared" si="200"/>
        <v>29942.948556548621</v>
      </c>
      <c r="M433" s="6">
        <f t="shared" si="180"/>
        <v>145.74881617446604</v>
      </c>
      <c r="N433" s="6">
        <f t="shared" si="193"/>
        <v>-33.914679269125358</v>
      </c>
      <c r="O433" s="90">
        <f t="shared" si="181"/>
        <v>591.948230099135</v>
      </c>
      <c r="P433" s="91">
        <f t="shared" si="182"/>
        <v>0</v>
      </c>
      <c r="Q433" s="6">
        <f t="shared" si="183"/>
        <v>125.22826122272484</v>
      </c>
      <c r="R433" s="87">
        <f t="shared" si="203"/>
        <v>-683.32323949293254</v>
      </c>
      <c r="S433" s="6">
        <f t="shared" si="184"/>
        <v>-6.1856751238473295</v>
      </c>
      <c r="T433" s="83">
        <f t="shared" si="194"/>
        <v>0</v>
      </c>
      <c r="U433" s="91">
        <f t="shared" si="201"/>
        <v>126525.97927912214</v>
      </c>
      <c r="V433" s="91">
        <f t="shared" si="195"/>
        <v>615.87160197067385</v>
      </c>
      <c r="W433" s="1">
        <f t="shared" si="206"/>
        <v>0</v>
      </c>
      <c r="X433" s="1">
        <f t="shared" si="206"/>
        <v>0</v>
      </c>
      <c r="Y433" s="1">
        <f t="shared" si="206"/>
        <v>0</v>
      </c>
      <c r="Z433" s="1">
        <f t="shared" si="206"/>
        <v>0</v>
      </c>
      <c r="AA433" s="1">
        <f t="shared" si="206"/>
        <v>0</v>
      </c>
      <c r="AB433" s="1">
        <f t="shared" si="206"/>
        <v>0</v>
      </c>
      <c r="AC433" s="1">
        <f t="shared" si="206"/>
        <v>0</v>
      </c>
      <c r="AD433" s="1">
        <f t="shared" si="206"/>
        <v>0</v>
      </c>
      <c r="AE433" s="1">
        <f t="shared" si="206"/>
        <v>0</v>
      </c>
      <c r="AF433" s="1">
        <f t="shared" si="206"/>
        <v>1</v>
      </c>
      <c r="AG433" s="1">
        <f t="shared" si="206"/>
        <v>1</v>
      </c>
      <c r="AH433" s="1">
        <f t="shared" si="206"/>
        <v>1</v>
      </c>
      <c r="AI433" s="44">
        <f t="shared" si="196"/>
        <v>29371.45945396103</v>
      </c>
      <c r="AJ433" s="44">
        <f t="shared" si="186"/>
        <v>30054.782693453963</v>
      </c>
      <c r="AK433" s="44" t="str">
        <f t="shared" si="204"/>
        <v>N</v>
      </c>
      <c r="AL433" s="4">
        <f t="shared" si="187"/>
        <v>355</v>
      </c>
      <c r="AM433" s="82">
        <f t="shared" si="197"/>
        <v>0</v>
      </c>
      <c r="AN433" s="82">
        <f t="shared" si="188"/>
        <v>0</v>
      </c>
      <c r="AO433" s="48">
        <f>0</f>
        <v>0</v>
      </c>
      <c r="AP433" s="91">
        <f t="shared" si="198"/>
        <v>-683.32323949293254</v>
      </c>
      <c r="AQ433" s="91">
        <f t="shared" si="199"/>
        <v>-683.32323949293254</v>
      </c>
      <c r="AV433" s="84"/>
    </row>
    <row r="434" spans="1:48">
      <c r="A434" s="190">
        <f t="shared" si="189"/>
        <v>95.387577002053376</v>
      </c>
      <c r="B434" s="82">
        <f t="shared" si="190"/>
        <v>30</v>
      </c>
      <c r="C434" s="83">
        <f t="shared" si="191"/>
        <v>356</v>
      </c>
      <c r="D434" s="14">
        <f t="shared" si="177"/>
        <v>4.8675505653430484E-3</v>
      </c>
      <c r="E434" s="16">
        <f t="shared" si="178"/>
        <v>0</v>
      </c>
      <c r="F434" s="127"/>
      <c r="G434" s="88">
        <f t="shared" si="179"/>
        <v>0</v>
      </c>
      <c r="H434" s="89">
        <f t="shared" si="192"/>
        <v>4.1666666666666666E-3</v>
      </c>
      <c r="I434" s="219"/>
      <c r="J434" s="219"/>
      <c r="K434" s="6">
        <f t="shared" si="200"/>
        <v>29371.45945396103</v>
      </c>
      <c r="M434" s="6">
        <f t="shared" si="180"/>
        <v>142.96706407007844</v>
      </c>
      <c r="N434" s="6">
        <f t="shared" si="193"/>
        <v>-33.267385981243073</v>
      </c>
      <c r="O434" s="90">
        <f t="shared" si="181"/>
        <v>591.948230099135</v>
      </c>
      <c r="P434" s="91">
        <f t="shared" si="182"/>
        <v>0</v>
      </c>
      <c r="Q434" s="6">
        <f t="shared" si="183"/>
        <v>122.83816305020777</v>
      </c>
      <c r="R434" s="87">
        <f t="shared" si="203"/>
        <v>-683.01757432433942</v>
      </c>
      <c r="S434" s="6">
        <f t="shared" si="184"/>
        <v>-6.0662875346974614</v>
      </c>
      <c r="T434" s="83">
        <f t="shared" si="194"/>
        <v>0</v>
      </c>
      <c r="U434" s="91">
        <f t="shared" si="201"/>
        <v>126458.52764159988</v>
      </c>
      <c r="V434" s="91">
        <f t="shared" si="195"/>
        <v>615.54327771431906</v>
      </c>
      <c r="W434" s="1">
        <f t="shared" si="206"/>
        <v>0</v>
      </c>
      <c r="X434" s="1">
        <f t="shared" si="206"/>
        <v>0</v>
      </c>
      <c r="Y434" s="1">
        <f t="shared" si="206"/>
        <v>0</v>
      </c>
      <c r="Z434" s="1">
        <f t="shared" si="206"/>
        <v>0</v>
      </c>
      <c r="AA434" s="1">
        <f t="shared" si="206"/>
        <v>0</v>
      </c>
      <c r="AB434" s="1">
        <f t="shared" si="206"/>
        <v>0</v>
      </c>
      <c r="AC434" s="1">
        <f t="shared" si="206"/>
        <v>0</v>
      </c>
      <c r="AD434" s="1">
        <f t="shared" si="206"/>
        <v>0</v>
      </c>
      <c r="AE434" s="1">
        <f t="shared" si="206"/>
        <v>0</v>
      </c>
      <c r="AF434" s="1">
        <f t="shared" si="206"/>
        <v>1</v>
      </c>
      <c r="AG434" s="1">
        <f t="shared" si="206"/>
        <v>1</v>
      </c>
      <c r="AH434" s="1">
        <f t="shared" si="206"/>
        <v>1</v>
      </c>
      <c r="AI434" s="44">
        <f t="shared" si="196"/>
        <v>28798.141557725528</v>
      </c>
      <c r="AJ434" s="44">
        <f t="shared" si="186"/>
        <v>29481.159132049866</v>
      </c>
      <c r="AK434" s="44" t="str">
        <f t="shared" si="204"/>
        <v>N</v>
      </c>
      <c r="AL434" s="4">
        <f t="shared" si="187"/>
        <v>356</v>
      </c>
      <c r="AM434" s="82">
        <f t="shared" si="197"/>
        <v>0</v>
      </c>
      <c r="AN434" s="82">
        <f t="shared" si="188"/>
        <v>0</v>
      </c>
      <c r="AO434" s="48">
        <f>0</f>
        <v>0</v>
      </c>
      <c r="AP434" s="91">
        <f t="shared" si="198"/>
        <v>-683.01757432433942</v>
      </c>
      <c r="AQ434" s="91">
        <f t="shared" si="199"/>
        <v>-683.01757432433942</v>
      </c>
      <c r="AV434" s="84"/>
    </row>
    <row r="435" spans="1:48">
      <c r="A435" s="190">
        <f t="shared" si="189"/>
        <v>95.470910335386719</v>
      </c>
      <c r="B435" s="82">
        <f t="shared" si="190"/>
        <v>30</v>
      </c>
      <c r="C435" s="83">
        <f t="shared" si="191"/>
        <v>357</v>
      </c>
      <c r="D435" s="14">
        <f t="shared" si="177"/>
        <v>4.8675505653430484E-3</v>
      </c>
      <c r="E435" s="16">
        <f t="shared" si="178"/>
        <v>0</v>
      </c>
      <c r="F435" s="127"/>
      <c r="G435" s="88">
        <f t="shared" si="179"/>
        <v>0</v>
      </c>
      <c r="H435" s="89">
        <f t="shared" si="192"/>
        <v>4.1666666666666666E-3</v>
      </c>
      <c r="I435" s="219"/>
      <c r="J435" s="219"/>
      <c r="K435" s="6">
        <f t="shared" si="200"/>
        <v>28798.141557725528</v>
      </c>
      <c r="M435" s="6">
        <f t="shared" si="180"/>
        <v>140.17641022013603</v>
      </c>
      <c r="N435" s="6">
        <f t="shared" si="193"/>
        <v>-32.618021322536997</v>
      </c>
      <c r="O435" s="90">
        <f t="shared" si="181"/>
        <v>591.948230099135</v>
      </c>
      <c r="P435" s="91">
        <f t="shared" si="182"/>
        <v>0</v>
      </c>
      <c r="Q435" s="6">
        <f t="shared" si="183"/>
        <v>120.44041644426304</v>
      </c>
      <c r="R435" s="87">
        <f t="shared" si="203"/>
        <v>-682.71204588634396</v>
      </c>
      <c r="S435" s="6">
        <f t="shared" si="184"/>
        <v>-5.9465177830383569</v>
      </c>
      <c r="T435" s="83">
        <f t="shared" si="194"/>
        <v>0</v>
      </c>
      <c r="U435" s="91">
        <f t="shared" si="201"/>
        <v>126391.05334498985</v>
      </c>
      <c r="V435" s="91">
        <f t="shared" si="195"/>
        <v>615.21484316370879</v>
      </c>
      <c r="W435" s="1">
        <f t="shared" si="206"/>
        <v>0</v>
      </c>
      <c r="X435" s="1">
        <f t="shared" si="206"/>
        <v>0</v>
      </c>
      <c r="Y435" s="1">
        <f t="shared" si="206"/>
        <v>0</v>
      </c>
      <c r="Z435" s="1">
        <f t="shared" si="206"/>
        <v>0</v>
      </c>
      <c r="AA435" s="1">
        <f t="shared" si="206"/>
        <v>0</v>
      </c>
      <c r="AB435" s="1">
        <f t="shared" si="206"/>
        <v>0</v>
      </c>
      <c r="AC435" s="1">
        <f t="shared" si="206"/>
        <v>0</v>
      </c>
      <c r="AD435" s="1">
        <f t="shared" si="206"/>
        <v>0</v>
      </c>
      <c r="AE435" s="1">
        <f t="shared" si="206"/>
        <v>0</v>
      </c>
      <c r="AF435" s="1">
        <f t="shared" si="206"/>
        <v>1</v>
      </c>
      <c r="AG435" s="1">
        <f t="shared" si="206"/>
        <v>1</v>
      </c>
      <c r="AH435" s="1">
        <f t="shared" si="206"/>
        <v>1</v>
      </c>
      <c r="AI435" s="44">
        <f t="shared" si="196"/>
        <v>28222.987900736785</v>
      </c>
      <c r="AJ435" s="44">
        <f t="shared" si="186"/>
        <v>28905.699946623128</v>
      </c>
      <c r="AK435" s="44" t="str">
        <f t="shared" si="204"/>
        <v>N</v>
      </c>
      <c r="AL435" s="4">
        <f t="shared" si="187"/>
        <v>357</v>
      </c>
      <c r="AM435" s="82">
        <f t="shared" si="197"/>
        <v>0</v>
      </c>
      <c r="AN435" s="82">
        <f t="shared" si="188"/>
        <v>0</v>
      </c>
      <c r="AO435" s="48">
        <f>0</f>
        <v>0</v>
      </c>
      <c r="AP435" s="91">
        <f t="shared" si="198"/>
        <v>-682.71204588634396</v>
      </c>
      <c r="AQ435" s="91">
        <f t="shared" si="199"/>
        <v>-682.71204588634396</v>
      </c>
      <c r="AV435" s="84"/>
    </row>
    <row r="436" spans="1:48">
      <c r="A436" s="190">
        <f t="shared" si="189"/>
        <v>95.554243668720048</v>
      </c>
      <c r="B436" s="82">
        <f t="shared" si="190"/>
        <v>30</v>
      </c>
      <c r="C436" s="83">
        <f t="shared" si="191"/>
        <v>358</v>
      </c>
      <c r="D436" s="14">
        <f t="shared" si="177"/>
        <v>4.8675505653430484E-3</v>
      </c>
      <c r="E436" s="16">
        <f t="shared" si="178"/>
        <v>0</v>
      </c>
      <c r="F436" s="127"/>
      <c r="G436" s="88">
        <f t="shared" si="179"/>
        <v>0</v>
      </c>
      <c r="H436" s="89">
        <f t="shared" si="192"/>
        <v>4.1666666666666666E-3</v>
      </c>
      <c r="I436" s="219"/>
      <c r="J436" s="219"/>
      <c r="K436" s="6">
        <f t="shared" si="200"/>
        <v>28222.987900736785</v>
      </c>
      <c r="M436" s="6">
        <f t="shared" si="180"/>
        <v>137.37682071190136</v>
      </c>
      <c r="N436" s="6">
        <f t="shared" si="193"/>
        <v>-31.966577401762144</v>
      </c>
      <c r="O436" s="90">
        <f t="shared" si="181"/>
        <v>591.948230099135</v>
      </c>
      <c r="P436" s="91">
        <f t="shared" si="182"/>
        <v>0</v>
      </c>
      <c r="Q436" s="6">
        <f t="shared" si="183"/>
        <v>118.03499226686219</v>
      </c>
      <c r="R436" s="87">
        <f t="shared" si="203"/>
        <v>-682.40665411778411</v>
      </c>
      <c r="S436" s="6">
        <f t="shared" si="184"/>
        <v>-5.826364413016619</v>
      </c>
      <c r="T436" s="83">
        <f t="shared" si="194"/>
        <v>0</v>
      </c>
      <c r="U436" s="91">
        <f t="shared" si="201"/>
        <v>126323.5561422672</v>
      </c>
      <c r="V436" s="91">
        <f t="shared" si="195"/>
        <v>614.88629711643705</v>
      </c>
      <c r="W436" s="1">
        <f t="shared" si="206"/>
        <v>0</v>
      </c>
      <c r="X436" s="1">
        <f t="shared" si="206"/>
        <v>0</v>
      </c>
      <c r="Y436" s="1">
        <f t="shared" si="206"/>
        <v>0</v>
      </c>
      <c r="Z436" s="1">
        <f t="shared" si="206"/>
        <v>0</v>
      </c>
      <c r="AA436" s="1">
        <f t="shared" si="206"/>
        <v>0</v>
      </c>
      <c r="AB436" s="1">
        <f t="shared" si="206"/>
        <v>0</v>
      </c>
      <c r="AC436" s="1">
        <f t="shared" si="206"/>
        <v>0</v>
      </c>
      <c r="AD436" s="1">
        <f t="shared" si="206"/>
        <v>0</v>
      </c>
      <c r="AE436" s="1">
        <f t="shared" si="206"/>
        <v>0</v>
      </c>
      <c r="AF436" s="1">
        <f t="shared" si="206"/>
        <v>1</v>
      </c>
      <c r="AG436" s="1">
        <f t="shared" si="206"/>
        <v>1</v>
      </c>
      <c r="AH436" s="1">
        <f t="shared" si="206"/>
        <v>1</v>
      </c>
      <c r="AI436" s="44">
        <f t="shared" si="196"/>
        <v>27645.99148992914</v>
      </c>
      <c r="AJ436" s="44">
        <f t="shared" si="186"/>
        <v>28328.398144046925</v>
      </c>
      <c r="AK436" s="44" t="str">
        <f t="shared" si="204"/>
        <v>N</v>
      </c>
      <c r="AL436" s="4">
        <f t="shared" si="187"/>
        <v>358</v>
      </c>
      <c r="AM436" s="82">
        <f t="shared" si="197"/>
        <v>0</v>
      </c>
      <c r="AN436" s="82">
        <f t="shared" si="188"/>
        <v>0</v>
      </c>
      <c r="AO436" s="48">
        <f>0</f>
        <v>0</v>
      </c>
      <c r="AP436" s="91">
        <f t="shared" si="198"/>
        <v>-682.40665411778411</v>
      </c>
      <c r="AQ436" s="91">
        <f t="shared" si="199"/>
        <v>-682.40665411778411</v>
      </c>
      <c r="AV436" s="84"/>
    </row>
    <row r="437" spans="1:48">
      <c r="A437" s="190">
        <f t="shared" si="189"/>
        <v>95.637577002053376</v>
      </c>
      <c r="B437" s="82">
        <f t="shared" si="190"/>
        <v>30</v>
      </c>
      <c r="C437" s="83">
        <f t="shared" si="191"/>
        <v>359</v>
      </c>
      <c r="D437" s="14">
        <f t="shared" si="177"/>
        <v>4.8675505653430484E-3</v>
      </c>
      <c r="E437" s="16">
        <f t="shared" si="178"/>
        <v>0</v>
      </c>
      <c r="F437" s="127"/>
      <c r="G437" s="88">
        <f t="shared" si="179"/>
        <v>0</v>
      </c>
      <c r="H437" s="89">
        <f t="shared" si="192"/>
        <v>4.1666666666666666E-3</v>
      </c>
      <c r="I437" s="219"/>
      <c r="J437" s="219"/>
      <c r="K437" s="6">
        <f t="shared" si="200"/>
        <v>27645.99148992914</v>
      </c>
      <c r="M437" s="6">
        <f t="shared" si="180"/>
        <v>134.5682615062737</v>
      </c>
      <c r="N437" s="6">
        <f t="shared" si="193"/>
        <v>-31.313046298269736</v>
      </c>
      <c r="O437" s="90">
        <f t="shared" si="181"/>
        <v>591.948230099135</v>
      </c>
      <c r="P437" s="91">
        <f t="shared" si="182"/>
        <v>0</v>
      </c>
      <c r="Q437" s="6">
        <f t="shared" si="183"/>
        <v>115.62186127140475</v>
      </c>
      <c r="R437" s="87">
        <f t="shared" si="203"/>
        <v>-682.10139895752502</v>
      </c>
      <c r="S437" s="6">
        <f t="shared" si="184"/>
        <v>-5.7058259633541262</v>
      </c>
      <c r="T437" s="83">
        <f t="shared" si="194"/>
        <v>0</v>
      </c>
      <c r="U437" s="91">
        <f t="shared" si="201"/>
        <v>126256.03578526585</v>
      </c>
      <c r="V437" s="91">
        <f t="shared" si="195"/>
        <v>614.55763836454298</v>
      </c>
      <c r="W437" s="1">
        <f t="shared" si="206"/>
        <v>0</v>
      </c>
      <c r="X437" s="1">
        <f t="shared" si="206"/>
        <v>0</v>
      </c>
      <c r="Y437" s="1">
        <f t="shared" si="206"/>
        <v>0</v>
      </c>
      <c r="Z437" s="1">
        <f t="shared" si="206"/>
        <v>0</v>
      </c>
      <c r="AA437" s="1">
        <f t="shared" si="206"/>
        <v>0</v>
      </c>
      <c r="AB437" s="1">
        <f t="shared" si="206"/>
        <v>0</v>
      </c>
      <c r="AC437" s="1">
        <f t="shared" si="206"/>
        <v>0</v>
      </c>
      <c r="AD437" s="1">
        <f t="shared" si="206"/>
        <v>0</v>
      </c>
      <c r="AE437" s="1">
        <f t="shared" si="206"/>
        <v>0</v>
      </c>
      <c r="AF437" s="1">
        <f t="shared" si="206"/>
        <v>1</v>
      </c>
      <c r="AG437" s="1">
        <f t="shared" si="206"/>
        <v>1</v>
      </c>
      <c r="AH437" s="1">
        <f t="shared" si="206"/>
        <v>1</v>
      </c>
      <c r="AI437" s="44">
        <f t="shared" si="196"/>
        <v>27067.145306179616</v>
      </c>
      <c r="AJ437" s="44">
        <f t="shared" si="186"/>
        <v>27749.246705137142</v>
      </c>
      <c r="AK437" s="44" t="str">
        <f t="shared" si="204"/>
        <v>N</v>
      </c>
      <c r="AL437" s="4">
        <f t="shared" si="187"/>
        <v>359</v>
      </c>
      <c r="AM437" s="82">
        <f t="shared" si="197"/>
        <v>0</v>
      </c>
      <c r="AN437" s="82">
        <f t="shared" si="188"/>
        <v>0</v>
      </c>
      <c r="AO437" s="48">
        <f>0</f>
        <v>0</v>
      </c>
      <c r="AP437" s="91">
        <f t="shared" si="198"/>
        <v>-682.10139895752502</v>
      </c>
      <c r="AQ437" s="91">
        <f t="shared" si="199"/>
        <v>-682.10139895752502</v>
      </c>
      <c r="AV437" s="84"/>
    </row>
    <row r="438" spans="1:48">
      <c r="A438" s="190">
        <f t="shared" si="189"/>
        <v>95.720910335386719</v>
      </c>
      <c r="B438" s="82">
        <f t="shared" si="190"/>
        <v>30</v>
      </c>
      <c r="C438" s="83">
        <f t="shared" si="191"/>
        <v>360</v>
      </c>
      <c r="D438" s="14">
        <f t="shared" si="177"/>
        <v>4.8675505653430484E-3</v>
      </c>
      <c r="E438" s="16">
        <f t="shared" si="178"/>
        <v>0</v>
      </c>
      <c r="F438" s="127"/>
      <c r="G438" s="88">
        <f t="shared" si="179"/>
        <v>0</v>
      </c>
      <c r="H438" s="89">
        <f t="shared" si="192"/>
        <v>4.1666666666666666E-3</v>
      </c>
      <c r="I438" s="219"/>
      <c r="J438" s="219"/>
      <c r="K438" s="6">
        <f t="shared" si="200"/>
        <v>27067.145306179616</v>
      </c>
      <c r="M438" s="6">
        <f t="shared" si="180"/>
        <v>131.75069843731703</v>
      </c>
      <c r="N438" s="6">
        <f t="shared" si="193"/>
        <v>-30.657420061897337</v>
      </c>
      <c r="O438" s="90">
        <f t="shared" si="181"/>
        <v>591.948230099135</v>
      </c>
      <c r="P438" s="91">
        <f t="shared" si="182"/>
        <v>0</v>
      </c>
      <c r="Q438" s="6">
        <f t="shared" si="183"/>
        <v>113.20099410231266</v>
      </c>
      <c r="R438" s="87">
        <f t="shared" si="203"/>
        <v>-681.79628034445818</v>
      </c>
      <c r="S438" s="6">
        <f t="shared" si="184"/>
        <v>-5.5849009673277656</v>
      </c>
      <c r="T438" s="83">
        <f t="shared" si="194"/>
        <v>0</v>
      </c>
      <c r="U438" s="91">
        <f t="shared" si="201"/>
        <v>126188.49202467286</v>
      </c>
      <c r="V438" s="91">
        <f t="shared" si="195"/>
        <v>614.22886569448315</v>
      </c>
      <c r="W438" s="1">
        <f t="shared" si="206"/>
        <v>0</v>
      </c>
      <c r="X438" s="1">
        <f t="shared" si="206"/>
        <v>0</v>
      </c>
      <c r="Y438" s="1">
        <f t="shared" si="206"/>
        <v>0</v>
      </c>
      <c r="Z438" s="1">
        <f t="shared" si="206"/>
        <v>0</v>
      </c>
      <c r="AA438" s="1">
        <f t="shared" si="206"/>
        <v>0</v>
      </c>
      <c r="AB438" s="1">
        <f t="shared" si="206"/>
        <v>0</v>
      </c>
      <c r="AC438" s="1">
        <f t="shared" si="206"/>
        <v>0</v>
      </c>
      <c r="AD438" s="1">
        <f t="shared" si="206"/>
        <v>0</v>
      </c>
      <c r="AE438" s="1">
        <f t="shared" si="206"/>
        <v>0</v>
      </c>
      <c r="AF438" s="1">
        <f t="shared" si="206"/>
        <v>1</v>
      </c>
      <c r="AG438" s="1">
        <f t="shared" si="206"/>
        <v>1</v>
      </c>
      <c r="AH438" s="1">
        <f t="shared" si="206"/>
        <v>1</v>
      </c>
      <c r="AI438" s="44">
        <f t="shared" si="196"/>
        <v>26486.442304210581</v>
      </c>
      <c r="AJ438" s="44">
        <f t="shared" si="186"/>
        <v>27168.238584555038</v>
      </c>
      <c r="AK438" s="44" t="str">
        <f t="shared" si="204"/>
        <v>N</v>
      </c>
      <c r="AL438" s="4">
        <f t="shared" si="187"/>
        <v>360</v>
      </c>
      <c r="AM438" s="82">
        <f t="shared" si="197"/>
        <v>0</v>
      </c>
      <c r="AN438" s="82">
        <f t="shared" si="188"/>
        <v>0</v>
      </c>
      <c r="AO438" s="48">
        <f>0</f>
        <v>0</v>
      </c>
      <c r="AP438" s="91">
        <f t="shared" si="198"/>
        <v>-681.79628034445818</v>
      </c>
      <c r="AQ438" s="91">
        <f t="shared" si="199"/>
        <v>-681.79628034445818</v>
      </c>
      <c r="AV438" s="84"/>
    </row>
    <row r="439" spans="1:48">
      <c r="A439" s="190">
        <f t="shared" si="189"/>
        <v>95.804243668720048</v>
      </c>
      <c r="B439" s="82">
        <f t="shared" si="190"/>
        <v>31</v>
      </c>
      <c r="C439" s="83">
        <f t="shared" si="191"/>
        <v>361</v>
      </c>
      <c r="D439" s="14">
        <f t="shared" si="177"/>
        <v>4.8675505653430484E-3</v>
      </c>
      <c r="E439" s="16">
        <f t="shared" si="178"/>
        <v>0</v>
      </c>
      <c r="F439" s="127"/>
      <c r="G439" s="88">
        <f t="shared" si="179"/>
        <v>0</v>
      </c>
      <c r="H439" s="89">
        <f t="shared" si="192"/>
        <v>4.1666666666666666E-3</v>
      </c>
      <c r="I439" s="219"/>
      <c r="J439" s="219"/>
      <c r="K439" s="6">
        <f t="shared" si="200"/>
        <v>26486.442304210581</v>
      </c>
      <c r="M439" s="6">
        <f t="shared" si="180"/>
        <v>128.92409721178626</v>
      </c>
      <c r="N439" s="6">
        <f t="shared" si="193"/>
        <v>-29.99969071285863</v>
      </c>
      <c r="O439" s="90">
        <f t="shared" si="181"/>
        <v>603.78719470111776</v>
      </c>
      <c r="P439" s="91">
        <f t="shared" si="182"/>
        <v>0</v>
      </c>
      <c r="Q439" s="6">
        <f t="shared" si="183"/>
        <v>110.77236129462295</v>
      </c>
      <c r="R439" s="87">
        <f t="shared" si="203"/>
        <v>-681.49129821750387</v>
      </c>
      <c r="S439" s="6">
        <f t="shared" si="184"/>
        <v>-5.4635879527490987</v>
      </c>
      <c r="T439" s="83">
        <f t="shared" si="194"/>
        <v>0</v>
      </c>
      <c r="U439" s="91">
        <f t="shared" si="201"/>
        <v>126120.92461002289</v>
      </c>
      <c r="V439" s="91">
        <f t="shared" si="195"/>
        <v>613.89997788710491</v>
      </c>
      <c r="W439" s="1">
        <f t="shared" ref="W439:AH448" si="207">IF($B439&lt;=W$78,1,0)</f>
        <v>0</v>
      </c>
      <c r="X439" s="1">
        <f t="shared" si="207"/>
        <v>0</v>
      </c>
      <c r="Y439" s="1">
        <f t="shared" si="207"/>
        <v>0</v>
      </c>
      <c r="Z439" s="1">
        <f t="shared" si="207"/>
        <v>0</v>
      </c>
      <c r="AA439" s="1">
        <f t="shared" si="207"/>
        <v>0</v>
      </c>
      <c r="AB439" s="1">
        <f t="shared" si="207"/>
        <v>0</v>
      </c>
      <c r="AC439" s="1">
        <f t="shared" si="207"/>
        <v>0</v>
      </c>
      <c r="AD439" s="1">
        <f t="shared" si="207"/>
        <v>0</v>
      </c>
      <c r="AE439" s="1">
        <f t="shared" si="207"/>
        <v>0</v>
      </c>
      <c r="AF439" s="1">
        <f t="shared" si="207"/>
        <v>0</v>
      </c>
      <c r="AG439" s="1">
        <f t="shared" si="207"/>
        <v>1</v>
      </c>
      <c r="AH439" s="1">
        <f t="shared" si="207"/>
        <v>1</v>
      </c>
      <c r="AI439" s="44">
        <f t="shared" si="196"/>
        <v>25903.875412492005</v>
      </c>
      <c r="AJ439" s="44">
        <f t="shared" si="186"/>
        <v>26585.36671070951</v>
      </c>
      <c r="AK439" s="44" t="str">
        <f t="shared" si="204"/>
        <v>N</v>
      </c>
      <c r="AL439" s="4">
        <f t="shared" si="187"/>
        <v>361</v>
      </c>
      <c r="AM439" s="82">
        <f t="shared" si="197"/>
        <v>0</v>
      </c>
      <c r="AN439" s="82">
        <f t="shared" si="188"/>
        <v>0</v>
      </c>
      <c r="AO439" s="48">
        <f>0</f>
        <v>0</v>
      </c>
      <c r="AP439" s="91">
        <f t="shared" si="198"/>
        <v>-681.49129821750387</v>
      </c>
      <c r="AQ439" s="91">
        <f t="shared" si="199"/>
        <v>-681.49129821750387</v>
      </c>
      <c r="AV439" s="84"/>
    </row>
    <row r="440" spans="1:48">
      <c r="A440" s="190">
        <f t="shared" si="189"/>
        <v>95.887577002053376</v>
      </c>
      <c r="B440" s="82">
        <f t="shared" si="190"/>
        <v>31</v>
      </c>
      <c r="C440" s="83">
        <f t="shared" si="191"/>
        <v>362</v>
      </c>
      <c r="D440" s="14">
        <f t="shared" si="177"/>
        <v>4.8675505653430484E-3</v>
      </c>
      <c r="E440" s="16">
        <f t="shared" si="178"/>
        <v>0</v>
      </c>
      <c r="F440" s="127"/>
      <c r="G440" s="88">
        <f t="shared" si="179"/>
        <v>0</v>
      </c>
      <c r="H440" s="89">
        <f t="shared" si="192"/>
        <v>4.1666666666666666E-3</v>
      </c>
      <c r="I440" s="219"/>
      <c r="J440" s="219"/>
      <c r="K440" s="6">
        <f t="shared" si="200"/>
        <v>25903.875412492005</v>
      </c>
      <c r="M440" s="6">
        <f t="shared" si="180"/>
        <v>126.08842340865135</v>
      </c>
      <c r="N440" s="6">
        <f t="shared" si="193"/>
        <v>-29.339850241632703</v>
      </c>
      <c r="O440" s="90">
        <f t="shared" si="181"/>
        <v>603.78719470111776</v>
      </c>
      <c r="P440" s="91">
        <f t="shared" si="182"/>
        <v>0</v>
      </c>
      <c r="Q440" s="6">
        <f t="shared" si="183"/>
        <v>108.33593327357927</v>
      </c>
      <c r="R440" s="87">
        <f t="shared" si="203"/>
        <v>-681.18645251560849</v>
      </c>
      <c r="S440" s="6">
        <f t="shared" si="184"/>
        <v>-5.341885441943929</v>
      </c>
      <c r="T440" s="83">
        <f t="shared" si="194"/>
        <v>0</v>
      </c>
      <c r="U440" s="91">
        <f t="shared" si="201"/>
        <v>126053.3332896925</v>
      </c>
      <c r="V440" s="91">
        <f t="shared" si="195"/>
        <v>613.57097371761847</v>
      </c>
      <c r="W440" s="1">
        <f t="shared" si="207"/>
        <v>0</v>
      </c>
      <c r="X440" s="1">
        <f t="shared" si="207"/>
        <v>0</v>
      </c>
      <c r="Y440" s="1">
        <f t="shared" si="207"/>
        <v>0</v>
      </c>
      <c r="Z440" s="1">
        <f t="shared" si="207"/>
        <v>0</v>
      </c>
      <c r="AA440" s="1">
        <f t="shared" si="207"/>
        <v>0</v>
      </c>
      <c r="AB440" s="1">
        <f t="shared" si="207"/>
        <v>0</v>
      </c>
      <c r="AC440" s="1">
        <f t="shared" si="207"/>
        <v>0</v>
      </c>
      <c r="AD440" s="1">
        <f t="shared" si="207"/>
        <v>0</v>
      </c>
      <c r="AE440" s="1">
        <f t="shared" si="207"/>
        <v>0</v>
      </c>
      <c r="AF440" s="1">
        <f t="shared" si="207"/>
        <v>0</v>
      </c>
      <c r="AG440" s="1">
        <f t="shared" si="207"/>
        <v>1</v>
      </c>
      <c r="AH440" s="1">
        <f t="shared" si="207"/>
        <v>1</v>
      </c>
      <c r="AI440" s="44">
        <f t="shared" si="196"/>
        <v>25319.437533143417</v>
      </c>
      <c r="AJ440" s="44">
        <f t="shared" si="186"/>
        <v>26000.623985659025</v>
      </c>
      <c r="AK440" s="44" t="str">
        <f t="shared" si="204"/>
        <v>N</v>
      </c>
      <c r="AL440" s="4">
        <f t="shared" si="187"/>
        <v>362</v>
      </c>
      <c r="AM440" s="82">
        <f t="shared" si="197"/>
        <v>0</v>
      </c>
      <c r="AN440" s="82">
        <f t="shared" si="188"/>
        <v>0</v>
      </c>
      <c r="AO440" s="48">
        <f>0</f>
        <v>0</v>
      </c>
      <c r="AP440" s="91">
        <f t="shared" si="198"/>
        <v>-681.18645251560849</v>
      </c>
      <c r="AQ440" s="91">
        <f t="shared" si="199"/>
        <v>-681.18645251560849</v>
      </c>
      <c r="AV440" s="84"/>
    </row>
    <row r="441" spans="1:48">
      <c r="A441" s="190">
        <f t="shared" si="189"/>
        <v>95.970910335386719</v>
      </c>
      <c r="B441" s="82">
        <f t="shared" si="190"/>
        <v>31</v>
      </c>
      <c r="C441" s="83">
        <f t="shared" si="191"/>
        <v>363</v>
      </c>
      <c r="D441" s="14">
        <f t="shared" si="177"/>
        <v>4.8675505653430484E-3</v>
      </c>
      <c r="E441" s="16">
        <f t="shared" si="178"/>
        <v>0</v>
      </c>
      <c r="F441" s="127"/>
      <c r="G441" s="88">
        <f t="shared" si="179"/>
        <v>0</v>
      </c>
      <c r="H441" s="89">
        <f t="shared" si="192"/>
        <v>4.1666666666666666E-3</v>
      </c>
      <c r="I441" s="219"/>
      <c r="J441" s="219"/>
      <c r="K441" s="6">
        <f t="shared" si="200"/>
        <v>25319.437533143417</v>
      </c>
      <c r="M441" s="6">
        <f t="shared" si="180"/>
        <v>123.24364247862023</v>
      </c>
      <c r="N441" s="6">
        <f t="shared" si="193"/>
        <v>-28.677890608852977</v>
      </c>
      <c r="O441" s="90">
        <f t="shared" si="181"/>
        <v>603.78719470111776</v>
      </c>
      <c r="P441" s="91">
        <f t="shared" si="182"/>
        <v>0</v>
      </c>
      <c r="Q441" s="6">
        <f t="shared" si="183"/>
        <v>105.89168035422159</v>
      </c>
      <c r="R441" s="87">
        <f t="shared" si="203"/>
        <v>-680.8817431777461</v>
      </c>
      <c r="S441" s="6">
        <f t="shared" si="184"/>
        <v>-5.2197919517318185</v>
      </c>
      <c r="T441" s="83">
        <f t="shared" si="194"/>
        <v>0</v>
      </c>
      <c r="U441" s="91">
        <f t="shared" si="201"/>
        <v>125985.71781089451</v>
      </c>
      <c r="V441" s="91">
        <f t="shared" si="195"/>
        <v>613.24185195556936</v>
      </c>
      <c r="W441" s="1">
        <f t="shared" si="207"/>
        <v>0</v>
      </c>
      <c r="X441" s="1">
        <f t="shared" si="207"/>
        <v>0</v>
      </c>
      <c r="Y441" s="1">
        <f t="shared" si="207"/>
        <v>0</v>
      </c>
      <c r="Z441" s="1">
        <f t="shared" si="207"/>
        <v>0</v>
      </c>
      <c r="AA441" s="1">
        <f t="shared" si="207"/>
        <v>0</v>
      </c>
      <c r="AB441" s="1">
        <f t="shared" si="207"/>
        <v>0</v>
      </c>
      <c r="AC441" s="1">
        <f t="shared" si="207"/>
        <v>0</v>
      </c>
      <c r="AD441" s="1">
        <f t="shared" si="207"/>
        <v>0</v>
      </c>
      <c r="AE441" s="1">
        <f t="shared" si="207"/>
        <v>0</v>
      </c>
      <c r="AF441" s="1">
        <f t="shared" si="207"/>
        <v>0</v>
      </c>
      <c r="AG441" s="1">
        <f t="shared" si="207"/>
        <v>1</v>
      </c>
      <c r="AH441" s="1">
        <f t="shared" si="207"/>
        <v>1</v>
      </c>
      <c r="AI441" s="44">
        <f t="shared" si="196"/>
        <v>24733.121541835437</v>
      </c>
      <c r="AJ441" s="44">
        <f t="shared" si="186"/>
        <v>25414.003285013183</v>
      </c>
      <c r="AK441" s="44" t="str">
        <f t="shared" si="204"/>
        <v>N</v>
      </c>
      <c r="AL441" s="4">
        <f t="shared" si="187"/>
        <v>363</v>
      </c>
      <c r="AM441" s="82">
        <f t="shared" si="197"/>
        <v>0</v>
      </c>
      <c r="AN441" s="82">
        <f t="shared" si="188"/>
        <v>0</v>
      </c>
      <c r="AO441" s="48">
        <f>0</f>
        <v>0</v>
      </c>
      <c r="AP441" s="91">
        <f t="shared" si="198"/>
        <v>-680.8817431777461</v>
      </c>
      <c r="AQ441" s="91">
        <f t="shared" si="199"/>
        <v>-680.8817431777461</v>
      </c>
      <c r="AV441" s="84"/>
    </row>
    <row r="442" spans="1:48">
      <c r="A442" s="190">
        <f t="shared" si="189"/>
        <v>96.054243668720048</v>
      </c>
      <c r="B442" s="82">
        <f t="shared" si="190"/>
        <v>31</v>
      </c>
      <c r="C442" s="83">
        <f t="shared" si="191"/>
        <v>364</v>
      </c>
      <c r="D442" s="14">
        <f t="shared" si="177"/>
        <v>4.8675505653430484E-3</v>
      </c>
      <c r="E442" s="16">
        <f t="shared" si="178"/>
        <v>0</v>
      </c>
      <c r="F442" s="127"/>
      <c r="G442" s="88">
        <f t="shared" si="179"/>
        <v>0</v>
      </c>
      <c r="H442" s="89">
        <f t="shared" si="192"/>
        <v>4.1666666666666666E-3</v>
      </c>
      <c r="I442" s="219"/>
      <c r="J442" s="219"/>
      <c r="K442" s="6">
        <f t="shared" si="200"/>
        <v>24733.121541835437</v>
      </c>
      <c r="M442" s="6">
        <f t="shared" si="180"/>
        <v>120.38971974365941</v>
      </c>
      <c r="N442" s="6">
        <f t="shared" si="193"/>
        <v>-28.013803745195705</v>
      </c>
      <c r="O442" s="90">
        <f t="shared" si="181"/>
        <v>603.78719470111776</v>
      </c>
      <c r="P442" s="91">
        <f t="shared" si="182"/>
        <v>0</v>
      </c>
      <c r="Q442" s="6">
        <f t="shared" si="183"/>
        <v>103.4395727409746</v>
      </c>
      <c r="R442" s="87">
        <f t="shared" si="203"/>
        <v>-697.92587711422527</v>
      </c>
      <c r="S442" s="6">
        <f t="shared" si="184"/>
        <v>-5.0954967624152214</v>
      </c>
      <c r="T442" s="83">
        <f t="shared" si="194"/>
        <v>0</v>
      </c>
      <c r="U442" s="91">
        <f t="shared" si="201"/>
        <v>125918.07791967233</v>
      </c>
      <c r="V442" s="91">
        <f t="shared" si="195"/>
        <v>612.91261136481103</v>
      </c>
      <c r="W442" s="1">
        <f t="shared" si="207"/>
        <v>0</v>
      </c>
      <c r="X442" s="1">
        <f t="shared" si="207"/>
        <v>0</v>
      </c>
      <c r="Y442" s="1">
        <f t="shared" si="207"/>
        <v>0</v>
      </c>
      <c r="Z442" s="1">
        <f t="shared" si="207"/>
        <v>0</v>
      </c>
      <c r="AA442" s="1">
        <f t="shared" si="207"/>
        <v>0</v>
      </c>
      <c r="AB442" s="1">
        <f t="shared" si="207"/>
        <v>0</v>
      </c>
      <c r="AC442" s="1">
        <f t="shared" si="207"/>
        <v>0</v>
      </c>
      <c r="AD442" s="1">
        <f t="shared" si="207"/>
        <v>0</v>
      </c>
      <c r="AE442" s="1">
        <f t="shared" si="207"/>
        <v>0</v>
      </c>
      <c r="AF442" s="1">
        <f t="shared" si="207"/>
        <v>0</v>
      </c>
      <c r="AG442" s="1">
        <f t="shared" si="207"/>
        <v>1</v>
      </c>
      <c r="AH442" s="1">
        <f t="shared" si="207"/>
        <v>1</v>
      </c>
      <c r="AI442" s="44">
        <f t="shared" si="196"/>
        <v>24127.571580719676</v>
      </c>
      <c r="AJ442" s="44">
        <f t="shared" si="186"/>
        <v>24825.497457833902</v>
      </c>
      <c r="AK442" s="44" t="str">
        <f t="shared" si="204"/>
        <v>N</v>
      </c>
      <c r="AL442" s="4">
        <f t="shared" si="187"/>
        <v>364</v>
      </c>
      <c r="AM442" s="82">
        <f t="shared" si="197"/>
        <v>0</v>
      </c>
      <c r="AN442" s="82">
        <f t="shared" si="188"/>
        <v>0</v>
      </c>
      <c r="AO442" s="48">
        <f>0</f>
        <v>0</v>
      </c>
      <c r="AP442" s="91">
        <f t="shared" si="198"/>
        <v>-697.92587711422527</v>
      </c>
      <c r="AQ442" s="91">
        <f t="shared" si="199"/>
        <v>-697.92587711422527</v>
      </c>
      <c r="AV442" s="84"/>
    </row>
    <row r="443" spans="1:48">
      <c r="A443" s="190">
        <f t="shared" si="189"/>
        <v>96.137577002053376</v>
      </c>
      <c r="B443" s="82">
        <f t="shared" si="190"/>
        <v>31</v>
      </c>
      <c r="C443" s="83">
        <f t="shared" si="191"/>
        <v>365</v>
      </c>
      <c r="D443" s="14">
        <f t="shared" si="177"/>
        <v>4.8675505653430484E-3</v>
      </c>
      <c r="E443" s="16">
        <f t="shared" si="178"/>
        <v>0</v>
      </c>
      <c r="F443" s="127"/>
      <c r="G443" s="88">
        <f t="shared" si="179"/>
        <v>0</v>
      </c>
      <c r="H443" s="89">
        <f t="shared" si="192"/>
        <v>4.1666666666666666E-3</v>
      </c>
      <c r="I443" s="219"/>
      <c r="J443" s="219"/>
      <c r="K443" s="6">
        <f t="shared" si="200"/>
        <v>24127.571580719676</v>
      </c>
      <c r="M443" s="6">
        <f t="shared" si="180"/>
        <v>117.44217468808692</v>
      </c>
      <c r="N443" s="6">
        <f t="shared" si="193"/>
        <v>-27.327931655014361</v>
      </c>
      <c r="O443" s="90">
        <f t="shared" si="181"/>
        <v>603.78719470111776</v>
      </c>
      <c r="P443" s="91">
        <f t="shared" si="182"/>
        <v>0</v>
      </c>
      <c r="Q443" s="6">
        <f t="shared" si="183"/>
        <v>100.90702426563645</v>
      </c>
      <c r="R443" s="87">
        <f t="shared" si="203"/>
        <v>-697.61367987203562</v>
      </c>
      <c r="S443" s="6">
        <f t="shared" si="184"/>
        <v>-4.9689924317373029</v>
      </c>
      <c r="T443" s="83">
        <f t="shared" si="194"/>
        <v>0</v>
      </c>
      <c r="U443" s="91">
        <f t="shared" si="201"/>
        <v>125833.06465392292</v>
      </c>
      <c r="V443" s="91">
        <f t="shared" si="195"/>
        <v>612.49880499505082</v>
      </c>
      <c r="W443" s="1">
        <f t="shared" si="207"/>
        <v>0</v>
      </c>
      <c r="X443" s="1">
        <f t="shared" si="207"/>
        <v>0</v>
      </c>
      <c r="Y443" s="1">
        <f t="shared" si="207"/>
        <v>0</v>
      </c>
      <c r="Z443" s="1">
        <f t="shared" si="207"/>
        <v>0</v>
      </c>
      <c r="AA443" s="1">
        <f t="shared" si="207"/>
        <v>0</v>
      </c>
      <c r="AB443" s="1">
        <f t="shared" si="207"/>
        <v>0</v>
      </c>
      <c r="AC443" s="1">
        <f t="shared" si="207"/>
        <v>0</v>
      </c>
      <c r="AD443" s="1">
        <f t="shared" si="207"/>
        <v>0</v>
      </c>
      <c r="AE443" s="1">
        <f t="shared" si="207"/>
        <v>0</v>
      </c>
      <c r="AF443" s="1">
        <f t="shared" si="207"/>
        <v>0</v>
      </c>
      <c r="AG443" s="1">
        <f t="shared" si="207"/>
        <v>1</v>
      </c>
      <c r="AH443" s="1">
        <f t="shared" si="207"/>
        <v>1</v>
      </c>
      <c r="AI443" s="44">
        <f t="shared" si="196"/>
        <v>23520.072143880712</v>
      </c>
      <c r="AJ443" s="44">
        <f t="shared" si="186"/>
        <v>24217.685823752749</v>
      </c>
      <c r="AK443" s="44" t="str">
        <f t="shared" si="204"/>
        <v>N</v>
      </c>
      <c r="AL443" s="4">
        <f t="shared" si="187"/>
        <v>365</v>
      </c>
      <c r="AM443" s="82">
        <f t="shared" si="197"/>
        <v>0</v>
      </c>
      <c r="AN443" s="82">
        <f t="shared" si="188"/>
        <v>0</v>
      </c>
      <c r="AO443" s="48">
        <f>0</f>
        <v>0</v>
      </c>
      <c r="AP443" s="91">
        <f t="shared" si="198"/>
        <v>-697.61367987203562</v>
      </c>
      <c r="AQ443" s="91">
        <f t="shared" si="199"/>
        <v>-697.61367987203562</v>
      </c>
      <c r="AV443" s="84"/>
    </row>
    <row r="444" spans="1:48">
      <c r="A444" s="190">
        <f t="shared" si="189"/>
        <v>96.220910335386719</v>
      </c>
      <c r="B444" s="82">
        <f t="shared" si="190"/>
        <v>31</v>
      </c>
      <c r="C444" s="83">
        <f t="shared" si="191"/>
        <v>366</v>
      </c>
      <c r="D444" s="14">
        <f t="shared" si="177"/>
        <v>4.8675505653430484E-3</v>
      </c>
      <c r="E444" s="16">
        <f t="shared" si="178"/>
        <v>0</v>
      </c>
      <c r="F444" s="127"/>
      <c r="G444" s="88">
        <f t="shared" si="179"/>
        <v>0</v>
      </c>
      <c r="H444" s="89">
        <f t="shared" si="192"/>
        <v>4.1666666666666666E-3</v>
      </c>
      <c r="I444" s="219"/>
      <c r="J444" s="219"/>
      <c r="K444" s="6">
        <f t="shared" si="200"/>
        <v>23520.072143880712</v>
      </c>
      <c r="M444" s="6">
        <f t="shared" si="180"/>
        <v>114.48514046085585</v>
      </c>
      <c r="N444" s="6">
        <f t="shared" si="193"/>
        <v>-26.639851504268432</v>
      </c>
      <c r="O444" s="90">
        <f t="shared" si="181"/>
        <v>603.78719470111776</v>
      </c>
      <c r="P444" s="91">
        <f t="shared" si="182"/>
        <v>0</v>
      </c>
      <c r="Q444" s="6">
        <f t="shared" si="183"/>
        <v>98.36632263682209</v>
      </c>
      <c r="R444" s="87">
        <f t="shared" si="203"/>
        <v>-697.30162228238078</v>
      </c>
      <c r="S444" s="6">
        <f t="shared" si="184"/>
        <v>-4.8420807202860683</v>
      </c>
      <c r="T444" s="83">
        <f t="shared" si="194"/>
        <v>0</v>
      </c>
      <c r="U444" s="91">
        <f t="shared" si="201"/>
        <v>125747.94977904593</v>
      </c>
      <c r="V444" s="91">
        <f t="shared" si="195"/>
        <v>612.08450403772429</v>
      </c>
      <c r="W444" s="1">
        <f t="shared" si="207"/>
        <v>0</v>
      </c>
      <c r="X444" s="1">
        <f t="shared" si="207"/>
        <v>0</v>
      </c>
      <c r="Y444" s="1">
        <f t="shared" si="207"/>
        <v>0</v>
      </c>
      <c r="Z444" s="1">
        <f t="shared" si="207"/>
        <v>0</v>
      </c>
      <c r="AA444" s="1">
        <f t="shared" si="207"/>
        <v>0</v>
      </c>
      <c r="AB444" s="1">
        <f t="shared" si="207"/>
        <v>0</v>
      </c>
      <c r="AC444" s="1">
        <f t="shared" si="207"/>
        <v>0</v>
      </c>
      <c r="AD444" s="1">
        <f t="shared" si="207"/>
        <v>0</v>
      </c>
      <c r="AE444" s="1">
        <f t="shared" si="207"/>
        <v>0</v>
      </c>
      <c r="AF444" s="1">
        <f t="shared" si="207"/>
        <v>0</v>
      </c>
      <c r="AG444" s="1">
        <f t="shared" si="207"/>
        <v>1</v>
      </c>
      <c r="AH444" s="1">
        <f t="shared" si="207"/>
        <v>1</v>
      </c>
      <c r="AI444" s="44">
        <f t="shared" si="196"/>
        <v>22910.615810554918</v>
      </c>
      <c r="AJ444" s="44">
        <f t="shared" si="186"/>
        <v>23607.917432837301</v>
      </c>
      <c r="AK444" s="44" t="str">
        <f t="shared" si="204"/>
        <v>N</v>
      </c>
      <c r="AL444" s="4">
        <f t="shared" si="187"/>
        <v>366</v>
      </c>
      <c r="AM444" s="82">
        <f t="shared" si="197"/>
        <v>0</v>
      </c>
      <c r="AN444" s="82">
        <f t="shared" si="188"/>
        <v>0</v>
      </c>
      <c r="AO444" s="48">
        <f>0</f>
        <v>0</v>
      </c>
      <c r="AP444" s="91">
        <f t="shared" si="198"/>
        <v>-697.30162228238078</v>
      </c>
      <c r="AQ444" s="91">
        <f t="shared" si="199"/>
        <v>-697.30162228238078</v>
      </c>
      <c r="AV444" s="84"/>
    </row>
    <row r="445" spans="1:48">
      <c r="A445" s="190">
        <f t="shared" si="189"/>
        <v>96.304243668720048</v>
      </c>
      <c r="B445" s="82">
        <f t="shared" si="190"/>
        <v>31</v>
      </c>
      <c r="C445" s="83">
        <f t="shared" si="191"/>
        <v>367</v>
      </c>
      <c r="D445" s="14">
        <f t="shared" si="177"/>
        <v>4.8675505653430484E-3</v>
      </c>
      <c r="E445" s="16">
        <f t="shared" si="178"/>
        <v>0</v>
      </c>
      <c r="F445" s="127"/>
      <c r="G445" s="88">
        <f t="shared" si="179"/>
        <v>0</v>
      </c>
      <c r="H445" s="89">
        <f t="shared" si="192"/>
        <v>4.1666666666666666E-3</v>
      </c>
      <c r="I445" s="219"/>
      <c r="J445" s="219"/>
      <c r="K445" s="6">
        <f t="shared" si="200"/>
        <v>22910.615810554918</v>
      </c>
      <c r="M445" s="6">
        <f t="shared" si="180"/>
        <v>111.51858094102397</v>
      </c>
      <c r="N445" s="6">
        <f t="shared" si="193"/>
        <v>-25.949554887879895</v>
      </c>
      <c r="O445" s="90">
        <f t="shared" si="181"/>
        <v>603.78719470111776</v>
      </c>
      <c r="P445" s="91">
        <f t="shared" si="182"/>
        <v>0</v>
      </c>
      <c r="Q445" s="6">
        <f t="shared" si="183"/>
        <v>95.817436819200267</v>
      </c>
      <c r="R445" s="87">
        <f t="shared" si="203"/>
        <v>-696.98970428279119</v>
      </c>
      <c r="S445" s="6">
        <f t="shared" si="184"/>
        <v>-4.7147600774109435</v>
      </c>
      <c r="T445" s="83">
        <f t="shared" si="194"/>
        <v>0</v>
      </c>
      <c r="U445" s="91">
        <f t="shared" si="201"/>
        <v>125662.73266080127</v>
      </c>
      <c r="V445" s="91">
        <f t="shared" si="195"/>
        <v>611.66970540563557</v>
      </c>
      <c r="W445" s="1">
        <f t="shared" si="207"/>
        <v>0</v>
      </c>
      <c r="X445" s="1">
        <f t="shared" si="207"/>
        <v>0</v>
      </c>
      <c r="Y445" s="1">
        <f t="shared" si="207"/>
        <v>0</v>
      </c>
      <c r="Z445" s="1">
        <f t="shared" si="207"/>
        <v>0</v>
      </c>
      <c r="AA445" s="1">
        <f t="shared" si="207"/>
        <v>0</v>
      </c>
      <c r="AB445" s="1">
        <f t="shared" si="207"/>
        <v>0</v>
      </c>
      <c r="AC445" s="1">
        <f t="shared" si="207"/>
        <v>0</v>
      </c>
      <c r="AD445" s="1">
        <f t="shared" si="207"/>
        <v>0</v>
      </c>
      <c r="AE445" s="1">
        <f t="shared" si="207"/>
        <v>0</v>
      </c>
      <c r="AF445" s="1">
        <f t="shared" si="207"/>
        <v>0</v>
      </c>
      <c r="AG445" s="1">
        <f t="shared" si="207"/>
        <v>1</v>
      </c>
      <c r="AH445" s="1">
        <f t="shared" si="207"/>
        <v>1</v>
      </c>
      <c r="AI445" s="44">
        <f t="shared" si="196"/>
        <v>22299.195132325272</v>
      </c>
      <c r="AJ445" s="44">
        <f t="shared" si="186"/>
        <v>22996.184836608063</v>
      </c>
      <c r="AK445" s="44" t="str">
        <f t="shared" si="204"/>
        <v>N</v>
      </c>
      <c r="AL445" s="4">
        <f t="shared" si="187"/>
        <v>367</v>
      </c>
      <c r="AM445" s="82">
        <f t="shared" si="197"/>
        <v>0</v>
      </c>
      <c r="AN445" s="82">
        <f t="shared" si="188"/>
        <v>0</v>
      </c>
      <c r="AO445" s="48">
        <f>0</f>
        <v>0</v>
      </c>
      <c r="AP445" s="91">
        <f t="shared" si="198"/>
        <v>-696.98970428279119</v>
      </c>
      <c r="AQ445" s="91">
        <f t="shared" si="199"/>
        <v>-696.98970428279119</v>
      </c>
      <c r="AV445" s="84"/>
    </row>
    <row r="446" spans="1:48">
      <c r="A446" s="190">
        <f t="shared" si="189"/>
        <v>96.387577002053376</v>
      </c>
      <c r="B446" s="82">
        <f t="shared" si="190"/>
        <v>31</v>
      </c>
      <c r="C446" s="83">
        <f t="shared" si="191"/>
        <v>368</v>
      </c>
      <c r="D446" s="14">
        <f t="shared" si="177"/>
        <v>4.8675505653430484E-3</v>
      </c>
      <c r="E446" s="16">
        <f t="shared" si="178"/>
        <v>0</v>
      </c>
      <c r="F446" s="127"/>
      <c r="G446" s="88">
        <f t="shared" si="179"/>
        <v>0</v>
      </c>
      <c r="H446" s="89">
        <f t="shared" si="192"/>
        <v>4.1666666666666666E-3</v>
      </c>
      <c r="I446" s="219"/>
      <c r="J446" s="219"/>
      <c r="K446" s="6">
        <f t="shared" si="200"/>
        <v>22299.195132325272</v>
      </c>
      <c r="M446" s="6">
        <f t="shared" si="180"/>
        <v>108.54245987304483</v>
      </c>
      <c r="N446" s="6">
        <f t="shared" si="193"/>
        <v>-25.257033369449324</v>
      </c>
      <c r="O446" s="90">
        <f t="shared" si="181"/>
        <v>603.78719470111776</v>
      </c>
      <c r="P446" s="91">
        <f t="shared" si="182"/>
        <v>0</v>
      </c>
      <c r="Q446" s="6">
        <f t="shared" si="183"/>
        <v>93.260335661786954</v>
      </c>
      <c r="R446" s="87">
        <f t="shared" si="203"/>
        <v>-696.6779258108262</v>
      </c>
      <c r="S446" s="6">
        <f t="shared" si="184"/>
        <v>-4.5870289466828433</v>
      </c>
      <c r="T446" s="83">
        <f t="shared" si="194"/>
        <v>0</v>
      </c>
      <c r="U446" s="91">
        <f t="shared" si="201"/>
        <v>125577.41266192411</v>
      </c>
      <c r="V446" s="91">
        <f t="shared" si="195"/>
        <v>611.25440599686601</v>
      </c>
      <c r="W446" s="1">
        <f t="shared" si="207"/>
        <v>0</v>
      </c>
      <c r="X446" s="1">
        <f t="shared" si="207"/>
        <v>0</v>
      </c>
      <c r="Y446" s="1">
        <f t="shared" si="207"/>
        <v>0</v>
      </c>
      <c r="Z446" s="1">
        <f t="shared" si="207"/>
        <v>0</v>
      </c>
      <c r="AA446" s="1">
        <f t="shared" si="207"/>
        <v>0</v>
      </c>
      <c r="AB446" s="1">
        <f t="shared" si="207"/>
        <v>0</v>
      </c>
      <c r="AC446" s="1">
        <f t="shared" si="207"/>
        <v>0</v>
      </c>
      <c r="AD446" s="1">
        <f t="shared" si="207"/>
        <v>0</v>
      </c>
      <c r="AE446" s="1">
        <f t="shared" si="207"/>
        <v>0</v>
      </c>
      <c r="AF446" s="1">
        <f t="shared" si="207"/>
        <v>0</v>
      </c>
      <c r="AG446" s="1">
        <f t="shared" si="207"/>
        <v>1</v>
      </c>
      <c r="AH446" s="1">
        <f t="shared" si="207"/>
        <v>1</v>
      </c>
      <c r="AI446" s="44">
        <f t="shared" si="196"/>
        <v>21685.802633018044</v>
      </c>
      <c r="AJ446" s="44">
        <f t="shared" si="186"/>
        <v>22382.480558828869</v>
      </c>
      <c r="AK446" s="44" t="str">
        <f t="shared" si="204"/>
        <v>N</v>
      </c>
      <c r="AL446" s="4">
        <f t="shared" si="187"/>
        <v>368</v>
      </c>
      <c r="AM446" s="82">
        <f t="shared" si="197"/>
        <v>0</v>
      </c>
      <c r="AN446" s="82">
        <f t="shared" si="188"/>
        <v>0</v>
      </c>
      <c r="AO446" s="48">
        <f>0</f>
        <v>0</v>
      </c>
      <c r="AP446" s="91">
        <f t="shared" si="198"/>
        <v>-696.6779258108262</v>
      </c>
      <c r="AQ446" s="91">
        <f t="shared" si="199"/>
        <v>-696.6779258108262</v>
      </c>
      <c r="AV446" s="84"/>
    </row>
    <row r="447" spans="1:48">
      <c r="A447" s="190">
        <f t="shared" si="189"/>
        <v>96.470910335386719</v>
      </c>
      <c r="B447" s="82">
        <f t="shared" si="190"/>
        <v>31</v>
      </c>
      <c r="C447" s="83">
        <f t="shared" si="191"/>
        <v>369</v>
      </c>
      <c r="D447" s="14">
        <f t="shared" si="177"/>
        <v>4.8675505653430484E-3</v>
      </c>
      <c r="E447" s="16">
        <f t="shared" si="178"/>
        <v>0</v>
      </c>
      <c r="F447" s="127"/>
      <c r="G447" s="88">
        <f t="shared" si="179"/>
        <v>0</v>
      </c>
      <c r="H447" s="89">
        <f t="shared" si="192"/>
        <v>4.1666666666666666E-3</v>
      </c>
      <c r="I447" s="219"/>
      <c r="J447" s="219"/>
      <c r="K447" s="6">
        <f t="shared" si="200"/>
        <v>21685.802633018044</v>
      </c>
      <c r="M447" s="6">
        <f t="shared" si="180"/>
        <v>105.55674086626475</v>
      </c>
      <c r="N447" s="6">
        <f t="shared" si="193"/>
        <v>-24.562278481138829</v>
      </c>
      <c r="O447" s="90">
        <f t="shared" si="181"/>
        <v>603.78719470111776</v>
      </c>
      <c r="P447" s="91">
        <f t="shared" si="182"/>
        <v>0</v>
      </c>
      <c r="Q447" s="6">
        <f t="shared" si="183"/>
        <v>90.694987897513201</v>
      </c>
      <c r="R447" s="87">
        <f t="shared" si="203"/>
        <v>-696.3662868040708</v>
      </c>
      <c r="S447" s="6">
        <f t="shared" si="184"/>
        <v>-4.4588857658725871</v>
      </c>
      <c r="T447" s="83">
        <f t="shared" si="194"/>
        <v>0</v>
      </c>
      <c r="U447" s="91">
        <f t="shared" si="201"/>
        <v>125491.98914211015</v>
      </c>
      <c r="V447" s="91">
        <f t="shared" si="195"/>
        <v>610.83860269470199</v>
      </c>
      <c r="W447" s="1">
        <f t="shared" si="207"/>
        <v>0</v>
      </c>
      <c r="X447" s="1">
        <f t="shared" si="207"/>
        <v>0</v>
      </c>
      <c r="Y447" s="1">
        <f t="shared" si="207"/>
        <v>0</v>
      </c>
      <c r="Z447" s="1">
        <f t="shared" si="207"/>
        <v>0</v>
      </c>
      <c r="AA447" s="1">
        <f t="shared" si="207"/>
        <v>0</v>
      </c>
      <c r="AB447" s="1">
        <f t="shared" si="207"/>
        <v>0</v>
      </c>
      <c r="AC447" s="1">
        <f t="shared" si="207"/>
        <v>0</v>
      </c>
      <c r="AD447" s="1">
        <f t="shared" si="207"/>
        <v>0</v>
      </c>
      <c r="AE447" s="1">
        <f t="shared" si="207"/>
        <v>0</v>
      </c>
      <c r="AF447" s="1">
        <f t="shared" si="207"/>
        <v>0</v>
      </c>
      <c r="AG447" s="1">
        <f t="shared" si="207"/>
        <v>1</v>
      </c>
      <c r="AH447" s="1">
        <f t="shared" si="207"/>
        <v>1</v>
      </c>
      <c r="AI447" s="44">
        <f t="shared" si="196"/>
        <v>21070.4308085991</v>
      </c>
      <c r="AJ447" s="44">
        <f t="shared" si="186"/>
        <v>21766.79709540317</v>
      </c>
      <c r="AK447" s="44" t="str">
        <f t="shared" si="204"/>
        <v>N</v>
      </c>
      <c r="AL447" s="4">
        <f t="shared" si="187"/>
        <v>369</v>
      </c>
      <c r="AM447" s="82">
        <f t="shared" si="197"/>
        <v>0</v>
      </c>
      <c r="AN447" s="82">
        <f t="shared" si="188"/>
        <v>0</v>
      </c>
      <c r="AO447" s="48">
        <f>0</f>
        <v>0</v>
      </c>
      <c r="AP447" s="91">
        <f t="shared" si="198"/>
        <v>-696.3662868040708</v>
      </c>
      <c r="AQ447" s="91">
        <f t="shared" si="199"/>
        <v>-696.3662868040708</v>
      </c>
      <c r="AV447" s="84"/>
    </row>
    <row r="448" spans="1:48">
      <c r="A448" s="190">
        <f t="shared" si="189"/>
        <v>96.554243668720048</v>
      </c>
      <c r="B448" s="82">
        <f t="shared" si="190"/>
        <v>31</v>
      </c>
      <c r="C448" s="83">
        <f t="shared" si="191"/>
        <v>370</v>
      </c>
      <c r="D448" s="14">
        <f t="shared" si="177"/>
        <v>4.8675505653430484E-3</v>
      </c>
      <c r="E448" s="16">
        <f t="shared" si="178"/>
        <v>0</v>
      </c>
      <c r="F448" s="127"/>
      <c r="G448" s="88">
        <f t="shared" si="179"/>
        <v>0</v>
      </c>
      <c r="H448" s="89">
        <f t="shared" si="192"/>
        <v>4.1666666666666666E-3</v>
      </c>
      <c r="I448" s="219"/>
      <c r="J448" s="219"/>
      <c r="K448" s="6">
        <f t="shared" si="200"/>
        <v>21070.4308085991</v>
      </c>
      <c r="M448" s="6">
        <f t="shared" si="180"/>
        <v>102.56138739441813</v>
      </c>
      <c r="N448" s="6">
        <f t="shared" si="193"/>
        <v>-23.865281723554624</v>
      </c>
      <c r="O448" s="90">
        <f t="shared" si="181"/>
        <v>603.78719470111776</v>
      </c>
      <c r="P448" s="91">
        <f t="shared" si="182"/>
        <v>0</v>
      </c>
      <c r="Q448" s="6">
        <f t="shared" si="183"/>
        <v>88.121362142791497</v>
      </c>
      <c r="R448" s="87">
        <f t="shared" si="203"/>
        <v>-696.0547872001398</v>
      </c>
      <c r="S448" s="6">
        <f t="shared" si="184"/>
        <v>-4.3303289669292244</v>
      </c>
      <c r="T448" s="83">
        <f t="shared" si="194"/>
        <v>0</v>
      </c>
      <c r="U448" s="91">
        <f t="shared" si="201"/>
        <v>125406.46145800078</v>
      </c>
      <c r="V448" s="91">
        <f t="shared" si="195"/>
        <v>610.42229236756293</v>
      </c>
      <c r="W448" s="1">
        <f t="shared" si="207"/>
        <v>0</v>
      </c>
      <c r="X448" s="1">
        <f t="shared" si="207"/>
        <v>0</v>
      </c>
      <c r="Y448" s="1">
        <f t="shared" si="207"/>
        <v>0</v>
      </c>
      <c r="Z448" s="1">
        <f t="shared" si="207"/>
        <v>0</v>
      </c>
      <c r="AA448" s="1">
        <f t="shared" si="207"/>
        <v>0</v>
      </c>
      <c r="AB448" s="1">
        <f t="shared" si="207"/>
        <v>0</v>
      </c>
      <c r="AC448" s="1">
        <f t="shared" si="207"/>
        <v>0</v>
      </c>
      <c r="AD448" s="1">
        <f t="shared" si="207"/>
        <v>0</v>
      </c>
      <c r="AE448" s="1">
        <f t="shared" si="207"/>
        <v>0</v>
      </c>
      <c r="AF448" s="1">
        <f t="shared" si="207"/>
        <v>0</v>
      </c>
      <c r="AG448" s="1">
        <f t="shared" si="207"/>
        <v>1</v>
      </c>
      <c r="AH448" s="1">
        <f t="shared" si="207"/>
        <v>1</v>
      </c>
      <c r="AI448" s="44">
        <f t="shared" si="196"/>
        <v>20453.07212706982</v>
      </c>
      <c r="AJ448" s="44">
        <f t="shared" si="186"/>
        <v>21149.12691426996</v>
      </c>
      <c r="AK448" s="44" t="str">
        <f t="shared" si="204"/>
        <v>N</v>
      </c>
      <c r="AL448" s="4">
        <f t="shared" si="187"/>
        <v>370</v>
      </c>
      <c r="AM448" s="82">
        <f t="shared" si="197"/>
        <v>0</v>
      </c>
      <c r="AN448" s="82">
        <f t="shared" si="188"/>
        <v>0</v>
      </c>
      <c r="AO448" s="48">
        <f>0</f>
        <v>0</v>
      </c>
      <c r="AP448" s="91">
        <f t="shared" si="198"/>
        <v>-696.0547872001398</v>
      </c>
      <c r="AQ448" s="91">
        <f t="shared" si="199"/>
        <v>-696.0547872001398</v>
      </c>
      <c r="AV448" s="84"/>
    </row>
    <row r="449" spans="1:48">
      <c r="A449" s="190">
        <f t="shared" si="189"/>
        <v>96.637577002053376</v>
      </c>
      <c r="B449" s="82">
        <f t="shared" si="190"/>
        <v>31</v>
      </c>
      <c r="C449" s="83">
        <f t="shared" si="191"/>
        <v>371</v>
      </c>
      <c r="D449" s="14">
        <f t="shared" si="177"/>
        <v>4.8675505653430484E-3</v>
      </c>
      <c r="E449" s="16">
        <f t="shared" si="178"/>
        <v>0</v>
      </c>
      <c r="F449" s="127"/>
      <c r="G449" s="88">
        <f t="shared" si="179"/>
        <v>0</v>
      </c>
      <c r="H449" s="89">
        <f t="shared" si="192"/>
        <v>4.1666666666666666E-3</v>
      </c>
      <c r="I449" s="219"/>
      <c r="J449" s="219"/>
      <c r="K449" s="6">
        <f t="shared" si="200"/>
        <v>20453.07212706982</v>
      </c>
      <c r="M449" s="6">
        <f t="shared" si="180"/>
        <v>99.556362795120847</v>
      </c>
      <c r="N449" s="6">
        <f t="shared" si="193"/>
        <v>-23.16603456562914</v>
      </c>
      <c r="O449" s="90">
        <f t="shared" si="181"/>
        <v>603.78719470111776</v>
      </c>
      <c r="P449" s="91">
        <f t="shared" si="182"/>
        <v>0</v>
      </c>
      <c r="Q449" s="6">
        <f t="shared" si="183"/>
        <v>85.53942689708046</v>
      </c>
      <c r="R449" s="87">
        <f t="shared" si="203"/>
        <v>-695.74342693667552</v>
      </c>
      <c r="S449" s="6">
        <f t="shared" si="184"/>
        <v>-4.2013569759582916</v>
      </c>
      <c r="T449" s="83">
        <f t="shared" si="194"/>
        <v>0</v>
      </c>
      <c r="U449" s="91">
        <f t="shared" si="201"/>
        <v>125320.82896316821</v>
      </c>
      <c r="V449" s="91">
        <f t="shared" si="195"/>
        <v>610.00547186892891</v>
      </c>
      <c r="W449" s="1">
        <f t="shared" ref="W449:AH458" si="208">IF($B449&lt;=W$78,1,0)</f>
        <v>0</v>
      </c>
      <c r="X449" s="1">
        <f t="shared" si="208"/>
        <v>0</v>
      </c>
      <c r="Y449" s="1">
        <f t="shared" si="208"/>
        <v>0</v>
      </c>
      <c r="Z449" s="1">
        <f t="shared" si="208"/>
        <v>0</v>
      </c>
      <c r="AA449" s="1">
        <f t="shared" si="208"/>
        <v>0</v>
      </c>
      <c r="AB449" s="1">
        <f t="shared" si="208"/>
        <v>0</v>
      </c>
      <c r="AC449" s="1">
        <f t="shared" si="208"/>
        <v>0</v>
      </c>
      <c r="AD449" s="1">
        <f t="shared" si="208"/>
        <v>0</v>
      </c>
      <c r="AE449" s="1">
        <f t="shared" si="208"/>
        <v>0</v>
      </c>
      <c r="AF449" s="1">
        <f t="shared" si="208"/>
        <v>0</v>
      </c>
      <c r="AG449" s="1">
        <f t="shared" si="208"/>
        <v>1</v>
      </c>
      <c r="AH449" s="1">
        <f t="shared" si="208"/>
        <v>1</v>
      </c>
      <c r="AI449" s="44">
        <f t="shared" si="196"/>
        <v>19833.719028362637</v>
      </c>
      <c r="AJ449" s="44">
        <f t="shared" si="186"/>
        <v>20529.462455299312</v>
      </c>
      <c r="AK449" s="44" t="str">
        <f t="shared" si="204"/>
        <v>N</v>
      </c>
      <c r="AL449" s="4">
        <f t="shared" si="187"/>
        <v>371</v>
      </c>
      <c r="AM449" s="82">
        <f t="shared" si="197"/>
        <v>0</v>
      </c>
      <c r="AN449" s="82">
        <f t="shared" si="188"/>
        <v>0</v>
      </c>
      <c r="AO449" s="48">
        <f>0</f>
        <v>0</v>
      </c>
      <c r="AP449" s="91">
        <f t="shared" si="198"/>
        <v>-695.74342693667552</v>
      </c>
      <c r="AQ449" s="91">
        <f t="shared" si="199"/>
        <v>-695.74342693667552</v>
      </c>
      <c r="AV449" s="84"/>
    </row>
    <row r="450" spans="1:48">
      <c r="A450" s="190">
        <f t="shared" si="189"/>
        <v>96.720910335386719</v>
      </c>
      <c r="B450" s="82">
        <f t="shared" si="190"/>
        <v>31</v>
      </c>
      <c r="C450" s="83">
        <f t="shared" si="191"/>
        <v>372</v>
      </c>
      <c r="D450" s="14">
        <f t="shared" si="177"/>
        <v>4.8675505653430484E-3</v>
      </c>
      <c r="E450" s="16">
        <f t="shared" si="178"/>
        <v>0</v>
      </c>
      <c r="F450" s="127"/>
      <c r="G450" s="88">
        <f t="shared" si="179"/>
        <v>0</v>
      </c>
      <c r="H450" s="89">
        <f t="shared" si="192"/>
        <v>4.1666666666666666E-3</v>
      </c>
      <c r="I450" s="219"/>
      <c r="J450" s="219"/>
      <c r="K450" s="6">
        <f t="shared" si="200"/>
        <v>19833.719028362637</v>
      </c>
      <c r="M450" s="6">
        <f t="shared" si="180"/>
        <v>96.541630269361733</v>
      </c>
      <c r="N450" s="6">
        <f t="shared" si="193"/>
        <v>-22.464528444502697</v>
      </c>
      <c r="O450" s="90">
        <f t="shared" si="181"/>
        <v>603.78719470111776</v>
      </c>
      <c r="P450" s="91">
        <f t="shared" si="182"/>
        <v>0</v>
      </c>
      <c r="Q450" s="6">
        <f t="shared" si="183"/>
        <v>82.949150542447896</v>
      </c>
      <c r="R450" s="87">
        <f t="shared" si="203"/>
        <v>-695.43220595134733</v>
      </c>
      <c r="S450" s="6">
        <f t="shared" si="184"/>
        <v>-4.0719682131999804</v>
      </c>
      <c r="T450" s="83">
        <f t="shared" si="194"/>
        <v>0</v>
      </c>
      <c r="U450" s="91">
        <f t="shared" si="201"/>
        <v>125235.09100810047</v>
      </c>
      <c r="V450" s="91">
        <f t="shared" si="195"/>
        <v>609.58813803726753</v>
      </c>
      <c r="W450" s="1">
        <f t="shared" si="208"/>
        <v>0</v>
      </c>
      <c r="X450" s="1">
        <f t="shared" si="208"/>
        <v>0</v>
      </c>
      <c r="Y450" s="1">
        <f t="shared" si="208"/>
        <v>0</v>
      </c>
      <c r="Z450" s="1">
        <f t="shared" si="208"/>
        <v>0</v>
      </c>
      <c r="AA450" s="1">
        <f t="shared" si="208"/>
        <v>0</v>
      </c>
      <c r="AB450" s="1">
        <f t="shared" si="208"/>
        <v>0</v>
      </c>
      <c r="AC450" s="1">
        <f t="shared" si="208"/>
        <v>0</v>
      </c>
      <c r="AD450" s="1">
        <f t="shared" si="208"/>
        <v>0</v>
      </c>
      <c r="AE450" s="1">
        <f t="shared" si="208"/>
        <v>0</v>
      </c>
      <c r="AF450" s="1">
        <f t="shared" si="208"/>
        <v>0</v>
      </c>
      <c r="AG450" s="1">
        <f t="shared" si="208"/>
        <v>1</v>
      </c>
      <c r="AH450" s="1">
        <f t="shared" si="208"/>
        <v>1</v>
      </c>
      <c r="AI450" s="44">
        <f t="shared" si="196"/>
        <v>19212.36392423615</v>
      </c>
      <c r="AJ450" s="44">
        <f t="shared" si="186"/>
        <v>19907.796130187497</v>
      </c>
      <c r="AK450" s="44" t="str">
        <f t="shared" si="204"/>
        <v>N</v>
      </c>
      <c r="AL450" s="4">
        <f t="shared" si="187"/>
        <v>372</v>
      </c>
      <c r="AM450" s="82">
        <f t="shared" si="197"/>
        <v>0</v>
      </c>
      <c r="AN450" s="82">
        <f t="shared" si="188"/>
        <v>0</v>
      </c>
      <c r="AO450" s="48">
        <f>0</f>
        <v>0</v>
      </c>
      <c r="AP450" s="91">
        <f t="shared" si="198"/>
        <v>-695.43220595134733</v>
      </c>
      <c r="AQ450" s="91">
        <f t="shared" si="199"/>
        <v>-695.43220595134733</v>
      </c>
      <c r="AV450" s="84"/>
    </row>
    <row r="451" spans="1:48">
      <c r="A451" s="190">
        <f t="shared" si="189"/>
        <v>96.804243668720048</v>
      </c>
      <c r="B451" s="82">
        <f t="shared" si="190"/>
        <v>32</v>
      </c>
      <c r="C451" s="83">
        <f t="shared" si="191"/>
        <v>373</v>
      </c>
      <c r="D451" s="14">
        <f t="shared" si="177"/>
        <v>4.8675505653430484E-3</v>
      </c>
      <c r="E451" s="16">
        <f t="shared" si="178"/>
        <v>0</v>
      </c>
      <c r="F451" s="127"/>
      <c r="G451" s="88">
        <f t="shared" si="179"/>
        <v>0</v>
      </c>
      <c r="H451" s="89">
        <f t="shared" si="192"/>
        <v>4.1666666666666666E-3</v>
      </c>
      <c r="I451" s="219"/>
      <c r="J451" s="219"/>
      <c r="K451" s="6">
        <f t="shared" si="200"/>
        <v>19212.36392423615</v>
      </c>
      <c r="M451" s="6">
        <f t="shared" si="180"/>
        <v>93.517152880992057</v>
      </c>
      <c r="N451" s="6">
        <f t="shared" si="193"/>
        <v>-21.760754765404716</v>
      </c>
      <c r="O451" s="90">
        <f t="shared" si="181"/>
        <v>615.86293859514001</v>
      </c>
      <c r="P451" s="91">
        <f t="shared" si="182"/>
        <v>0</v>
      </c>
      <c r="Q451" s="6">
        <f t="shared" si="183"/>
        <v>80.350501343132237</v>
      </c>
      <c r="R451" s="87">
        <f t="shared" si="203"/>
        <v>-695.12112418185393</v>
      </c>
      <c r="S451" s="6">
        <f t="shared" si="184"/>
        <v>-3.942161093007218</v>
      </c>
      <c r="T451" s="83">
        <f t="shared" si="194"/>
        <v>0</v>
      </c>
      <c r="U451" s="91">
        <f t="shared" si="201"/>
        <v>125149.24694018639</v>
      </c>
      <c r="V451" s="91">
        <f t="shared" si="195"/>
        <v>609.17028769596106</v>
      </c>
      <c r="W451" s="1">
        <f t="shared" si="208"/>
        <v>0</v>
      </c>
      <c r="X451" s="1">
        <f t="shared" si="208"/>
        <v>0</v>
      </c>
      <c r="Y451" s="1">
        <f t="shared" si="208"/>
        <v>0</v>
      </c>
      <c r="Z451" s="1">
        <f t="shared" si="208"/>
        <v>0</v>
      </c>
      <c r="AA451" s="1">
        <f t="shared" si="208"/>
        <v>0</v>
      </c>
      <c r="AB451" s="1">
        <f t="shared" si="208"/>
        <v>0</v>
      </c>
      <c r="AC451" s="1">
        <f t="shared" si="208"/>
        <v>0</v>
      </c>
      <c r="AD451" s="1">
        <f t="shared" si="208"/>
        <v>0</v>
      </c>
      <c r="AE451" s="1">
        <f t="shared" si="208"/>
        <v>0</v>
      </c>
      <c r="AF451" s="1">
        <f t="shared" si="208"/>
        <v>0</v>
      </c>
      <c r="AG451" s="1">
        <f t="shared" si="208"/>
        <v>1</v>
      </c>
      <c r="AH451" s="1">
        <f t="shared" si="208"/>
        <v>1</v>
      </c>
      <c r="AI451" s="44">
        <f t="shared" si="196"/>
        <v>18588.999198169884</v>
      </c>
      <c r="AJ451" s="44">
        <f t="shared" si="186"/>
        <v>19284.120322351737</v>
      </c>
      <c r="AK451" s="44" t="str">
        <f t="shared" si="204"/>
        <v>N</v>
      </c>
      <c r="AL451" s="4">
        <f t="shared" si="187"/>
        <v>373</v>
      </c>
      <c r="AM451" s="82">
        <f t="shared" si="197"/>
        <v>0</v>
      </c>
      <c r="AN451" s="82">
        <f t="shared" si="188"/>
        <v>0</v>
      </c>
      <c r="AO451" s="48">
        <f>0</f>
        <v>0</v>
      </c>
      <c r="AP451" s="91">
        <f t="shared" si="198"/>
        <v>-695.12112418185393</v>
      </c>
      <c r="AQ451" s="91">
        <f t="shared" si="199"/>
        <v>-695.12112418185393</v>
      </c>
      <c r="AV451" s="84"/>
    </row>
    <row r="452" spans="1:48">
      <c r="A452" s="190">
        <f t="shared" si="189"/>
        <v>96.887577002053376</v>
      </c>
      <c r="B452" s="82">
        <f t="shared" si="190"/>
        <v>32</v>
      </c>
      <c r="C452" s="83">
        <f t="shared" si="191"/>
        <v>374</v>
      </c>
      <c r="D452" s="14">
        <f t="shared" si="177"/>
        <v>4.8675505653430484E-3</v>
      </c>
      <c r="E452" s="16">
        <f t="shared" si="178"/>
        <v>0</v>
      </c>
      <c r="F452" s="127"/>
      <c r="G452" s="88">
        <f t="shared" si="179"/>
        <v>0</v>
      </c>
      <c r="H452" s="89">
        <f t="shared" si="192"/>
        <v>4.1666666666666666E-3</v>
      </c>
      <c r="I452" s="219"/>
      <c r="J452" s="219"/>
      <c r="K452" s="6">
        <f t="shared" si="200"/>
        <v>18588.999198169884</v>
      </c>
      <c r="M452" s="6">
        <f t="shared" si="180"/>
        <v>90.482893556213298</v>
      </c>
      <c r="N452" s="6">
        <f t="shared" si="193"/>
        <v>-21.054704901534514</v>
      </c>
      <c r="O452" s="90">
        <f t="shared" si="181"/>
        <v>615.86293859514001</v>
      </c>
      <c r="P452" s="91">
        <f t="shared" si="182"/>
        <v>0</v>
      </c>
      <c r="Q452" s="6">
        <f t="shared" si="183"/>
        <v>77.743447445102362</v>
      </c>
      <c r="R452" s="87">
        <f t="shared" si="203"/>
        <v>-694.81018156592063</v>
      </c>
      <c r="S452" s="6">
        <f t="shared" si="184"/>
        <v>-3.8119340238236812</v>
      </c>
      <c r="T452" s="83">
        <f t="shared" si="194"/>
        <v>0</v>
      </c>
      <c r="U452" s="91">
        <f t="shared" si="201"/>
        <v>125063.2961037005</v>
      </c>
      <c r="V452" s="91">
        <f t="shared" si="195"/>
        <v>608.75191765323245</v>
      </c>
      <c r="W452" s="1">
        <f t="shared" si="208"/>
        <v>0</v>
      </c>
      <c r="X452" s="1">
        <f t="shared" si="208"/>
        <v>0</v>
      </c>
      <c r="Y452" s="1">
        <f t="shared" si="208"/>
        <v>0</v>
      </c>
      <c r="Z452" s="1">
        <f t="shared" si="208"/>
        <v>0</v>
      </c>
      <c r="AA452" s="1">
        <f t="shared" si="208"/>
        <v>0</v>
      </c>
      <c r="AB452" s="1">
        <f t="shared" si="208"/>
        <v>0</v>
      </c>
      <c r="AC452" s="1">
        <f t="shared" si="208"/>
        <v>0</v>
      </c>
      <c r="AD452" s="1">
        <f t="shared" si="208"/>
        <v>0</v>
      </c>
      <c r="AE452" s="1">
        <f t="shared" si="208"/>
        <v>0</v>
      </c>
      <c r="AF452" s="1">
        <f t="shared" si="208"/>
        <v>0</v>
      </c>
      <c r="AG452" s="1">
        <f t="shared" si="208"/>
        <v>1</v>
      </c>
      <c r="AH452" s="1">
        <f t="shared" si="208"/>
        <v>1</v>
      </c>
      <c r="AI452" s="44">
        <f t="shared" si="196"/>
        <v>17963.617205258644</v>
      </c>
      <c r="AJ452" s="44">
        <f t="shared" si="186"/>
        <v>18658.427386824565</v>
      </c>
      <c r="AK452" s="44" t="str">
        <f t="shared" si="204"/>
        <v>N</v>
      </c>
      <c r="AL452" s="4">
        <f t="shared" si="187"/>
        <v>374</v>
      </c>
      <c r="AM452" s="82">
        <f t="shared" si="197"/>
        <v>0</v>
      </c>
      <c r="AN452" s="82">
        <f t="shared" si="188"/>
        <v>0</v>
      </c>
      <c r="AO452" s="48">
        <f>0</f>
        <v>0</v>
      </c>
      <c r="AP452" s="91">
        <f t="shared" si="198"/>
        <v>-694.81018156592063</v>
      </c>
      <c r="AQ452" s="91">
        <f t="shared" si="199"/>
        <v>-694.81018156592063</v>
      </c>
      <c r="AV452" s="84"/>
    </row>
    <row r="453" spans="1:48">
      <c r="A453" s="190">
        <f t="shared" si="189"/>
        <v>96.970910335386719</v>
      </c>
      <c r="B453" s="82">
        <f t="shared" si="190"/>
        <v>32</v>
      </c>
      <c r="C453" s="83">
        <f t="shared" si="191"/>
        <v>375</v>
      </c>
      <c r="D453" s="14">
        <f t="shared" si="177"/>
        <v>4.8675505653430484E-3</v>
      </c>
      <c r="E453" s="16">
        <f t="shared" si="178"/>
        <v>0</v>
      </c>
      <c r="F453" s="127"/>
      <c r="G453" s="88">
        <f t="shared" si="179"/>
        <v>0</v>
      </c>
      <c r="H453" s="89">
        <f t="shared" si="192"/>
        <v>4.1666666666666666E-3</v>
      </c>
      <c r="I453" s="219"/>
      <c r="J453" s="219"/>
      <c r="K453" s="6">
        <f t="shared" si="200"/>
        <v>17963.617205258644</v>
      </c>
      <c r="M453" s="6">
        <f t="shared" si="180"/>
        <v>87.438815083062821</v>
      </c>
      <c r="N453" s="6">
        <f t="shared" si="193"/>
        <v>-20.346370193941649</v>
      </c>
      <c r="O453" s="90">
        <f t="shared" si="181"/>
        <v>615.86293859514001</v>
      </c>
      <c r="P453" s="91">
        <f t="shared" si="182"/>
        <v>0</v>
      </c>
      <c r="Q453" s="6">
        <f t="shared" si="183"/>
        <v>75.127956875615695</v>
      </c>
      <c r="R453" s="87">
        <f t="shared" si="203"/>
        <v>-694.49937804130104</v>
      </c>
      <c r="S453" s="6">
        <f t="shared" si="184"/>
        <v>-3.6812854081617195</v>
      </c>
      <c r="T453" s="83">
        <f t="shared" si="194"/>
        <v>0</v>
      </c>
      <c r="U453" s="91">
        <f t="shared" si="201"/>
        <v>124977.23783978782</v>
      </c>
      <c r="V453" s="91">
        <f t="shared" si="195"/>
        <v>608.33302470207184</v>
      </c>
      <c r="W453" s="1">
        <f t="shared" si="208"/>
        <v>0</v>
      </c>
      <c r="X453" s="1">
        <f t="shared" si="208"/>
        <v>0</v>
      </c>
      <c r="Y453" s="1">
        <f t="shared" si="208"/>
        <v>0</v>
      </c>
      <c r="Z453" s="1">
        <f t="shared" si="208"/>
        <v>0</v>
      </c>
      <c r="AA453" s="1">
        <f t="shared" si="208"/>
        <v>0</v>
      </c>
      <c r="AB453" s="1">
        <f t="shared" si="208"/>
        <v>0</v>
      </c>
      <c r="AC453" s="1">
        <f t="shared" si="208"/>
        <v>0</v>
      </c>
      <c r="AD453" s="1">
        <f t="shared" si="208"/>
        <v>0</v>
      </c>
      <c r="AE453" s="1">
        <f t="shared" si="208"/>
        <v>0</v>
      </c>
      <c r="AF453" s="1">
        <f t="shared" si="208"/>
        <v>0</v>
      </c>
      <c r="AG453" s="1">
        <f t="shared" si="208"/>
        <v>1</v>
      </c>
      <c r="AH453" s="1">
        <f t="shared" si="208"/>
        <v>1</v>
      </c>
      <c r="AI453" s="44">
        <f t="shared" si="196"/>
        <v>17336.210272106466</v>
      </c>
      <c r="AJ453" s="44">
        <f t="shared" si="186"/>
        <v>18030.709650147768</v>
      </c>
      <c r="AK453" s="44" t="str">
        <f t="shared" si="204"/>
        <v>N</v>
      </c>
      <c r="AL453" s="4">
        <f t="shared" si="187"/>
        <v>375</v>
      </c>
      <c r="AM453" s="82">
        <f t="shared" si="197"/>
        <v>0</v>
      </c>
      <c r="AN453" s="82">
        <f t="shared" si="188"/>
        <v>0</v>
      </c>
      <c r="AO453" s="48">
        <f>0</f>
        <v>0</v>
      </c>
      <c r="AP453" s="91">
        <f t="shared" si="198"/>
        <v>-694.49937804130104</v>
      </c>
      <c r="AQ453" s="91">
        <f t="shared" si="199"/>
        <v>-694.49937804130104</v>
      </c>
      <c r="AV453" s="84"/>
    </row>
    <row r="454" spans="1:48">
      <c r="A454" s="190">
        <f t="shared" si="189"/>
        <v>97.054243668720048</v>
      </c>
      <c r="B454" s="82">
        <f t="shared" si="190"/>
        <v>32</v>
      </c>
      <c r="C454" s="83">
        <f t="shared" si="191"/>
        <v>376</v>
      </c>
      <c r="D454" s="14">
        <f t="shared" si="177"/>
        <v>4.8675505653430484E-3</v>
      </c>
      <c r="E454" s="16">
        <f t="shared" si="178"/>
        <v>0</v>
      </c>
      <c r="F454" s="127"/>
      <c r="G454" s="88">
        <f t="shared" si="179"/>
        <v>0</v>
      </c>
      <c r="H454" s="89">
        <f t="shared" si="192"/>
        <v>4.1666666666666666E-3</v>
      </c>
      <c r="I454" s="219"/>
      <c r="J454" s="219"/>
      <c r="K454" s="6">
        <f t="shared" si="200"/>
        <v>17336.210272106466</v>
      </c>
      <c r="M454" s="6">
        <f t="shared" si="180"/>
        <v>84.384880110897797</v>
      </c>
      <c r="N454" s="6">
        <f t="shared" si="193"/>
        <v>-19.635741951405791</v>
      </c>
      <c r="O454" s="90">
        <f t="shared" si="181"/>
        <v>615.86293859514001</v>
      </c>
      <c r="P454" s="91">
        <f t="shared" si="182"/>
        <v>0</v>
      </c>
      <c r="Q454" s="6">
        <f t="shared" si="183"/>
        <v>72.503997542774826</v>
      </c>
      <c r="R454" s="87">
        <f t="shared" si="203"/>
        <v>-711.88439465650981</v>
      </c>
      <c r="S454" s="6">
        <f t="shared" si="184"/>
        <v>-3.5483682269700938</v>
      </c>
      <c r="T454" s="83">
        <f t="shared" si="194"/>
        <v>0</v>
      </c>
      <c r="U454" s="91">
        <f t="shared" si="201"/>
        <v>124891.07148644859</v>
      </c>
      <c r="V454" s="91">
        <f t="shared" si="195"/>
        <v>607.91360562016189</v>
      </c>
      <c r="W454" s="1">
        <f t="shared" si="208"/>
        <v>0</v>
      </c>
      <c r="X454" s="1">
        <f t="shared" si="208"/>
        <v>0</v>
      </c>
      <c r="Y454" s="1">
        <f t="shared" si="208"/>
        <v>0</v>
      </c>
      <c r="Z454" s="1">
        <f t="shared" si="208"/>
        <v>0</v>
      </c>
      <c r="AA454" s="1">
        <f t="shared" si="208"/>
        <v>0</v>
      </c>
      <c r="AB454" s="1">
        <f t="shared" si="208"/>
        <v>0</v>
      </c>
      <c r="AC454" s="1">
        <f t="shared" si="208"/>
        <v>0</v>
      </c>
      <c r="AD454" s="1">
        <f t="shared" si="208"/>
        <v>0</v>
      </c>
      <c r="AE454" s="1">
        <f t="shared" si="208"/>
        <v>0</v>
      </c>
      <c r="AF454" s="1">
        <f t="shared" si="208"/>
        <v>0</v>
      </c>
      <c r="AG454" s="1">
        <f t="shared" si="208"/>
        <v>1</v>
      </c>
      <c r="AH454" s="1">
        <f t="shared" si="208"/>
        <v>1</v>
      </c>
      <c r="AI454" s="44">
        <f t="shared" si="196"/>
        <v>16689.075015609447</v>
      </c>
      <c r="AJ454" s="44">
        <f t="shared" si="186"/>
        <v>17400.959410265958</v>
      </c>
      <c r="AK454" s="44" t="str">
        <f t="shared" si="204"/>
        <v>N</v>
      </c>
      <c r="AL454" s="4">
        <f t="shared" si="187"/>
        <v>376</v>
      </c>
      <c r="AM454" s="82">
        <f t="shared" si="197"/>
        <v>0</v>
      </c>
      <c r="AN454" s="82">
        <f t="shared" si="188"/>
        <v>0</v>
      </c>
      <c r="AO454" s="48">
        <f>0</f>
        <v>0</v>
      </c>
      <c r="AP454" s="91">
        <f t="shared" si="198"/>
        <v>-711.88439465650981</v>
      </c>
      <c r="AQ454" s="91">
        <f t="shared" si="199"/>
        <v>-711.88439465650981</v>
      </c>
      <c r="AV454" s="84"/>
    </row>
    <row r="455" spans="1:48">
      <c r="A455" s="190">
        <f t="shared" si="189"/>
        <v>97.137577002053376</v>
      </c>
      <c r="B455" s="82">
        <f t="shared" si="190"/>
        <v>32</v>
      </c>
      <c r="C455" s="83">
        <f t="shared" si="191"/>
        <v>377</v>
      </c>
      <c r="D455" s="14">
        <f t="shared" si="177"/>
        <v>4.8675505653430484E-3</v>
      </c>
      <c r="E455" s="16">
        <f t="shared" si="178"/>
        <v>0</v>
      </c>
      <c r="F455" s="127"/>
      <c r="G455" s="88">
        <f t="shared" si="179"/>
        <v>0</v>
      </c>
      <c r="H455" s="89">
        <f t="shared" si="192"/>
        <v>4.1666666666666666E-3</v>
      </c>
      <c r="I455" s="219"/>
      <c r="J455" s="219"/>
      <c r="K455" s="6">
        <f t="shared" si="200"/>
        <v>16689.075015609447</v>
      </c>
      <c r="M455" s="6">
        <f t="shared" si="180"/>
        <v>81.234916527282309</v>
      </c>
      <c r="N455" s="6">
        <f t="shared" si="193"/>
        <v>-18.902768556137421</v>
      </c>
      <c r="O455" s="90">
        <f t="shared" si="181"/>
        <v>615.86293859514001</v>
      </c>
      <c r="P455" s="91">
        <f t="shared" si="182"/>
        <v>0</v>
      </c>
      <c r="Q455" s="6">
        <f t="shared" si="183"/>
        <v>69.797529848252466</v>
      </c>
      <c r="R455" s="87">
        <f t="shared" si="203"/>
        <v>-711.56595346947631</v>
      </c>
      <c r="S455" s="6">
        <f t="shared" si="184"/>
        <v>-3.4131748038697718</v>
      </c>
      <c r="T455" s="83">
        <f t="shared" si="194"/>
        <v>0</v>
      </c>
      <c r="U455" s="91">
        <f t="shared" si="201"/>
        <v>124787.10069741226</v>
      </c>
      <c r="V455" s="91">
        <f t="shared" si="195"/>
        <v>607.40752254720894</v>
      </c>
      <c r="W455" s="1">
        <f t="shared" si="208"/>
        <v>0</v>
      </c>
      <c r="X455" s="1">
        <f t="shared" si="208"/>
        <v>0</v>
      </c>
      <c r="Y455" s="1">
        <f t="shared" si="208"/>
        <v>0</v>
      </c>
      <c r="Z455" s="1">
        <f t="shared" si="208"/>
        <v>0</v>
      </c>
      <c r="AA455" s="1">
        <f t="shared" si="208"/>
        <v>0</v>
      </c>
      <c r="AB455" s="1">
        <f t="shared" si="208"/>
        <v>0</v>
      </c>
      <c r="AC455" s="1">
        <f t="shared" si="208"/>
        <v>0</v>
      </c>
      <c r="AD455" s="1">
        <f t="shared" si="208"/>
        <v>0</v>
      </c>
      <c r="AE455" s="1">
        <f t="shared" si="208"/>
        <v>0</v>
      </c>
      <c r="AF455" s="1">
        <f t="shared" si="208"/>
        <v>0</v>
      </c>
      <c r="AG455" s="1">
        <f t="shared" si="208"/>
        <v>1</v>
      </c>
      <c r="AH455" s="1">
        <f t="shared" si="208"/>
        <v>1</v>
      </c>
      <c r="AI455" s="44">
        <f t="shared" si="196"/>
        <v>16039.841210111115</v>
      </c>
      <c r="AJ455" s="44">
        <f t="shared" si="186"/>
        <v>16751.407163580592</v>
      </c>
      <c r="AK455" s="44" t="str">
        <f t="shared" si="204"/>
        <v>N</v>
      </c>
      <c r="AL455" s="4">
        <f t="shared" si="187"/>
        <v>377</v>
      </c>
      <c r="AM455" s="82">
        <f t="shared" si="197"/>
        <v>0</v>
      </c>
      <c r="AN455" s="82">
        <f t="shared" si="188"/>
        <v>0</v>
      </c>
      <c r="AO455" s="48">
        <f>0</f>
        <v>0</v>
      </c>
      <c r="AP455" s="91">
        <f t="shared" si="198"/>
        <v>-711.56595346947631</v>
      </c>
      <c r="AQ455" s="91">
        <f t="shared" si="199"/>
        <v>-711.56595346947631</v>
      </c>
      <c r="AV455" s="84"/>
    </row>
    <row r="456" spans="1:48">
      <c r="A456" s="190">
        <f t="shared" si="189"/>
        <v>97.220910335386719</v>
      </c>
      <c r="B456" s="82">
        <f t="shared" si="190"/>
        <v>32</v>
      </c>
      <c r="C456" s="83">
        <f t="shared" si="191"/>
        <v>378</v>
      </c>
      <c r="D456" s="14">
        <f t="shared" si="177"/>
        <v>4.8675505653430484E-3</v>
      </c>
      <c r="E456" s="16">
        <f t="shared" si="178"/>
        <v>0</v>
      </c>
      <c r="F456" s="127"/>
      <c r="G456" s="88">
        <f t="shared" si="179"/>
        <v>0</v>
      </c>
      <c r="H456" s="89">
        <f t="shared" si="192"/>
        <v>4.1666666666666666E-3</v>
      </c>
      <c r="I456" s="219"/>
      <c r="J456" s="219"/>
      <c r="K456" s="6">
        <f t="shared" si="200"/>
        <v>16039.841210111115</v>
      </c>
      <c r="M456" s="6">
        <f t="shared" si="180"/>
        <v>78.074738150289079</v>
      </c>
      <c r="N456" s="6">
        <f t="shared" si="193"/>
        <v>-18.167418253458759</v>
      </c>
      <c r="O456" s="90">
        <f t="shared" si="181"/>
        <v>615.86293859514001</v>
      </c>
      <c r="P456" s="91">
        <f t="shared" si="182"/>
        <v>0</v>
      </c>
      <c r="Q456" s="6">
        <f t="shared" si="183"/>
        <v>67.082285541699775</v>
      </c>
      <c r="R456" s="87">
        <f t="shared" si="203"/>
        <v>-711.24765472802835</v>
      </c>
      <c r="S456" s="6">
        <f t="shared" si="184"/>
        <v>-3.2775428490649618</v>
      </c>
      <c r="T456" s="83">
        <f t="shared" si="194"/>
        <v>0</v>
      </c>
      <c r="U456" s="91">
        <f t="shared" si="201"/>
        <v>124682.94226648999</v>
      </c>
      <c r="V456" s="91">
        <f t="shared" si="195"/>
        <v>606.90052611788803</v>
      </c>
      <c r="W456" s="1">
        <f t="shared" si="208"/>
        <v>0</v>
      </c>
      <c r="X456" s="1">
        <f t="shared" si="208"/>
        <v>0</v>
      </c>
      <c r="Y456" s="1">
        <f t="shared" si="208"/>
        <v>0</v>
      </c>
      <c r="Z456" s="1">
        <f t="shared" si="208"/>
        <v>0</v>
      </c>
      <c r="AA456" s="1">
        <f t="shared" si="208"/>
        <v>0</v>
      </c>
      <c r="AB456" s="1">
        <f t="shared" si="208"/>
        <v>0</v>
      </c>
      <c r="AC456" s="1">
        <f t="shared" si="208"/>
        <v>0</v>
      </c>
      <c r="AD456" s="1">
        <f t="shared" si="208"/>
        <v>0</v>
      </c>
      <c r="AE456" s="1">
        <f t="shared" si="208"/>
        <v>0</v>
      </c>
      <c r="AF456" s="1">
        <f t="shared" si="208"/>
        <v>0</v>
      </c>
      <c r="AG456" s="1">
        <f t="shared" si="208"/>
        <v>1</v>
      </c>
      <c r="AH456" s="1">
        <f t="shared" si="208"/>
        <v>1</v>
      </c>
      <c r="AI456" s="44">
        <f t="shared" si="196"/>
        <v>15388.500875279919</v>
      </c>
      <c r="AJ456" s="44">
        <f t="shared" si="186"/>
        <v>16099.748530007946</v>
      </c>
      <c r="AK456" s="44" t="str">
        <f t="shared" si="204"/>
        <v>N</v>
      </c>
      <c r="AL456" s="4">
        <f t="shared" si="187"/>
        <v>378</v>
      </c>
      <c r="AM456" s="82">
        <f t="shared" si="197"/>
        <v>0</v>
      </c>
      <c r="AN456" s="82">
        <f t="shared" si="188"/>
        <v>0</v>
      </c>
      <c r="AO456" s="48">
        <f>0</f>
        <v>0</v>
      </c>
      <c r="AP456" s="91">
        <f t="shared" si="198"/>
        <v>-711.24765472802835</v>
      </c>
      <c r="AQ456" s="91">
        <f t="shared" si="199"/>
        <v>-711.24765472802835</v>
      </c>
      <c r="AV456" s="84"/>
    </row>
    <row r="457" spans="1:48">
      <c r="A457" s="190">
        <f t="shared" si="189"/>
        <v>97.304243668720048</v>
      </c>
      <c r="B457" s="82">
        <f t="shared" si="190"/>
        <v>32</v>
      </c>
      <c r="C457" s="83">
        <f t="shared" si="191"/>
        <v>379</v>
      </c>
      <c r="D457" s="14">
        <f t="shared" si="177"/>
        <v>4.8675505653430484E-3</v>
      </c>
      <c r="E457" s="16">
        <f t="shared" si="178"/>
        <v>0</v>
      </c>
      <c r="F457" s="127"/>
      <c r="G457" s="88">
        <f t="shared" si="179"/>
        <v>0</v>
      </c>
      <c r="H457" s="89">
        <f t="shared" si="192"/>
        <v>4.1666666666666666E-3</v>
      </c>
      <c r="I457" s="219"/>
      <c r="J457" s="219"/>
      <c r="K457" s="6">
        <f t="shared" si="200"/>
        <v>15388.500875279919</v>
      </c>
      <c r="M457" s="6">
        <f t="shared" si="180"/>
        <v>74.904306135250764</v>
      </c>
      <c r="N457" s="6">
        <f t="shared" si="193"/>
        <v>-17.42968200450095</v>
      </c>
      <c r="O457" s="90">
        <f t="shared" si="181"/>
        <v>615.86293859514001</v>
      </c>
      <c r="P457" s="91">
        <f t="shared" si="182"/>
        <v>0</v>
      </c>
      <c r="Q457" s="6">
        <f t="shared" si="183"/>
        <v>64.358231247544452</v>
      </c>
      <c r="R457" s="87">
        <f t="shared" si="203"/>
        <v>-710.92949836844707</v>
      </c>
      <c r="S457" s="6">
        <f t="shared" si="184"/>
        <v>-3.1414706949768254</v>
      </c>
      <c r="T457" s="83">
        <f t="shared" si="194"/>
        <v>0</v>
      </c>
      <c r="U457" s="91">
        <f t="shared" si="201"/>
        <v>124578.59513787985</v>
      </c>
      <c r="V457" s="91">
        <f t="shared" si="195"/>
        <v>606.39261119302978</v>
      </c>
      <c r="W457" s="1">
        <f t="shared" si="208"/>
        <v>0</v>
      </c>
      <c r="X457" s="1">
        <f t="shared" si="208"/>
        <v>0</v>
      </c>
      <c r="Y457" s="1">
        <f t="shared" si="208"/>
        <v>0</v>
      </c>
      <c r="Z457" s="1">
        <f t="shared" si="208"/>
        <v>0</v>
      </c>
      <c r="AA457" s="1">
        <f t="shared" si="208"/>
        <v>0</v>
      </c>
      <c r="AB457" s="1">
        <f t="shared" si="208"/>
        <v>0</v>
      </c>
      <c r="AC457" s="1">
        <f t="shared" si="208"/>
        <v>0</v>
      </c>
      <c r="AD457" s="1">
        <f t="shared" si="208"/>
        <v>0</v>
      </c>
      <c r="AE457" s="1">
        <f t="shared" si="208"/>
        <v>0</v>
      </c>
      <c r="AF457" s="1">
        <f t="shared" si="208"/>
        <v>0</v>
      </c>
      <c r="AG457" s="1">
        <f t="shared" si="208"/>
        <v>1</v>
      </c>
      <c r="AH457" s="1">
        <f t="shared" si="208"/>
        <v>1</v>
      </c>
      <c r="AI457" s="44">
        <f t="shared" si="196"/>
        <v>14735.046001042223</v>
      </c>
      <c r="AJ457" s="44">
        <f t="shared" si="186"/>
        <v>15445.97549941067</v>
      </c>
      <c r="AK457" s="44" t="str">
        <f t="shared" si="204"/>
        <v>N</v>
      </c>
      <c r="AL457" s="4">
        <f t="shared" si="187"/>
        <v>379</v>
      </c>
      <c r="AM457" s="82">
        <f t="shared" si="197"/>
        <v>0</v>
      </c>
      <c r="AN457" s="82">
        <f t="shared" si="188"/>
        <v>0</v>
      </c>
      <c r="AO457" s="48">
        <f>0</f>
        <v>0</v>
      </c>
      <c r="AP457" s="91">
        <f t="shared" si="198"/>
        <v>-710.92949836844707</v>
      </c>
      <c r="AQ457" s="91">
        <f t="shared" si="199"/>
        <v>-710.92949836844707</v>
      </c>
      <c r="AV457" s="84"/>
    </row>
    <row r="458" spans="1:48">
      <c r="A458" s="190">
        <f t="shared" si="189"/>
        <v>97.387577002053376</v>
      </c>
      <c r="B458" s="82">
        <f t="shared" si="190"/>
        <v>32</v>
      </c>
      <c r="C458" s="83">
        <f t="shared" si="191"/>
        <v>380</v>
      </c>
      <c r="D458" s="14">
        <f t="shared" si="177"/>
        <v>4.8675505653430484E-3</v>
      </c>
      <c r="E458" s="16">
        <f t="shared" si="178"/>
        <v>0</v>
      </c>
      <c r="F458" s="127"/>
      <c r="G458" s="88">
        <f t="shared" si="179"/>
        <v>0</v>
      </c>
      <c r="H458" s="89">
        <f t="shared" si="192"/>
        <v>4.1666666666666666E-3</v>
      </c>
      <c r="I458" s="219"/>
      <c r="J458" s="219"/>
      <c r="K458" s="6">
        <f t="shared" si="200"/>
        <v>14735.046001042223</v>
      </c>
      <c r="M458" s="6">
        <f t="shared" si="180"/>
        <v>71.723581492728897</v>
      </c>
      <c r="N458" s="6">
        <f t="shared" si="193"/>
        <v>-16.689550736707979</v>
      </c>
      <c r="O458" s="90">
        <f t="shared" si="181"/>
        <v>615.86293859514001</v>
      </c>
      <c r="P458" s="91">
        <f t="shared" si="182"/>
        <v>0</v>
      </c>
      <c r="Q458" s="6">
        <f t="shared" si="183"/>
        <v>61.62533346582601</v>
      </c>
      <c r="R458" s="87">
        <f t="shared" si="203"/>
        <v>-710.61148432704272</v>
      </c>
      <c r="S458" s="6">
        <f t="shared" si="184"/>
        <v>-3.0049566678115607</v>
      </c>
      <c r="T458" s="83">
        <f t="shared" si="194"/>
        <v>0</v>
      </c>
      <c r="U458" s="91">
        <f t="shared" si="201"/>
        <v>124474.05825070443</v>
      </c>
      <c r="V458" s="91">
        <f t="shared" si="195"/>
        <v>605.88377260875984</v>
      </c>
      <c r="W458" s="1">
        <f t="shared" si="208"/>
        <v>0</v>
      </c>
      <c r="X458" s="1">
        <f t="shared" si="208"/>
        <v>0</v>
      </c>
      <c r="Y458" s="1">
        <f t="shared" si="208"/>
        <v>0</v>
      </c>
      <c r="Z458" s="1">
        <f t="shared" si="208"/>
        <v>0</v>
      </c>
      <c r="AA458" s="1">
        <f t="shared" si="208"/>
        <v>0</v>
      </c>
      <c r="AB458" s="1">
        <f t="shared" si="208"/>
        <v>0</v>
      </c>
      <c r="AC458" s="1">
        <f t="shared" si="208"/>
        <v>0</v>
      </c>
      <c r="AD458" s="1">
        <f t="shared" si="208"/>
        <v>0</v>
      </c>
      <c r="AE458" s="1">
        <f t="shared" si="208"/>
        <v>0</v>
      </c>
      <c r="AF458" s="1">
        <f t="shared" si="208"/>
        <v>0</v>
      </c>
      <c r="AG458" s="1">
        <f t="shared" si="208"/>
        <v>1</v>
      </c>
      <c r="AH458" s="1">
        <f t="shared" si="208"/>
        <v>1</v>
      </c>
      <c r="AI458" s="44">
        <f t="shared" si="196"/>
        <v>14079.468547471201</v>
      </c>
      <c r="AJ458" s="44">
        <f t="shared" si="186"/>
        <v>14790.080031798243</v>
      </c>
      <c r="AK458" s="44" t="str">
        <f t="shared" si="204"/>
        <v>N</v>
      </c>
      <c r="AL458" s="4">
        <f t="shared" si="187"/>
        <v>380</v>
      </c>
      <c r="AM458" s="82">
        <f t="shared" si="197"/>
        <v>0</v>
      </c>
      <c r="AN458" s="82">
        <f t="shared" si="188"/>
        <v>0</v>
      </c>
      <c r="AO458" s="48">
        <f>0</f>
        <v>0</v>
      </c>
      <c r="AP458" s="91">
        <f t="shared" si="198"/>
        <v>-710.61148432704272</v>
      </c>
      <c r="AQ458" s="91">
        <f t="shared" si="199"/>
        <v>-710.61148432704272</v>
      </c>
      <c r="AV458" s="84"/>
    </row>
    <row r="459" spans="1:48">
      <c r="A459" s="190">
        <f t="shared" si="189"/>
        <v>97.470910335386719</v>
      </c>
      <c r="B459" s="82">
        <f t="shared" si="190"/>
        <v>32</v>
      </c>
      <c r="C459" s="83">
        <f t="shared" si="191"/>
        <v>381</v>
      </c>
      <c r="D459" s="14">
        <f t="shared" si="177"/>
        <v>4.8675505653430484E-3</v>
      </c>
      <c r="E459" s="16">
        <f t="shared" si="178"/>
        <v>0</v>
      </c>
      <c r="F459" s="127"/>
      <c r="G459" s="88">
        <f t="shared" si="179"/>
        <v>0</v>
      </c>
      <c r="H459" s="89">
        <f t="shared" si="192"/>
        <v>4.1666666666666666E-3</v>
      </c>
      <c r="I459" s="219"/>
      <c r="J459" s="219"/>
      <c r="K459" s="6">
        <f t="shared" si="200"/>
        <v>14079.468547471201</v>
      </c>
      <c r="M459" s="6">
        <f t="shared" si="180"/>
        <v>68.532525087973113</v>
      </c>
      <c r="N459" s="6">
        <f t="shared" si="193"/>
        <v>-15.947015343710801</v>
      </c>
      <c r="O459" s="90">
        <f t="shared" si="181"/>
        <v>615.86293859514001</v>
      </c>
      <c r="P459" s="91">
        <f t="shared" si="182"/>
        <v>0</v>
      </c>
      <c r="Q459" s="6">
        <f t="shared" si="183"/>
        <v>58.883558571731093</v>
      </c>
      <c r="R459" s="87">
        <f t="shared" si="203"/>
        <v>-710.29361254015225</v>
      </c>
      <c r="S459" s="6">
        <f t="shared" si="184"/>
        <v>-2.8679990875371786</v>
      </c>
      <c r="T459" s="83">
        <f t="shared" si="194"/>
        <v>0</v>
      </c>
      <c r="U459" s="91">
        <f t="shared" si="201"/>
        <v>124369.33053898615</v>
      </c>
      <c r="V459" s="91">
        <f t="shared" si="195"/>
        <v>605.37400517637843</v>
      </c>
      <c r="W459" s="1">
        <f t="shared" ref="W459:AH468" si="209">IF($B459&lt;=W$78,1,0)</f>
        <v>0</v>
      </c>
      <c r="X459" s="1">
        <f t="shared" si="209"/>
        <v>0</v>
      </c>
      <c r="Y459" s="1">
        <f t="shared" si="209"/>
        <v>0</v>
      </c>
      <c r="Z459" s="1">
        <f t="shared" si="209"/>
        <v>0</v>
      </c>
      <c r="AA459" s="1">
        <f t="shared" si="209"/>
        <v>0</v>
      </c>
      <c r="AB459" s="1">
        <f t="shared" si="209"/>
        <v>0</v>
      </c>
      <c r="AC459" s="1">
        <f t="shared" si="209"/>
        <v>0</v>
      </c>
      <c r="AD459" s="1">
        <f t="shared" si="209"/>
        <v>0</v>
      </c>
      <c r="AE459" s="1">
        <f t="shared" si="209"/>
        <v>0</v>
      </c>
      <c r="AF459" s="1">
        <f t="shared" si="209"/>
        <v>0</v>
      </c>
      <c r="AG459" s="1">
        <f t="shared" si="209"/>
        <v>1</v>
      </c>
      <c r="AH459" s="1">
        <f t="shared" si="209"/>
        <v>1</v>
      </c>
      <c r="AI459" s="44">
        <f t="shared" si="196"/>
        <v>13421.76044467531</v>
      </c>
      <c r="AJ459" s="44">
        <f t="shared" si="186"/>
        <v>14132.054057215462</v>
      </c>
      <c r="AK459" s="44" t="str">
        <f t="shared" si="204"/>
        <v>N</v>
      </c>
      <c r="AL459" s="4">
        <f t="shared" si="187"/>
        <v>381</v>
      </c>
      <c r="AM459" s="82">
        <f t="shared" si="197"/>
        <v>0</v>
      </c>
      <c r="AN459" s="82">
        <f t="shared" si="188"/>
        <v>0</v>
      </c>
      <c r="AO459" s="48">
        <f>0</f>
        <v>0</v>
      </c>
      <c r="AP459" s="91">
        <f t="shared" si="198"/>
        <v>-710.29361254015225</v>
      </c>
      <c r="AQ459" s="91">
        <f t="shared" si="199"/>
        <v>-710.29361254015225</v>
      </c>
      <c r="AV459" s="84"/>
    </row>
    <row r="460" spans="1:48">
      <c r="A460" s="190">
        <f t="shared" si="189"/>
        <v>97.554243668720048</v>
      </c>
      <c r="B460" s="82">
        <f t="shared" si="190"/>
        <v>32</v>
      </c>
      <c r="C460" s="83">
        <f t="shared" si="191"/>
        <v>382</v>
      </c>
      <c r="D460" s="14">
        <f t="shared" si="177"/>
        <v>4.8675505653430484E-3</v>
      </c>
      <c r="E460" s="16">
        <f t="shared" si="178"/>
        <v>0</v>
      </c>
      <c r="F460" s="127"/>
      <c r="G460" s="88">
        <f t="shared" si="179"/>
        <v>0</v>
      </c>
      <c r="H460" s="89">
        <f t="shared" si="192"/>
        <v>4.1666666666666666E-3</v>
      </c>
      <c r="I460" s="219"/>
      <c r="J460" s="219"/>
      <c r="K460" s="6">
        <f t="shared" si="200"/>
        <v>13421.76044467531</v>
      </c>
      <c r="M460" s="6">
        <f t="shared" si="180"/>
        <v>65.331097640378275</v>
      </c>
      <c r="N460" s="6">
        <f t="shared" si="193"/>
        <v>-15.202066685201043</v>
      </c>
      <c r="O460" s="90">
        <f t="shared" si="181"/>
        <v>615.86293859514001</v>
      </c>
      <c r="P460" s="91">
        <f t="shared" si="182"/>
        <v>0</v>
      </c>
      <c r="Q460" s="6">
        <f t="shared" si="183"/>
        <v>56.132872815127037</v>
      </c>
      <c r="R460" s="87">
        <f t="shared" si="203"/>
        <v>-709.97588294414265</v>
      </c>
      <c r="S460" s="6">
        <f t="shared" si="184"/>
        <v>-2.7305962678602058</v>
      </c>
      <c r="T460" s="83">
        <f t="shared" si="194"/>
        <v>0</v>
      </c>
      <c r="U460" s="91">
        <f t="shared" si="201"/>
        <v>124264.41093162238</v>
      </c>
      <c r="V460" s="91">
        <f t="shared" si="195"/>
        <v>604.86330368223935</v>
      </c>
      <c r="W460" s="1">
        <f t="shared" si="209"/>
        <v>0</v>
      </c>
      <c r="X460" s="1">
        <f t="shared" si="209"/>
        <v>0</v>
      </c>
      <c r="Y460" s="1">
        <f t="shared" si="209"/>
        <v>0</v>
      </c>
      <c r="Z460" s="1">
        <f t="shared" si="209"/>
        <v>0</v>
      </c>
      <c r="AA460" s="1">
        <f t="shared" si="209"/>
        <v>0</v>
      </c>
      <c r="AB460" s="1">
        <f t="shared" si="209"/>
        <v>0</v>
      </c>
      <c r="AC460" s="1">
        <f t="shared" si="209"/>
        <v>0</v>
      </c>
      <c r="AD460" s="1">
        <f t="shared" si="209"/>
        <v>0</v>
      </c>
      <c r="AE460" s="1">
        <f t="shared" si="209"/>
        <v>0</v>
      </c>
      <c r="AF460" s="1">
        <f t="shared" si="209"/>
        <v>0</v>
      </c>
      <c r="AG460" s="1">
        <f t="shared" si="209"/>
        <v>1</v>
      </c>
      <c r="AH460" s="1">
        <f t="shared" si="209"/>
        <v>1</v>
      </c>
      <c r="AI460" s="44">
        <f t="shared" si="196"/>
        <v>12761.913592686346</v>
      </c>
      <c r="AJ460" s="44">
        <f t="shared" si="186"/>
        <v>13471.889475630489</v>
      </c>
      <c r="AK460" s="44" t="str">
        <f t="shared" si="204"/>
        <v>N</v>
      </c>
      <c r="AL460" s="4">
        <f t="shared" si="187"/>
        <v>382</v>
      </c>
      <c r="AM460" s="82">
        <f t="shared" si="197"/>
        <v>0</v>
      </c>
      <c r="AN460" s="82">
        <f t="shared" si="188"/>
        <v>0</v>
      </c>
      <c r="AO460" s="48">
        <f>0</f>
        <v>0</v>
      </c>
      <c r="AP460" s="91">
        <f t="shared" si="198"/>
        <v>-709.97588294414265</v>
      </c>
      <c r="AQ460" s="91">
        <f t="shared" si="199"/>
        <v>-709.97588294414265</v>
      </c>
      <c r="AV460" s="84"/>
    </row>
    <row r="461" spans="1:48">
      <c r="A461" s="190">
        <f t="shared" si="189"/>
        <v>97.637577002053376</v>
      </c>
      <c r="B461" s="82">
        <f t="shared" si="190"/>
        <v>32</v>
      </c>
      <c r="C461" s="83">
        <f t="shared" si="191"/>
        <v>383</v>
      </c>
      <c r="D461" s="14">
        <f t="shared" si="177"/>
        <v>4.8675505653430484E-3</v>
      </c>
      <c r="E461" s="16">
        <f t="shared" si="178"/>
        <v>0</v>
      </c>
      <c r="F461" s="127"/>
      <c r="G461" s="88">
        <f t="shared" si="179"/>
        <v>0</v>
      </c>
      <c r="H461" s="89">
        <f t="shared" si="192"/>
        <v>4.1666666666666666E-3</v>
      </c>
      <c r="I461" s="219"/>
      <c r="J461" s="219"/>
      <c r="K461" s="6">
        <f t="shared" si="200"/>
        <v>12761.913592686346</v>
      </c>
      <c r="M461" s="6">
        <f t="shared" si="180"/>
        <v>62.119259722939553</v>
      </c>
      <c r="N461" s="6">
        <f t="shared" si="193"/>
        <v>-14.454695586804204</v>
      </c>
      <c r="O461" s="90">
        <f t="shared" si="181"/>
        <v>615.86293859514001</v>
      </c>
      <c r="P461" s="91">
        <f t="shared" si="182"/>
        <v>0</v>
      </c>
      <c r="Q461" s="6">
        <f t="shared" si="183"/>
        <v>53.373242320093674</v>
      </c>
      <c r="R461" s="87">
        <f t="shared" si="203"/>
        <v>-709.65829547540909</v>
      </c>
      <c r="S461" s="6">
        <f t="shared" si="184"/>
        <v>-2.5927465162022854</v>
      </c>
      <c r="T461" s="83">
        <f t="shared" si="194"/>
        <v>0</v>
      </c>
      <c r="U461" s="91">
        <f t="shared" si="201"/>
        <v>124159.29835236048</v>
      </c>
      <c r="V461" s="91">
        <f t="shared" si="195"/>
        <v>604.35166288762844</v>
      </c>
      <c r="W461" s="1">
        <f t="shared" si="209"/>
        <v>0</v>
      </c>
      <c r="X461" s="1">
        <f t="shared" si="209"/>
        <v>0</v>
      </c>
      <c r="Y461" s="1">
        <f t="shared" si="209"/>
        <v>0</v>
      </c>
      <c r="Z461" s="1">
        <f t="shared" si="209"/>
        <v>0</v>
      </c>
      <c r="AA461" s="1">
        <f t="shared" si="209"/>
        <v>0</v>
      </c>
      <c r="AB461" s="1">
        <f t="shared" si="209"/>
        <v>0</v>
      </c>
      <c r="AC461" s="1">
        <f t="shared" si="209"/>
        <v>0</v>
      </c>
      <c r="AD461" s="1">
        <f t="shared" si="209"/>
        <v>0</v>
      </c>
      <c r="AE461" s="1">
        <f t="shared" si="209"/>
        <v>0</v>
      </c>
      <c r="AF461" s="1">
        <f t="shared" si="209"/>
        <v>0</v>
      </c>
      <c r="AG461" s="1">
        <f t="shared" si="209"/>
        <v>1</v>
      </c>
      <c r="AH461" s="1">
        <f t="shared" si="209"/>
        <v>1</v>
      </c>
      <c r="AI461" s="44">
        <f t="shared" si="196"/>
        <v>12099.919861347073</v>
      </c>
      <c r="AJ461" s="44">
        <f t="shared" si="186"/>
        <v>12809.578156822481</v>
      </c>
      <c r="AK461" s="44" t="str">
        <f t="shared" si="204"/>
        <v>N</v>
      </c>
      <c r="AL461" s="4">
        <f t="shared" si="187"/>
        <v>383</v>
      </c>
      <c r="AM461" s="82">
        <f t="shared" si="197"/>
        <v>0</v>
      </c>
      <c r="AN461" s="82">
        <f t="shared" si="188"/>
        <v>0</v>
      </c>
      <c r="AO461" s="48">
        <f>0</f>
        <v>0</v>
      </c>
      <c r="AP461" s="91">
        <f t="shared" si="198"/>
        <v>-709.65829547540909</v>
      </c>
      <c r="AQ461" s="91">
        <f t="shared" si="199"/>
        <v>-709.65829547540909</v>
      </c>
      <c r="AV461" s="84"/>
    </row>
    <row r="462" spans="1:48">
      <c r="A462" s="190">
        <f t="shared" si="189"/>
        <v>97.720910335386719</v>
      </c>
      <c r="B462" s="82">
        <f t="shared" si="190"/>
        <v>32</v>
      </c>
      <c r="C462" s="83">
        <f t="shared" si="191"/>
        <v>384</v>
      </c>
      <c r="D462" s="14">
        <f t="shared" si="177"/>
        <v>4.8675505653430484E-3</v>
      </c>
      <c r="E462" s="16">
        <f t="shared" si="178"/>
        <v>0</v>
      </c>
      <c r="F462" s="127"/>
      <c r="G462" s="88">
        <f t="shared" si="179"/>
        <v>0</v>
      </c>
      <c r="H462" s="89">
        <f t="shared" si="192"/>
        <v>4.1666666666666666E-3</v>
      </c>
      <c r="I462" s="219"/>
      <c r="J462" s="219"/>
      <c r="K462" s="6">
        <f t="shared" si="200"/>
        <v>12099.919861347073</v>
      </c>
      <c r="M462" s="6">
        <f t="shared" si="180"/>
        <v>58.896971761705522</v>
      </c>
      <c r="N462" s="6">
        <f t="shared" si="193"/>
        <v>-13.704892839952382</v>
      </c>
      <c r="O462" s="90">
        <f t="shared" si="181"/>
        <v>615.86293859514001</v>
      </c>
      <c r="P462" s="91">
        <f t="shared" si="182"/>
        <v>0</v>
      </c>
      <c r="Q462" s="6">
        <f t="shared" si="183"/>
        <v>50.60463308445344</v>
      </c>
      <c r="R462" s="87">
        <f t="shared" si="203"/>
        <v>-709.34085007037424</v>
      </c>
      <c r="S462" s="6">
        <f t="shared" si="184"/>
        <v>-2.4544481336767014</v>
      </c>
      <c r="T462" s="83">
        <f t="shared" si="194"/>
        <v>0</v>
      </c>
      <c r="U462" s="91">
        <f t="shared" si="201"/>
        <v>124053.99171977269</v>
      </c>
      <c r="V462" s="91">
        <f t="shared" si="195"/>
        <v>603.83907752864138</v>
      </c>
      <c r="W462" s="1">
        <f t="shared" si="209"/>
        <v>0</v>
      </c>
      <c r="X462" s="1">
        <f t="shared" si="209"/>
        <v>0</v>
      </c>
      <c r="Y462" s="1">
        <f t="shared" si="209"/>
        <v>0</v>
      </c>
      <c r="Z462" s="1">
        <f t="shared" si="209"/>
        <v>0</v>
      </c>
      <c r="AA462" s="1">
        <f t="shared" si="209"/>
        <v>0</v>
      </c>
      <c r="AB462" s="1">
        <f t="shared" si="209"/>
        <v>0</v>
      </c>
      <c r="AC462" s="1">
        <f t="shared" si="209"/>
        <v>0</v>
      </c>
      <c r="AD462" s="1">
        <f t="shared" si="209"/>
        <v>0</v>
      </c>
      <c r="AE462" s="1">
        <f t="shared" si="209"/>
        <v>0</v>
      </c>
      <c r="AF462" s="1">
        <f t="shared" si="209"/>
        <v>0</v>
      </c>
      <c r="AG462" s="1">
        <f t="shared" si="209"/>
        <v>1</v>
      </c>
      <c r="AH462" s="1">
        <f t="shared" si="209"/>
        <v>1</v>
      </c>
      <c r="AI462" s="44">
        <f t="shared" si="196"/>
        <v>11435.771090198452</v>
      </c>
      <c r="AJ462" s="44">
        <f t="shared" si="186"/>
        <v>12145.111940268825</v>
      </c>
      <c r="AK462" s="44" t="str">
        <f t="shared" si="204"/>
        <v>N</v>
      </c>
      <c r="AL462" s="4">
        <f t="shared" si="187"/>
        <v>384</v>
      </c>
      <c r="AM462" s="82">
        <f t="shared" si="197"/>
        <v>0</v>
      </c>
      <c r="AN462" s="82">
        <f t="shared" si="188"/>
        <v>0</v>
      </c>
      <c r="AO462" s="48">
        <f>0</f>
        <v>0</v>
      </c>
      <c r="AP462" s="91">
        <f t="shared" si="198"/>
        <v>-709.34085007037424</v>
      </c>
      <c r="AQ462" s="91">
        <f t="shared" si="199"/>
        <v>-709.34085007037424</v>
      </c>
      <c r="AV462" s="84"/>
    </row>
    <row r="463" spans="1:48">
      <c r="A463" s="190">
        <f t="shared" si="189"/>
        <v>97.804243668720048</v>
      </c>
      <c r="B463" s="82">
        <f t="shared" si="190"/>
        <v>33</v>
      </c>
      <c r="C463" s="83">
        <f t="shared" si="191"/>
        <v>385</v>
      </c>
      <c r="D463" s="14">
        <f t="shared" ref="D463:D526" si="210">Growth_Rate_1_Monthly</f>
        <v>4.8675505653430484E-3</v>
      </c>
      <c r="E463" s="16">
        <f t="shared" ref="E463:E526" si="211">IF(Gtee_Flag="on",1,0)</f>
        <v>0</v>
      </c>
      <c r="F463" s="127"/>
      <c r="G463" s="88">
        <f t="shared" ref="G463:G526" si="212">IF(ISERROR(VLOOKUP(Product_Code,Product_Parameters,B463+5,FALSE)),0,VLOOKUP(Product_Code,Product_Parameters,B463+5,FALSE))</f>
        <v>0</v>
      </c>
      <c r="H463" s="89">
        <f t="shared" si="192"/>
        <v>4.1666666666666666E-3</v>
      </c>
      <c r="I463" s="219"/>
      <c r="J463" s="219"/>
      <c r="K463" s="6">
        <f t="shared" si="200"/>
        <v>11435.771090198452</v>
      </c>
      <c r="M463" s="6">
        <f t="shared" ref="M463:M526" si="213">(K463+L463)*D463</f>
        <v>55.664194035229166</v>
      </c>
      <c r="N463" s="6">
        <f t="shared" si="193"/>
        <v>-12.952649201756536</v>
      </c>
      <c r="O463" s="90">
        <f t="shared" ref="O463:O526" si="214">IF(C463&gt;=Regular_Income_Start_Month,
MIN(Regular_Income_Amount/12*(1+Income_Escalation_Rate_Annual)^($B463-1),AJ463),0)</f>
        <v>628.18019736704298</v>
      </c>
      <c r="P463" s="91">
        <f t="shared" ref="P463:P526" si="215">MAX(IF(C463&gt;=Regular_Income_Start_Month,
MIN(IF(Income_Type="Fixed Percent",$C$51,0)/12*(K463+L463+M463+N463),AJ463),0),0)</f>
        <v>0</v>
      </c>
      <c r="Q463" s="6">
        <f t="shared" ref="Q463:Q526" si="216">MAX(IF(C463&gt;=Regular_Income_Start_Month,
MIN(H463*(K463+L463+M463+N463),AJ463),0),0)</f>
        <v>47.827010979299686</v>
      </c>
      <c r="R463" s="87">
        <f t="shared" si="203"/>
        <v>-709.02354666549104</v>
      </c>
      <c r="S463" s="6">
        <f t="shared" ref="S463:S526" si="217">-(($K463+I463+M463/2+N463/2+R463/2)*(Ongoing_Commission_Monthly)+(I463)*new_upfront_commission)</f>
        <v>-2.3156994150648114</v>
      </c>
      <c r="T463" s="83">
        <f t="shared" si="194"/>
        <v>0</v>
      </c>
      <c r="U463" s="91">
        <f t="shared" si="201"/>
        <v>123948.48994723095</v>
      </c>
      <c r="V463" s="91">
        <f t="shared" si="195"/>
        <v>603.32554231606116</v>
      </c>
      <c r="W463" s="1">
        <f t="shared" si="209"/>
        <v>0</v>
      </c>
      <c r="X463" s="1">
        <f t="shared" si="209"/>
        <v>0</v>
      </c>
      <c r="Y463" s="1">
        <f t="shared" si="209"/>
        <v>0</v>
      </c>
      <c r="Z463" s="1">
        <f t="shared" si="209"/>
        <v>0</v>
      </c>
      <c r="AA463" s="1">
        <f t="shared" si="209"/>
        <v>0</v>
      </c>
      <c r="AB463" s="1">
        <f t="shared" si="209"/>
        <v>0</v>
      </c>
      <c r="AC463" s="1">
        <f t="shared" si="209"/>
        <v>0</v>
      </c>
      <c r="AD463" s="1">
        <f t="shared" si="209"/>
        <v>0</v>
      </c>
      <c r="AE463" s="1">
        <f t="shared" si="209"/>
        <v>0</v>
      </c>
      <c r="AF463" s="1">
        <f t="shared" si="209"/>
        <v>0</v>
      </c>
      <c r="AG463" s="1">
        <f t="shared" si="209"/>
        <v>1</v>
      </c>
      <c r="AH463" s="1">
        <f t="shared" si="209"/>
        <v>1</v>
      </c>
      <c r="AI463" s="44">
        <f t="shared" si="196"/>
        <v>10769.459088366435</v>
      </c>
      <c r="AJ463" s="44">
        <f t="shared" ref="AJ463:AJ526" si="218">MAX(0,SUM(K463:N463)-$C$66)</f>
        <v>11478.482635031925</v>
      </c>
      <c r="AK463" s="44" t="str">
        <f t="shared" si="204"/>
        <v>N</v>
      </c>
      <c r="AL463" s="4">
        <f t="shared" ref="AL463:AL526" si="219">C463</f>
        <v>385</v>
      </c>
      <c r="AM463" s="82">
        <f t="shared" si="197"/>
        <v>0</v>
      </c>
      <c r="AN463" s="82">
        <f t="shared" ref="AN463:AN526" si="220">IF(AND(B463=Fund_Zero_Year,K464=0,K463&gt;0),-U463,IF(AND(B463+1=Fund_Zero_Year,K464=0,K463&gt;0),-U463,0))</f>
        <v>0</v>
      </c>
      <c r="AO463" s="48">
        <f>0</f>
        <v>0</v>
      </c>
      <c r="AP463" s="91">
        <f t="shared" si="198"/>
        <v>-709.02354666549104</v>
      </c>
      <c r="AQ463" s="91">
        <f t="shared" si="199"/>
        <v>-709.02354666549104</v>
      </c>
      <c r="AV463" s="84"/>
    </row>
    <row r="464" spans="1:48">
      <c r="A464" s="190">
        <f t="shared" ref="A464:A527" si="221">$C$43+C463/12</f>
        <v>97.887577002053376</v>
      </c>
      <c r="B464" s="82">
        <f t="shared" ref="B464:B527" si="222">INT((C464-1)/12)+1</f>
        <v>33</v>
      </c>
      <c r="C464" s="83">
        <f t="shared" ref="C464:C527" si="223">C463+1</f>
        <v>386</v>
      </c>
      <c r="D464" s="14">
        <f t="shared" si="210"/>
        <v>4.8675505653430484E-3</v>
      </c>
      <c r="E464" s="16">
        <f t="shared" si="211"/>
        <v>0</v>
      </c>
      <c r="F464" s="127"/>
      <c r="G464" s="88">
        <f t="shared" si="212"/>
        <v>0</v>
      </c>
      <c r="H464" s="89">
        <f t="shared" ref="H464:H527" si="224">IF((K463+L463+M463+N463+R463)&gt;=2000000,VLOOKUP("&gt;=2000000",Default_IncomeRate_table,3,FALSE),
IF($A464&lt;71,VLOOKUP("&lt;71",Default_IncomeRate_table,3,FALSE),
IF($A464&gt;=71,VLOOKUP("&gt;=71",Default_IncomeRate_table,3,FALSE),"")))</f>
        <v>4.1666666666666666E-3</v>
      </c>
      <c r="I464" s="219"/>
      <c r="J464" s="219"/>
      <c r="K464" s="6">
        <f t="shared" si="200"/>
        <v>10769.459088366435</v>
      </c>
      <c r="M464" s="6">
        <f t="shared" si="213"/>
        <v>52.42088667401687</v>
      </c>
      <c r="N464" s="6">
        <f t="shared" ref="N464:N527" si="225">-(($K464+(L464)+M464/2)*(External_Fund_Charge_Monthly+Fund_Charge_Monthly+Gtee_Charge_Monthly*$E464))+MIN(J464,0)</f>
        <v>-12.197955394878271</v>
      </c>
      <c r="O464" s="90">
        <f t="shared" si="214"/>
        <v>628.18019736704298</v>
      </c>
      <c r="P464" s="91">
        <f t="shared" si="215"/>
        <v>0</v>
      </c>
      <c r="Q464" s="6">
        <f t="shared" si="216"/>
        <v>45.040341748523225</v>
      </c>
      <c r="R464" s="87">
        <f t="shared" si="203"/>
        <v>-708.706385197239</v>
      </c>
      <c r="S464" s="6">
        <f t="shared" si="217"/>
        <v>-2.1764986487923914</v>
      </c>
      <c r="T464" s="83">
        <f t="shared" ref="T464:T527" si="226">SUM(K464:N464,R464)*$G464</f>
        <v>0</v>
      </c>
      <c r="U464" s="91">
        <f t="shared" si="201"/>
        <v>123842.79194288152</v>
      </c>
      <c r="V464" s="91">
        <f t="shared" ref="V464:V527" si="227">U464*D464</f>
        <v>602.81105193523445</v>
      </c>
      <c r="W464" s="1">
        <f t="shared" si="209"/>
        <v>0</v>
      </c>
      <c r="X464" s="1">
        <f t="shared" si="209"/>
        <v>0</v>
      </c>
      <c r="Y464" s="1">
        <f t="shared" si="209"/>
        <v>0</v>
      </c>
      <c r="Z464" s="1">
        <f t="shared" si="209"/>
        <v>0</v>
      </c>
      <c r="AA464" s="1">
        <f t="shared" si="209"/>
        <v>0</v>
      </c>
      <c r="AB464" s="1">
        <f t="shared" si="209"/>
        <v>0</v>
      </c>
      <c r="AC464" s="1">
        <f t="shared" si="209"/>
        <v>0</v>
      </c>
      <c r="AD464" s="1">
        <f t="shared" si="209"/>
        <v>0</v>
      </c>
      <c r="AE464" s="1">
        <f t="shared" si="209"/>
        <v>0</v>
      </c>
      <c r="AF464" s="1">
        <f t="shared" si="209"/>
        <v>0</v>
      </c>
      <c r="AG464" s="1">
        <f t="shared" si="209"/>
        <v>1</v>
      </c>
      <c r="AH464" s="1">
        <f t="shared" si="209"/>
        <v>1</v>
      </c>
      <c r="AI464" s="44">
        <f t="shared" ref="AI464:AI527" si="228">SUM(K464:N464,R464)</f>
        <v>10100.975634448334</v>
      </c>
      <c r="AJ464" s="44">
        <f t="shared" si="218"/>
        <v>10809.682019645574</v>
      </c>
      <c r="AK464" s="44" t="str">
        <f t="shared" si="204"/>
        <v>N</v>
      </c>
      <c r="AL464" s="4">
        <f t="shared" si="219"/>
        <v>386</v>
      </c>
      <c r="AM464" s="82">
        <f t="shared" ref="AM464:AM527" si="229">I464</f>
        <v>0</v>
      </c>
      <c r="AN464" s="82">
        <f t="shared" si="220"/>
        <v>0</v>
      </c>
      <c r="AO464" s="48">
        <f>0</f>
        <v>0</v>
      </c>
      <c r="AP464" s="91">
        <f t="shared" ref="AP464:AP527" si="230">$R464+AN464+AM464</f>
        <v>-708.706385197239</v>
      </c>
      <c r="AQ464" s="91">
        <f t="shared" ref="AQ464:AQ527" si="231">$R464+AO464+AM464</f>
        <v>-708.706385197239</v>
      </c>
      <c r="AV464" s="84"/>
    </row>
    <row r="465" spans="1:48">
      <c r="A465" s="190">
        <f t="shared" si="221"/>
        <v>97.970910335386719</v>
      </c>
      <c r="B465" s="82">
        <f t="shared" si="222"/>
        <v>33</v>
      </c>
      <c r="C465" s="83">
        <f t="shared" si="223"/>
        <v>387</v>
      </c>
      <c r="D465" s="14">
        <f t="shared" si="210"/>
        <v>4.8675505653430484E-3</v>
      </c>
      <c r="E465" s="16">
        <f t="shared" si="211"/>
        <v>0</v>
      </c>
      <c r="F465" s="127"/>
      <c r="G465" s="88">
        <f t="shared" si="212"/>
        <v>0</v>
      </c>
      <c r="H465" s="89">
        <f t="shared" si="224"/>
        <v>4.1666666666666666E-3</v>
      </c>
      <c r="I465" s="219"/>
      <c r="J465" s="219"/>
      <c r="K465" s="6">
        <f t="shared" ref="K465:K528" si="232">SUM(K464:M464,N464,R464)</f>
        <v>10100.975634448334</v>
      </c>
      <c r="M465" s="6">
        <f t="shared" si="213"/>
        <v>49.167009659975342</v>
      </c>
      <c r="N465" s="6">
        <f t="shared" si="225"/>
        <v>-11.440802107401135</v>
      </c>
      <c r="O465" s="90">
        <f t="shared" si="214"/>
        <v>628.18019736704298</v>
      </c>
      <c r="P465" s="91">
        <f t="shared" si="215"/>
        <v>0</v>
      </c>
      <c r="Q465" s="6">
        <f t="shared" si="216"/>
        <v>42.244591008337117</v>
      </c>
      <c r="R465" s="87">
        <f t="shared" si="203"/>
        <v>-708.3893656021271</v>
      </c>
      <c r="S465" s="6">
        <f t="shared" si="217"/>
        <v>-2.0368441169058884</v>
      </c>
      <c r="T465" s="83">
        <f t="shared" si="226"/>
        <v>0</v>
      </c>
      <c r="U465" s="91">
        <f t="shared" ref="U465:U528" si="233">IF(K465=0,0,SUM(U464,R464,V464))</f>
        <v>123736.89660961952</v>
      </c>
      <c r="V465" s="91">
        <f t="shared" si="227"/>
        <v>602.29560104594782</v>
      </c>
      <c r="W465" s="1">
        <f t="shared" si="209"/>
        <v>0</v>
      </c>
      <c r="X465" s="1">
        <f t="shared" si="209"/>
        <v>0</v>
      </c>
      <c r="Y465" s="1">
        <f t="shared" si="209"/>
        <v>0</v>
      </c>
      <c r="Z465" s="1">
        <f t="shared" si="209"/>
        <v>0</v>
      </c>
      <c r="AA465" s="1">
        <f t="shared" si="209"/>
        <v>0</v>
      </c>
      <c r="AB465" s="1">
        <f t="shared" si="209"/>
        <v>0</v>
      </c>
      <c r="AC465" s="1">
        <f t="shared" si="209"/>
        <v>0</v>
      </c>
      <c r="AD465" s="1">
        <f t="shared" si="209"/>
        <v>0</v>
      </c>
      <c r="AE465" s="1">
        <f t="shared" si="209"/>
        <v>0</v>
      </c>
      <c r="AF465" s="1">
        <f t="shared" si="209"/>
        <v>0</v>
      </c>
      <c r="AG465" s="1">
        <f t="shared" si="209"/>
        <v>1</v>
      </c>
      <c r="AH465" s="1">
        <f t="shared" si="209"/>
        <v>1</v>
      </c>
      <c r="AI465" s="44">
        <f t="shared" si="228"/>
        <v>9430.3124763987817</v>
      </c>
      <c r="AJ465" s="44">
        <f t="shared" si="218"/>
        <v>10138.701842000908</v>
      </c>
      <c r="AK465" s="44" t="str">
        <f t="shared" si="204"/>
        <v>N</v>
      </c>
      <c r="AL465" s="4">
        <f t="shared" si="219"/>
        <v>387</v>
      </c>
      <c r="AM465" s="82">
        <f t="shared" si="229"/>
        <v>0</v>
      </c>
      <c r="AN465" s="82">
        <f t="shared" si="220"/>
        <v>0</v>
      </c>
      <c r="AO465" s="48">
        <f>0</f>
        <v>0</v>
      </c>
      <c r="AP465" s="91">
        <f t="shared" si="230"/>
        <v>-708.3893656021271</v>
      </c>
      <c r="AQ465" s="91">
        <f t="shared" si="231"/>
        <v>-708.3893656021271</v>
      </c>
      <c r="AV465" s="84"/>
    </row>
    <row r="466" spans="1:48">
      <c r="A466" s="190">
        <f t="shared" si="221"/>
        <v>98.054243668720048</v>
      </c>
      <c r="B466" s="82">
        <f t="shared" si="222"/>
        <v>33</v>
      </c>
      <c r="C466" s="83">
        <f t="shared" si="223"/>
        <v>388</v>
      </c>
      <c r="D466" s="14">
        <f t="shared" si="210"/>
        <v>4.8675505653430484E-3</v>
      </c>
      <c r="E466" s="16">
        <f t="shared" si="211"/>
        <v>0</v>
      </c>
      <c r="F466" s="127"/>
      <c r="G466" s="88">
        <f t="shared" si="212"/>
        <v>0</v>
      </c>
      <c r="H466" s="89">
        <f t="shared" si="224"/>
        <v>4.1666666666666666E-3</v>
      </c>
      <c r="I466" s="219"/>
      <c r="J466" s="219"/>
      <c r="K466" s="6">
        <f t="shared" si="232"/>
        <v>9430.3124763987817</v>
      </c>
      <c r="M466" s="6">
        <f t="shared" si="213"/>
        <v>45.902522825856494</v>
      </c>
      <c r="N466" s="6">
        <f t="shared" si="225"/>
        <v>-10.681179992701454</v>
      </c>
      <c r="O466" s="90">
        <f t="shared" si="214"/>
        <v>628.18019736704298</v>
      </c>
      <c r="P466" s="91">
        <f t="shared" si="215"/>
        <v>0</v>
      </c>
      <c r="Q466" s="6">
        <f t="shared" si="216"/>
        <v>39.439724246799734</v>
      </c>
      <c r="R466" s="87">
        <f t="shared" si="203"/>
        <v>-726.12208254964003</v>
      </c>
      <c r="S466" s="6">
        <f t="shared" si="217"/>
        <v>-1.8948517711262987</v>
      </c>
      <c r="T466" s="83">
        <f t="shared" si="226"/>
        <v>0</v>
      </c>
      <c r="U466" s="91">
        <f t="shared" si="233"/>
        <v>123630.80284506334</v>
      </c>
      <c r="V466" s="91">
        <f t="shared" si="227"/>
        <v>601.77918428230305</v>
      </c>
      <c r="W466" s="1">
        <f t="shared" si="209"/>
        <v>0</v>
      </c>
      <c r="X466" s="1">
        <f t="shared" si="209"/>
        <v>0</v>
      </c>
      <c r="Y466" s="1">
        <f t="shared" si="209"/>
        <v>0</v>
      </c>
      <c r="Z466" s="1">
        <f t="shared" si="209"/>
        <v>0</v>
      </c>
      <c r="AA466" s="1">
        <f t="shared" si="209"/>
        <v>0</v>
      </c>
      <c r="AB466" s="1">
        <f t="shared" si="209"/>
        <v>0</v>
      </c>
      <c r="AC466" s="1">
        <f t="shared" si="209"/>
        <v>0</v>
      </c>
      <c r="AD466" s="1">
        <f t="shared" si="209"/>
        <v>0</v>
      </c>
      <c r="AE466" s="1">
        <f t="shared" si="209"/>
        <v>0</v>
      </c>
      <c r="AF466" s="1">
        <f t="shared" si="209"/>
        <v>0</v>
      </c>
      <c r="AG466" s="1">
        <f t="shared" si="209"/>
        <v>1</v>
      </c>
      <c r="AH466" s="1">
        <f t="shared" si="209"/>
        <v>1</v>
      </c>
      <c r="AI466" s="44">
        <f t="shared" si="228"/>
        <v>8739.4117366822957</v>
      </c>
      <c r="AJ466" s="44">
        <f t="shared" si="218"/>
        <v>9465.5338192319359</v>
      </c>
      <c r="AK466" s="44" t="str">
        <f t="shared" si="204"/>
        <v>N</v>
      </c>
      <c r="AL466" s="4">
        <f t="shared" si="219"/>
        <v>388</v>
      </c>
      <c r="AM466" s="82">
        <f t="shared" si="229"/>
        <v>0</v>
      </c>
      <c r="AN466" s="82">
        <f t="shared" si="220"/>
        <v>0</v>
      </c>
      <c r="AO466" s="48">
        <f>0</f>
        <v>0</v>
      </c>
      <c r="AP466" s="91">
        <f t="shared" si="230"/>
        <v>-726.12208254964003</v>
      </c>
      <c r="AQ466" s="91">
        <f t="shared" si="231"/>
        <v>-726.12208254964003</v>
      </c>
      <c r="AV466" s="84"/>
    </row>
    <row r="467" spans="1:48">
      <c r="A467" s="190">
        <f t="shared" si="221"/>
        <v>98.137577002053376</v>
      </c>
      <c r="B467" s="82">
        <f t="shared" si="222"/>
        <v>33</v>
      </c>
      <c r="C467" s="83">
        <f t="shared" si="223"/>
        <v>389</v>
      </c>
      <c r="D467" s="14">
        <f t="shared" si="210"/>
        <v>4.8675505653430484E-3</v>
      </c>
      <c r="E467" s="16">
        <f t="shared" si="211"/>
        <v>0</v>
      </c>
      <c r="F467" s="127"/>
      <c r="G467" s="88">
        <f t="shared" si="212"/>
        <v>0</v>
      </c>
      <c r="H467" s="89">
        <f t="shared" si="224"/>
        <v>4.1666666666666666E-3</v>
      </c>
      <c r="I467" s="219"/>
      <c r="J467" s="219"/>
      <c r="K467" s="6">
        <f t="shared" si="232"/>
        <v>8739.4117366822957</v>
      </c>
      <c r="M467" s="6">
        <f t="shared" si="213"/>
        <v>42.539528539653581</v>
      </c>
      <c r="N467" s="6">
        <f t="shared" si="225"/>
        <v>-9.8986359172563017</v>
      </c>
      <c r="O467" s="90">
        <f t="shared" si="214"/>
        <v>628.18019736704298</v>
      </c>
      <c r="P467" s="91">
        <f t="shared" si="215"/>
        <v>0</v>
      </c>
      <c r="Q467" s="6">
        <f t="shared" si="216"/>
        <v>36.550219288769554</v>
      </c>
      <c r="R467" s="87">
        <f t="shared" si="203"/>
        <v>-725.79727253886585</v>
      </c>
      <c r="S467" s="6">
        <f t="shared" si="217"/>
        <v>-1.750513692368429</v>
      </c>
      <c r="T467" s="83">
        <f t="shared" si="226"/>
        <v>0</v>
      </c>
      <c r="U467" s="91">
        <f t="shared" si="233"/>
        <v>123506.45994679601</v>
      </c>
      <c r="V467" s="91">
        <f t="shared" si="227"/>
        <v>601.17393893754547</v>
      </c>
      <c r="W467" s="1">
        <f t="shared" si="209"/>
        <v>0</v>
      </c>
      <c r="X467" s="1">
        <f t="shared" si="209"/>
        <v>0</v>
      </c>
      <c r="Y467" s="1">
        <f t="shared" si="209"/>
        <v>0</v>
      </c>
      <c r="Z467" s="1">
        <f t="shared" si="209"/>
        <v>0</v>
      </c>
      <c r="AA467" s="1">
        <f t="shared" si="209"/>
        <v>0</v>
      </c>
      <c r="AB467" s="1">
        <f t="shared" si="209"/>
        <v>0</v>
      </c>
      <c r="AC467" s="1">
        <f t="shared" si="209"/>
        <v>0</v>
      </c>
      <c r="AD467" s="1">
        <f t="shared" si="209"/>
        <v>0</v>
      </c>
      <c r="AE467" s="1">
        <f t="shared" si="209"/>
        <v>0</v>
      </c>
      <c r="AF467" s="1">
        <f t="shared" si="209"/>
        <v>0</v>
      </c>
      <c r="AG467" s="1">
        <f t="shared" si="209"/>
        <v>1</v>
      </c>
      <c r="AH467" s="1">
        <f t="shared" si="209"/>
        <v>1</v>
      </c>
      <c r="AI467" s="44">
        <f t="shared" si="228"/>
        <v>8046.2553567658269</v>
      </c>
      <c r="AJ467" s="44">
        <f t="shared" si="218"/>
        <v>8772.0526293046933</v>
      </c>
      <c r="AK467" s="44" t="str">
        <f t="shared" si="204"/>
        <v>N</v>
      </c>
      <c r="AL467" s="4">
        <f t="shared" si="219"/>
        <v>389</v>
      </c>
      <c r="AM467" s="82">
        <f t="shared" si="229"/>
        <v>0</v>
      </c>
      <c r="AN467" s="82">
        <f t="shared" si="220"/>
        <v>0</v>
      </c>
      <c r="AO467" s="48">
        <f>0</f>
        <v>0</v>
      </c>
      <c r="AP467" s="91">
        <f t="shared" si="230"/>
        <v>-725.79727253886585</v>
      </c>
      <c r="AQ467" s="91">
        <f t="shared" si="231"/>
        <v>-725.79727253886585</v>
      </c>
      <c r="AV467" s="84"/>
    </row>
    <row r="468" spans="1:48">
      <c r="A468" s="190">
        <f t="shared" si="221"/>
        <v>98.220910335386719</v>
      </c>
      <c r="B468" s="82">
        <f t="shared" si="222"/>
        <v>33</v>
      </c>
      <c r="C468" s="83">
        <f t="shared" si="223"/>
        <v>390</v>
      </c>
      <c r="D468" s="14">
        <f t="shared" si="210"/>
        <v>4.8675505653430484E-3</v>
      </c>
      <c r="E468" s="16">
        <f t="shared" si="211"/>
        <v>0</v>
      </c>
      <c r="F468" s="127"/>
      <c r="G468" s="88">
        <f t="shared" si="212"/>
        <v>0</v>
      </c>
      <c r="H468" s="89">
        <f t="shared" si="224"/>
        <v>4.1666666666666666E-3</v>
      </c>
      <c r="I468" s="219"/>
      <c r="J468" s="219"/>
      <c r="K468" s="6">
        <f t="shared" si="232"/>
        <v>8046.2553567658269</v>
      </c>
      <c r="M468" s="6">
        <f t="shared" si="213"/>
        <v>39.165554810720032</v>
      </c>
      <c r="N468" s="6">
        <f t="shared" si="225"/>
        <v>-9.1135370061113683</v>
      </c>
      <c r="O468" s="90">
        <f t="shared" si="214"/>
        <v>628.18019736704298</v>
      </c>
      <c r="P468" s="91">
        <f t="shared" si="215"/>
        <v>0</v>
      </c>
      <c r="Q468" s="6">
        <f t="shared" si="216"/>
        <v>33.651280727376815</v>
      </c>
      <c r="R468" s="87">
        <f t="shared" si="203"/>
        <v>-725.47260782258888</v>
      </c>
      <c r="S468" s="6">
        <f t="shared" si="217"/>
        <v>-1.6057042555289187</v>
      </c>
      <c r="T468" s="83">
        <f t="shared" si="226"/>
        <v>0</v>
      </c>
      <c r="U468" s="91">
        <f t="shared" si="233"/>
        <v>123381.83661319468</v>
      </c>
      <c r="V468" s="91">
        <f t="shared" si="227"/>
        <v>600.56732855961945</v>
      </c>
      <c r="W468" s="1">
        <f t="shared" si="209"/>
        <v>0</v>
      </c>
      <c r="X468" s="1">
        <f t="shared" si="209"/>
        <v>0</v>
      </c>
      <c r="Y468" s="1">
        <f t="shared" si="209"/>
        <v>0</v>
      </c>
      <c r="Z468" s="1">
        <f t="shared" si="209"/>
        <v>0</v>
      </c>
      <c r="AA468" s="1">
        <f t="shared" si="209"/>
        <v>0</v>
      </c>
      <c r="AB468" s="1">
        <f t="shared" si="209"/>
        <v>0</v>
      </c>
      <c r="AC468" s="1">
        <f t="shared" si="209"/>
        <v>0</v>
      </c>
      <c r="AD468" s="1">
        <f t="shared" si="209"/>
        <v>0</v>
      </c>
      <c r="AE468" s="1">
        <f t="shared" si="209"/>
        <v>0</v>
      </c>
      <c r="AF468" s="1">
        <f t="shared" si="209"/>
        <v>0</v>
      </c>
      <c r="AG468" s="1">
        <f t="shared" si="209"/>
        <v>1</v>
      </c>
      <c r="AH468" s="1">
        <f t="shared" si="209"/>
        <v>1</v>
      </c>
      <c r="AI468" s="44">
        <f t="shared" si="228"/>
        <v>7350.8347667478474</v>
      </c>
      <c r="AJ468" s="44">
        <f t="shared" si="218"/>
        <v>8076.307374570436</v>
      </c>
      <c r="AK468" s="44" t="str">
        <f t="shared" si="204"/>
        <v>N</v>
      </c>
      <c r="AL468" s="4">
        <f t="shared" si="219"/>
        <v>390</v>
      </c>
      <c r="AM468" s="82">
        <f t="shared" si="229"/>
        <v>0</v>
      </c>
      <c r="AN468" s="82">
        <f t="shared" si="220"/>
        <v>0</v>
      </c>
      <c r="AO468" s="48">
        <f>0</f>
        <v>0</v>
      </c>
      <c r="AP468" s="91">
        <f t="shared" si="230"/>
        <v>-725.47260782258888</v>
      </c>
      <c r="AQ468" s="91">
        <f t="shared" si="231"/>
        <v>-725.47260782258888</v>
      </c>
      <c r="AV468" s="84"/>
    </row>
    <row r="469" spans="1:48">
      <c r="A469" s="190">
        <f t="shared" si="221"/>
        <v>98.304243668720048</v>
      </c>
      <c r="B469" s="82">
        <f t="shared" si="222"/>
        <v>33</v>
      </c>
      <c r="C469" s="83">
        <f t="shared" si="223"/>
        <v>391</v>
      </c>
      <c r="D469" s="14">
        <f t="shared" si="210"/>
        <v>4.8675505653430484E-3</v>
      </c>
      <c r="E469" s="16">
        <f t="shared" si="211"/>
        <v>0</v>
      </c>
      <c r="F469" s="127"/>
      <c r="G469" s="88">
        <f t="shared" si="212"/>
        <v>0</v>
      </c>
      <c r="H469" s="89">
        <f t="shared" si="224"/>
        <v>4.1666666666666666E-3</v>
      </c>
      <c r="I469" s="219"/>
      <c r="J469" s="219"/>
      <c r="K469" s="6">
        <f t="shared" si="232"/>
        <v>7350.8347667478474</v>
      </c>
      <c r="M469" s="6">
        <f t="shared" si="213"/>
        <v>35.780559924626822</v>
      </c>
      <c r="N469" s="6">
        <f t="shared" si="225"/>
        <v>-8.3258735526253371</v>
      </c>
      <c r="O469" s="90">
        <f t="shared" si="214"/>
        <v>628.18019736704298</v>
      </c>
      <c r="P469" s="91">
        <f t="shared" si="215"/>
        <v>0</v>
      </c>
      <c r="Q469" s="6">
        <f t="shared" si="216"/>
        <v>30.742872721332702</v>
      </c>
      <c r="R469" s="87">
        <f t="shared" si="203"/>
        <v>-725.14808833581606</v>
      </c>
      <c r="S469" s="6">
        <f t="shared" si="217"/>
        <v>-1.4604216698313837</v>
      </c>
      <c r="T469" s="83">
        <f t="shared" si="226"/>
        <v>0</v>
      </c>
      <c r="U469" s="91">
        <f t="shared" si="233"/>
        <v>123256.9313339317</v>
      </c>
      <c r="V469" s="91">
        <f t="shared" si="227"/>
        <v>599.95934579692857</v>
      </c>
      <c r="W469" s="1">
        <f t="shared" ref="W469:AH478" si="234">IF($B469&lt;=W$78,1,0)</f>
        <v>0</v>
      </c>
      <c r="X469" s="1">
        <f t="shared" si="234"/>
        <v>0</v>
      </c>
      <c r="Y469" s="1">
        <f t="shared" si="234"/>
        <v>0</v>
      </c>
      <c r="Z469" s="1">
        <f t="shared" si="234"/>
        <v>0</v>
      </c>
      <c r="AA469" s="1">
        <f t="shared" si="234"/>
        <v>0</v>
      </c>
      <c r="AB469" s="1">
        <f t="shared" si="234"/>
        <v>0</v>
      </c>
      <c r="AC469" s="1">
        <f t="shared" si="234"/>
        <v>0</v>
      </c>
      <c r="AD469" s="1">
        <f t="shared" si="234"/>
        <v>0</v>
      </c>
      <c r="AE469" s="1">
        <f t="shared" si="234"/>
        <v>0</v>
      </c>
      <c r="AF469" s="1">
        <f t="shared" si="234"/>
        <v>0</v>
      </c>
      <c r="AG469" s="1">
        <f t="shared" si="234"/>
        <v>1</v>
      </c>
      <c r="AH469" s="1">
        <f t="shared" si="234"/>
        <v>1</v>
      </c>
      <c r="AI469" s="44">
        <f t="shared" si="228"/>
        <v>6653.1413647840327</v>
      </c>
      <c r="AJ469" s="44">
        <f t="shared" si="218"/>
        <v>7378.289453119849</v>
      </c>
      <c r="AK469" s="44" t="str">
        <f t="shared" si="204"/>
        <v>N</v>
      </c>
      <c r="AL469" s="4">
        <f t="shared" si="219"/>
        <v>391</v>
      </c>
      <c r="AM469" s="82">
        <f t="shared" si="229"/>
        <v>0</v>
      </c>
      <c r="AN469" s="82">
        <f t="shared" si="220"/>
        <v>0</v>
      </c>
      <c r="AO469" s="48">
        <f>0</f>
        <v>0</v>
      </c>
      <c r="AP469" s="91">
        <f t="shared" si="230"/>
        <v>-725.14808833581606</v>
      </c>
      <c r="AQ469" s="91">
        <f t="shared" si="231"/>
        <v>-725.14808833581606</v>
      </c>
      <c r="AV469" s="84"/>
    </row>
    <row r="470" spans="1:48">
      <c r="A470" s="190">
        <f t="shared" si="221"/>
        <v>98.387577002053376</v>
      </c>
      <c r="B470" s="82">
        <f t="shared" si="222"/>
        <v>33</v>
      </c>
      <c r="C470" s="83">
        <f t="shared" si="223"/>
        <v>392</v>
      </c>
      <c r="D470" s="14">
        <f t="shared" si="210"/>
        <v>4.8675505653430484E-3</v>
      </c>
      <c r="E470" s="16">
        <f t="shared" si="211"/>
        <v>0</v>
      </c>
      <c r="F470" s="127"/>
      <c r="G470" s="88">
        <f t="shared" si="212"/>
        <v>0</v>
      </c>
      <c r="H470" s="89">
        <f t="shared" si="224"/>
        <v>4.1666666666666666E-3</v>
      </c>
      <c r="I470" s="219"/>
      <c r="J470" s="219"/>
      <c r="K470" s="6">
        <f t="shared" si="232"/>
        <v>6653.1413647840327</v>
      </c>
      <c r="M470" s="6">
        <f t="shared" si="213"/>
        <v>32.384502011461741</v>
      </c>
      <c r="N470" s="6">
        <f t="shared" si="225"/>
        <v>-7.5356358139770911</v>
      </c>
      <c r="O470" s="90">
        <f t="shared" si="214"/>
        <v>628.18019736704298</v>
      </c>
      <c r="P470" s="91">
        <f t="shared" si="215"/>
        <v>0</v>
      </c>
      <c r="Q470" s="6">
        <f t="shared" si="216"/>
        <v>27.824959295756319</v>
      </c>
      <c r="R470" s="87">
        <f t="shared" si="203"/>
        <v>-724.82371401358364</v>
      </c>
      <c r="S470" s="6">
        <f t="shared" si="217"/>
        <v>-1.3146641378246071</v>
      </c>
      <c r="T470" s="83">
        <f t="shared" si="226"/>
        <v>0</v>
      </c>
      <c r="U470" s="91">
        <f t="shared" si="233"/>
        <v>123131.74259139282</v>
      </c>
      <c r="V470" s="91">
        <f t="shared" si="227"/>
        <v>599.34998326240884</v>
      </c>
      <c r="W470" s="1">
        <f t="shared" si="234"/>
        <v>0</v>
      </c>
      <c r="X470" s="1">
        <f t="shared" si="234"/>
        <v>0</v>
      </c>
      <c r="Y470" s="1">
        <f t="shared" si="234"/>
        <v>0</v>
      </c>
      <c r="Z470" s="1">
        <f t="shared" si="234"/>
        <v>0</v>
      </c>
      <c r="AA470" s="1">
        <f t="shared" si="234"/>
        <v>0</v>
      </c>
      <c r="AB470" s="1">
        <f t="shared" si="234"/>
        <v>0</v>
      </c>
      <c r="AC470" s="1">
        <f t="shared" si="234"/>
        <v>0</v>
      </c>
      <c r="AD470" s="1">
        <f t="shared" si="234"/>
        <v>0</v>
      </c>
      <c r="AE470" s="1">
        <f t="shared" si="234"/>
        <v>0</v>
      </c>
      <c r="AF470" s="1">
        <f t="shared" si="234"/>
        <v>0</v>
      </c>
      <c r="AG470" s="1">
        <f t="shared" si="234"/>
        <v>1</v>
      </c>
      <c r="AH470" s="1">
        <f t="shared" si="234"/>
        <v>1</v>
      </c>
      <c r="AI470" s="44">
        <f t="shared" si="228"/>
        <v>5953.1665169679336</v>
      </c>
      <c r="AJ470" s="44">
        <f t="shared" si="218"/>
        <v>6677.990230981517</v>
      </c>
      <c r="AK470" s="44" t="str">
        <f t="shared" si="204"/>
        <v>N</v>
      </c>
      <c r="AL470" s="4">
        <f t="shared" si="219"/>
        <v>392</v>
      </c>
      <c r="AM470" s="82">
        <f t="shared" si="229"/>
        <v>0</v>
      </c>
      <c r="AN470" s="82">
        <f t="shared" si="220"/>
        <v>0</v>
      </c>
      <c r="AO470" s="48">
        <f>0</f>
        <v>0</v>
      </c>
      <c r="AP470" s="91">
        <f t="shared" si="230"/>
        <v>-724.82371401358364</v>
      </c>
      <c r="AQ470" s="91">
        <f t="shared" si="231"/>
        <v>-724.82371401358364</v>
      </c>
      <c r="AV470" s="84"/>
    </row>
    <row r="471" spans="1:48">
      <c r="A471" s="190">
        <f t="shared" si="221"/>
        <v>98.470910335386719</v>
      </c>
      <c r="B471" s="82">
        <f t="shared" si="222"/>
        <v>33</v>
      </c>
      <c r="C471" s="83">
        <f t="shared" si="223"/>
        <v>393</v>
      </c>
      <c r="D471" s="14">
        <f t="shared" si="210"/>
        <v>4.8675505653430484E-3</v>
      </c>
      <c r="E471" s="16">
        <f t="shared" si="211"/>
        <v>0</v>
      </c>
      <c r="F471" s="127"/>
      <c r="G471" s="88">
        <f t="shared" si="212"/>
        <v>0</v>
      </c>
      <c r="H471" s="89">
        <f t="shared" si="224"/>
        <v>4.1666666666666666E-3</v>
      </c>
      <c r="I471" s="219"/>
      <c r="J471" s="219"/>
      <c r="K471" s="6">
        <f t="shared" si="232"/>
        <v>5953.1665169679336</v>
      </c>
      <c r="M471" s="6">
        <f t="shared" si="213"/>
        <v>28.97733904524857</v>
      </c>
      <c r="N471" s="6">
        <f t="shared" si="225"/>
        <v>-6.7428140110305685</v>
      </c>
      <c r="O471" s="90">
        <f t="shared" si="214"/>
        <v>628.18019736704298</v>
      </c>
      <c r="P471" s="91">
        <f t="shared" si="215"/>
        <v>0</v>
      </c>
      <c r="Q471" s="6">
        <f t="shared" si="216"/>
        <v>24.897504341675631</v>
      </c>
      <c r="R471" s="87">
        <f t="shared" si="203"/>
        <v>-724.49948479095531</v>
      </c>
      <c r="S471" s="6">
        <f t="shared" si="217"/>
        <v>-1.1684298553576071</v>
      </c>
      <c r="T471" s="83">
        <f t="shared" si="226"/>
        <v>0</v>
      </c>
      <c r="U471" s="91">
        <f t="shared" si="233"/>
        <v>123006.26886064163</v>
      </c>
      <c r="V471" s="91">
        <f t="shared" si="227"/>
        <v>598.73923353335522</v>
      </c>
      <c r="W471" s="1">
        <f t="shared" si="234"/>
        <v>0</v>
      </c>
      <c r="X471" s="1">
        <f t="shared" si="234"/>
        <v>0</v>
      </c>
      <c r="Y471" s="1">
        <f t="shared" si="234"/>
        <v>0</v>
      </c>
      <c r="Z471" s="1">
        <f t="shared" si="234"/>
        <v>0</v>
      </c>
      <c r="AA471" s="1">
        <f t="shared" si="234"/>
        <v>0</v>
      </c>
      <c r="AB471" s="1">
        <f t="shared" si="234"/>
        <v>0</v>
      </c>
      <c r="AC471" s="1">
        <f t="shared" si="234"/>
        <v>0</v>
      </c>
      <c r="AD471" s="1">
        <f t="shared" si="234"/>
        <v>0</v>
      </c>
      <c r="AE471" s="1">
        <f t="shared" si="234"/>
        <v>0</v>
      </c>
      <c r="AF471" s="1">
        <f t="shared" si="234"/>
        <v>0</v>
      </c>
      <c r="AG471" s="1">
        <f t="shared" si="234"/>
        <v>1</v>
      </c>
      <c r="AH471" s="1">
        <f t="shared" si="234"/>
        <v>1</v>
      </c>
      <c r="AI471" s="44">
        <f t="shared" si="228"/>
        <v>5250.9015572111957</v>
      </c>
      <c r="AJ471" s="44">
        <f t="shared" si="218"/>
        <v>5975.4010420021514</v>
      </c>
      <c r="AK471" s="44" t="str">
        <f t="shared" si="204"/>
        <v>N</v>
      </c>
      <c r="AL471" s="4">
        <f t="shared" si="219"/>
        <v>393</v>
      </c>
      <c r="AM471" s="82">
        <f t="shared" si="229"/>
        <v>0</v>
      </c>
      <c r="AN471" s="82">
        <f t="shared" si="220"/>
        <v>0</v>
      </c>
      <c r="AO471" s="48">
        <f>0</f>
        <v>0</v>
      </c>
      <c r="AP471" s="91">
        <f t="shared" si="230"/>
        <v>-724.49948479095531</v>
      </c>
      <c r="AQ471" s="91">
        <f t="shared" si="231"/>
        <v>-724.49948479095531</v>
      </c>
      <c r="AV471" s="84"/>
    </row>
    <row r="472" spans="1:48">
      <c r="A472" s="190">
        <f t="shared" si="221"/>
        <v>98.554243668720048</v>
      </c>
      <c r="B472" s="82">
        <f t="shared" si="222"/>
        <v>33</v>
      </c>
      <c r="C472" s="83">
        <f t="shared" si="223"/>
        <v>394</v>
      </c>
      <c r="D472" s="14">
        <f t="shared" si="210"/>
        <v>4.8675505653430484E-3</v>
      </c>
      <c r="E472" s="16">
        <f t="shared" si="211"/>
        <v>0</v>
      </c>
      <c r="F472" s="127"/>
      <c r="G472" s="88">
        <f t="shared" si="212"/>
        <v>0</v>
      </c>
      <c r="H472" s="89">
        <f t="shared" si="224"/>
        <v>4.1666666666666666E-3</v>
      </c>
      <c r="I472" s="219"/>
      <c r="J472" s="219"/>
      <c r="K472" s="6">
        <f t="shared" si="232"/>
        <v>5250.9015572111957</v>
      </c>
      <c r="M472" s="6">
        <f t="shared" si="213"/>
        <v>25.55902884336405</v>
      </c>
      <c r="N472" s="6">
        <f t="shared" si="225"/>
        <v>-5.947398328199089</v>
      </c>
      <c r="O472" s="90">
        <f t="shared" si="214"/>
        <v>628.18019736704298</v>
      </c>
      <c r="P472" s="91">
        <f t="shared" si="215"/>
        <v>0</v>
      </c>
      <c r="Q472" s="6">
        <f t="shared" si="216"/>
        <v>21.960471615526505</v>
      </c>
      <c r="R472" s="87">
        <f t="shared" si="203"/>
        <v>-724.17540060302554</v>
      </c>
      <c r="S472" s="6">
        <f t="shared" si="217"/>
        <v>-1.0217170115546046</v>
      </c>
      <c r="T472" s="83">
        <f t="shared" si="226"/>
        <v>0</v>
      </c>
      <c r="U472" s="91">
        <f t="shared" si="233"/>
        <v>122880.50860938404</v>
      </c>
      <c r="V472" s="91">
        <f t="shared" si="227"/>
        <v>598.12708915124858</v>
      </c>
      <c r="W472" s="1">
        <f t="shared" si="234"/>
        <v>0</v>
      </c>
      <c r="X472" s="1">
        <f t="shared" si="234"/>
        <v>0</v>
      </c>
      <c r="Y472" s="1">
        <f t="shared" si="234"/>
        <v>0</v>
      </c>
      <c r="Z472" s="1">
        <f t="shared" si="234"/>
        <v>0</v>
      </c>
      <c r="AA472" s="1">
        <f t="shared" si="234"/>
        <v>0</v>
      </c>
      <c r="AB472" s="1">
        <f t="shared" si="234"/>
        <v>0</v>
      </c>
      <c r="AC472" s="1">
        <f t="shared" si="234"/>
        <v>0</v>
      </c>
      <c r="AD472" s="1">
        <f t="shared" si="234"/>
        <v>0</v>
      </c>
      <c r="AE472" s="1">
        <f t="shared" si="234"/>
        <v>0</v>
      </c>
      <c r="AF472" s="1">
        <f t="shared" si="234"/>
        <v>0</v>
      </c>
      <c r="AG472" s="1">
        <f t="shared" si="234"/>
        <v>1</v>
      </c>
      <c r="AH472" s="1">
        <f t="shared" si="234"/>
        <v>1</v>
      </c>
      <c r="AI472" s="44">
        <f t="shared" si="228"/>
        <v>4546.3377871233351</v>
      </c>
      <c r="AJ472" s="44">
        <f t="shared" si="218"/>
        <v>5270.5131877263611</v>
      </c>
      <c r="AK472" s="44" t="str">
        <f t="shared" si="204"/>
        <v>N</v>
      </c>
      <c r="AL472" s="4">
        <f t="shared" si="219"/>
        <v>394</v>
      </c>
      <c r="AM472" s="82">
        <f t="shared" si="229"/>
        <v>0</v>
      </c>
      <c r="AN472" s="82">
        <f t="shared" si="220"/>
        <v>0</v>
      </c>
      <c r="AO472" s="48">
        <f>0</f>
        <v>0</v>
      </c>
      <c r="AP472" s="91">
        <f t="shared" si="230"/>
        <v>-724.17540060302554</v>
      </c>
      <c r="AQ472" s="91">
        <f t="shared" si="231"/>
        <v>-724.17540060302554</v>
      </c>
      <c r="AV472" s="84"/>
    </row>
    <row r="473" spans="1:48">
      <c r="A473" s="190">
        <f t="shared" si="221"/>
        <v>98.637577002053376</v>
      </c>
      <c r="B473" s="82">
        <f t="shared" si="222"/>
        <v>33</v>
      </c>
      <c r="C473" s="83">
        <f t="shared" si="223"/>
        <v>395</v>
      </c>
      <c r="D473" s="14">
        <f t="shared" si="210"/>
        <v>4.8675505653430484E-3</v>
      </c>
      <c r="E473" s="16">
        <f t="shared" si="211"/>
        <v>0</v>
      </c>
      <c r="F473" s="127"/>
      <c r="G473" s="88">
        <f t="shared" si="212"/>
        <v>0</v>
      </c>
      <c r="H473" s="89">
        <f t="shared" si="224"/>
        <v>4.1666666666666666E-3</v>
      </c>
      <c r="I473" s="219"/>
      <c r="J473" s="219"/>
      <c r="K473" s="6">
        <f t="shared" si="232"/>
        <v>4546.3377871233351</v>
      </c>
      <c r="M473" s="6">
        <f t="shared" si="213"/>
        <v>22.129529065952653</v>
      </c>
      <c r="N473" s="6">
        <f t="shared" si="225"/>
        <v>-5.1493789133091807</v>
      </c>
      <c r="O473" s="90">
        <f t="shared" si="214"/>
        <v>628.18019736704298</v>
      </c>
      <c r="P473" s="91">
        <f t="shared" si="215"/>
        <v>0</v>
      </c>
      <c r="Q473" s="6">
        <f t="shared" si="216"/>
        <v>19.013824738649912</v>
      </c>
      <c r="R473" s="87">
        <f t="shared" si="203"/>
        <v>-723.85146138491723</v>
      </c>
      <c r="S473" s="6">
        <f t="shared" si="217"/>
        <v>-0.87452378878990245</v>
      </c>
      <c r="T473" s="83">
        <f t="shared" si="226"/>
        <v>0</v>
      </c>
      <c r="U473" s="91">
        <f t="shared" si="233"/>
        <v>122754.46029793227</v>
      </c>
      <c r="V473" s="91">
        <f t="shared" si="227"/>
        <v>597.513542621581</v>
      </c>
      <c r="W473" s="1">
        <f t="shared" si="234"/>
        <v>0</v>
      </c>
      <c r="X473" s="1">
        <f t="shared" si="234"/>
        <v>0</v>
      </c>
      <c r="Y473" s="1">
        <f t="shared" si="234"/>
        <v>0</v>
      </c>
      <c r="Z473" s="1">
        <f t="shared" si="234"/>
        <v>0</v>
      </c>
      <c r="AA473" s="1">
        <f t="shared" si="234"/>
        <v>0</v>
      </c>
      <c r="AB473" s="1">
        <f t="shared" si="234"/>
        <v>0</v>
      </c>
      <c r="AC473" s="1">
        <f t="shared" si="234"/>
        <v>0</v>
      </c>
      <c r="AD473" s="1">
        <f t="shared" si="234"/>
        <v>0</v>
      </c>
      <c r="AE473" s="1">
        <f t="shared" si="234"/>
        <v>0</v>
      </c>
      <c r="AF473" s="1">
        <f t="shared" si="234"/>
        <v>0</v>
      </c>
      <c r="AG473" s="1">
        <f t="shared" si="234"/>
        <v>1</v>
      </c>
      <c r="AH473" s="1">
        <f t="shared" si="234"/>
        <v>1</v>
      </c>
      <c r="AI473" s="44">
        <f t="shared" si="228"/>
        <v>3839.4664758910612</v>
      </c>
      <c r="AJ473" s="44">
        <f t="shared" si="218"/>
        <v>4563.3179372759787</v>
      </c>
      <c r="AK473" s="44" t="str">
        <f t="shared" si="204"/>
        <v>N</v>
      </c>
      <c r="AL473" s="4">
        <f t="shared" si="219"/>
        <v>395</v>
      </c>
      <c r="AM473" s="82">
        <f t="shared" si="229"/>
        <v>0</v>
      </c>
      <c r="AN473" s="82">
        <f t="shared" si="220"/>
        <v>0</v>
      </c>
      <c r="AO473" s="48">
        <f>0</f>
        <v>0</v>
      </c>
      <c r="AP473" s="91">
        <f t="shared" si="230"/>
        <v>-723.85146138491723</v>
      </c>
      <c r="AQ473" s="91">
        <f t="shared" si="231"/>
        <v>-723.85146138491723</v>
      </c>
      <c r="AV473" s="84"/>
    </row>
    <row r="474" spans="1:48">
      <c r="A474" s="190">
        <f t="shared" si="221"/>
        <v>98.720910335386719</v>
      </c>
      <c r="B474" s="82">
        <f t="shared" si="222"/>
        <v>33</v>
      </c>
      <c r="C474" s="83">
        <f t="shared" si="223"/>
        <v>396</v>
      </c>
      <c r="D474" s="14">
        <f t="shared" si="210"/>
        <v>4.8675505653430484E-3</v>
      </c>
      <c r="E474" s="16">
        <f t="shared" si="211"/>
        <v>0</v>
      </c>
      <c r="F474" s="127"/>
      <c r="G474" s="88">
        <f t="shared" si="212"/>
        <v>0</v>
      </c>
      <c r="H474" s="89">
        <f t="shared" si="224"/>
        <v>4.1666666666666666E-3</v>
      </c>
      <c r="I474" s="219"/>
      <c r="J474" s="219"/>
      <c r="K474" s="6">
        <f t="shared" si="232"/>
        <v>3839.4664758910612</v>
      </c>
      <c r="M474" s="6">
        <f t="shared" si="213"/>
        <v>18.688797215339218</v>
      </c>
      <c r="N474" s="6">
        <f t="shared" si="225"/>
        <v>-4.3487458774638972</v>
      </c>
      <c r="O474" s="90">
        <f t="shared" si="214"/>
        <v>628.18019736704298</v>
      </c>
      <c r="P474" s="91">
        <f t="shared" si="215"/>
        <v>0</v>
      </c>
      <c r="Q474" s="6">
        <f t="shared" si="216"/>
        <v>16.057527196787234</v>
      </c>
      <c r="R474" s="87">
        <f t="shared" si="203"/>
        <v>-723.52766707178171</v>
      </c>
      <c r="S474" s="6">
        <f t="shared" si="217"/>
        <v>-0.72684836266266817</v>
      </c>
      <c r="T474" s="83">
        <f t="shared" si="226"/>
        <v>0</v>
      </c>
      <c r="U474" s="91">
        <f t="shared" si="233"/>
        <v>122628.12237916894</v>
      </c>
      <c r="V474" s="91">
        <f t="shared" si="227"/>
        <v>596.89858641368028</v>
      </c>
      <c r="W474" s="1">
        <f t="shared" si="234"/>
        <v>0</v>
      </c>
      <c r="X474" s="1">
        <f t="shared" si="234"/>
        <v>0</v>
      </c>
      <c r="Y474" s="1">
        <f t="shared" si="234"/>
        <v>0</v>
      </c>
      <c r="Z474" s="1">
        <f t="shared" si="234"/>
        <v>0</v>
      </c>
      <c r="AA474" s="1">
        <f t="shared" si="234"/>
        <v>0</v>
      </c>
      <c r="AB474" s="1">
        <f t="shared" si="234"/>
        <v>0</v>
      </c>
      <c r="AC474" s="1">
        <f t="shared" si="234"/>
        <v>0</v>
      </c>
      <c r="AD474" s="1">
        <f t="shared" si="234"/>
        <v>0</v>
      </c>
      <c r="AE474" s="1">
        <f t="shared" si="234"/>
        <v>0</v>
      </c>
      <c r="AF474" s="1">
        <f t="shared" si="234"/>
        <v>0</v>
      </c>
      <c r="AG474" s="1">
        <f t="shared" si="234"/>
        <v>1</v>
      </c>
      <c r="AH474" s="1">
        <f t="shared" si="234"/>
        <v>1</v>
      </c>
      <c r="AI474" s="44">
        <f t="shared" si="228"/>
        <v>3130.2788601571547</v>
      </c>
      <c r="AJ474" s="44">
        <f t="shared" si="218"/>
        <v>3853.8065272289364</v>
      </c>
      <c r="AK474" s="44" t="str">
        <f t="shared" si="204"/>
        <v>N</v>
      </c>
      <c r="AL474" s="4">
        <f t="shared" si="219"/>
        <v>396</v>
      </c>
      <c r="AM474" s="82">
        <f t="shared" si="229"/>
        <v>0</v>
      </c>
      <c r="AN474" s="82">
        <f t="shared" si="220"/>
        <v>0</v>
      </c>
      <c r="AO474" s="48">
        <f>0</f>
        <v>0</v>
      </c>
      <c r="AP474" s="91">
        <f t="shared" si="230"/>
        <v>-723.52766707178171</v>
      </c>
      <c r="AQ474" s="91">
        <f t="shared" si="231"/>
        <v>-723.52766707178171</v>
      </c>
      <c r="AV474" s="84"/>
    </row>
    <row r="475" spans="1:48">
      <c r="A475" s="190">
        <f t="shared" si="221"/>
        <v>98.804243668720048</v>
      </c>
      <c r="B475" s="82">
        <f t="shared" si="222"/>
        <v>34</v>
      </c>
      <c r="C475" s="83">
        <f t="shared" si="223"/>
        <v>397</v>
      </c>
      <c r="D475" s="14">
        <f t="shared" si="210"/>
        <v>4.8675505653430484E-3</v>
      </c>
      <c r="E475" s="16">
        <f t="shared" si="211"/>
        <v>0</v>
      </c>
      <c r="F475" s="127"/>
      <c r="G475" s="88">
        <f t="shared" si="212"/>
        <v>0</v>
      </c>
      <c r="H475" s="89">
        <f t="shared" si="224"/>
        <v>4.1666666666666666E-3</v>
      </c>
      <c r="I475" s="219"/>
      <c r="J475" s="219"/>
      <c r="K475" s="6">
        <f t="shared" si="232"/>
        <v>3130.2788601571547</v>
      </c>
      <c r="M475" s="6">
        <f t="shared" si="213"/>
        <v>15.236790635439352</v>
      </c>
      <c r="N475" s="6">
        <f t="shared" si="225"/>
        <v>-3.5454892949056327</v>
      </c>
      <c r="O475" s="90">
        <f t="shared" si="214"/>
        <v>640.74380131438386</v>
      </c>
      <c r="P475" s="91">
        <f t="shared" si="215"/>
        <v>0</v>
      </c>
      <c r="Q475" s="6">
        <f t="shared" si="216"/>
        <v>13.091542339573701</v>
      </c>
      <c r="R475" s="87">
        <f t="shared" si="203"/>
        <v>-723.20401759880087</v>
      </c>
      <c r="S475" s="6">
        <f t="shared" si="217"/>
        <v>-0.57868890197162459</v>
      </c>
      <c r="T475" s="83">
        <f t="shared" si="226"/>
        <v>0</v>
      </c>
      <c r="U475" s="91">
        <f t="shared" si="233"/>
        <v>122501.49329851083</v>
      </c>
      <c r="V475" s="91">
        <f t="shared" si="227"/>
        <v>596.28221296053403</v>
      </c>
      <c r="W475" s="1">
        <f t="shared" si="234"/>
        <v>0</v>
      </c>
      <c r="X475" s="1">
        <f t="shared" si="234"/>
        <v>0</v>
      </c>
      <c r="Y475" s="1">
        <f t="shared" si="234"/>
        <v>0</v>
      </c>
      <c r="Z475" s="1">
        <f t="shared" si="234"/>
        <v>0</v>
      </c>
      <c r="AA475" s="1">
        <f t="shared" si="234"/>
        <v>0</v>
      </c>
      <c r="AB475" s="1">
        <f t="shared" si="234"/>
        <v>0</v>
      </c>
      <c r="AC475" s="1">
        <f t="shared" si="234"/>
        <v>0</v>
      </c>
      <c r="AD475" s="1">
        <f t="shared" si="234"/>
        <v>0</v>
      </c>
      <c r="AE475" s="1">
        <f t="shared" si="234"/>
        <v>0</v>
      </c>
      <c r="AF475" s="1">
        <f t="shared" si="234"/>
        <v>0</v>
      </c>
      <c r="AG475" s="1">
        <f t="shared" si="234"/>
        <v>1</v>
      </c>
      <c r="AH475" s="1">
        <f t="shared" si="234"/>
        <v>1</v>
      </c>
      <c r="AI475" s="44">
        <f t="shared" si="228"/>
        <v>2418.7661438988875</v>
      </c>
      <c r="AJ475" s="44">
        <f t="shared" si="218"/>
        <v>3141.9701614976884</v>
      </c>
      <c r="AK475" s="44" t="str">
        <f t="shared" si="204"/>
        <v>N</v>
      </c>
      <c r="AL475" s="4">
        <f t="shared" si="219"/>
        <v>397</v>
      </c>
      <c r="AM475" s="82">
        <f t="shared" si="229"/>
        <v>0</v>
      </c>
      <c r="AN475" s="82">
        <f t="shared" si="220"/>
        <v>0</v>
      </c>
      <c r="AO475" s="48">
        <f>0</f>
        <v>0</v>
      </c>
      <c r="AP475" s="91">
        <f t="shared" si="230"/>
        <v>-723.20401759880087</v>
      </c>
      <c r="AQ475" s="91">
        <f t="shared" si="231"/>
        <v>-723.20401759880087</v>
      </c>
      <c r="AV475" s="84"/>
    </row>
    <row r="476" spans="1:48">
      <c r="A476" s="190">
        <f t="shared" si="221"/>
        <v>98.887577002053376</v>
      </c>
      <c r="B476" s="82">
        <f t="shared" si="222"/>
        <v>34</v>
      </c>
      <c r="C476" s="83">
        <f t="shared" si="223"/>
        <v>398</v>
      </c>
      <c r="D476" s="14">
        <f t="shared" si="210"/>
        <v>4.8675505653430484E-3</v>
      </c>
      <c r="E476" s="16">
        <f t="shared" si="211"/>
        <v>0</v>
      </c>
      <c r="F476" s="127"/>
      <c r="G476" s="88">
        <f t="shared" si="212"/>
        <v>0</v>
      </c>
      <c r="H476" s="89">
        <f t="shared" si="224"/>
        <v>4.1666666666666666E-3</v>
      </c>
      <c r="I476" s="219"/>
      <c r="J476" s="219"/>
      <c r="K476" s="6">
        <f t="shared" si="232"/>
        <v>2418.7661438988875</v>
      </c>
      <c r="M476" s="6">
        <f t="shared" si="213"/>
        <v>11.773466511167655</v>
      </c>
      <c r="N476" s="6">
        <f t="shared" si="225"/>
        <v>-2.7395992028784115</v>
      </c>
      <c r="O476" s="90">
        <f t="shared" si="214"/>
        <v>640.74380131438386</v>
      </c>
      <c r="P476" s="91">
        <f t="shared" si="215"/>
        <v>0</v>
      </c>
      <c r="Q476" s="6">
        <f t="shared" si="216"/>
        <v>10.115833380029903</v>
      </c>
      <c r="R476" s="87">
        <f t="shared" ref="R476:R539" si="235">-MIN(MAX(O476,P476,Q476,-R464*1.02),AJ476)</f>
        <v>-722.88051290118381</v>
      </c>
      <c r="S476" s="6">
        <f t="shared" si="217"/>
        <v>-0.43004356868964311</v>
      </c>
      <c r="T476" s="83">
        <f t="shared" si="226"/>
        <v>0</v>
      </c>
      <c r="U476" s="91">
        <f t="shared" si="233"/>
        <v>122374.57149387256</v>
      </c>
      <c r="V476" s="91">
        <f t="shared" si="227"/>
        <v>595.66441465861271</v>
      </c>
      <c r="W476" s="1">
        <f t="shared" si="234"/>
        <v>0</v>
      </c>
      <c r="X476" s="1">
        <f t="shared" si="234"/>
        <v>0</v>
      </c>
      <c r="Y476" s="1">
        <f t="shared" si="234"/>
        <v>0</v>
      </c>
      <c r="Z476" s="1">
        <f t="shared" si="234"/>
        <v>0</v>
      </c>
      <c r="AA476" s="1">
        <f t="shared" si="234"/>
        <v>0</v>
      </c>
      <c r="AB476" s="1">
        <f t="shared" si="234"/>
        <v>0</v>
      </c>
      <c r="AC476" s="1">
        <f t="shared" si="234"/>
        <v>0</v>
      </c>
      <c r="AD476" s="1">
        <f t="shared" si="234"/>
        <v>0</v>
      </c>
      <c r="AE476" s="1">
        <f t="shared" si="234"/>
        <v>0</v>
      </c>
      <c r="AF476" s="1">
        <f t="shared" si="234"/>
        <v>0</v>
      </c>
      <c r="AG476" s="1">
        <f t="shared" si="234"/>
        <v>1</v>
      </c>
      <c r="AH476" s="1">
        <f t="shared" si="234"/>
        <v>1</v>
      </c>
      <c r="AI476" s="44">
        <f t="shared" si="228"/>
        <v>1704.9194983059929</v>
      </c>
      <c r="AJ476" s="44">
        <f t="shared" si="218"/>
        <v>2427.8000112071768</v>
      </c>
      <c r="AK476" s="44" t="str">
        <f t="shared" ref="AK476:AK539" si="236">IF(R476=0,0,IF(R476&gt;R464,"Y","N"))</f>
        <v>N</v>
      </c>
      <c r="AL476" s="4">
        <f t="shared" si="219"/>
        <v>398</v>
      </c>
      <c r="AM476" s="82">
        <f t="shared" si="229"/>
        <v>0</v>
      </c>
      <c r="AN476" s="82">
        <f t="shared" si="220"/>
        <v>0</v>
      </c>
      <c r="AO476" s="48">
        <f>0</f>
        <v>0</v>
      </c>
      <c r="AP476" s="91">
        <f t="shared" si="230"/>
        <v>-722.88051290118381</v>
      </c>
      <c r="AQ476" s="91">
        <f t="shared" si="231"/>
        <v>-722.88051290118381</v>
      </c>
      <c r="AV476" s="84"/>
    </row>
    <row r="477" spans="1:48">
      <c r="A477" s="190">
        <f t="shared" si="221"/>
        <v>98.970910335386719</v>
      </c>
      <c r="B477" s="82">
        <f t="shared" si="222"/>
        <v>34</v>
      </c>
      <c r="C477" s="83">
        <f t="shared" si="223"/>
        <v>399</v>
      </c>
      <c r="D477" s="14">
        <f t="shared" si="210"/>
        <v>4.8675505653430484E-3</v>
      </c>
      <c r="E477" s="16">
        <f t="shared" si="211"/>
        <v>0</v>
      </c>
      <c r="F477" s="127"/>
      <c r="G477" s="88">
        <f t="shared" si="212"/>
        <v>0</v>
      </c>
      <c r="H477" s="89">
        <f t="shared" si="224"/>
        <v>4.1666666666666666E-3</v>
      </c>
      <c r="I477" s="219"/>
      <c r="J477" s="219"/>
      <c r="K477" s="6">
        <f t="shared" si="232"/>
        <v>1704.9194983059929</v>
      </c>
      <c r="M477" s="6">
        <f t="shared" si="213"/>
        <v>8.2987818678437222</v>
      </c>
      <c r="N477" s="6">
        <f t="shared" si="225"/>
        <v>-1.9310656014896719</v>
      </c>
      <c r="O477" s="90">
        <f t="shared" si="214"/>
        <v>640.74380131438386</v>
      </c>
      <c r="P477" s="91">
        <f t="shared" si="215"/>
        <v>0</v>
      </c>
      <c r="Q477" s="6">
        <f t="shared" si="216"/>
        <v>7.1303633940514448</v>
      </c>
      <c r="R477" s="87">
        <f t="shared" si="235"/>
        <v>-722.55715291416971</v>
      </c>
      <c r="S477" s="6">
        <f t="shared" si="217"/>
        <v>-0.28091051793824529</v>
      </c>
      <c r="T477" s="83">
        <f t="shared" si="226"/>
        <v>0</v>
      </c>
      <c r="U477" s="91">
        <f t="shared" si="233"/>
        <v>122247.35539562999</v>
      </c>
      <c r="V477" s="91">
        <f t="shared" si="227"/>
        <v>595.04518386769132</v>
      </c>
      <c r="W477" s="1">
        <f t="shared" si="234"/>
        <v>0</v>
      </c>
      <c r="X477" s="1">
        <f t="shared" si="234"/>
        <v>0</v>
      </c>
      <c r="Y477" s="1">
        <f t="shared" si="234"/>
        <v>0</v>
      </c>
      <c r="Z477" s="1">
        <f t="shared" si="234"/>
        <v>0</v>
      </c>
      <c r="AA477" s="1">
        <f t="shared" si="234"/>
        <v>0</v>
      </c>
      <c r="AB477" s="1">
        <f t="shared" si="234"/>
        <v>0</v>
      </c>
      <c r="AC477" s="1">
        <f t="shared" si="234"/>
        <v>0</v>
      </c>
      <c r="AD477" s="1">
        <f t="shared" si="234"/>
        <v>0</v>
      </c>
      <c r="AE477" s="1">
        <f t="shared" si="234"/>
        <v>0</v>
      </c>
      <c r="AF477" s="1">
        <f t="shared" si="234"/>
        <v>0</v>
      </c>
      <c r="AG477" s="1">
        <f t="shared" si="234"/>
        <v>1</v>
      </c>
      <c r="AH477" s="1">
        <f t="shared" si="234"/>
        <v>1</v>
      </c>
      <c r="AI477" s="44">
        <f t="shared" si="228"/>
        <v>988.73006165817708</v>
      </c>
      <c r="AJ477" s="44">
        <f t="shared" si="218"/>
        <v>1711.2872145723468</v>
      </c>
      <c r="AK477" s="44" t="str">
        <f t="shared" si="236"/>
        <v>N</v>
      </c>
      <c r="AL477" s="4">
        <f t="shared" si="219"/>
        <v>399</v>
      </c>
      <c r="AM477" s="82">
        <f t="shared" si="229"/>
        <v>0</v>
      </c>
      <c r="AN477" s="82">
        <f t="shared" si="220"/>
        <v>0</v>
      </c>
      <c r="AO477" s="48">
        <f>0</f>
        <v>0</v>
      </c>
      <c r="AP477" s="91">
        <f t="shared" si="230"/>
        <v>-722.55715291416971</v>
      </c>
      <c r="AQ477" s="91">
        <f t="shared" si="231"/>
        <v>-722.55715291416971</v>
      </c>
      <c r="AV477" s="84"/>
    </row>
    <row r="478" spans="1:48">
      <c r="A478" s="190">
        <f t="shared" si="221"/>
        <v>99.054243668720048</v>
      </c>
      <c r="B478" s="82">
        <f t="shared" si="222"/>
        <v>34</v>
      </c>
      <c r="C478" s="83">
        <f t="shared" si="223"/>
        <v>400</v>
      </c>
      <c r="D478" s="14">
        <f t="shared" si="210"/>
        <v>4.8675505653430484E-3</v>
      </c>
      <c r="E478" s="16">
        <f t="shared" si="211"/>
        <v>0</v>
      </c>
      <c r="F478" s="127"/>
      <c r="G478" s="88">
        <f t="shared" si="212"/>
        <v>0</v>
      </c>
      <c r="H478" s="89">
        <f t="shared" si="224"/>
        <v>4.1666666666666666E-3</v>
      </c>
      <c r="I478" s="219"/>
      <c r="J478" s="219"/>
      <c r="K478" s="6">
        <f t="shared" si="232"/>
        <v>988.73006165817708</v>
      </c>
      <c r="M478" s="6">
        <f t="shared" si="213"/>
        <v>4.8126935705959273</v>
      </c>
      <c r="N478" s="6">
        <f t="shared" si="225"/>
        <v>-1.1198784535715323</v>
      </c>
      <c r="O478" s="90">
        <f t="shared" si="214"/>
        <v>640.74380131438386</v>
      </c>
      <c r="P478" s="91">
        <f t="shared" si="215"/>
        <v>0</v>
      </c>
      <c r="Q478" s="6">
        <f t="shared" si="216"/>
        <v>4.1350953198966724</v>
      </c>
      <c r="R478" s="87">
        <f t="shared" si="235"/>
        <v>-740.64452420063287</v>
      </c>
      <c r="S478" s="6">
        <f t="shared" si="217"/>
        <v>-0.1293679275612627</v>
      </c>
      <c r="T478" s="83">
        <f t="shared" si="226"/>
        <v>0</v>
      </c>
      <c r="U478" s="91">
        <f t="shared" si="233"/>
        <v>122119.84342658351</v>
      </c>
      <c r="V478" s="91">
        <f t="shared" si="227"/>
        <v>594.42451291067107</v>
      </c>
      <c r="W478" s="1">
        <f t="shared" si="234"/>
        <v>0</v>
      </c>
      <c r="X478" s="1">
        <f t="shared" si="234"/>
        <v>0</v>
      </c>
      <c r="Y478" s="1">
        <f t="shared" si="234"/>
        <v>0</v>
      </c>
      <c r="Z478" s="1">
        <f t="shared" si="234"/>
        <v>0</v>
      </c>
      <c r="AA478" s="1">
        <f t="shared" si="234"/>
        <v>0</v>
      </c>
      <c r="AB478" s="1">
        <f t="shared" si="234"/>
        <v>0</v>
      </c>
      <c r="AC478" s="1">
        <f t="shared" si="234"/>
        <v>0</v>
      </c>
      <c r="AD478" s="1">
        <f t="shared" si="234"/>
        <v>0</v>
      </c>
      <c r="AE478" s="1">
        <f t="shared" si="234"/>
        <v>0</v>
      </c>
      <c r="AF478" s="1">
        <f t="shared" si="234"/>
        <v>0</v>
      </c>
      <c r="AG478" s="1">
        <f t="shared" si="234"/>
        <v>1</v>
      </c>
      <c r="AH478" s="1">
        <f t="shared" si="234"/>
        <v>1</v>
      </c>
      <c r="AI478" s="44">
        <f t="shared" si="228"/>
        <v>251.77835257456854</v>
      </c>
      <c r="AJ478" s="44">
        <f t="shared" si="218"/>
        <v>992.42287677520142</v>
      </c>
      <c r="AK478" s="44" t="str">
        <f t="shared" si="236"/>
        <v>N</v>
      </c>
      <c r="AL478" s="4">
        <f t="shared" si="219"/>
        <v>400</v>
      </c>
      <c r="AM478" s="82">
        <f t="shared" si="229"/>
        <v>0</v>
      </c>
      <c r="AN478" s="82">
        <f t="shared" si="220"/>
        <v>0</v>
      </c>
      <c r="AO478" s="48">
        <f>0</f>
        <v>0</v>
      </c>
      <c r="AP478" s="91">
        <f t="shared" si="230"/>
        <v>-740.64452420063287</v>
      </c>
      <c r="AQ478" s="91">
        <f t="shared" si="231"/>
        <v>-740.64452420063287</v>
      </c>
      <c r="AV478" s="84"/>
    </row>
    <row r="479" spans="1:48">
      <c r="A479" s="190">
        <f t="shared" si="221"/>
        <v>99.137577002053376</v>
      </c>
      <c r="B479" s="82">
        <f t="shared" si="222"/>
        <v>34</v>
      </c>
      <c r="C479" s="83">
        <f t="shared" si="223"/>
        <v>401</v>
      </c>
      <c r="D479" s="14">
        <f t="shared" si="210"/>
        <v>4.8675505653430484E-3</v>
      </c>
      <c r="E479" s="16">
        <f t="shared" si="211"/>
        <v>0</v>
      </c>
      <c r="F479" s="127"/>
      <c r="G479" s="88">
        <f t="shared" si="212"/>
        <v>0</v>
      </c>
      <c r="H479" s="89">
        <f t="shared" si="224"/>
        <v>4.1666666666666666E-3</v>
      </c>
      <c r="I479" s="219"/>
      <c r="J479" s="219"/>
      <c r="K479" s="6">
        <f t="shared" si="232"/>
        <v>251.77835257456854</v>
      </c>
      <c r="M479" s="6">
        <f t="shared" si="213"/>
        <v>1.2255438624154824</v>
      </c>
      <c r="N479" s="6">
        <f t="shared" si="225"/>
        <v>-0.2851750574379473</v>
      </c>
      <c r="O479" s="90">
        <f t="shared" si="214"/>
        <v>252.71872137954608</v>
      </c>
      <c r="P479" s="91">
        <f t="shared" si="215"/>
        <v>0</v>
      </c>
      <c r="Q479" s="6">
        <f t="shared" si="216"/>
        <v>1.0529946724147754</v>
      </c>
      <c r="R479" s="87">
        <f t="shared" si="235"/>
        <v>-252.71872137954608</v>
      </c>
      <c r="S479" s="6">
        <f t="shared" si="217"/>
        <v>-2.6257011483075389E-2</v>
      </c>
      <c r="T479" s="83">
        <f t="shared" si="226"/>
        <v>0</v>
      </c>
      <c r="U479" s="91">
        <f t="shared" si="233"/>
        <v>121973.62341529355</v>
      </c>
      <c r="V479" s="91">
        <f t="shared" si="227"/>
        <v>593.71277961205226</v>
      </c>
      <c r="W479" s="1">
        <f t="shared" ref="W479:AH488" si="237">IF($B479&lt;=W$78,1,0)</f>
        <v>0</v>
      </c>
      <c r="X479" s="1">
        <f t="shared" si="237"/>
        <v>0</v>
      </c>
      <c r="Y479" s="1">
        <f t="shared" si="237"/>
        <v>0</v>
      </c>
      <c r="Z479" s="1">
        <f t="shared" si="237"/>
        <v>0</v>
      </c>
      <c r="AA479" s="1">
        <f t="shared" si="237"/>
        <v>0</v>
      </c>
      <c r="AB479" s="1">
        <f t="shared" si="237"/>
        <v>0</v>
      </c>
      <c r="AC479" s="1">
        <f t="shared" si="237"/>
        <v>0</v>
      </c>
      <c r="AD479" s="1">
        <f t="shared" si="237"/>
        <v>0</v>
      </c>
      <c r="AE479" s="1">
        <f t="shared" si="237"/>
        <v>0</v>
      </c>
      <c r="AF479" s="1">
        <f t="shared" si="237"/>
        <v>0</v>
      </c>
      <c r="AG479" s="1">
        <f t="shared" si="237"/>
        <v>1</v>
      </c>
      <c r="AH479" s="1">
        <f t="shared" si="237"/>
        <v>1</v>
      </c>
      <c r="AI479" s="44">
        <f t="shared" si="228"/>
        <v>0</v>
      </c>
      <c r="AJ479" s="44">
        <f t="shared" si="218"/>
        <v>252.71872137954608</v>
      </c>
      <c r="AK479" s="44" t="str">
        <f t="shared" si="236"/>
        <v>Y</v>
      </c>
      <c r="AL479" s="4">
        <f t="shared" si="219"/>
        <v>401</v>
      </c>
      <c r="AM479" s="82">
        <f t="shared" si="229"/>
        <v>0</v>
      </c>
      <c r="AN479" s="82">
        <f t="shared" si="220"/>
        <v>-121973.62341529355</v>
      </c>
      <c r="AO479" s="48">
        <f>0</f>
        <v>0</v>
      </c>
      <c r="AP479" s="91">
        <f t="shared" si="230"/>
        <v>-122226.34213667309</v>
      </c>
      <c r="AQ479" s="91">
        <f t="shared" si="231"/>
        <v>-252.71872137954608</v>
      </c>
      <c r="AV479" s="84"/>
    </row>
    <row r="480" spans="1:48">
      <c r="A480" s="190">
        <f t="shared" si="221"/>
        <v>99.220910335386719</v>
      </c>
      <c r="B480" s="82">
        <f t="shared" si="222"/>
        <v>34</v>
      </c>
      <c r="C480" s="83">
        <f t="shared" si="223"/>
        <v>402</v>
      </c>
      <c r="D480" s="14">
        <f t="shared" si="210"/>
        <v>4.8675505653430484E-3</v>
      </c>
      <c r="E480" s="16">
        <f t="shared" si="211"/>
        <v>0</v>
      </c>
      <c r="F480" s="127"/>
      <c r="G480" s="88">
        <f t="shared" si="212"/>
        <v>0</v>
      </c>
      <c r="H480" s="89">
        <f t="shared" si="224"/>
        <v>4.1666666666666666E-3</v>
      </c>
      <c r="I480" s="219"/>
      <c r="J480" s="219"/>
      <c r="K480" s="6">
        <f t="shared" si="232"/>
        <v>0</v>
      </c>
      <c r="M480" s="6">
        <f t="shared" si="213"/>
        <v>0</v>
      </c>
      <c r="N480" s="6">
        <f t="shared" si="225"/>
        <v>0</v>
      </c>
      <c r="O480" s="90">
        <f t="shared" si="214"/>
        <v>0</v>
      </c>
      <c r="P480" s="91">
        <f t="shared" si="215"/>
        <v>0</v>
      </c>
      <c r="Q480" s="6">
        <f t="shared" si="216"/>
        <v>0</v>
      </c>
      <c r="R480" s="87">
        <f t="shared" si="235"/>
        <v>0</v>
      </c>
      <c r="S480" s="6">
        <f t="shared" si="217"/>
        <v>0</v>
      </c>
      <c r="T480" s="83">
        <f t="shared" si="226"/>
        <v>0</v>
      </c>
      <c r="U480" s="91">
        <f t="shared" si="233"/>
        <v>0</v>
      </c>
      <c r="V480" s="91">
        <f t="shared" si="227"/>
        <v>0</v>
      </c>
      <c r="W480" s="1">
        <f t="shared" si="237"/>
        <v>0</v>
      </c>
      <c r="X480" s="1">
        <f t="shared" si="237"/>
        <v>0</v>
      </c>
      <c r="Y480" s="1">
        <f t="shared" si="237"/>
        <v>0</v>
      </c>
      <c r="Z480" s="1">
        <f t="shared" si="237"/>
        <v>0</v>
      </c>
      <c r="AA480" s="1">
        <f t="shared" si="237"/>
        <v>0</v>
      </c>
      <c r="AB480" s="1">
        <f t="shared" si="237"/>
        <v>0</v>
      </c>
      <c r="AC480" s="1">
        <f t="shared" si="237"/>
        <v>0</v>
      </c>
      <c r="AD480" s="1">
        <f t="shared" si="237"/>
        <v>0</v>
      </c>
      <c r="AE480" s="1">
        <f t="shared" si="237"/>
        <v>0</v>
      </c>
      <c r="AF480" s="1">
        <f t="shared" si="237"/>
        <v>0</v>
      </c>
      <c r="AG480" s="1">
        <f t="shared" si="237"/>
        <v>1</v>
      </c>
      <c r="AH480" s="1">
        <f t="shared" si="237"/>
        <v>1</v>
      </c>
      <c r="AI480" s="44">
        <f t="shared" si="228"/>
        <v>0</v>
      </c>
      <c r="AJ480" s="44">
        <f t="shared" si="218"/>
        <v>0</v>
      </c>
      <c r="AK480" s="44">
        <f t="shared" si="236"/>
        <v>0</v>
      </c>
      <c r="AL480" s="4">
        <f t="shared" si="219"/>
        <v>402</v>
      </c>
      <c r="AM480" s="82">
        <f t="shared" si="229"/>
        <v>0</v>
      </c>
      <c r="AN480" s="82">
        <f t="shared" si="220"/>
        <v>0</v>
      </c>
      <c r="AO480" s="48">
        <f>0</f>
        <v>0</v>
      </c>
      <c r="AP480" s="91">
        <f t="shared" si="230"/>
        <v>0</v>
      </c>
      <c r="AQ480" s="91">
        <f t="shared" si="231"/>
        <v>0</v>
      </c>
      <c r="AV480" s="84"/>
    </row>
    <row r="481" spans="1:48">
      <c r="A481" s="190">
        <f t="shared" si="221"/>
        <v>99.304243668720048</v>
      </c>
      <c r="B481" s="82">
        <f t="shared" si="222"/>
        <v>34</v>
      </c>
      <c r="C481" s="83">
        <f t="shared" si="223"/>
        <v>403</v>
      </c>
      <c r="D481" s="14">
        <f t="shared" si="210"/>
        <v>4.8675505653430484E-3</v>
      </c>
      <c r="E481" s="16">
        <f t="shared" si="211"/>
        <v>0</v>
      </c>
      <c r="F481" s="127"/>
      <c r="G481" s="88">
        <f t="shared" si="212"/>
        <v>0</v>
      </c>
      <c r="H481" s="89">
        <f t="shared" si="224"/>
        <v>4.1666666666666666E-3</v>
      </c>
      <c r="I481" s="219"/>
      <c r="J481" s="219"/>
      <c r="K481" s="6">
        <f t="shared" si="232"/>
        <v>0</v>
      </c>
      <c r="M481" s="6">
        <f t="shared" si="213"/>
        <v>0</v>
      </c>
      <c r="N481" s="6">
        <f t="shared" si="225"/>
        <v>0</v>
      </c>
      <c r="O481" s="90">
        <f t="shared" si="214"/>
        <v>0</v>
      </c>
      <c r="P481" s="91">
        <f t="shared" si="215"/>
        <v>0</v>
      </c>
      <c r="Q481" s="6">
        <f t="shared" si="216"/>
        <v>0</v>
      </c>
      <c r="R481" s="87">
        <f t="shared" si="235"/>
        <v>0</v>
      </c>
      <c r="S481" s="6">
        <f t="shared" si="217"/>
        <v>0</v>
      </c>
      <c r="T481" s="83">
        <f t="shared" si="226"/>
        <v>0</v>
      </c>
      <c r="U481" s="91">
        <f t="shared" si="233"/>
        <v>0</v>
      </c>
      <c r="V481" s="91">
        <f t="shared" si="227"/>
        <v>0</v>
      </c>
      <c r="W481" s="1">
        <f t="shared" si="237"/>
        <v>0</v>
      </c>
      <c r="X481" s="1">
        <f t="shared" si="237"/>
        <v>0</v>
      </c>
      <c r="Y481" s="1">
        <f t="shared" si="237"/>
        <v>0</v>
      </c>
      <c r="Z481" s="1">
        <f t="shared" si="237"/>
        <v>0</v>
      </c>
      <c r="AA481" s="1">
        <f t="shared" si="237"/>
        <v>0</v>
      </c>
      <c r="AB481" s="1">
        <f t="shared" si="237"/>
        <v>0</v>
      </c>
      <c r="AC481" s="1">
        <f t="shared" si="237"/>
        <v>0</v>
      </c>
      <c r="AD481" s="1">
        <f t="shared" si="237"/>
        <v>0</v>
      </c>
      <c r="AE481" s="1">
        <f t="shared" si="237"/>
        <v>0</v>
      </c>
      <c r="AF481" s="1">
        <f t="shared" si="237"/>
        <v>0</v>
      </c>
      <c r="AG481" s="1">
        <f t="shared" si="237"/>
        <v>1</v>
      </c>
      <c r="AH481" s="1">
        <f t="shared" si="237"/>
        <v>1</v>
      </c>
      <c r="AI481" s="44">
        <f t="shared" si="228"/>
        <v>0</v>
      </c>
      <c r="AJ481" s="44">
        <f t="shared" si="218"/>
        <v>0</v>
      </c>
      <c r="AK481" s="44">
        <f t="shared" si="236"/>
        <v>0</v>
      </c>
      <c r="AL481" s="4">
        <f t="shared" si="219"/>
        <v>403</v>
      </c>
      <c r="AM481" s="82">
        <f t="shared" si="229"/>
        <v>0</v>
      </c>
      <c r="AN481" s="82">
        <f t="shared" si="220"/>
        <v>0</v>
      </c>
      <c r="AO481" s="48">
        <f>0</f>
        <v>0</v>
      </c>
      <c r="AP481" s="91">
        <f t="shared" si="230"/>
        <v>0</v>
      </c>
      <c r="AQ481" s="91">
        <f t="shared" si="231"/>
        <v>0</v>
      </c>
      <c r="AV481" s="84"/>
    </row>
    <row r="482" spans="1:48">
      <c r="A482" s="190">
        <f t="shared" si="221"/>
        <v>99.387577002053376</v>
      </c>
      <c r="B482" s="82">
        <f t="shared" si="222"/>
        <v>34</v>
      </c>
      <c r="C482" s="83">
        <f t="shared" si="223"/>
        <v>404</v>
      </c>
      <c r="D482" s="14">
        <f t="shared" si="210"/>
        <v>4.8675505653430484E-3</v>
      </c>
      <c r="E482" s="16">
        <f t="shared" si="211"/>
        <v>0</v>
      </c>
      <c r="F482" s="127"/>
      <c r="G482" s="88">
        <f t="shared" si="212"/>
        <v>0</v>
      </c>
      <c r="H482" s="89">
        <f t="shared" si="224"/>
        <v>4.1666666666666666E-3</v>
      </c>
      <c r="I482" s="219"/>
      <c r="J482" s="219"/>
      <c r="K482" s="6">
        <f t="shared" si="232"/>
        <v>0</v>
      </c>
      <c r="M482" s="6">
        <f t="shared" si="213"/>
        <v>0</v>
      </c>
      <c r="N482" s="6">
        <f t="shared" si="225"/>
        <v>0</v>
      </c>
      <c r="O482" s="90">
        <f t="shared" si="214"/>
        <v>0</v>
      </c>
      <c r="P482" s="91">
        <f t="shared" si="215"/>
        <v>0</v>
      </c>
      <c r="Q482" s="6">
        <f t="shared" si="216"/>
        <v>0</v>
      </c>
      <c r="R482" s="87">
        <f t="shared" si="235"/>
        <v>0</v>
      </c>
      <c r="S482" s="6">
        <f t="shared" si="217"/>
        <v>0</v>
      </c>
      <c r="T482" s="83">
        <f t="shared" si="226"/>
        <v>0</v>
      </c>
      <c r="U482" s="91">
        <f t="shared" si="233"/>
        <v>0</v>
      </c>
      <c r="V482" s="91">
        <f t="shared" si="227"/>
        <v>0</v>
      </c>
      <c r="W482" s="1">
        <f t="shared" si="237"/>
        <v>0</v>
      </c>
      <c r="X482" s="1">
        <f t="shared" si="237"/>
        <v>0</v>
      </c>
      <c r="Y482" s="1">
        <f t="shared" si="237"/>
        <v>0</v>
      </c>
      <c r="Z482" s="1">
        <f t="shared" si="237"/>
        <v>0</v>
      </c>
      <c r="AA482" s="1">
        <f t="shared" si="237"/>
        <v>0</v>
      </c>
      <c r="AB482" s="1">
        <f t="shared" si="237"/>
        <v>0</v>
      </c>
      <c r="AC482" s="1">
        <f t="shared" si="237"/>
        <v>0</v>
      </c>
      <c r="AD482" s="1">
        <f t="shared" si="237"/>
        <v>0</v>
      </c>
      <c r="AE482" s="1">
        <f t="shared" si="237"/>
        <v>0</v>
      </c>
      <c r="AF482" s="1">
        <f t="shared" si="237"/>
        <v>0</v>
      </c>
      <c r="AG482" s="1">
        <f t="shared" si="237"/>
        <v>1</v>
      </c>
      <c r="AH482" s="1">
        <f t="shared" si="237"/>
        <v>1</v>
      </c>
      <c r="AI482" s="44">
        <f t="shared" si="228"/>
        <v>0</v>
      </c>
      <c r="AJ482" s="44">
        <f t="shared" si="218"/>
        <v>0</v>
      </c>
      <c r="AK482" s="44">
        <f t="shared" si="236"/>
        <v>0</v>
      </c>
      <c r="AL482" s="4">
        <f t="shared" si="219"/>
        <v>404</v>
      </c>
      <c r="AM482" s="82">
        <f t="shared" si="229"/>
        <v>0</v>
      </c>
      <c r="AN482" s="82">
        <f t="shared" si="220"/>
        <v>0</v>
      </c>
      <c r="AO482" s="48">
        <f>0</f>
        <v>0</v>
      </c>
      <c r="AP482" s="91">
        <f t="shared" si="230"/>
        <v>0</v>
      </c>
      <c r="AQ482" s="91">
        <f t="shared" si="231"/>
        <v>0</v>
      </c>
      <c r="AV482" s="84"/>
    </row>
    <row r="483" spans="1:48">
      <c r="A483" s="190">
        <f t="shared" si="221"/>
        <v>99.470910335386719</v>
      </c>
      <c r="B483" s="82">
        <f t="shared" si="222"/>
        <v>34</v>
      </c>
      <c r="C483" s="83">
        <f t="shared" si="223"/>
        <v>405</v>
      </c>
      <c r="D483" s="14">
        <f t="shared" si="210"/>
        <v>4.8675505653430484E-3</v>
      </c>
      <c r="E483" s="16">
        <f t="shared" si="211"/>
        <v>0</v>
      </c>
      <c r="F483" s="127"/>
      <c r="G483" s="88">
        <f t="shared" si="212"/>
        <v>0</v>
      </c>
      <c r="H483" s="89">
        <f t="shared" si="224"/>
        <v>4.1666666666666666E-3</v>
      </c>
      <c r="I483" s="219"/>
      <c r="J483" s="219"/>
      <c r="K483" s="6">
        <f t="shared" si="232"/>
        <v>0</v>
      </c>
      <c r="M483" s="6">
        <f t="shared" si="213"/>
        <v>0</v>
      </c>
      <c r="N483" s="6">
        <f t="shared" si="225"/>
        <v>0</v>
      </c>
      <c r="O483" s="90">
        <f t="shared" si="214"/>
        <v>0</v>
      </c>
      <c r="P483" s="91">
        <f t="shared" si="215"/>
        <v>0</v>
      </c>
      <c r="Q483" s="6">
        <f t="shared" si="216"/>
        <v>0</v>
      </c>
      <c r="R483" s="87">
        <f t="shared" si="235"/>
        <v>0</v>
      </c>
      <c r="S483" s="6">
        <f t="shared" si="217"/>
        <v>0</v>
      </c>
      <c r="T483" s="83">
        <f t="shared" si="226"/>
        <v>0</v>
      </c>
      <c r="U483" s="91">
        <f t="shared" si="233"/>
        <v>0</v>
      </c>
      <c r="V483" s="91">
        <f t="shared" si="227"/>
        <v>0</v>
      </c>
      <c r="W483" s="1">
        <f t="shared" si="237"/>
        <v>0</v>
      </c>
      <c r="X483" s="1">
        <f t="shared" si="237"/>
        <v>0</v>
      </c>
      <c r="Y483" s="1">
        <f t="shared" si="237"/>
        <v>0</v>
      </c>
      <c r="Z483" s="1">
        <f t="shared" si="237"/>
        <v>0</v>
      </c>
      <c r="AA483" s="1">
        <f t="shared" si="237"/>
        <v>0</v>
      </c>
      <c r="AB483" s="1">
        <f t="shared" si="237"/>
        <v>0</v>
      </c>
      <c r="AC483" s="1">
        <f t="shared" si="237"/>
        <v>0</v>
      </c>
      <c r="AD483" s="1">
        <f t="shared" si="237"/>
        <v>0</v>
      </c>
      <c r="AE483" s="1">
        <f t="shared" si="237"/>
        <v>0</v>
      </c>
      <c r="AF483" s="1">
        <f t="shared" si="237"/>
        <v>0</v>
      </c>
      <c r="AG483" s="1">
        <f t="shared" si="237"/>
        <v>1</v>
      </c>
      <c r="AH483" s="1">
        <f t="shared" si="237"/>
        <v>1</v>
      </c>
      <c r="AI483" s="44">
        <f t="shared" si="228"/>
        <v>0</v>
      </c>
      <c r="AJ483" s="44">
        <f t="shared" si="218"/>
        <v>0</v>
      </c>
      <c r="AK483" s="44">
        <f t="shared" si="236"/>
        <v>0</v>
      </c>
      <c r="AL483" s="4">
        <f t="shared" si="219"/>
        <v>405</v>
      </c>
      <c r="AM483" s="82">
        <f t="shared" si="229"/>
        <v>0</v>
      </c>
      <c r="AN483" s="82">
        <f t="shared" si="220"/>
        <v>0</v>
      </c>
      <c r="AO483" s="48">
        <f>0</f>
        <v>0</v>
      </c>
      <c r="AP483" s="91">
        <f t="shared" si="230"/>
        <v>0</v>
      </c>
      <c r="AQ483" s="91">
        <f t="shared" si="231"/>
        <v>0</v>
      </c>
      <c r="AV483" s="84"/>
    </row>
    <row r="484" spans="1:48">
      <c r="A484" s="190">
        <f t="shared" si="221"/>
        <v>99.554243668720048</v>
      </c>
      <c r="B484" s="82">
        <f t="shared" si="222"/>
        <v>34</v>
      </c>
      <c r="C484" s="83">
        <f t="shared" si="223"/>
        <v>406</v>
      </c>
      <c r="D484" s="14">
        <f t="shared" si="210"/>
        <v>4.8675505653430484E-3</v>
      </c>
      <c r="E484" s="16">
        <f t="shared" si="211"/>
        <v>0</v>
      </c>
      <c r="F484" s="127"/>
      <c r="G484" s="88">
        <f t="shared" si="212"/>
        <v>0</v>
      </c>
      <c r="H484" s="89">
        <f t="shared" si="224"/>
        <v>4.1666666666666666E-3</v>
      </c>
      <c r="I484" s="219"/>
      <c r="J484" s="219"/>
      <c r="K484" s="6">
        <f t="shared" si="232"/>
        <v>0</v>
      </c>
      <c r="M484" s="6">
        <f t="shared" si="213"/>
        <v>0</v>
      </c>
      <c r="N484" s="6">
        <f t="shared" si="225"/>
        <v>0</v>
      </c>
      <c r="O484" s="90">
        <f t="shared" si="214"/>
        <v>0</v>
      </c>
      <c r="P484" s="91">
        <f t="shared" si="215"/>
        <v>0</v>
      </c>
      <c r="Q484" s="6">
        <f t="shared" si="216"/>
        <v>0</v>
      </c>
      <c r="R484" s="87">
        <f t="shared" si="235"/>
        <v>0</v>
      </c>
      <c r="S484" s="6">
        <f t="shared" si="217"/>
        <v>0</v>
      </c>
      <c r="T484" s="83">
        <f t="shared" si="226"/>
        <v>0</v>
      </c>
      <c r="U484" s="91">
        <f t="shared" si="233"/>
        <v>0</v>
      </c>
      <c r="V484" s="91">
        <f t="shared" si="227"/>
        <v>0</v>
      </c>
      <c r="W484" s="1">
        <f t="shared" si="237"/>
        <v>0</v>
      </c>
      <c r="X484" s="1">
        <f t="shared" si="237"/>
        <v>0</v>
      </c>
      <c r="Y484" s="1">
        <f t="shared" si="237"/>
        <v>0</v>
      </c>
      <c r="Z484" s="1">
        <f t="shared" si="237"/>
        <v>0</v>
      </c>
      <c r="AA484" s="1">
        <f t="shared" si="237"/>
        <v>0</v>
      </c>
      <c r="AB484" s="1">
        <f t="shared" si="237"/>
        <v>0</v>
      </c>
      <c r="AC484" s="1">
        <f t="shared" si="237"/>
        <v>0</v>
      </c>
      <c r="AD484" s="1">
        <f t="shared" si="237"/>
        <v>0</v>
      </c>
      <c r="AE484" s="1">
        <f t="shared" si="237"/>
        <v>0</v>
      </c>
      <c r="AF484" s="1">
        <f t="shared" si="237"/>
        <v>0</v>
      </c>
      <c r="AG484" s="1">
        <f t="shared" si="237"/>
        <v>1</v>
      </c>
      <c r="AH484" s="1">
        <f t="shared" si="237"/>
        <v>1</v>
      </c>
      <c r="AI484" s="44">
        <f t="shared" si="228"/>
        <v>0</v>
      </c>
      <c r="AJ484" s="44">
        <f t="shared" si="218"/>
        <v>0</v>
      </c>
      <c r="AK484" s="44">
        <f t="shared" si="236"/>
        <v>0</v>
      </c>
      <c r="AL484" s="4">
        <f t="shared" si="219"/>
        <v>406</v>
      </c>
      <c r="AM484" s="82">
        <f t="shared" si="229"/>
        <v>0</v>
      </c>
      <c r="AN484" s="82">
        <f t="shared" si="220"/>
        <v>0</v>
      </c>
      <c r="AO484" s="48">
        <f>0</f>
        <v>0</v>
      </c>
      <c r="AP484" s="91">
        <f t="shared" si="230"/>
        <v>0</v>
      </c>
      <c r="AQ484" s="91">
        <f t="shared" si="231"/>
        <v>0</v>
      </c>
      <c r="AV484" s="84"/>
    </row>
    <row r="485" spans="1:48">
      <c r="A485" s="190">
        <f t="shared" si="221"/>
        <v>99.637577002053376</v>
      </c>
      <c r="B485" s="82">
        <f t="shared" si="222"/>
        <v>34</v>
      </c>
      <c r="C485" s="83">
        <f t="shared" si="223"/>
        <v>407</v>
      </c>
      <c r="D485" s="14">
        <f t="shared" si="210"/>
        <v>4.8675505653430484E-3</v>
      </c>
      <c r="E485" s="16">
        <f t="shared" si="211"/>
        <v>0</v>
      </c>
      <c r="F485" s="127"/>
      <c r="G485" s="88">
        <f t="shared" si="212"/>
        <v>0</v>
      </c>
      <c r="H485" s="89">
        <f t="shared" si="224"/>
        <v>4.1666666666666666E-3</v>
      </c>
      <c r="I485" s="219"/>
      <c r="J485" s="219"/>
      <c r="K485" s="6">
        <f t="shared" si="232"/>
        <v>0</v>
      </c>
      <c r="M485" s="6">
        <f t="shared" si="213"/>
        <v>0</v>
      </c>
      <c r="N485" s="6">
        <f t="shared" si="225"/>
        <v>0</v>
      </c>
      <c r="O485" s="90">
        <f t="shared" si="214"/>
        <v>0</v>
      </c>
      <c r="P485" s="91">
        <f t="shared" si="215"/>
        <v>0</v>
      </c>
      <c r="Q485" s="6">
        <f t="shared" si="216"/>
        <v>0</v>
      </c>
      <c r="R485" s="87">
        <f t="shared" si="235"/>
        <v>0</v>
      </c>
      <c r="S485" s="6">
        <f t="shared" si="217"/>
        <v>0</v>
      </c>
      <c r="T485" s="83">
        <f t="shared" si="226"/>
        <v>0</v>
      </c>
      <c r="U485" s="91">
        <f t="shared" si="233"/>
        <v>0</v>
      </c>
      <c r="V485" s="91">
        <f t="shared" si="227"/>
        <v>0</v>
      </c>
      <c r="W485" s="1">
        <f t="shared" si="237"/>
        <v>0</v>
      </c>
      <c r="X485" s="1">
        <f t="shared" si="237"/>
        <v>0</v>
      </c>
      <c r="Y485" s="1">
        <f t="shared" si="237"/>
        <v>0</v>
      </c>
      <c r="Z485" s="1">
        <f t="shared" si="237"/>
        <v>0</v>
      </c>
      <c r="AA485" s="1">
        <f t="shared" si="237"/>
        <v>0</v>
      </c>
      <c r="AB485" s="1">
        <f t="shared" si="237"/>
        <v>0</v>
      </c>
      <c r="AC485" s="1">
        <f t="shared" si="237"/>
        <v>0</v>
      </c>
      <c r="AD485" s="1">
        <f t="shared" si="237"/>
        <v>0</v>
      </c>
      <c r="AE485" s="1">
        <f t="shared" si="237"/>
        <v>0</v>
      </c>
      <c r="AF485" s="1">
        <f t="shared" si="237"/>
        <v>0</v>
      </c>
      <c r="AG485" s="1">
        <f t="shared" si="237"/>
        <v>1</v>
      </c>
      <c r="AH485" s="1">
        <f t="shared" si="237"/>
        <v>1</v>
      </c>
      <c r="AI485" s="44">
        <f t="shared" si="228"/>
        <v>0</v>
      </c>
      <c r="AJ485" s="44">
        <f t="shared" si="218"/>
        <v>0</v>
      </c>
      <c r="AK485" s="44">
        <f t="shared" si="236"/>
        <v>0</v>
      </c>
      <c r="AL485" s="4">
        <f t="shared" si="219"/>
        <v>407</v>
      </c>
      <c r="AM485" s="82">
        <f t="shared" si="229"/>
        <v>0</v>
      </c>
      <c r="AN485" s="82">
        <f t="shared" si="220"/>
        <v>0</v>
      </c>
      <c r="AO485" s="48">
        <f>0</f>
        <v>0</v>
      </c>
      <c r="AP485" s="91">
        <f t="shared" si="230"/>
        <v>0</v>
      </c>
      <c r="AQ485" s="91">
        <f t="shared" si="231"/>
        <v>0</v>
      </c>
      <c r="AV485" s="84"/>
    </row>
    <row r="486" spans="1:48">
      <c r="A486" s="190">
        <f t="shared" si="221"/>
        <v>99.720910335386719</v>
      </c>
      <c r="B486" s="82">
        <f t="shared" si="222"/>
        <v>34</v>
      </c>
      <c r="C486" s="83">
        <f t="shared" si="223"/>
        <v>408</v>
      </c>
      <c r="D486" s="14">
        <f t="shared" si="210"/>
        <v>4.8675505653430484E-3</v>
      </c>
      <c r="E486" s="16">
        <f t="shared" si="211"/>
        <v>0</v>
      </c>
      <c r="F486" s="127"/>
      <c r="G486" s="88">
        <f t="shared" si="212"/>
        <v>0</v>
      </c>
      <c r="H486" s="89">
        <f t="shared" si="224"/>
        <v>4.1666666666666666E-3</v>
      </c>
      <c r="I486" s="219"/>
      <c r="J486" s="219"/>
      <c r="K486" s="6">
        <f t="shared" si="232"/>
        <v>0</v>
      </c>
      <c r="M486" s="6">
        <f t="shared" si="213"/>
        <v>0</v>
      </c>
      <c r="N486" s="6">
        <f t="shared" si="225"/>
        <v>0</v>
      </c>
      <c r="O486" s="90">
        <f t="shared" si="214"/>
        <v>0</v>
      </c>
      <c r="P486" s="91">
        <f t="shared" si="215"/>
        <v>0</v>
      </c>
      <c r="Q486" s="6">
        <f t="shared" si="216"/>
        <v>0</v>
      </c>
      <c r="R486" s="87">
        <f t="shared" si="235"/>
        <v>0</v>
      </c>
      <c r="S486" s="6">
        <f t="shared" si="217"/>
        <v>0</v>
      </c>
      <c r="T486" s="83">
        <f t="shared" si="226"/>
        <v>0</v>
      </c>
      <c r="U486" s="91">
        <f t="shared" si="233"/>
        <v>0</v>
      </c>
      <c r="V486" s="91">
        <f t="shared" si="227"/>
        <v>0</v>
      </c>
      <c r="W486" s="1">
        <f t="shared" si="237"/>
        <v>0</v>
      </c>
      <c r="X486" s="1">
        <f t="shared" si="237"/>
        <v>0</v>
      </c>
      <c r="Y486" s="1">
        <f t="shared" si="237"/>
        <v>0</v>
      </c>
      <c r="Z486" s="1">
        <f t="shared" si="237"/>
        <v>0</v>
      </c>
      <c r="AA486" s="1">
        <f t="shared" si="237"/>
        <v>0</v>
      </c>
      <c r="AB486" s="1">
        <f t="shared" si="237"/>
        <v>0</v>
      </c>
      <c r="AC486" s="1">
        <f t="shared" si="237"/>
        <v>0</v>
      </c>
      <c r="AD486" s="1">
        <f t="shared" si="237"/>
        <v>0</v>
      </c>
      <c r="AE486" s="1">
        <f t="shared" si="237"/>
        <v>0</v>
      </c>
      <c r="AF486" s="1">
        <f t="shared" si="237"/>
        <v>0</v>
      </c>
      <c r="AG486" s="1">
        <f t="shared" si="237"/>
        <v>1</v>
      </c>
      <c r="AH486" s="1">
        <f t="shared" si="237"/>
        <v>1</v>
      </c>
      <c r="AI486" s="44">
        <f t="shared" si="228"/>
        <v>0</v>
      </c>
      <c r="AJ486" s="44">
        <f t="shared" si="218"/>
        <v>0</v>
      </c>
      <c r="AK486" s="44">
        <f t="shared" si="236"/>
        <v>0</v>
      </c>
      <c r="AL486" s="4">
        <f t="shared" si="219"/>
        <v>408</v>
      </c>
      <c r="AM486" s="82">
        <f t="shared" si="229"/>
        <v>0</v>
      </c>
      <c r="AN486" s="82">
        <f t="shared" si="220"/>
        <v>0</v>
      </c>
      <c r="AO486" s="48">
        <f>0</f>
        <v>0</v>
      </c>
      <c r="AP486" s="91">
        <f t="shared" si="230"/>
        <v>0</v>
      </c>
      <c r="AQ486" s="91">
        <f t="shared" si="231"/>
        <v>0</v>
      </c>
      <c r="AV486" s="84"/>
    </row>
    <row r="487" spans="1:48">
      <c r="A487" s="190">
        <f t="shared" si="221"/>
        <v>99.804243668720048</v>
      </c>
      <c r="B487" s="82">
        <f t="shared" si="222"/>
        <v>35</v>
      </c>
      <c r="C487" s="83">
        <f t="shared" si="223"/>
        <v>409</v>
      </c>
      <c r="D487" s="14">
        <f t="shared" si="210"/>
        <v>4.8675505653430484E-3</v>
      </c>
      <c r="E487" s="16">
        <f t="shared" si="211"/>
        <v>0</v>
      </c>
      <c r="F487" s="127"/>
      <c r="G487" s="88">
        <f t="shared" si="212"/>
        <v>0</v>
      </c>
      <c r="H487" s="89">
        <f t="shared" si="224"/>
        <v>4.1666666666666666E-3</v>
      </c>
      <c r="I487" s="219"/>
      <c r="J487" s="219"/>
      <c r="K487" s="6">
        <f t="shared" si="232"/>
        <v>0</v>
      </c>
      <c r="M487" s="6">
        <f t="shared" si="213"/>
        <v>0</v>
      </c>
      <c r="N487" s="6">
        <f t="shared" si="225"/>
        <v>0</v>
      </c>
      <c r="O487" s="90">
        <f t="shared" si="214"/>
        <v>0</v>
      </c>
      <c r="P487" s="91">
        <f t="shared" si="215"/>
        <v>0</v>
      </c>
      <c r="Q487" s="6">
        <f t="shared" si="216"/>
        <v>0</v>
      </c>
      <c r="R487" s="87">
        <f t="shared" si="235"/>
        <v>0</v>
      </c>
      <c r="S487" s="6">
        <f t="shared" si="217"/>
        <v>0</v>
      </c>
      <c r="T487" s="83">
        <f t="shared" si="226"/>
        <v>0</v>
      </c>
      <c r="U487" s="91">
        <f t="shared" si="233"/>
        <v>0</v>
      </c>
      <c r="V487" s="91">
        <f t="shared" si="227"/>
        <v>0</v>
      </c>
      <c r="W487" s="1">
        <f t="shared" si="237"/>
        <v>0</v>
      </c>
      <c r="X487" s="1">
        <f t="shared" si="237"/>
        <v>0</v>
      </c>
      <c r="Y487" s="1">
        <f t="shared" si="237"/>
        <v>0</v>
      </c>
      <c r="Z487" s="1">
        <f t="shared" si="237"/>
        <v>0</v>
      </c>
      <c r="AA487" s="1">
        <f t="shared" si="237"/>
        <v>0</v>
      </c>
      <c r="AB487" s="1">
        <f t="shared" si="237"/>
        <v>0</v>
      </c>
      <c r="AC487" s="1">
        <f t="shared" si="237"/>
        <v>0</v>
      </c>
      <c r="AD487" s="1">
        <f t="shared" si="237"/>
        <v>0</v>
      </c>
      <c r="AE487" s="1">
        <f t="shared" si="237"/>
        <v>0</v>
      </c>
      <c r="AF487" s="1">
        <f t="shared" si="237"/>
        <v>0</v>
      </c>
      <c r="AG487" s="1">
        <f t="shared" si="237"/>
        <v>1</v>
      </c>
      <c r="AH487" s="1">
        <f t="shared" si="237"/>
        <v>1</v>
      </c>
      <c r="AI487" s="44">
        <f t="shared" si="228"/>
        <v>0</v>
      </c>
      <c r="AJ487" s="44">
        <f t="shared" si="218"/>
        <v>0</v>
      </c>
      <c r="AK487" s="44">
        <f t="shared" si="236"/>
        <v>0</v>
      </c>
      <c r="AL487" s="4">
        <f t="shared" si="219"/>
        <v>409</v>
      </c>
      <c r="AM487" s="82">
        <f t="shared" si="229"/>
        <v>0</v>
      </c>
      <c r="AN487" s="82">
        <f t="shared" si="220"/>
        <v>0</v>
      </c>
      <c r="AO487" s="48">
        <f>0</f>
        <v>0</v>
      </c>
      <c r="AP487" s="91">
        <f t="shared" si="230"/>
        <v>0</v>
      </c>
      <c r="AQ487" s="91">
        <f t="shared" si="231"/>
        <v>0</v>
      </c>
      <c r="AV487" s="84"/>
    </row>
    <row r="488" spans="1:48">
      <c r="A488" s="190">
        <f t="shared" si="221"/>
        <v>99.887577002053376</v>
      </c>
      <c r="B488" s="82">
        <f t="shared" si="222"/>
        <v>35</v>
      </c>
      <c r="C488" s="83">
        <f t="shared" si="223"/>
        <v>410</v>
      </c>
      <c r="D488" s="14">
        <f t="shared" si="210"/>
        <v>4.8675505653430484E-3</v>
      </c>
      <c r="E488" s="16">
        <f t="shared" si="211"/>
        <v>0</v>
      </c>
      <c r="F488" s="127"/>
      <c r="G488" s="88">
        <f t="shared" si="212"/>
        <v>0</v>
      </c>
      <c r="H488" s="89">
        <f t="shared" si="224"/>
        <v>4.1666666666666666E-3</v>
      </c>
      <c r="I488" s="219"/>
      <c r="J488" s="219"/>
      <c r="K488" s="6">
        <f t="shared" si="232"/>
        <v>0</v>
      </c>
      <c r="M488" s="6">
        <f t="shared" si="213"/>
        <v>0</v>
      </c>
      <c r="N488" s="6">
        <f t="shared" si="225"/>
        <v>0</v>
      </c>
      <c r="O488" s="90">
        <f t="shared" si="214"/>
        <v>0</v>
      </c>
      <c r="P488" s="91">
        <f t="shared" si="215"/>
        <v>0</v>
      </c>
      <c r="Q488" s="6">
        <f t="shared" si="216"/>
        <v>0</v>
      </c>
      <c r="R488" s="87">
        <f t="shared" si="235"/>
        <v>0</v>
      </c>
      <c r="S488" s="6">
        <f t="shared" si="217"/>
        <v>0</v>
      </c>
      <c r="T488" s="83">
        <f t="shared" si="226"/>
        <v>0</v>
      </c>
      <c r="U488" s="91">
        <f t="shared" si="233"/>
        <v>0</v>
      </c>
      <c r="V488" s="91">
        <f t="shared" si="227"/>
        <v>0</v>
      </c>
      <c r="W488" s="1">
        <f t="shared" si="237"/>
        <v>0</v>
      </c>
      <c r="X488" s="1">
        <f t="shared" si="237"/>
        <v>0</v>
      </c>
      <c r="Y488" s="1">
        <f t="shared" si="237"/>
        <v>0</v>
      </c>
      <c r="Z488" s="1">
        <f t="shared" si="237"/>
        <v>0</v>
      </c>
      <c r="AA488" s="1">
        <f t="shared" si="237"/>
        <v>0</v>
      </c>
      <c r="AB488" s="1">
        <f t="shared" si="237"/>
        <v>0</v>
      </c>
      <c r="AC488" s="1">
        <f t="shared" si="237"/>
        <v>0</v>
      </c>
      <c r="AD488" s="1">
        <f t="shared" si="237"/>
        <v>0</v>
      </c>
      <c r="AE488" s="1">
        <f t="shared" si="237"/>
        <v>0</v>
      </c>
      <c r="AF488" s="1">
        <f t="shared" si="237"/>
        <v>0</v>
      </c>
      <c r="AG488" s="1">
        <f t="shared" si="237"/>
        <v>1</v>
      </c>
      <c r="AH488" s="1">
        <f t="shared" si="237"/>
        <v>1</v>
      </c>
      <c r="AI488" s="44">
        <f t="shared" si="228"/>
        <v>0</v>
      </c>
      <c r="AJ488" s="44">
        <f t="shared" si="218"/>
        <v>0</v>
      </c>
      <c r="AK488" s="44">
        <f t="shared" si="236"/>
        <v>0</v>
      </c>
      <c r="AL488" s="4">
        <f t="shared" si="219"/>
        <v>410</v>
      </c>
      <c r="AM488" s="82">
        <f t="shared" si="229"/>
        <v>0</v>
      </c>
      <c r="AN488" s="82">
        <f t="shared" si="220"/>
        <v>0</v>
      </c>
      <c r="AO488" s="48">
        <f>0</f>
        <v>0</v>
      </c>
      <c r="AP488" s="91">
        <f t="shared" si="230"/>
        <v>0</v>
      </c>
      <c r="AQ488" s="91">
        <f t="shared" si="231"/>
        <v>0</v>
      </c>
      <c r="AV488" s="84"/>
    </row>
    <row r="489" spans="1:48">
      <c r="A489" s="190">
        <f t="shared" si="221"/>
        <v>99.970910335386719</v>
      </c>
      <c r="B489" s="82">
        <f t="shared" si="222"/>
        <v>35</v>
      </c>
      <c r="C489" s="83">
        <f t="shared" si="223"/>
        <v>411</v>
      </c>
      <c r="D489" s="14">
        <f t="shared" si="210"/>
        <v>4.8675505653430484E-3</v>
      </c>
      <c r="E489" s="16">
        <f t="shared" si="211"/>
        <v>0</v>
      </c>
      <c r="F489" s="127"/>
      <c r="G489" s="88">
        <f t="shared" si="212"/>
        <v>0</v>
      </c>
      <c r="H489" s="89">
        <f t="shared" si="224"/>
        <v>4.1666666666666666E-3</v>
      </c>
      <c r="I489" s="219"/>
      <c r="J489" s="219"/>
      <c r="K489" s="6">
        <f t="shared" si="232"/>
        <v>0</v>
      </c>
      <c r="M489" s="6">
        <f t="shared" si="213"/>
        <v>0</v>
      </c>
      <c r="N489" s="6">
        <f t="shared" si="225"/>
        <v>0</v>
      </c>
      <c r="O489" s="90">
        <f t="shared" si="214"/>
        <v>0</v>
      </c>
      <c r="P489" s="91">
        <f t="shared" si="215"/>
        <v>0</v>
      </c>
      <c r="Q489" s="6">
        <f t="shared" si="216"/>
        <v>0</v>
      </c>
      <c r="R489" s="87">
        <f t="shared" si="235"/>
        <v>0</v>
      </c>
      <c r="S489" s="6">
        <f t="shared" si="217"/>
        <v>0</v>
      </c>
      <c r="T489" s="83">
        <f t="shared" si="226"/>
        <v>0</v>
      </c>
      <c r="U489" s="91">
        <f t="shared" si="233"/>
        <v>0</v>
      </c>
      <c r="V489" s="91">
        <f t="shared" si="227"/>
        <v>0</v>
      </c>
      <c r="W489" s="1">
        <f t="shared" ref="W489:AH498" si="238">IF($B489&lt;=W$78,1,0)</f>
        <v>0</v>
      </c>
      <c r="X489" s="1">
        <f t="shared" si="238"/>
        <v>0</v>
      </c>
      <c r="Y489" s="1">
        <f t="shared" si="238"/>
        <v>0</v>
      </c>
      <c r="Z489" s="1">
        <f t="shared" si="238"/>
        <v>0</v>
      </c>
      <c r="AA489" s="1">
        <f t="shared" si="238"/>
        <v>0</v>
      </c>
      <c r="AB489" s="1">
        <f t="shared" si="238"/>
        <v>0</v>
      </c>
      <c r="AC489" s="1">
        <f t="shared" si="238"/>
        <v>0</v>
      </c>
      <c r="AD489" s="1">
        <f t="shared" si="238"/>
        <v>0</v>
      </c>
      <c r="AE489" s="1">
        <f t="shared" si="238"/>
        <v>0</v>
      </c>
      <c r="AF489" s="1">
        <f t="shared" si="238"/>
        <v>0</v>
      </c>
      <c r="AG489" s="1">
        <f t="shared" si="238"/>
        <v>1</v>
      </c>
      <c r="AH489" s="1">
        <f t="shared" si="238"/>
        <v>1</v>
      </c>
      <c r="AI489" s="44">
        <f t="shared" si="228"/>
        <v>0</v>
      </c>
      <c r="AJ489" s="44">
        <f t="shared" si="218"/>
        <v>0</v>
      </c>
      <c r="AK489" s="44">
        <f t="shared" si="236"/>
        <v>0</v>
      </c>
      <c r="AL489" s="4">
        <f t="shared" si="219"/>
        <v>411</v>
      </c>
      <c r="AM489" s="82">
        <f t="shared" si="229"/>
        <v>0</v>
      </c>
      <c r="AN489" s="82">
        <f t="shared" si="220"/>
        <v>0</v>
      </c>
      <c r="AO489" s="48">
        <f>0</f>
        <v>0</v>
      </c>
      <c r="AP489" s="91">
        <f t="shared" si="230"/>
        <v>0</v>
      </c>
      <c r="AQ489" s="91">
        <f t="shared" si="231"/>
        <v>0</v>
      </c>
      <c r="AV489" s="84"/>
    </row>
    <row r="490" spans="1:48">
      <c r="A490" s="190">
        <f t="shared" si="221"/>
        <v>100.05424366872005</v>
      </c>
      <c r="B490" s="82">
        <f t="shared" si="222"/>
        <v>35</v>
      </c>
      <c r="C490" s="83">
        <f t="shared" si="223"/>
        <v>412</v>
      </c>
      <c r="D490" s="14">
        <f t="shared" si="210"/>
        <v>4.8675505653430484E-3</v>
      </c>
      <c r="E490" s="16">
        <f t="shared" si="211"/>
        <v>0</v>
      </c>
      <c r="F490" s="127"/>
      <c r="G490" s="88">
        <f t="shared" si="212"/>
        <v>0</v>
      </c>
      <c r="H490" s="89">
        <f t="shared" si="224"/>
        <v>4.1666666666666666E-3</v>
      </c>
      <c r="I490" s="219"/>
      <c r="J490" s="219"/>
      <c r="K490" s="6">
        <f t="shared" si="232"/>
        <v>0</v>
      </c>
      <c r="M490" s="6">
        <f t="shared" si="213"/>
        <v>0</v>
      </c>
      <c r="N490" s="6">
        <f t="shared" si="225"/>
        <v>0</v>
      </c>
      <c r="O490" s="90">
        <f t="shared" si="214"/>
        <v>0</v>
      </c>
      <c r="P490" s="91">
        <f t="shared" si="215"/>
        <v>0</v>
      </c>
      <c r="Q490" s="6">
        <f t="shared" si="216"/>
        <v>0</v>
      </c>
      <c r="R490" s="87">
        <f t="shared" si="235"/>
        <v>0</v>
      </c>
      <c r="S490" s="6">
        <f t="shared" si="217"/>
        <v>0</v>
      </c>
      <c r="T490" s="83">
        <f t="shared" si="226"/>
        <v>0</v>
      </c>
      <c r="U490" s="91">
        <f t="shared" si="233"/>
        <v>0</v>
      </c>
      <c r="V490" s="91">
        <f t="shared" si="227"/>
        <v>0</v>
      </c>
      <c r="W490" s="1">
        <f t="shared" si="238"/>
        <v>0</v>
      </c>
      <c r="X490" s="1">
        <f t="shared" si="238"/>
        <v>0</v>
      </c>
      <c r="Y490" s="1">
        <f t="shared" si="238"/>
        <v>0</v>
      </c>
      <c r="Z490" s="1">
        <f t="shared" si="238"/>
        <v>0</v>
      </c>
      <c r="AA490" s="1">
        <f t="shared" si="238"/>
        <v>0</v>
      </c>
      <c r="AB490" s="1">
        <f t="shared" si="238"/>
        <v>0</v>
      </c>
      <c r="AC490" s="1">
        <f t="shared" si="238"/>
        <v>0</v>
      </c>
      <c r="AD490" s="1">
        <f t="shared" si="238"/>
        <v>0</v>
      </c>
      <c r="AE490" s="1">
        <f t="shared" si="238"/>
        <v>0</v>
      </c>
      <c r="AF490" s="1">
        <f t="shared" si="238"/>
        <v>0</v>
      </c>
      <c r="AG490" s="1">
        <f t="shared" si="238"/>
        <v>1</v>
      </c>
      <c r="AH490" s="1">
        <f t="shared" si="238"/>
        <v>1</v>
      </c>
      <c r="AI490" s="44">
        <f t="shared" si="228"/>
        <v>0</v>
      </c>
      <c r="AJ490" s="44">
        <f t="shared" si="218"/>
        <v>0</v>
      </c>
      <c r="AK490" s="44">
        <f t="shared" si="236"/>
        <v>0</v>
      </c>
      <c r="AL490" s="4">
        <f t="shared" si="219"/>
        <v>412</v>
      </c>
      <c r="AM490" s="82">
        <f t="shared" si="229"/>
        <v>0</v>
      </c>
      <c r="AN490" s="82">
        <f t="shared" si="220"/>
        <v>0</v>
      </c>
      <c r="AO490" s="48">
        <f>0</f>
        <v>0</v>
      </c>
      <c r="AP490" s="91">
        <f t="shared" si="230"/>
        <v>0</v>
      </c>
      <c r="AQ490" s="91">
        <f t="shared" si="231"/>
        <v>0</v>
      </c>
      <c r="AV490" s="84"/>
    </row>
    <row r="491" spans="1:48">
      <c r="A491" s="190">
        <f t="shared" si="221"/>
        <v>100.13757700205338</v>
      </c>
      <c r="B491" s="82">
        <f t="shared" si="222"/>
        <v>35</v>
      </c>
      <c r="C491" s="83">
        <f t="shared" si="223"/>
        <v>413</v>
      </c>
      <c r="D491" s="14">
        <f t="shared" si="210"/>
        <v>4.8675505653430484E-3</v>
      </c>
      <c r="E491" s="16">
        <f t="shared" si="211"/>
        <v>0</v>
      </c>
      <c r="F491" s="127"/>
      <c r="G491" s="88">
        <f t="shared" si="212"/>
        <v>0</v>
      </c>
      <c r="H491" s="89">
        <f t="shared" si="224"/>
        <v>4.1666666666666666E-3</v>
      </c>
      <c r="I491" s="219"/>
      <c r="J491" s="219"/>
      <c r="K491" s="6">
        <f t="shared" si="232"/>
        <v>0</v>
      </c>
      <c r="M491" s="6">
        <f t="shared" si="213"/>
        <v>0</v>
      </c>
      <c r="N491" s="6">
        <f t="shared" si="225"/>
        <v>0</v>
      </c>
      <c r="O491" s="90">
        <f t="shared" si="214"/>
        <v>0</v>
      </c>
      <c r="P491" s="91">
        <f t="shared" si="215"/>
        <v>0</v>
      </c>
      <c r="Q491" s="6">
        <f t="shared" si="216"/>
        <v>0</v>
      </c>
      <c r="R491" s="87">
        <f t="shared" si="235"/>
        <v>0</v>
      </c>
      <c r="S491" s="6">
        <f t="shared" si="217"/>
        <v>0</v>
      </c>
      <c r="T491" s="83">
        <f t="shared" si="226"/>
        <v>0</v>
      </c>
      <c r="U491" s="91">
        <f t="shared" si="233"/>
        <v>0</v>
      </c>
      <c r="V491" s="91">
        <f t="shared" si="227"/>
        <v>0</v>
      </c>
      <c r="W491" s="1">
        <f t="shared" si="238"/>
        <v>0</v>
      </c>
      <c r="X491" s="1">
        <f t="shared" si="238"/>
        <v>0</v>
      </c>
      <c r="Y491" s="1">
        <f t="shared" si="238"/>
        <v>0</v>
      </c>
      <c r="Z491" s="1">
        <f t="shared" si="238"/>
        <v>0</v>
      </c>
      <c r="AA491" s="1">
        <f t="shared" si="238"/>
        <v>0</v>
      </c>
      <c r="AB491" s="1">
        <f t="shared" si="238"/>
        <v>0</v>
      </c>
      <c r="AC491" s="1">
        <f t="shared" si="238"/>
        <v>0</v>
      </c>
      <c r="AD491" s="1">
        <f t="shared" si="238"/>
        <v>0</v>
      </c>
      <c r="AE491" s="1">
        <f t="shared" si="238"/>
        <v>0</v>
      </c>
      <c r="AF491" s="1">
        <f t="shared" si="238"/>
        <v>0</v>
      </c>
      <c r="AG491" s="1">
        <f t="shared" si="238"/>
        <v>1</v>
      </c>
      <c r="AH491" s="1">
        <f t="shared" si="238"/>
        <v>1</v>
      </c>
      <c r="AI491" s="44">
        <f t="shared" si="228"/>
        <v>0</v>
      </c>
      <c r="AJ491" s="44">
        <f t="shared" si="218"/>
        <v>0</v>
      </c>
      <c r="AK491" s="44">
        <f t="shared" si="236"/>
        <v>0</v>
      </c>
      <c r="AL491" s="4">
        <f t="shared" si="219"/>
        <v>413</v>
      </c>
      <c r="AM491" s="82">
        <f t="shared" si="229"/>
        <v>0</v>
      </c>
      <c r="AN491" s="82">
        <f t="shared" si="220"/>
        <v>0</v>
      </c>
      <c r="AO491" s="48">
        <f>0</f>
        <v>0</v>
      </c>
      <c r="AP491" s="91">
        <f t="shared" si="230"/>
        <v>0</v>
      </c>
      <c r="AQ491" s="91">
        <f t="shared" si="231"/>
        <v>0</v>
      </c>
      <c r="AV491" s="84"/>
    </row>
    <row r="492" spans="1:48">
      <c r="A492" s="190">
        <f t="shared" si="221"/>
        <v>100.22091033538672</v>
      </c>
      <c r="B492" s="82">
        <f t="shared" si="222"/>
        <v>35</v>
      </c>
      <c r="C492" s="83">
        <f t="shared" si="223"/>
        <v>414</v>
      </c>
      <c r="D492" s="14">
        <f t="shared" si="210"/>
        <v>4.8675505653430484E-3</v>
      </c>
      <c r="E492" s="16">
        <f t="shared" si="211"/>
        <v>0</v>
      </c>
      <c r="F492" s="127"/>
      <c r="G492" s="88">
        <f t="shared" si="212"/>
        <v>0</v>
      </c>
      <c r="H492" s="89">
        <f t="shared" si="224"/>
        <v>4.1666666666666666E-3</v>
      </c>
      <c r="I492" s="219"/>
      <c r="J492" s="219"/>
      <c r="K492" s="6">
        <f t="shared" si="232"/>
        <v>0</v>
      </c>
      <c r="M492" s="6">
        <f t="shared" si="213"/>
        <v>0</v>
      </c>
      <c r="N492" s="6">
        <f t="shared" si="225"/>
        <v>0</v>
      </c>
      <c r="O492" s="90">
        <f t="shared" si="214"/>
        <v>0</v>
      </c>
      <c r="P492" s="91">
        <f t="shared" si="215"/>
        <v>0</v>
      </c>
      <c r="Q492" s="6">
        <f t="shared" si="216"/>
        <v>0</v>
      </c>
      <c r="R492" s="87">
        <f t="shared" si="235"/>
        <v>0</v>
      </c>
      <c r="S492" s="6">
        <f t="shared" si="217"/>
        <v>0</v>
      </c>
      <c r="T492" s="83">
        <f t="shared" si="226"/>
        <v>0</v>
      </c>
      <c r="U492" s="91">
        <f t="shared" si="233"/>
        <v>0</v>
      </c>
      <c r="V492" s="91">
        <f t="shared" si="227"/>
        <v>0</v>
      </c>
      <c r="W492" s="1">
        <f t="shared" si="238"/>
        <v>0</v>
      </c>
      <c r="X492" s="1">
        <f t="shared" si="238"/>
        <v>0</v>
      </c>
      <c r="Y492" s="1">
        <f t="shared" si="238"/>
        <v>0</v>
      </c>
      <c r="Z492" s="1">
        <f t="shared" si="238"/>
        <v>0</v>
      </c>
      <c r="AA492" s="1">
        <f t="shared" si="238"/>
        <v>0</v>
      </c>
      <c r="AB492" s="1">
        <f t="shared" si="238"/>
        <v>0</v>
      </c>
      <c r="AC492" s="1">
        <f t="shared" si="238"/>
        <v>0</v>
      </c>
      <c r="AD492" s="1">
        <f t="shared" si="238"/>
        <v>0</v>
      </c>
      <c r="AE492" s="1">
        <f t="shared" si="238"/>
        <v>0</v>
      </c>
      <c r="AF492" s="1">
        <f t="shared" si="238"/>
        <v>0</v>
      </c>
      <c r="AG492" s="1">
        <f t="shared" si="238"/>
        <v>1</v>
      </c>
      <c r="AH492" s="1">
        <f t="shared" si="238"/>
        <v>1</v>
      </c>
      <c r="AI492" s="44">
        <f t="shared" si="228"/>
        <v>0</v>
      </c>
      <c r="AJ492" s="44">
        <f t="shared" si="218"/>
        <v>0</v>
      </c>
      <c r="AK492" s="44">
        <f t="shared" si="236"/>
        <v>0</v>
      </c>
      <c r="AL492" s="4">
        <f t="shared" si="219"/>
        <v>414</v>
      </c>
      <c r="AM492" s="82">
        <f t="shared" si="229"/>
        <v>0</v>
      </c>
      <c r="AN492" s="82">
        <f t="shared" si="220"/>
        <v>0</v>
      </c>
      <c r="AO492" s="48">
        <f>0</f>
        <v>0</v>
      </c>
      <c r="AP492" s="91">
        <f t="shared" si="230"/>
        <v>0</v>
      </c>
      <c r="AQ492" s="91">
        <f t="shared" si="231"/>
        <v>0</v>
      </c>
      <c r="AV492" s="84"/>
    </row>
    <row r="493" spans="1:48">
      <c r="A493" s="190">
        <f t="shared" si="221"/>
        <v>100.30424366872005</v>
      </c>
      <c r="B493" s="82">
        <f t="shared" si="222"/>
        <v>35</v>
      </c>
      <c r="C493" s="83">
        <f t="shared" si="223"/>
        <v>415</v>
      </c>
      <c r="D493" s="14">
        <f t="shared" si="210"/>
        <v>4.8675505653430484E-3</v>
      </c>
      <c r="E493" s="16">
        <f t="shared" si="211"/>
        <v>0</v>
      </c>
      <c r="F493" s="127"/>
      <c r="G493" s="88">
        <f t="shared" si="212"/>
        <v>0</v>
      </c>
      <c r="H493" s="89">
        <f t="shared" si="224"/>
        <v>4.1666666666666666E-3</v>
      </c>
      <c r="I493" s="219"/>
      <c r="J493" s="219"/>
      <c r="K493" s="6">
        <f t="shared" si="232"/>
        <v>0</v>
      </c>
      <c r="M493" s="6">
        <f t="shared" si="213"/>
        <v>0</v>
      </c>
      <c r="N493" s="6">
        <f t="shared" si="225"/>
        <v>0</v>
      </c>
      <c r="O493" s="90">
        <f t="shared" si="214"/>
        <v>0</v>
      </c>
      <c r="P493" s="91">
        <f t="shared" si="215"/>
        <v>0</v>
      </c>
      <c r="Q493" s="6">
        <f t="shared" si="216"/>
        <v>0</v>
      </c>
      <c r="R493" s="87">
        <f t="shared" si="235"/>
        <v>0</v>
      </c>
      <c r="S493" s="6">
        <f t="shared" si="217"/>
        <v>0</v>
      </c>
      <c r="T493" s="83">
        <f t="shared" si="226"/>
        <v>0</v>
      </c>
      <c r="U493" s="91">
        <f t="shared" si="233"/>
        <v>0</v>
      </c>
      <c r="V493" s="91">
        <f t="shared" si="227"/>
        <v>0</v>
      </c>
      <c r="W493" s="1">
        <f t="shared" si="238"/>
        <v>0</v>
      </c>
      <c r="X493" s="1">
        <f t="shared" si="238"/>
        <v>0</v>
      </c>
      <c r="Y493" s="1">
        <f t="shared" si="238"/>
        <v>0</v>
      </c>
      <c r="Z493" s="1">
        <f t="shared" si="238"/>
        <v>0</v>
      </c>
      <c r="AA493" s="1">
        <f t="shared" si="238"/>
        <v>0</v>
      </c>
      <c r="AB493" s="1">
        <f t="shared" si="238"/>
        <v>0</v>
      </c>
      <c r="AC493" s="1">
        <f t="shared" si="238"/>
        <v>0</v>
      </c>
      <c r="AD493" s="1">
        <f t="shared" si="238"/>
        <v>0</v>
      </c>
      <c r="AE493" s="1">
        <f t="shared" si="238"/>
        <v>0</v>
      </c>
      <c r="AF493" s="1">
        <f t="shared" si="238"/>
        <v>0</v>
      </c>
      <c r="AG493" s="1">
        <f t="shared" si="238"/>
        <v>1</v>
      </c>
      <c r="AH493" s="1">
        <f t="shared" si="238"/>
        <v>1</v>
      </c>
      <c r="AI493" s="44">
        <f t="shared" si="228"/>
        <v>0</v>
      </c>
      <c r="AJ493" s="44">
        <f t="shared" si="218"/>
        <v>0</v>
      </c>
      <c r="AK493" s="44">
        <f t="shared" si="236"/>
        <v>0</v>
      </c>
      <c r="AL493" s="4">
        <f t="shared" si="219"/>
        <v>415</v>
      </c>
      <c r="AM493" s="82">
        <f t="shared" si="229"/>
        <v>0</v>
      </c>
      <c r="AN493" s="82">
        <f t="shared" si="220"/>
        <v>0</v>
      </c>
      <c r="AO493" s="48">
        <f>0</f>
        <v>0</v>
      </c>
      <c r="AP493" s="91">
        <f t="shared" si="230"/>
        <v>0</v>
      </c>
      <c r="AQ493" s="91">
        <f t="shared" si="231"/>
        <v>0</v>
      </c>
      <c r="AV493" s="84"/>
    </row>
    <row r="494" spans="1:48">
      <c r="A494" s="190">
        <f t="shared" si="221"/>
        <v>100.38757700205338</v>
      </c>
      <c r="B494" s="82">
        <f t="shared" si="222"/>
        <v>35</v>
      </c>
      <c r="C494" s="83">
        <f t="shared" si="223"/>
        <v>416</v>
      </c>
      <c r="D494" s="14">
        <f t="shared" si="210"/>
        <v>4.8675505653430484E-3</v>
      </c>
      <c r="E494" s="16">
        <f t="shared" si="211"/>
        <v>0</v>
      </c>
      <c r="F494" s="127"/>
      <c r="G494" s="88">
        <f t="shared" si="212"/>
        <v>0</v>
      </c>
      <c r="H494" s="89">
        <f t="shared" si="224"/>
        <v>4.1666666666666666E-3</v>
      </c>
      <c r="I494" s="219"/>
      <c r="J494" s="219"/>
      <c r="K494" s="6">
        <f t="shared" si="232"/>
        <v>0</v>
      </c>
      <c r="M494" s="6">
        <f t="shared" si="213"/>
        <v>0</v>
      </c>
      <c r="N494" s="6">
        <f t="shared" si="225"/>
        <v>0</v>
      </c>
      <c r="O494" s="90">
        <f t="shared" si="214"/>
        <v>0</v>
      </c>
      <c r="P494" s="91">
        <f t="shared" si="215"/>
        <v>0</v>
      </c>
      <c r="Q494" s="6">
        <f t="shared" si="216"/>
        <v>0</v>
      </c>
      <c r="R494" s="87">
        <f t="shared" si="235"/>
        <v>0</v>
      </c>
      <c r="S494" s="6">
        <f t="shared" si="217"/>
        <v>0</v>
      </c>
      <c r="T494" s="83">
        <f t="shared" si="226"/>
        <v>0</v>
      </c>
      <c r="U494" s="91">
        <f t="shared" si="233"/>
        <v>0</v>
      </c>
      <c r="V494" s="91">
        <f t="shared" si="227"/>
        <v>0</v>
      </c>
      <c r="W494" s="1">
        <f t="shared" si="238"/>
        <v>0</v>
      </c>
      <c r="X494" s="1">
        <f t="shared" si="238"/>
        <v>0</v>
      </c>
      <c r="Y494" s="1">
        <f t="shared" si="238"/>
        <v>0</v>
      </c>
      <c r="Z494" s="1">
        <f t="shared" si="238"/>
        <v>0</v>
      </c>
      <c r="AA494" s="1">
        <f t="shared" si="238"/>
        <v>0</v>
      </c>
      <c r="AB494" s="1">
        <f t="shared" si="238"/>
        <v>0</v>
      </c>
      <c r="AC494" s="1">
        <f t="shared" si="238"/>
        <v>0</v>
      </c>
      <c r="AD494" s="1">
        <f t="shared" si="238"/>
        <v>0</v>
      </c>
      <c r="AE494" s="1">
        <f t="shared" si="238"/>
        <v>0</v>
      </c>
      <c r="AF494" s="1">
        <f t="shared" si="238"/>
        <v>0</v>
      </c>
      <c r="AG494" s="1">
        <f t="shared" si="238"/>
        <v>1</v>
      </c>
      <c r="AH494" s="1">
        <f t="shared" si="238"/>
        <v>1</v>
      </c>
      <c r="AI494" s="44">
        <f t="shared" si="228"/>
        <v>0</v>
      </c>
      <c r="AJ494" s="44">
        <f t="shared" si="218"/>
        <v>0</v>
      </c>
      <c r="AK494" s="44">
        <f t="shared" si="236"/>
        <v>0</v>
      </c>
      <c r="AL494" s="4">
        <f t="shared" si="219"/>
        <v>416</v>
      </c>
      <c r="AM494" s="82">
        <f t="shared" si="229"/>
        <v>0</v>
      </c>
      <c r="AN494" s="82">
        <f t="shared" si="220"/>
        <v>0</v>
      </c>
      <c r="AO494" s="48">
        <f>0</f>
        <v>0</v>
      </c>
      <c r="AP494" s="91">
        <f t="shared" si="230"/>
        <v>0</v>
      </c>
      <c r="AQ494" s="91">
        <f t="shared" si="231"/>
        <v>0</v>
      </c>
      <c r="AV494" s="84"/>
    </row>
    <row r="495" spans="1:48">
      <c r="A495" s="190">
        <f t="shared" si="221"/>
        <v>100.47091033538672</v>
      </c>
      <c r="B495" s="82">
        <f t="shared" si="222"/>
        <v>35</v>
      </c>
      <c r="C495" s="83">
        <f t="shared" si="223"/>
        <v>417</v>
      </c>
      <c r="D495" s="14">
        <f t="shared" si="210"/>
        <v>4.8675505653430484E-3</v>
      </c>
      <c r="E495" s="16">
        <f t="shared" si="211"/>
        <v>0</v>
      </c>
      <c r="F495" s="127"/>
      <c r="G495" s="88">
        <f t="shared" si="212"/>
        <v>0</v>
      </c>
      <c r="H495" s="89">
        <f t="shared" si="224"/>
        <v>4.1666666666666666E-3</v>
      </c>
      <c r="I495" s="219"/>
      <c r="J495" s="219"/>
      <c r="K495" s="6">
        <f t="shared" si="232"/>
        <v>0</v>
      </c>
      <c r="M495" s="6">
        <f t="shared" si="213"/>
        <v>0</v>
      </c>
      <c r="N495" s="6">
        <f t="shared" si="225"/>
        <v>0</v>
      </c>
      <c r="O495" s="90">
        <f t="shared" si="214"/>
        <v>0</v>
      </c>
      <c r="P495" s="91">
        <f t="shared" si="215"/>
        <v>0</v>
      </c>
      <c r="Q495" s="6">
        <f t="shared" si="216"/>
        <v>0</v>
      </c>
      <c r="R495" s="87">
        <f t="shared" si="235"/>
        <v>0</v>
      </c>
      <c r="S495" s="6">
        <f t="shared" si="217"/>
        <v>0</v>
      </c>
      <c r="T495" s="83">
        <f t="shared" si="226"/>
        <v>0</v>
      </c>
      <c r="U495" s="91">
        <f t="shared" si="233"/>
        <v>0</v>
      </c>
      <c r="V495" s="91">
        <f t="shared" si="227"/>
        <v>0</v>
      </c>
      <c r="W495" s="1">
        <f t="shared" si="238"/>
        <v>0</v>
      </c>
      <c r="X495" s="1">
        <f t="shared" si="238"/>
        <v>0</v>
      </c>
      <c r="Y495" s="1">
        <f t="shared" si="238"/>
        <v>0</v>
      </c>
      <c r="Z495" s="1">
        <f t="shared" si="238"/>
        <v>0</v>
      </c>
      <c r="AA495" s="1">
        <f t="shared" si="238"/>
        <v>0</v>
      </c>
      <c r="AB495" s="1">
        <f t="shared" si="238"/>
        <v>0</v>
      </c>
      <c r="AC495" s="1">
        <f t="shared" si="238"/>
        <v>0</v>
      </c>
      <c r="AD495" s="1">
        <f t="shared" si="238"/>
        <v>0</v>
      </c>
      <c r="AE495" s="1">
        <f t="shared" si="238"/>
        <v>0</v>
      </c>
      <c r="AF495" s="1">
        <f t="shared" si="238"/>
        <v>0</v>
      </c>
      <c r="AG495" s="1">
        <f t="shared" si="238"/>
        <v>1</v>
      </c>
      <c r="AH495" s="1">
        <f t="shared" si="238"/>
        <v>1</v>
      </c>
      <c r="AI495" s="44">
        <f t="shared" si="228"/>
        <v>0</v>
      </c>
      <c r="AJ495" s="44">
        <f t="shared" si="218"/>
        <v>0</v>
      </c>
      <c r="AK495" s="44">
        <f t="shared" si="236"/>
        <v>0</v>
      </c>
      <c r="AL495" s="4">
        <f t="shared" si="219"/>
        <v>417</v>
      </c>
      <c r="AM495" s="82">
        <f t="shared" si="229"/>
        <v>0</v>
      </c>
      <c r="AN495" s="82">
        <f t="shared" si="220"/>
        <v>0</v>
      </c>
      <c r="AO495" s="48">
        <f>0</f>
        <v>0</v>
      </c>
      <c r="AP495" s="91">
        <f t="shared" si="230"/>
        <v>0</v>
      </c>
      <c r="AQ495" s="91">
        <f t="shared" si="231"/>
        <v>0</v>
      </c>
      <c r="AV495" s="84"/>
    </row>
    <row r="496" spans="1:48">
      <c r="A496" s="190">
        <f t="shared" si="221"/>
        <v>100.55424366872005</v>
      </c>
      <c r="B496" s="82">
        <f t="shared" si="222"/>
        <v>35</v>
      </c>
      <c r="C496" s="83">
        <f t="shared" si="223"/>
        <v>418</v>
      </c>
      <c r="D496" s="14">
        <f t="shared" si="210"/>
        <v>4.8675505653430484E-3</v>
      </c>
      <c r="E496" s="16">
        <f t="shared" si="211"/>
        <v>0</v>
      </c>
      <c r="F496" s="127"/>
      <c r="G496" s="88">
        <f t="shared" si="212"/>
        <v>0</v>
      </c>
      <c r="H496" s="89">
        <f t="shared" si="224"/>
        <v>4.1666666666666666E-3</v>
      </c>
      <c r="I496" s="219"/>
      <c r="J496" s="219"/>
      <c r="K496" s="6">
        <f t="shared" si="232"/>
        <v>0</v>
      </c>
      <c r="M496" s="6">
        <f t="shared" si="213"/>
        <v>0</v>
      </c>
      <c r="N496" s="6">
        <f t="shared" si="225"/>
        <v>0</v>
      </c>
      <c r="O496" s="90">
        <f t="shared" si="214"/>
        <v>0</v>
      </c>
      <c r="P496" s="91">
        <f t="shared" si="215"/>
        <v>0</v>
      </c>
      <c r="Q496" s="6">
        <f t="shared" si="216"/>
        <v>0</v>
      </c>
      <c r="R496" s="87">
        <f t="shared" si="235"/>
        <v>0</v>
      </c>
      <c r="S496" s="6">
        <f t="shared" si="217"/>
        <v>0</v>
      </c>
      <c r="T496" s="83">
        <f t="shared" si="226"/>
        <v>0</v>
      </c>
      <c r="U496" s="91">
        <f t="shared" si="233"/>
        <v>0</v>
      </c>
      <c r="V496" s="91">
        <f t="shared" si="227"/>
        <v>0</v>
      </c>
      <c r="W496" s="1">
        <f t="shared" si="238"/>
        <v>0</v>
      </c>
      <c r="X496" s="1">
        <f t="shared" si="238"/>
        <v>0</v>
      </c>
      <c r="Y496" s="1">
        <f t="shared" si="238"/>
        <v>0</v>
      </c>
      <c r="Z496" s="1">
        <f t="shared" si="238"/>
        <v>0</v>
      </c>
      <c r="AA496" s="1">
        <f t="shared" si="238"/>
        <v>0</v>
      </c>
      <c r="AB496" s="1">
        <f t="shared" si="238"/>
        <v>0</v>
      </c>
      <c r="AC496" s="1">
        <f t="shared" si="238"/>
        <v>0</v>
      </c>
      <c r="AD496" s="1">
        <f t="shared" si="238"/>
        <v>0</v>
      </c>
      <c r="AE496" s="1">
        <f t="shared" si="238"/>
        <v>0</v>
      </c>
      <c r="AF496" s="1">
        <f t="shared" si="238"/>
        <v>0</v>
      </c>
      <c r="AG496" s="1">
        <f t="shared" si="238"/>
        <v>1</v>
      </c>
      <c r="AH496" s="1">
        <f t="shared" si="238"/>
        <v>1</v>
      </c>
      <c r="AI496" s="44">
        <f t="shared" si="228"/>
        <v>0</v>
      </c>
      <c r="AJ496" s="44">
        <f t="shared" si="218"/>
        <v>0</v>
      </c>
      <c r="AK496" s="44">
        <f t="shared" si="236"/>
        <v>0</v>
      </c>
      <c r="AL496" s="4">
        <f t="shared" si="219"/>
        <v>418</v>
      </c>
      <c r="AM496" s="82">
        <f t="shared" si="229"/>
        <v>0</v>
      </c>
      <c r="AN496" s="82">
        <f t="shared" si="220"/>
        <v>0</v>
      </c>
      <c r="AO496" s="48">
        <f>0</f>
        <v>0</v>
      </c>
      <c r="AP496" s="91">
        <f t="shared" si="230"/>
        <v>0</v>
      </c>
      <c r="AQ496" s="91">
        <f t="shared" si="231"/>
        <v>0</v>
      </c>
      <c r="AV496" s="84"/>
    </row>
    <row r="497" spans="1:48">
      <c r="A497" s="190">
        <f t="shared" si="221"/>
        <v>100.63757700205338</v>
      </c>
      <c r="B497" s="82">
        <f t="shared" si="222"/>
        <v>35</v>
      </c>
      <c r="C497" s="83">
        <f t="shared" si="223"/>
        <v>419</v>
      </c>
      <c r="D497" s="14">
        <f t="shared" si="210"/>
        <v>4.8675505653430484E-3</v>
      </c>
      <c r="E497" s="16">
        <f t="shared" si="211"/>
        <v>0</v>
      </c>
      <c r="F497" s="127"/>
      <c r="G497" s="88">
        <f t="shared" si="212"/>
        <v>0</v>
      </c>
      <c r="H497" s="89">
        <f t="shared" si="224"/>
        <v>4.1666666666666666E-3</v>
      </c>
      <c r="I497" s="219"/>
      <c r="J497" s="219"/>
      <c r="K497" s="6">
        <f t="shared" si="232"/>
        <v>0</v>
      </c>
      <c r="M497" s="6">
        <f t="shared" si="213"/>
        <v>0</v>
      </c>
      <c r="N497" s="6">
        <f t="shared" si="225"/>
        <v>0</v>
      </c>
      <c r="O497" s="90">
        <f t="shared" si="214"/>
        <v>0</v>
      </c>
      <c r="P497" s="91">
        <f t="shared" si="215"/>
        <v>0</v>
      </c>
      <c r="Q497" s="6">
        <f t="shared" si="216"/>
        <v>0</v>
      </c>
      <c r="R497" s="87">
        <f t="shared" si="235"/>
        <v>0</v>
      </c>
      <c r="S497" s="6">
        <f t="shared" si="217"/>
        <v>0</v>
      </c>
      <c r="T497" s="83">
        <f t="shared" si="226"/>
        <v>0</v>
      </c>
      <c r="U497" s="91">
        <f t="shared" si="233"/>
        <v>0</v>
      </c>
      <c r="V497" s="91">
        <f t="shared" si="227"/>
        <v>0</v>
      </c>
      <c r="W497" s="1">
        <f t="shared" si="238"/>
        <v>0</v>
      </c>
      <c r="X497" s="1">
        <f t="shared" si="238"/>
        <v>0</v>
      </c>
      <c r="Y497" s="1">
        <f t="shared" si="238"/>
        <v>0</v>
      </c>
      <c r="Z497" s="1">
        <f t="shared" si="238"/>
        <v>0</v>
      </c>
      <c r="AA497" s="1">
        <f t="shared" si="238"/>
        <v>0</v>
      </c>
      <c r="AB497" s="1">
        <f t="shared" si="238"/>
        <v>0</v>
      </c>
      <c r="AC497" s="1">
        <f t="shared" si="238"/>
        <v>0</v>
      </c>
      <c r="AD497" s="1">
        <f t="shared" si="238"/>
        <v>0</v>
      </c>
      <c r="AE497" s="1">
        <f t="shared" si="238"/>
        <v>0</v>
      </c>
      <c r="AF497" s="1">
        <f t="shared" si="238"/>
        <v>0</v>
      </c>
      <c r="AG497" s="1">
        <f t="shared" si="238"/>
        <v>1</v>
      </c>
      <c r="AH497" s="1">
        <f t="shared" si="238"/>
        <v>1</v>
      </c>
      <c r="AI497" s="44">
        <f t="shared" si="228"/>
        <v>0</v>
      </c>
      <c r="AJ497" s="44">
        <f t="shared" si="218"/>
        <v>0</v>
      </c>
      <c r="AK497" s="44">
        <f t="shared" si="236"/>
        <v>0</v>
      </c>
      <c r="AL497" s="4">
        <f t="shared" si="219"/>
        <v>419</v>
      </c>
      <c r="AM497" s="82">
        <f t="shared" si="229"/>
        <v>0</v>
      </c>
      <c r="AN497" s="82">
        <f t="shared" si="220"/>
        <v>0</v>
      </c>
      <c r="AO497" s="48">
        <f>0</f>
        <v>0</v>
      </c>
      <c r="AP497" s="91">
        <f t="shared" si="230"/>
        <v>0</v>
      </c>
      <c r="AQ497" s="91">
        <f t="shared" si="231"/>
        <v>0</v>
      </c>
      <c r="AV497" s="84"/>
    </row>
    <row r="498" spans="1:48">
      <c r="A498" s="190">
        <f t="shared" si="221"/>
        <v>100.72091033538672</v>
      </c>
      <c r="B498" s="82">
        <f t="shared" si="222"/>
        <v>35</v>
      </c>
      <c r="C498" s="83">
        <f t="shared" si="223"/>
        <v>420</v>
      </c>
      <c r="D498" s="14">
        <f t="shared" si="210"/>
        <v>4.8675505653430484E-3</v>
      </c>
      <c r="E498" s="16">
        <f t="shared" si="211"/>
        <v>0</v>
      </c>
      <c r="F498" s="127"/>
      <c r="G498" s="88">
        <f t="shared" si="212"/>
        <v>0</v>
      </c>
      <c r="H498" s="89">
        <f t="shared" si="224"/>
        <v>4.1666666666666666E-3</v>
      </c>
      <c r="I498" s="219"/>
      <c r="J498" s="219"/>
      <c r="K498" s="6">
        <f t="shared" si="232"/>
        <v>0</v>
      </c>
      <c r="M498" s="6">
        <f t="shared" si="213"/>
        <v>0</v>
      </c>
      <c r="N498" s="6">
        <f t="shared" si="225"/>
        <v>0</v>
      </c>
      <c r="O498" s="90">
        <f t="shared" si="214"/>
        <v>0</v>
      </c>
      <c r="P498" s="91">
        <f t="shared" si="215"/>
        <v>0</v>
      </c>
      <c r="Q498" s="6">
        <f t="shared" si="216"/>
        <v>0</v>
      </c>
      <c r="R498" s="87">
        <f t="shared" si="235"/>
        <v>0</v>
      </c>
      <c r="S498" s="6">
        <f t="shared" si="217"/>
        <v>0</v>
      </c>
      <c r="T498" s="83">
        <f t="shared" si="226"/>
        <v>0</v>
      </c>
      <c r="U498" s="91">
        <f t="shared" si="233"/>
        <v>0</v>
      </c>
      <c r="V498" s="91">
        <f t="shared" si="227"/>
        <v>0</v>
      </c>
      <c r="W498" s="1">
        <f t="shared" si="238"/>
        <v>0</v>
      </c>
      <c r="X498" s="1">
        <f t="shared" si="238"/>
        <v>0</v>
      </c>
      <c r="Y498" s="1">
        <f t="shared" si="238"/>
        <v>0</v>
      </c>
      <c r="Z498" s="1">
        <f t="shared" si="238"/>
        <v>0</v>
      </c>
      <c r="AA498" s="1">
        <f t="shared" si="238"/>
        <v>0</v>
      </c>
      <c r="AB498" s="1">
        <f t="shared" si="238"/>
        <v>0</v>
      </c>
      <c r="AC498" s="1">
        <f t="shared" si="238"/>
        <v>0</v>
      </c>
      <c r="AD498" s="1">
        <f t="shared" si="238"/>
        <v>0</v>
      </c>
      <c r="AE498" s="1">
        <f t="shared" si="238"/>
        <v>0</v>
      </c>
      <c r="AF498" s="1">
        <f t="shared" si="238"/>
        <v>0</v>
      </c>
      <c r="AG498" s="1">
        <f t="shared" si="238"/>
        <v>1</v>
      </c>
      <c r="AH498" s="1">
        <f t="shared" si="238"/>
        <v>1</v>
      </c>
      <c r="AI498" s="44">
        <f t="shared" si="228"/>
        <v>0</v>
      </c>
      <c r="AJ498" s="44">
        <f t="shared" si="218"/>
        <v>0</v>
      </c>
      <c r="AK498" s="44">
        <f t="shared" si="236"/>
        <v>0</v>
      </c>
      <c r="AL498" s="4">
        <f t="shared" si="219"/>
        <v>420</v>
      </c>
      <c r="AM498" s="82">
        <f t="shared" si="229"/>
        <v>0</v>
      </c>
      <c r="AN498" s="82">
        <f t="shared" si="220"/>
        <v>0</v>
      </c>
      <c r="AO498" s="48">
        <f>0</f>
        <v>0</v>
      </c>
      <c r="AP498" s="91">
        <f t="shared" si="230"/>
        <v>0</v>
      </c>
      <c r="AQ498" s="91">
        <f t="shared" si="231"/>
        <v>0</v>
      </c>
      <c r="AV498" s="84"/>
    </row>
    <row r="499" spans="1:48">
      <c r="A499" s="190">
        <f t="shared" si="221"/>
        <v>100.80424366872005</v>
      </c>
      <c r="B499" s="82">
        <f t="shared" si="222"/>
        <v>36</v>
      </c>
      <c r="C499" s="83">
        <f t="shared" si="223"/>
        <v>421</v>
      </c>
      <c r="D499" s="14">
        <f t="shared" si="210"/>
        <v>4.8675505653430484E-3</v>
      </c>
      <c r="E499" s="16">
        <f t="shared" si="211"/>
        <v>0</v>
      </c>
      <c r="F499" s="127"/>
      <c r="G499" s="88">
        <f t="shared" si="212"/>
        <v>0</v>
      </c>
      <c r="H499" s="89">
        <f t="shared" si="224"/>
        <v>4.1666666666666666E-3</v>
      </c>
      <c r="I499" s="219"/>
      <c r="J499" s="219"/>
      <c r="K499" s="6">
        <f t="shared" si="232"/>
        <v>0</v>
      </c>
      <c r="M499" s="6">
        <f t="shared" si="213"/>
        <v>0</v>
      </c>
      <c r="N499" s="6">
        <f t="shared" si="225"/>
        <v>0</v>
      </c>
      <c r="O499" s="90">
        <f t="shared" si="214"/>
        <v>0</v>
      </c>
      <c r="P499" s="91">
        <f t="shared" si="215"/>
        <v>0</v>
      </c>
      <c r="Q499" s="6">
        <f t="shared" si="216"/>
        <v>0</v>
      </c>
      <c r="R499" s="87">
        <f t="shared" si="235"/>
        <v>0</v>
      </c>
      <c r="S499" s="6">
        <f t="shared" si="217"/>
        <v>0</v>
      </c>
      <c r="T499" s="83">
        <f t="shared" si="226"/>
        <v>0</v>
      </c>
      <c r="U499" s="91">
        <f t="shared" si="233"/>
        <v>0</v>
      </c>
      <c r="V499" s="91">
        <f t="shared" si="227"/>
        <v>0</v>
      </c>
      <c r="W499" s="1">
        <f t="shared" ref="W499:AH508" si="239">IF($B499&lt;=W$78,1,0)</f>
        <v>0</v>
      </c>
      <c r="X499" s="1">
        <f t="shared" si="239"/>
        <v>0</v>
      </c>
      <c r="Y499" s="1">
        <f t="shared" si="239"/>
        <v>0</v>
      </c>
      <c r="Z499" s="1">
        <f t="shared" si="239"/>
        <v>0</v>
      </c>
      <c r="AA499" s="1">
        <f t="shared" si="239"/>
        <v>0</v>
      </c>
      <c r="AB499" s="1">
        <f t="shared" si="239"/>
        <v>0</v>
      </c>
      <c r="AC499" s="1">
        <f t="shared" si="239"/>
        <v>0</v>
      </c>
      <c r="AD499" s="1">
        <f t="shared" si="239"/>
        <v>0</v>
      </c>
      <c r="AE499" s="1">
        <f t="shared" si="239"/>
        <v>0</v>
      </c>
      <c r="AF499" s="1">
        <f t="shared" si="239"/>
        <v>0</v>
      </c>
      <c r="AG499" s="1">
        <f t="shared" si="239"/>
        <v>0</v>
      </c>
      <c r="AH499" s="1">
        <f t="shared" si="239"/>
        <v>1</v>
      </c>
      <c r="AI499" s="44">
        <f t="shared" si="228"/>
        <v>0</v>
      </c>
      <c r="AJ499" s="44">
        <f t="shared" si="218"/>
        <v>0</v>
      </c>
      <c r="AK499" s="44">
        <f t="shared" si="236"/>
        <v>0</v>
      </c>
      <c r="AL499" s="4">
        <f t="shared" si="219"/>
        <v>421</v>
      </c>
      <c r="AM499" s="82">
        <f t="shared" si="229"/>
        <v>0</v>
      </c>
      <c r="AN499" s="82">
        <f t="shared" si="220"/>
        <v>0</v>
      </c>
      <c r="AO499" s="48">
        <f>0</f>
        <v>0</v>
      </c>
      <c r="AP499" s="91">
        <f t="shared" si="230"/>
        <v>0</v>
      </c>
      <c r="AQ499" s="91">
        <f t="shared" si="231"/>
        <v>0</v>
      </c>
      <c r="AV499" s="84"/>
    </row>
    <row r="500" spans="1:48">
      <c r="A500" s="190">
        <f t="shared" si="221"/>
        <v>100.88757700205338</v>
      </c>
      <c r="B500" s="82">
        <f t="shared" si="222"/>
        <v>36</v>
      </c>
      <c r="C500" s="83">
        <f t="shared" si="223"/>
        <v>422</v>
      </c>
      <c r="D500" s="14">
        <f t="shared" si="210"/>
        <v>4.8675505653430484E-3</v>
      </c>
      <c r="E500" s="16">
        <f t="shared" si="211"/>
        <v>0</v>
      </c>
      <c r="F500" s="127"/>
      <c r="G500" s="88">
        <f t="shared" si="212"/>
        <v>0</v>
      </c>
      <c r="H500" s="89">
        <f t="shared" si="224"/>
        <v>4.1666666666666666E-3</v>
      </c>
      <c r="I500" s="219"/>
      <c r="J500" s="219"/>
      <c r="K500" s="6">
        <f t="shared" si="232"/>
        <v>0</v>
      </c>
      <c r="M500" s="6">
        <f t="shared" si="213"/>
        <v>0</v>
      </c>
      <c r="N500" s="6">
        <f t="shared" si="225"/>
        <v>0</v>
      </c>
      <c r="O500" s="90">
        <f t="shared" si="214"/>
        <v>0</v>
      </c>
      <c r="P500" s="91">
        <f t="shared" si="215"/>
        <v>0</v>
      </c>
      <c r="Q500" s="6">
        <f t="shared" si="216"/>
        <v>0</v>
      </c>
      <c r="R500" s="87">
        <f t="shared" si="235"/>
        <v>0</v>
      </c>
      <c r="S500" s="6">
        <f t="shared" si="217"/>
        <v>0</v>
      </c>
      <c r="T500" s="83">
        <f t="shared" si="226"/>
        <v>0</v>
      </c>
      <c r="U500" s="91">
        <f t="shared" si="233"/>
        <v>0</v>
      </c>
      <c r="V500" s="91">
        <f t="shared" si="227"/>
        <v>0</v>
      </c>
      <c r="W500" s="1">
        <f t="shared" si="239"/>
        <v>0</v>
      </c>
      <c r="X500" s="1">
        <f t="shared" si="239"/>
        <v>0</v>
      </c>
      <c r="Y500" s="1">
        <f t="shared" si="239"/>
        <v>0</v>
      </c>
      <c r="Z500" s="1">
        <f t="shared" si="239"/>
        <v>0</v>
      </c>
      <c r="AA500" s="1">
        <f t="shared" si="239"/>
        <v>0</v>
      </c>
      <c r="AB500" s="1">
        <f t="shared" si="239"/>
        <v>0</v>
      </c>
      <c r="AC500" s="1">
        <f t="shared" si="239"/>
        <v>0</v>
      </c>
      <c r="AD500" s="1">
        <f t="shared" si="239"/>
        <v>0</v>
      </c>
      <c r="AE500" s="1">
        <f t="shared" si="239"/>
        <v>0</v>
      </c>
      <c r="AF500" s="1">
        <f t="shared" si="239"/>
        <v>0</v>
      </c>
      <c r="AG500" s="1">
        <f t="shared" si="239"/>
        <v>0</v>
      </c>
      <c r="AH500" s="1">
        <f t="shared" si="239"/>
        <v>1</v>
      </c>
      <c r="AI500" s="44">
        <f t="shared" si="228"/>
        <v>0</v>
      </c>
      <c r="AJ500" s="44">
        <f t="shared" si="218"/>
        <v>0</v>
      </c>
      <c r="AK500" s="44">
        <f t="shared" si="236"/>
        <v>0</v>
      </c>
      <c r="AL500" s="4">
        <f t="shared" si="219"/>
        <v>422</v>
      </c>
      <c r="AM500" s="82">
        <f t="shared" si="229"/>
        <v>0</v>
      </c>
      <c r="AN500" s="82">
        <f t="shared" si="220"/>
        <v>0</v>
      </c>
      <c r="AO500" s="48">
        <f>0</f>
        <v>0</v>
      </c>
      <c r="AP500" s="91">
        <f t="shared" si="230"/>
        <v>0</v>
      </c>
      <c r="AQ500" s="91">
        <f t="shared" si="231"/>
        <v>0</v>
      </c>
      <c r="AV500" s="84"/>
    </row>
    <row r="501" spans="1:48">
      <c r="A501" s="190">
        <f t="shared" si="221"/>
        <v>100.97091033538672</v>
      </c>
      <c r="B501" s="82">
        <f t="shared" si="222"/>
        <v>36</v>
      </c>
      <c r="C501" s="83">
        <f t="shared" si="223"/>
        <v>423</v>
      </c>
      <c r="D501" s="14">
        <f t="shared" si="210"/>
        <v>4.8675505653430484E-3</v>
      </c>
      <c r="E501" s="16">
        <f t="shared" si="211"/>
        <v>0</v>
      </c>
      <c r="F501" s="127"/>
      <c r="G501" s="88">
        <f t="shared" si="212"/>
        <v>0</v>
      </c>
      <c r="H501" s="89">
        <f t="shared" si="224"/>
        <v>4.1666666666666666E-3</v>
      </c>
      <c r="I501" s="219"/>
      <c r="J501" s="219"/>
      <c r="K501" s="6">
        <f t="shared" si="232"/>
        <v>0</v>
      </c>
      <c r="M501" s="6">
        <f t="shared" si="213"/>
        <v>0</v>
      </c>
      <c r="N501" s="6">
        <f t="shared" si="225"/>
        <v>0</v>
      </c>
      <c r="O501" s="90">
        <f t="shared" si="214"/>
        <v>0</v>
      </c>
      <c r="P501" s="91">
        <f t="shared" si="215"/>
        <v>0</v>
      </c>
      <c r="Q501" s="6">
        <f t="shared" si="216"/>
        <v>0</v>
      </c>
      <c r="R501" s="87">
        <f t="shared" si="235"/>
        <v>0</v>
      </c>
      <c r="S501" s="6">
        <f t="shared" si="217"/>
        <v>0</v>
      </c>
      <c r="T501" s="83">
        <f t="shared" si="226"/>
        <v>0</v>
      </c>
      <c r="U501" s="91">
        <f t="shared" si="233"/>
        <v>0</v>
      </c>
      <c r="V501" s="91">
        <f t="shared" si="227"/>
        <v>0</v>
      </c>
      <c r="W501" s="1">
        <f t="shared" si="239"/>
        <v>0</v>
      </c>
      <c r="X501" s="1">
        <f t="shared" si="239"/>
        <v>0</v>
      </c>
      <c r="Y501" s="1">
        <f t="shared" si="239"/>
        <v>0</v>
      </c>
      <c r="Z501" s="1">
        <f t="shared" si="239"/>
        <v>0</v>
      </c>
      <c r="AA501" s="1">
        <f t="shared" si="239"/>
        <v>0</v>
      </c>
      <c r="AB501" s="1">
        <f t="shared" si="239"/>
        <v>0</v>
      </c>
      <c r="AC501" s="1">
        <f t="shared" si="239"/>
        <v>0</v>
      </c>
      <c r="AD501" s="1">
        <f t="shared" si="239"/>
        <v>0</v>
      </c>
      <c r="AE501" s="1">
        <f t="shared" si="239"/>
        <v>0</v>
      </c>
      <c r="AF501" s="1">
        <f t="shared" si="239"/>
        <v>0</v>
      </c>
      <c r="AG501" s="1">
        <f t="shared" si="239"/>
        <v>0</v>
      </c>
      <c r="AH501" s="1">
        <f t="shared" si="239"/>
        <v>1</v>
      </c>
      <c r="AI501" s="44">
        <f t="shared" si="228"/>
        <v>0</v>
      </c>
      <c r="AJ501" s="44">
        <f t="shared" si="218"/>
        <v>0</v>
      </c>
      <c r="AK501" s="44">
        <f t="shared" si="236"/>
        <v>0</v>
      </c>
      <c r="AL501" s="4">
        <f t="shared" si="219"/>
        <v>423</v>
      </c>
      <c r="AM501" s="82">
        <f t="shared" si="229"/>
        <v>0</v>
      </c>
      <c r="AN501" s="82">
        <f t="shared" si="220"/>
        <v>0</v>
      </c>
      <c r="AO501" s="48">
        <f>0</f>
        <v>0</v>
      </c>
      <c r="AP501" s="91">
        <f t="shared" si="230"/>
        <v>0</v>
      </c>
      <c r="AQ501" s="91">
        <f t="shared" si="231"/>
        <v>0</v>
      </c>
      <c r="AV501" s="84"/>
    </row>
    <row r="502" spans="1:48">
      <c r="A502" s="190">
        <f t="shared" si="221"/>
        <v>101.05424366872005</v>
      </c>
      <c r="B502" s="82">
        <f t="shared" si="222"/>
        <v>36</v>
      </c>
      <c r="C502" s="83">
        <f t="shared" si="223"/>
        <v>424</v>
      </c>
      <c r="D502" s="14">
        <f t="shared" si="210"/>
        <v>4.8675505653430484E-3</v>
      </c>
      <c r="E502" s="16">
        <f t="shared" si="211"/>
        <v>0</v>
      </c>
      <c r="F502" s="127"/>
      <c r="G502" s="88">
        <f t="shared" si="212"/>
        <v>0</v>
      </c>
      <c r="H502" s="89">
        <f t="shared" si="224"/>
        <v>4.1666666666666666E-3</v>
      </c>
      <c r="I502" s="219"/>
      <c r="J502" s="219"/>
      <c r="K502" s="6">
        <f t="shared" si="232"/>
        <v>0</v>
      </c>
      <c r="M502" s="6">
        <f t="shared" si="213"/>
        <v>0</v>
      </c>
      <c r="N502" s="6">
        <f t="shared" si="225"/>
        <v>0</v>
      </c>
      <c r="O502" s="90">
        <f t="shared" si="214"/>
        <v>0</v>
      </c>
      <c r="P502" s="91">
        <f t="shared" si="215"/>
        <v>0</v>
      </c>
      <c r="Q502" s="6">
        <f t="shared" si="216"/>
        <v>0</v>
      </c>
      <c r="R502" s="87">
        <f t="shared" si="235"/>
        <v>0</v>
      </c>
      <c r="S502" s="6">
        <f t="shared" si="217"/>
        <v>0</v>
      </c>
      <c r="T502" s="83">
        <f t="shared" si="226"/>
        <v>0</v>
      </c>
      <c r="U502" s="91">
        <f t="shared" si="233"/>
        <v>0</v>
      </c>
      <c r="V502" s="91">
        <f t="shared" si="227"/>
        <v>0</v>
      </c>
      <c r="W502" s="1">
        <f t="shared" si="239"/>
        <v>0</v>
      </c>
      <c r="X502" s="1">
        <f t="shared" si="239"/>
        <v>0</v>
      </c>
      <c r="Y502" s="1">
        <f t="shared" si="239"/>
        <v>0</v>
      </c>
      <c r="Z502" s="1">
        <f t="shared" si="239"/>
        <v>0</v>
      </c>
      <c r="AA502" s="1">
        <f t="shared" si="239"/>
        <v>0</v>
      </c>
      <c r="AB502" s="1">
        <f t="shared" si="239"/>
        <v>0</v>
      </c>
      <c r="AC502" s="1">
        <f t="shared" si="239"/>
        <v>0</v>
      </c>
      <c r="AD502" s="1">
        <f t="shared" si="239"/>
        <v>0</v>
      </c>
      <c r="AE502" s="1">
        <f t="shared" si="239"/>
        <v>0</v>
      </c>
      <c r="AF502" s="1">
        <f t="shared" si="239"/>
        <v>0</v>
      </c>
      <c r="AG502" s="1">
        <f t="shared" si="239"/>
        <v>0</v>
      </c>
      <c r="AH502" s="1">
        <f t="shared" si="239"/>
        <v>1</v>
      </c>
      <c r="AI502" s="44">
        <f t="shared" si="228"/>
        <v>0</v>
      </c>
      <c r="AJ502" s="44">
        <f t="shared" si="218"/>
        <v>0</v>
      </c>
      <c r="AK502" s="44">
        <f t="shared" si="236"/>
        <v>0</v>
      </c>
      <c r="AL502" s="4">
        <f t="shared" si="219"/>
        <v>424</v>
      </c>
      <c r="AM502" s="82">
        <f t="shared" si="229"/>
        <v>0</v>
      </c>
      <c r="AN502" s="82">
        <f t="shared" si="220"/>
        <v>0</v>
      </c>
      <c r="AO502" s="48">
        <f>0</f>
        <v>0</v>
      </c>
      <c r="AP502" s="91">
        <f t="shared" si="230"/>
        <v>0</v>
      </c>
      <c r="AQ502" s="91">
        <f t="shared" si="231"/>
        <v>0</v>
      </c>
      <c r="AV502" s="84"/>
    </row>
    <row r="503" spans="1:48">
      <c r="A503" s="190">
        <f t="shared" si="221"/>
        <v>101.13757700205338</v>
      </c>
      <c r="B503" s="82">
        <f t="shared" si="222"/>
        <v>36</v>
      </c>
      <c r="C503" s="83">
        <f t="shared" si="223"/>
        <v>425</v>
      </c>
      <c r="D503" s="14">
        <f t="shared" si="210"/>
        <v>4.8675505653430484E-3</v>
      </c>
      <c r="E503" s="16">
        <f t="shared" si="211"/>
        <v>0</v>
      </c>
      <c r="F503" s="127"/>
      <c r="G503" s="88">
        <f t="shared" si="212"/>
        <v>0</v>
      </c>
      <c r="H503" s="89">
        <f t="shared" si="224"/>
        <v>4.1666666666666666E-3</v>
      </c>
      <c r="I503" s="219"/>
      <c r="J503" s="219"/>
      <c r="K503" s="6">
        <f t="shared" si="232"/>
        <v>0</v>
      </c>
      <c r="M503" s="6">
        <f t="shared" si="213"/>
        <v>0</v>
      </c>
      <c r="N503" s="6">
        <f t="shared" si="225"/>
        <v>0</v>
      </c>
      <c r="O503" s="90">
        <f t="shared" si="214"/>
        <v>0</v>
      </c>
      <c r="P503" s="91">
        <f t="shared" si="215"/>
        <v>0</v>
      </c>
      <c r="Q503" s="6">
        <f t="shared" si="216"/>
        <v>0</v>
      </c>
      <c r="R503" s="87">
        <f t="shared" si="235"/>
        <v>0</v>
      </c>
      <c r="S503" s="6">
        <f t="shared" si="217"/>
        <v>0</v>
      </c>
      <c r="T503" s="83">
        <f t="shared" si="226"/>
        <v>0</v>
      </c>
      <c r="U503" s="91">
        <f t="shared" si="233"/>
        <v>0</v>
      </c>
      <c r="V503" s="91">
        <f t="shared" si="227"/>
        <v>0</v>
      </c>
      <c r="W503" s="1">
        <f t="shared" si="239"/>
        <v>0</v>
      </c>
      <c r="X503" s="1">
        <f t="shared" si="239"/>
        <v>0</v>
      </c>
      <c r="Y503" s="1">
        <f t="shared" si="239"/>
        <v>0</v>
      </c>
      <c r="Z503" s="1">
        <f t="shared" si="239"/>
        <v>0</v>
      </c>
      <c r="AA503" s="1">
        <f t="shared" si="239"/>
        <v>0</v>
      </c>
      <c r="AB503" s="1">
        <f t="shared" si="239"/>
        <v>0</v>
      </c>
      <c r="AC503" s="1">
        <f t="shared" si="239"/>
        <v>0</v>
      </c>
      <c r="AD503" s="1">
        <f t="shared" si="239"/>
        <v>0</v>
      </c>
      <c r="AE503" s="1">
        <f t="shared" si="239"/>
        <v>0</v>
      </c>
      <c r="AF503" s="1">
        <f t="shared" si="239"/>
        <v>0</v>
      </c>
      <c r="AG503" s="1">
        <f t="shared" si="239"/>
        <v>0</v>
      </c>
      <c r="AH503" s="1">
        <f t="shared" si="239"/>
        <v>1</v>
      </c>
      <c r="AI503" s="44">
        <f t="shared" si="228"/>
        <v>0</v>
      </c>
      <c r="AJ503" s="44">
        <f t="shared" si="218"/>
        <v>0</v>
      </c>
      <c r="AK503" s="44">
        <f t="shared" si="236"/>
        <v>0</v>
      </c>
      <c r="AL503" s="4">
        <f t="shared" si="219"/>
        <v>425</v>
      </c>
      <c r="AM503" s="82">
        <f t="shared" si="229"/>
        <v>0</v>
      </c>
      <c r="AN503" s="82">
        <f t="shared" si="220"/>
        <v>0</v>
      </c>
      <c r="AO503" s="48">
        <f>0</f>
        <v>0</v>
      </c>
      <c r="AP503" s="91">
        <f t="shared" si="230"/>
        <v>0</v>
      </c>
      <c r="AQ503" s="91">
        <f t="shared" si="231"/>
        <v>0</v>
      </c>
      <c r="AV503" s="84"/>
    </row>
    <row r="504" spans="1:48">
      <c r="A504" s="190">
        <f t="shared" si="221"/>
        <v>101.22091033538672</v>
      </c>
      <c r="B504" s="82">
        <f t="shared" si="222"/>
        <v>36</v>
      </c>
      <c r="C504" s="83">
        <f t="shared" si="223"/>
        <v>426</v>
      </c>
      <c r="D504" s="14">
        <f t="shared" si="210"/>
        <v>4.8675505653430484E-3</v>
      </c>
      <c r="E504" s="16">
        <f t="shared" si="211"/>
        <v>0</v>
      </c>
      <c r="F504" s="127"/>
      <c r="G504" s="88">
        <f t="shared" si="212"/>
        <v>0</v>
      </c>
      <c r="H504" s="89">
        <f t="shared" si="224"/>
        <v>4.1666666666666666E-3</v>
      </c>
      <c r="I504" s="219"/>
      <c r="J504" s="219"/>
      <c r="K504" s="6">
        <f t="shared" si="232"/>
        <v>0</v>
      </c>
      <c r="M504" s="6">
        <f t="shared" si="213"/>
        <v>0</v>
      </c>
      <c r="N504" s="6">
        <f t="shared" si="225"/>
        <v>0</v>
      </c>
      <c r="O504" s="90">
        <f t="shared" si="214"/>
        <v>0</v>
      </c>
      <c r="P504" s="91">
        <f t="shared" si="215"/>
        <v>0</v>
      </c>
      <c r="Q504" s="6">
        <f t="shared" si="216"/>
        <v>0</v>
      </c>
      <c r="R504" s="87">
        <f t="shared" si="235"/>
        <v>0</v>
      </c>
      <c r="S504" s="6">
        <f t="shared" si="217"/>
        <v>0</v>
      </c>
      <c r="T504" s="83">
        <f t="shared" si="226"/>
        <v>0</v>
      </c>
      <c r="U504" s="91">
        <f t="shared" si="233"/>
        <v>0</v>
      </c>
      <c r="V504" s="91">
        <f t="shared" si="227"/>
        <v>0</v>
      </c>
      <c r="W504" s="1">
        <f t="shared" si="239"/>
        <v>0</v>
      </c>
      <c r="X504" s="1">
        <f t="shared" si="239"/>
        <v>0</v>
      </c>
      <c r="Y504" s="1">
        <f t="shared" si="239"/>
        <v>0</v>
      </c>
      <c r="Z504" s="1">
        <f t="shared" si="239"/>
        <v>0</v>
      </c>
      <c r="AA504" s="1">
        <f t="shared" si="239"/>
        <v>0</v>
      </c>
      <c r="AB504" s="1">
        <f t="shared" si="239"/>
        <v>0</v>
      </c>
      <c r="AC504" s="1">
        <f t="shared" si="239"/>
        <v>0</v>
      </c>
      <c r="AD504" s="1">
        <f t="shared" si="239"/>
        <v>0</v>
      </c>
      <c r="AE504" s="1">
        <f t="shared" si="239"/>
        <v>0</v>
      </c>
      <c r="AF504" s="1">
        <f t="shared" si="239"/>
        <v>0</v>
      </c>
      <c r="AG504" s="1">
        <f t="shared" si="239"/>
        <v>0</v>
      </c>
      <c r="AH504" s="1">
        <f t="shared" si="239"/>
        <v>1</v>
      </c>
      <c r="AI504" s="44">
        <f t="shared" si="228"/>
        <v>0</v>
      </c>
      <c r="AJ504" s="44">
        <f t="shared" si="218"/>
        <v>0</v>
      </c>
      <c r="AK504" s="44">
        <f t="shared" si="236"/>
        <v>0</v>
      </c>
      <c r="AL504" s="4">
        <f t="shared" si="219"/>
        <v>426</v>
      </c>
      <c r="AM504" s="82">
        <f t="shared" si="229"/>
        <v>0</v>
      </c>
      <c r="AN504" s="82">
        <f t="shared" si="220"/>
        <v>0</v>
      </c>
      <c r="AO504" s="48">
        <f>0</f>
        <v>0</v>
      </c>
      <c r="AP504" s="91">
        <f t="shared" si="230"/>
        <v>0</v>
      </c>
      <c r="AQ504" s="91">
        <f t="shared" si="231"/>
        <v>0</v>
      </c>
      <c r="AV504" s="84"/>
    </row>
    <row r="505" spans="1:48">
      <c r="A505" s="190">
        <f t="shared" si="221"/>
        <v>101.30424366872005</v>
      </c>
      <c r="B505" s="82">
        <f t="shared" si="222"/>
        <v>36</v>
      </c>
      <c r="C505" s="83">
        <f t="shared" si="223"/>
        <v>427</v>
      </c>
      <c r="D505" s="14">
        <f t="shared" si="210"/>
        <v>4.8675505653430484E-3</v>
      </c>
      <c r="E505" s="16">
        <f t="shared" si="211"/>
        <v>0</v>
      </c>
      <c r="F505" s="127"/>
      <c r="G505" s="88">
        <f t="shared" si="212"/>
        <v>0</v>
      </c>
      <c r="H505" s="89">
        <f t="shared" si="224"/>
        <v>4.1666666666666666E-3</v>
      </c>
      <c r="I505" s="219"/>
      <c r="J505" s="219"/>
      <c r="K505" s="6">
        <f t="shared" si="232"/>
        <v>0</v>
      </c>
      <c r="M505" s="6">
        <f t="shared" si="213"/>
        <v>0</v>
      </c>
      <c r="N505" s="6">
        <f t="shared" si="225"/>
        <v>0</v>
      </c>
      <c r="O505" s="90">
        <f t="shared" si="214"/>
        <v>0</v>
      </c>
      <c r="P505" s="91">
        <f t="shared" si="215"/>
        <v>0</v>
      </c>
      <c r="Q505" s="6">
        <f t="shared" si="216"/>
        <v>0</v>
      </c>
      <c r="R505" s="87">
        <f t="shared" si="235"/>
        <v>0</v>
      </c>
      <c r="S505" s="6">
        <f t="shared" si="217"/>
        <v>0</v>
      </c>
      <c r="T505" s="83">
        <f t="shared" si="226"/>
        <v>0</v>
      </c>
      <c r="U505" s="91">
        <f t="shared" si="233"/>
        <v>0</v>
      </c>
      <c r="V505" s="91">
        <f t="shared" si="227"/>
        <v>0</v>
      </c>
      <c r="W505" s="1">
        <f t="shared" si="239"/>
        <v>0</v>
      </c>
      <c r="X505" s="1">
        <f t="shared" si="239"/>
        <v>0</v>
      </c>
      <c r="Y505" s="1">
        <f t="shared" si="239"/>
        <v>0</v>
      </c>
      <c r="Z505" s="1">
        <f t="shared" si="239"/>
        <v>0</v>
      </c>
      <c r="AA505" s="1">
        <f t="shared" si="239"/>
        <v>0</v>
      </c>
      <c r="AB505" s="1">
        <f t="shared" si="239"/>
        <v>0</v>
      </c>
      <c r="AC505" s="1">
        <f t="shared" si="239"/>
        <v>0</v>
      </c>
      <c r="AD505" s="1">
        <f t="shared" si="239"/>
        <v>0</v>
      </c>
      <c r="AE505" s="1">
        <f t="shared" si="239"/>
        <v>0</v>
      </c>
      <c r="AF505" s="1">
        <f t="shared" si="239"/>
        <v>0</v>
      </c>
      <c r="AG505" s="1">
        <f t="shared" si="239"/>
        <v>0</v>
      </c>
      <c r="AH505" s="1">
        <f t="shared" si="239"/>
        <v>1</v>
      </c>
      <c r="AI505" s="44">
        <f t="shared" si="228"/>
        <v>0</v>
      </c>
      <c r="AJ505" s="44">
        <f t="shared" si="218"/>
        <v>0</v>
      </c>
      <c r="AK505" s="44">
        <f t="shared" si="236"/>
        <v>0</v>
      </c>
      <c r="AL505" s="4">
        <f t="shared" si="219"/>
        <v>427</v>
      </c>
      <c r="AM505" s="82">
        <f t="shared" si="229"/>
        <v>0</v>
      </c>
      <c r="AN505" s="82">
        <f t="shared" si="220"/>
        <v>0</v>
      </c>
      <c r="AO505" s="48">
        <f>0</f>
        <v>0</v>
      </c>
      <c r="AP505" s="91">
        <f t="shared" si="230"/>
        <v>0</v>
      </c>
      <c r="AQ505" s="91">
        <f t="shared" si="231"/>
        <v>0</v>
      </c>
      <c r="AV505" s="84"/>
    </row>
    <row r="506" spans="1:48">
      <c r="A506" s="190">
        <f t="shared" si="221"/>
        <v>101.38757700205338</v>
      </c>
      <c r="B506" s="82">
        <f t="shared" si="222"/>
        <v>36</v>
      </c>
      <c r="C506" s="83">
        <f t="shared" si="223"/>
        <v>428</v>
      </c>
      <c r="D506" s="14">
        <f t="shared" si="210"/>
        <v>4.8675505653430484E-3</v>
      </c>
      <c r="E506" s="16">
        <f t="shared" si="211"/>
        <v>0</v>
      </c>
      <c r="F506" s="127"/>
      <c r="G506" s="88">
        <f t="shared" si="212"/>
        <v>0</v>
      </c>
      <c r="H506" s="89">
        <f t="shared" si="224"/>
        <v>4.1666666666666666E-3</v>
      </c>
      <c r="I506" s="219"/>
      <c r="J506" s="219"/>
      <c r="K506" s="6">
        <f t="shared" si="232"/>
        <v>0</v>
      </c>
      <c r="M506" s="6">
        <f t="shared" si="213"/>
        <v>0</v>
      </c>
      <c r="N506" s="6">
        <f t="shared" si="225"/>
        <v>0</v>
      </c>
      <c r="O506" s="90">
        <f t="shared" si="214"/>
        <v>0</v>
      </c>
      <c r="P506" s="91">
        <f t="shared" si="215"/>
        <v>0</v>
      </c>
      <c r="Q506" s="6">
        <f t="shared" si="216"/>
        <v>0</v>
      </c>
      <c r="R506" s="87">
        <f t="shared" si="235"/>
        <v>0</v>
      </c>
      <c r="S506" s="6">
        <f t="shared" si="217"/>
        <v>0</v>
      </c>
      <c r="T506" s="83">
        <f t="shared" si="226"/>
        <v>0</v>
      </c>
      <c r="U506" s="91">
        <f t="shared" si="233"/>
        <v>0</v>
      </c>
      <c r="V506" s="91">
        <f t="shared" si="227"/>
        <v>0</v>
      </c>
      <c r="W506" s="1">
        <f t="shared" si="239"/>
        <v>0</v>
      </c>
      <c r="X506" s="1">
        <f t="shared" si="239"/>
        <v>0</v>
      </c>
      <c r="Y506" s="1">
        <f t="shared" si="239"/>
        <v>0</v>
      </c>
      <c r="Z506" s="1">
        <f t="shared" si="239"/>
        <v>0</v>
      </c>
      <c r="AA506" s="1">
        <f t="shared" si="239"/>
        <v>0</v>
      </c>
      <c r="AB506" s="1">
        <f t="shared" si="239"/>
        <v>0</v>
      </c>
      <c r="AC506" s="1">
        <f t="shared" si="239"/>
        <v>0</v>
      </c>
      <c r="AD506" s="1">
        <f t="shared" si="239"/>
        <v>0</v>
      </c>
      <c r="AE506" s="1">
        <f t="shared" si="239"/>
        <v>0</v>
      </c>
      <c r="AF506" s="1">
        <f t="shared" si="239"/>
        <v>0</v>
      </c>
      <c r="AG506" s="1">
        <f t="shared" si="239"/>
        <v>0</v>
      </c>
      <c r="AH506" s="1">
        <f t="shared" si="239"/>
        <v>1</v>
      </c>
      <c r="AI506" s="44">
        <f t="shared" si="228"/>
        <v>0</v>
      </c>
      <c r="AJ506" s="44">
        <f t="shared" si="218"/>
        <v>0</v>
      </c>
      <c r="AK506" s="44">
        <f t="shared" si="236"/>
        <v>0</v>
      </c>
      <c r="AL506" s="4">
        <f t="shared" si="219"/>
        <v>428</v>
      </c>
      <c r="AM506" s="82">
        <f t="shared" si="229"/>
        <v>0</v>
      </c>
      <c r="AN506" s="82">
        <f t="shared" si="220"/>
        <v>0</v>
      </c>
      <c r="AO506" s="48">
        <f>0</f>
        <v>0</v>
      </c>
      <c r="AP506" s="91">
        <f t="shared" si="230"/>
        <v>0</v>
      </c>
      <c r="AQ506" s="91">
        <f t="shared" si="231"/>
        <v>0</v>
      </c>
      <c r="AV506" s="84"/>
    </row>
    <row r="507" spans="1:48">
      <c r="A507" s="190">
        <f t="shared" si="221"/>
        <v>101.47091033538672</v>
      </c>
      <c r="B507" s="82">
        <f t="shared" si="222"/>
        <v>36</v>
      </c>
      <c r="C507" s="83">
        <f t="shared" si="223"/>
        <v>429</v>
      </c>
      <c r="D507" s="14">
        <f t="shared" si="210"/>
        <v>4.8675505653430484E-3</v>
      </c>
      <c r="E507" s="16">
        <f t="shared" si="211"/>
        <v>0</v>
      </c>
      <c r="F507" s="127"/>
      <c r="G507" s="88">
        <f t="shared" si="212"/>
        <v>0</v>
      </c>
      <c r="H507" s="89">
        <f t="shared" si="224"/>
        <v>4.1666666666666666E-3</v>
      </c>
      <c r="I507" s="219"/>
      <c r="J507" s="219"/>
      <c r="K507" s="6">
        <f t="shared" si="232"/>
        <v>0</v>
      </c>
      <c r="M507" s="6">
        <f t="shared" si="213"/>
        <v>0</v>
      </c>
      <c r="N507" s="6">
        <f t="shared" si="225"/>
        <v>0</v>
      </c>
      <c r="O507" s="90">
        <f t="shared" si="214"/>
        <v>0</v>
      </c>
      <c r="P507" s="91">
        <f t="shared" si="215"/>
        <v>0</v>
      </c>
      <c r="Q507" s="6">
        <f t="shared" si="216"/>
        <v>0</v>
      </c>
      <c r="R507" s="87">
        <f t="shared" si="235"/>
        <v>0</v>
      </c>
      <c r="S507" s="6">
        <f t="shared" si="217"/>
        <v>0</v>
      </c>
      <c r="T507" s="83">
        <f t="shared" si="226"/>
        <v>0</v>
      </c>
      <c r="U507" s="91">
        <f t="shared" si="233"/>
        <v>0</v>
      </c>
      <c r="V507" s="91">
        <f t="shared" si="227"/>
        <v>0</v>
      </c>
      <c r="W507" s="1">
        <f t="shared" si="239"/>
        <v>0</v>
      </c>
      <c r="X507" s="1">
        <f t="shared" si="239"/>
        <v>0</v>
      </c>
      <c r="Y507" s="1">
        <f t="shared" si="239"/>
        <v>0</v>
      </c>
      <c r="Z507" s="1">
        <f t="shared" si="239"/>
        <v>0</v>
      </c>
      <c r="AA507" s="1">
        <f t="shared" si="239"/>
        <v>0</v>
      </c>
      <c r="AB507" s="1">
        <f t="shared" si="239"/>
        <v>0</v>
      </c>
      <c r="AC507" s="1">
        <f t="shared" si="239"/>
        <v>0</v>
      </c>
      <c r="AD507" s="1">
        <f t="shared" si="239"/>
        <v>0</v>
      </c>
      <c r="AE507" s="1">
        <f t="shared" si="239"/>
        <v>0</v>
      </c>
      <c r="AF507" s="1">
        <f t="shared" si="239"/>
        <v>0</v>
      </c>
      <c r="AG507" s="1">
        <f t="shared" si="239"/>
        <v>0</v>
      </c>
      <c r="AH507" s="1">
        <f t="shared" si="239"/>
        <v>1</v>
      </c>
      <c r="AI507" s="44">
        <f t="shared" si="228"/>
        <v>0</v>
      </c>
      <c r="AJ507" s="44">
        <f t="shared" si="218"/>
        <v>0</v>
      </c>
      <c r="AK507" s="44">
        <f t="shared" si="236"/>
        <v>0</v>
      </c>
      <c r="AL507" s="4">
        <f t="shared" si="219"/>
        <v>429</v>
      </c>
      <c r="AM507" s="82">
        <f t="shared" si="229"/>
        <v>0</v>
      </c>
      <c r="AN507" s="82">
        <f t="shared" si="220"/>
        <v>0</v>
      </c>
      <c r="AO507" s="48">
        <f>0</f>
        <v>0</v>
      </c>
      <c r="AP507" s="91">
        <f t="shared" si="230"/>
        <v>0</v>
      </c>
      <c r="AQ507" s="91">
        <f t="shared" si="231"/>
        <v>0</v>
      </c>
      <c r="AV507" s="84"/>
    </row>
    <row r="508" spans="1:48">
      <c r="A508" s="190">
        <f t="shared" si="221"/>
        <v>101.55424366872005</v>
      </c>
      <c r="B508" s="82">
        <f t="shared" si="222"/>
        <v>36</v>
      </c>
      <c r="C508" s="83">
        <f t="shared" si="223"/>
        <v>430</v>
      </c>
      <c r="D508" s="14">
        <f t="shared" si="210"/>
        <v>4.8675505653430484E-3</v>
      </c>
      <c r="E508" s="16">
        <f t="shared" si="211"/>
        <v>0</v>
      </c>
      <c r="F508" s="127"/>
      <c r="G508" s="88">
        <f t="shared" si="212"/>
        <v>0</v>
      </c>
      <c r="H508" s="89">
        <f t="shared" si="224"/>
        <v>4.1666666666666666E-3</v>
      </c>
      <c r="I508" s="219"/>
      <c r="J508" s="219"/>
      <c r="K508" s="6">
        <f t="shared" si="232"/>
        <v>0</v>
      </c>
      <c r="M508" s="6">
        <f t="shared" si="213"/>
        <v>0</v>
      </c>
      <c r="N508" s="6">
        <f t="shared" si="225"/>
        <v>0</v>
      </c>
      <c r="O508" s="90">
        <f t="shared" si="214"/>
        <v>0</v>
      </c>
      <c r="P508" s="91">
        <f t="shared" si="215"/>
        <v>0</v>
      </c>
      <c r="Q508" s="6">
        <f t="shared" si="216"/>
        <v>0</v>
      </c>
      <c r="R508" s="87">
        <f t="shared" si="235"/>
        <v>0</v>
      </c>
      <c r="S508" s="6">
        <f t="shared" si="217"/>
        <v>0</v>
      </c>
      <c r="T508" s="83">
        <f t="shared" si="226"/>
        <v>0</v>
      </c>
      <c r="U508" s="91">
        <f t="shared" si="233"/>
        <v>0</v>
      </c>
      <c r="V508" s="91">
        <f t="shared" si="227"/>
        <v>0</v>
      </c>
      <c r="W508" s="1">
        <f t="shared" si="239"/>
        <v>0</v>
      </c>
      <c r="X508" s="1">
        <f t="shared" si="239"/>
        <v>0</v>
      </c>
      <c r="Y508" s="1">
        <f t="shared" si="239"/>
        <v>0</v>
      </c>
      <c r="Z508" s="1">
        <f t="shared" si="239"/>
        <v>0</v>
      </c>
      <c r="AA508" s="1">
        <f t="shared" si="239"/>
        <v>0</v>
      </c>
      <c r="AB508" s="1">
        <f t="shared" si="239"/>
        <v>0</v>
      </c>
      <c r="AC508" s="1">
        <f t="shared" si="239"/>
        <v>0</v>
      </c>
      <c r="AD508" s="1">
        <f t="shared" si="239"/>
        <v>0</v>
      </c>
      <c r="AE508" s="1">
        <f t="shared" si="239"/>
        <v>0</v>
      </c>
      <c r="AF508" s="1">
        <f t="shared" si="239"/>
        <v>0</v>
      </c>
      <c r="AG508" s="1">
        <f t="shared" si="239"/>
        <v>0</v>
      </c>
      <c r="AH508" s="1">
        <f t="shared" si="239"/>
        <v>1</v>
      </c>
      <c r="AI508" s="44">
        <f t="shared" si="228"/>
        <v>0</v>
      </c>
      <c r="AJ508" s="44">
        <f t="shared" si="218"/>
        <v>0</v>
      </c>
      <c r="AK508" s="44">
        <f t="shared" si="236"/>
        <v>0</v>
      </c>
      <c r="AL508" s="4">
        <f t="shared" si="219"/>
        <v>430</v>
      </c>
      <c r="AM508" s="82">
        <f t="shared" si="229"/>
        <v>0</v>
      </c>
      <c r="AN508" s="82">
        <f t="shared" si="220"/>
        <v>0</v>
      </c>
      <c r="AO508" s="48">
        <f>0</f>
        <v>0</v>
      </c>
      <c r="AP508" s="91">
        <f t="shared" si="230"/>
        <v>0</v>
      </c>
      <c r="AQ508" s="91">
        <f t="shared" si="231"/>
        <v>0</v>
      </c>
      <c r="AV508" s="84"/>
    </row>
    <row r="509" spans="1:48">
      <c r="A509" s="190">
        <f t="shared" si="221"/>
        <v>101.63757700205338</v>
      </c>
      <c r="B509" s="82">
        <f t="shared" si="222"/>
        <v>36</v>
      </c>
      <c r="C509" s="83">
        <f t="shared" si="223"/>
        <v>431</v>
      </c>
      <c r="D509" s="14">
        <f t="shared" si="210"/>
        <v>4.8675505653430484E-3</v>
      </c>
      <c r="E509" s="16">
        <f t="shared" si="211"/>
        <v>0</v>
      </c>
      <c r="F509" s="127"/>
      <c r="G509" s="88">
        <f t="shared" si="212"/>
        <v>0</v>
      </c>
      <c r="H509" s="89">
        <f t="shared" si="224"/>
        <v>4.1666666666666666E-3</v>
      </c>
      <c r="I509" s="219"/>
      <c r="J509" s="219"/>
      <c r="K509" s="6">
        <f t="shared" si="232"/>
        <v>0</v>
      </c>
      <c r="M509" s="6">
        <f t="shared" si="213"/>
        <v>0</v>
      </c>
      <c r="N509" s="6">
        <f t="shared" si="225"/>
        <v>0</v>
      </c>
      <c r="O509" s="90">
        <f t="shared" si="214"/>
        <v>0</v>
      </c>
      <c r="P509" s="91">
        <f t="shared" si="215"/>
        <v>0</v>
      </c>
      <c r="Q509" s="6">
        <f t="shared" si="216"/>
        <v>0</v>
      </c>
      <c r="R509" s="87">
        <f t="shared" si="235"/>
        <v>0</v>
      </c>
      <c r="S509" s="6">
        <f t="shared" si="217"/>
        <v>0</v>
      </c>
      <c r="T509" s="83">
        <f t="shared" si="226"/>
        <v>0</v>
      </c>
      <c r="U509" s="91">
        <f t="shared" si="233"/>
        <v>0</v>
      </c>
      <c r="V509" s="91">
        <f t="shared" si="227"/>
        <v>0</v>
      </c>
      <c r="W509" s="1">
        <f t="shared" ref="W509:AH518" si="240">IF($B509&lt;=W$78,1,0)</f>
        <v>0</v>
      </c>
      <c r="X509" s="1">
        <f t="shared" si="240"/>
        <v>0</v>
      </c>
      <c r="Y509" s="1">
        <f t="shared" si="240"/>
        <v>0</v>
      </c>
      <c r="Z509" s="1">
        <f t="shared" si="240"/>
        <v>0</v>
      </c>
      <c r="AA509" s="1">
        <f t="shared" si="240"/>
        <v>0</v>
      </c>
      <c r="AB509" s="1">
        <f t="shared" si="240"/>
        <v>0</v>
      </c>
      <c r="AC509" s="1">
        <f t="shared" si="240"/>
        <v>0</v>
      </c>
      <c r="AD509" s="1">
        <f t="shared" si="240"/>
        <v>0</v>
      </c>
      <c r="AE509" s="1">
        <f t="shared" si="240"/>
        <v>0</v>
      </c>
      <c r="AF509" s="1">
        <f t="shared" si="240"/>
        <v>0</v>
      </c>
      <c r="AG509" s="1">
        <f t="shared" si="240"/>
        <v>0</v>
      </c>
      <c r="AH509" s="1">
        <f t="shared" si="240"/>
        <v>1</v>
      </c>
      <c r="AI509" s="44">
        <f t="shared" si="228"/>
        <v>0</v>
      </c>
      <c r="AJ509" s="44">
        <f t="shared" si="218"/>
        <v>0</v>
      </c>
      <c r="AK509" s="44">
        <f t="shared" si="236"/>
        <v>0</v>
      </c>
      <c r="AL509" s="4">
        <f t="shared" si="219"/>
        <v>431</v>
      </c>
      <c r="AM509" s="82">
        <f t="shared" si="229"/>
        <v>0</v>
      </c>
      <c r="AN509" s="82">
        <f t="shared" si="220"/>
        <v>0</v>
      </c>
      <c r="AO509" s="48">
        <f>0</f>
        <v>0</v>
      </c>
      <c r="AP509" s="91">
        <f t="shared" si="230"/>
        <v>0</v>
      </c>
      <c r="AQ509" s="91">
        <f t="shared" si="231"/>
        <v>0</v>
      </c>
      <c r="AV509" s="84"/>
    </row>
    <row r="510" spans="1:48">
      <c r="A510" s="190">
        <f t="shared" si="221"/>
        <v>101.72091033538672</v>
      </c>
      <c r="B510" s="82">
        <f t="shared" si="222"/>
        <v>36</v>
      </c>
      <c r="C510" s="83">
        <f t="shared" si="223"/>
        <v>432</v>
      </c>
      <c r="D510" s="14">
        <f t="shared" si="210"/>
        <v>4.8675505653430484E-3</v>
      </c>
      <c r="E510" s="16">
        <f t="shared" si="211"/>
        <v>0</v>
      </c>
      <c r="F510" s="127"/>
      <c r="G510" s="88">
        <f t="shared" si="212"/>
        <v>0</v>
      </c>
      <c r="H510" s="89">
        <f t="shared" si="224"/>
        <v>4.1666666666666666E-3</v>
      </c>
      <c r="I510" s="219"/>
      <c r="J510" s="219"/>
      <c r="K510" s="6">
        <f t="shared" si="232"/>
        <v>0</v>
      </c>
      <c r="M510" s="6">
        <f t="shared" si="213"/>
        <v>0</v>
      </c>
      <c r="N510" s="6">
        <f t="shared" si="225"/>
        <v>0</v>
      </c>
      <c r="O510" s="90">
        <f t="shared" si="214"/>
        <v>0</v>
      </c>
      <c r="P510" s="91">
        <f t="shared" si="215"/>
        <v>0</v>
      </c>
      <c r="Q510" s="6">
        <f t="shared" si="216"/>
        <v>0</v>
      </c>
      <c r="R510" s="87">
        <f t="shared" si="235"/>
        <v>0</v>
      </c>
      <c r="S510" s="6">
        <f t="shared" si="217"/>
        <v>0</v>
      </c>
      <c r="T510" s="83">
        <f t="shared" si="226"/>
        <v>0</v>
      </c>
      <c r="U510" s="91">
        <f t="shared" si="233"/>
        <v>0</v>
      </c>
      <c r="V510" s="91">
        <f t="shared" si="227"/>
        <v>0</v>
      </c>
      <c r="W510" s="1">
        <f t="shared" si="240"/>
        <v>0</v>
      </c>
      <c r="X510" s="1">
        <f t="shared" si="240"/>
        <v>0</v>
      </c>
      <c r="Y510" s="1">
        <f t="shared" si="240"/>
        <v>0</v>
      </c>
      <c r="Z510" s="1">
        <f t="shared" si="240"/>
        <v>0</v>
      </c>
      <c r="AA510" s="1">
        <f t="shared" si="240"/>
        <v>0</v>
      </c>
      <c r="AB510" s="1">
        <f t="shared" si="240"/>
        <v>0</v>
      </c>
      <c r="AC510" s="1">
        <f t="shared" si="240"/>
        <v>0</v>
      </c>
      <c r="AD510" s="1">
        <f t="shared" si="240"/>
        <v>0</v>
      </c>
      <c r="AE510" s="1">
        <f t="shared" si="240"/>
        <v>0</v>
      </c>
      <c r="AF510" s="1">
        <f t="shared" si="240"/>
        <v>0</v>
      </c>
      <c r="AG510" s="1">
        <f t="shared" si="240"/>
        <v>0</v>
      </c>
      <c r="AH510" s="1">
        <f t="shared" si="240"/>
        <v>1</v>
      </c>
      <c r="AI510" s="44">
        <f t="shared" si="228"/>
        <v>0</v>
      </c>
      <c r="AJ510" s="44">
        <f t="shared" si="218"/>
        <v>0</v>
      </c>
      <c r="AK510" s="44">
        <f t="shared" si="236"/>
        <v>0</v>
      </c>
      <c r="AL510" s="4">
        <f t="shared" si="219"/>
        <v>432</v>
      </c>
      <c r="AM510" s="82">
        <f t="shared" si="229"/>
        <v>0</v>
      </c>
      <c r="AN510" s="82">
        <f t="shared" si="220"/>
        <v>0</v>
      </c>
      <c r="AO510" s="48">
        <f>0</f>
        <v>0</v>
      </c>
      <c r="AP510" s="91">
        <f t="shared" si="230"/>
        <v>0</v>
      </c>
      <c r="AQ510" s="91">
        <f t="shared" si="231"/>
        <v>0</v>
      </c>
      <c r="AV510" s="84"/>
    </row>
    <row r="511" spans="1:48">
      <c r="A511" s="190">
        <f t="shared" si="221"/>
        <v>101.80424366872005</v>
      </c>
      <c r="B511" s="82">
        <f t="shared" si="222"/>
        <v>37</v>
      </c>
      <c r="C511" s="83">
        <f t="shared" si="223"/>
        <v>433</v>
      </c>
      <c r="D511" s="14">
        <f t="shared" si="210"/>
        <v>4.8675505653430484E-3</v>
      </c>
      <c r="E511" s="16">
        <f t="shared" si="211"/>
        <v>0</v>
      </c>
      <c r="F511" s="127"/>
      <c r="G511" s="88">
        <f t="shared" si="212"/>
        <v>0</v>
      </c>
      <c r="H511" s="89">
        <f t="shared" si="224"/>
        <v>4.1666666666666666E-3</v>
      </c>
      <c r="I511" s="219"/>
      <c r="J511" s="219"/>
      <c r="K511" s="6">
        <f t="shared" si="232"/>
        <v>0</v>
      </c>
      <c r="M511" s="6">
        <f t="shared" si="213"/>
        <v>0</v>
      </c>
      <c r="N511" s="6">
        <f t="shared" si="225"/>
        <v>0</v>
      </c>
      <c r="O511" s="90">
        <f t="shared" si="214"/>
        <v>0</v>
      </c>
      <c r="P511" s="91">
        <f t="shared" si="215"/>
        <v>0</v>
      </c>
      <c r="Q511" s="6">
        <f t="shared" si="216"/>
        <v>0</v>
      </c>
      <c r="R511" s="87">
        <f t="shared" si="235"/>
        <v>0</v>
      </c>
      <c r="S511" s="6">
        <f t="shared" si="217"/>
        <v>0</v>
      </c>
      <c r="T511" s="83">
        <f t="shared" si="226"/>
        <v>0</v>
      </c>
      <c r="U511" s="91">
        <f t="shared" si="233"/>
        <v>0</v>
      </c>
      <c r="V511" s="91">
        <f t="shared" si="227"/>
        <v>0</v>
      </c>
      <c r="W511" s="1">
        <f t="shared" si="240"/>
        <v>0</v>
      </c>
      <c r="X511" s="1">
        <f t="shared" si="240"/>
        <v>0</v>
      </c>
      <c r="Y511" s="1">
        <f t="shared" si="240"/>
        <v>0</v>
      </c>
      <c r="Z511" s="1">
        <f t="shared" si="240"/>
        <v>0</v>
      </c>
      <c r="AA511" s="1">
        <f t="shared" si="240"/>
        <v>0</v>
      </c>
      <c r="AB511" s="1">
        <f t="shared" si="240"/>
        <v>0</v>
      </c>
      <c r="AC511" s="1">
        <f t="shared" si="240"/>
        <v>0</v>
      </c>
      <c r="AD511" s="1">
        <f t="shared" si="240"/>
        <v>0</v>
      </c>
      <c r="AE511" s="1">
        <f t="shared" si="240"/>
        <v>0</v>
      </c>
      <c r="AF511" s="1">
        <f t="shared" si="240"/>
        <v>0</v>
      </c>
      <c r="AG511" s="1">
        <f t="shared" si="240"/>
        <v>0</v>
      </c>
      <c r="AH511" s="1">
        <f t="shared" si="240"/>
        <v>1</v>
      </c>
      <c r="AI511" s="44">
        <f t="shared" si="228"/>
        <v>0</v>
      </c>
      <c r="AJ511" s="44">
        <f t="shared" si="218"/>
        <v>0</v>
      </c>
      <c r="AK511" s="44">
        <f t="shared" si="236"/>
        <v>0</v>
      </c>
      <c r="AL511" s="4">
        <f t="shared" si="219"/>
        <v>433</v>
      </c>
      <c r="AM511" s="82">
        <f t="shared" si="229"/>
        <v>0</v>
      </c>
      <c r="AN511" s="82">
        <f t="shared" si="220"/>
        <v>0</v>
      </c>
      <c r="AO511" s="48">
        <f>0</f>
        <v>0</v>
      </c>
      <c r="AP511" s="91">
        <f t="shared" si="230"/>
        <v>0</v>
      </c>
      <c r="AQ511" s="91">
        <f t="shared" si="231"/>
        <v>0</v>
      </c>
      <c r="AV511" s="84"/>
    </row>
    <row r="512" spans="1:48">
      <c r="A512" s="190">
        <f t="shared" si="221"/>
        <v>101.88757700205338</v>
      </c>
      <c r="B512" s="82">
        <f t="shared" si="222"/>
        <v>37</v>
      </c>
      <c r="C512" s="83">
        <f t="shared" si="223"/>
        <v>434</v>
      </c>
      <c r="D512" s="14">
        <f t="shared" si="210"/>
        <v>4.8675505653430484E-3</v>
      </c>
      <c r="E512" s="16">
        <f t="shared" si="211"/>
        <v>0</v>
      </c>
      <c r="F512" s="127"/>
      <c r="G512" s="88">
        <f t="shared" si="212"/>
        <v>0</v>
      </c>
      <c r="H512" s="89">
        <f t="shared" si="224"/>
        <v>4.1666666666666666E-3</v>
      </c>
      <c r="I512" s="219"/>
      <c r="J512" s="219"/>
      <c r="K512" s="6">
        <f t="shared" si="232"/>
        <v>0</v>
      </c>
      <c r="M512" s="6">
        <f t="shared" si="213"/>
        <v>0</v>
      </c>
      <c r="N512" s="6">
        <f t="shared" si="225"/>
        <v>0</v>
      </c>
      <c r="O512" s="90">
        <f t="shared" si="214"/>
        <v>0</v>
      </c>
      <c r="P512" s="91">
        <f t="shared" si="215"/>
        <v>0</v>
      </c>
      <c r="Q512" s="6">
        <f t="shared" si="216"/>
        <v>0</v>
      </c>
      <c r="R512" s="87">
        <f t="shared" si="235"/>
        <v>0</v>
      </c>
      <c r="S512" s="6">
        <f t="shared" si="217"/>
        <v>0</v>
      </c>
      <c r="T512" s="83">
        <f t="shared" si="226"/>
        <v>0</v>
      </c>
      <c r="U512" s="91">
        <f t="shared" si="233"/>
        <v>0</v>
      </c>
      <c r="V512" s="91">
        <f t="shared" si="227"/>
        <v>0</v>
      </c>
      <c r="W512" s="1">
        <f t="shared" si="240"/>
        <v>0</v>
      </c>
      <c r="X512" s="1">
        <f t="shared" si="240"/>
        <v>0</v>
      </c>
      <c r="Y512" s="1">
        <f t="shared" si="240"/>
        <v>0</v>
      </c>
      <c r="Z512" s="1">
        <f t="shared" si="240"/>
        <v>0</v>
      </c>
      <c r="AA512" s="1">
        <f t="shared" si="240"/>
        <v>0</v>
      </c>
      <c r="AB512" s="1">
        <f t="shared" si="240"/>
        <v>0</v>
      </c>
      <c r="AC512" s="1">
        <f t="shared" si="240"/>
        <v>0</v>
      </c>
      <c r="AD512" s="1">
        <f t="shared" si="240"/>
        <v>0</v>
      </c>
      <c r="AE512" s="1">
        <f t="shared" si="240"/>
        <v>0</v>
      </c>
      <c r="AF512" s="1">
        <f t="shared" si="240"/>
        <v>0</v>
      </c>
      <c r="AG512" s="1">
        <f t="shared" si="240"/>
        <v>0</v>
      </c>
      <c r="AH512" s="1">
        <f t="shared" si="240"/>
        <v>1</v>
      </c>
      <c r="AI512" s="44">
        <f t="shared" si="228"/>
        <v>0</v>
      </c>
      <c r="AJ512" s="44">
        <f t="shared" si="218"/>
        <v>0</v>
      </c>
      <c r="AK512" s="44">
        <f t="shared" si="236"/>
        <v>0</v>
      </c>
      <c r="AL512" s="4">
        <f t="shared" si="219"/>
        <v>434</v>
      </c>
      <c r="AM512" s="82">
        <f t="shared" si="229"/>
        <v>0</v>
      </c>
      <c r="AN512" s="82">
        <f t="shared" si="220"/>
        <v>0</v>
      </c>
      <c r="AO512" s="48">
        <f>0</f>
        <v>0</v>
      </c>
      <c r="AP512" s="91">
        <f t="shared" si="230"/>
        <v>0</v>
      </c>
      <c r="AQ512" s="91">
        <f t="shared" si="231"/>
        <v>0</v>
      </c>
      <c r="AV512" s="84"/>
    </row>
    <row r="513" spans="1:48">
      <c r="A513" s="190">
        <f t="shared" si="221"/>
        <v>101.97091033538672</v>
      </c>
      <c r="B513" s="82">
        <f t="shared" si="222"/>
        <v>37</v>
      </c>
      <c r="C513" s="83">
        <f t="shared" si="223"/>
        <v>435</v>
      </c>
      <c r="D513" s="14">
        <f t="shared" si="210"/>
        <v>4.8675505653430484E-3</v>
      </c>
      <c r="E513" s="16">
        <f t="shared" si="211"/>
        <v>0</v>
      </c>
      <c r="F513" s="127"/>
      <c r="G513" s="88">
        <f t="shared" si="212"/>
        <v>0</v>
      </c>
      <c r="H513" s="89">
        <f t="shared" si="224"/>
        <v>4.1666666666666666E-3</v>
      </c>
      <c r="I513" s="219"/>
      <c r="J513" s="219"/>
      <c r="K513" s="6">
        <f t="shared" si="232"/>
        <v>0</v>
      </c>
      <c r="M513" s="6">
        <f t="shared" si="213"/>
        <v>0</v>
      </c>
      <c r="N513" s="6">
        <f t="shared" si="225"/>
        <v>0</v>
      </c>
      <c r="O513" s="90">
        <f t="shared" si="214"/>
        <v>0</v>
      </c>
      <c r="P513" s="91">
        <f t="shared" si="215"/>
        <v>0</v>
      </c>
      <c r="Q513" s="6">
        <f t="shared" si="216"/>
        <v>0</v>
      </c>
      <c r="R513" s="87">
        <f t="shared" si="235"/>
        <v>0</v>
      </c>
      <c r="S513" s="6">
        <f t="shared" si="217"/>
        <v>0</v>
      </c>
      <c r="T513" s="83">
        <f t="shared" si="226"/>
        <v>0</v>
      </c>
      <c r="U513" s="91">
        <f t="shared" si="233"/>
        <v>0</v>
      </c>
      <c r="V513" s="91">
        <f t="shared" si="227"/>
        <v>0</v>
      </c>
      <c r="W513" s="1">
        <f t="shared" si="240"/>
        <v>0</v>
      </c>
      <c r="X513" s="1">
        <f t="shared" si="240"/>
        <v>0</v>
      </c>
      <c r="Y513" s="1">
        <f t="shared" si="240"/>
        <v>0</v>
      </c>
      <c r="Z513" s="1">
        <f t="shared" si="240"/>
        <v>0</v>
      </c>
      <c r="AA513" s="1">
        <f t="shared" si="240"/>
        <v>0</v>
      </c>
      <c r="AB513" s="1">
        <f t="shared" si="240"/>
        <v>0</v>
      </c>
      <c r="AC513" s="1">
        <f t="shared" si="240"/>
        <v>0</v>
      </c>
      <c r="AD513" s="1">
        <f t="shared" si="240"/>
        <v>0</v>
      </c>
      <c r="AE513" s="1">
        <f t="shared" si="240"/>
        <v>0</v>
      </c>
      <c r="AF513" s="1">
        <f t="shared" si="240"/>
        <v>0</v>
      </c>
      <c r="AG513" s="1">
        <f t="shared" si="240"/>
        <v>0</v>
      </c>
      <c r="AH513" s="1">
        <f t="shared" si="240"/>
        <v>1</v>
      </c>
      <c r="AI513" s="44">
        <f t="shared" si="228"/>
        <v>0</v>
      </c>
      <c r="AJ513" s="44">
        <f t="shared" si="218"/>
        <v>0</v>
      </c>
      <c r="AK513" s="44">
        <f t="shared" si="236"/>
        <v>0</v>
      </c>
      <c r="AL513" s="4">
        <f t="shared" si="219"/>
        <v>435</v>
      </c>
      <c r="AM513" s="82">
        <f t="shared" si="229"/>
        <v>0</v>
      </c>
      <c r="AN513" s="82">
        <f t="shared" si="220"/>
        <v>0</v>
      </c>
      <c r="AO513" s="48">
        <f>0</f>
        <v>0</v>
      </c>
      <c r="AP513" s="91">
        <f t="shared" si="230"/>
        <v>0</v>
      </c>
      <c r="AQ513" s="91">
        <f t="shared" si="231"/>
        <v>0</v>
      </c>
      <c r="AV513" s="84"/>
    </row>
    <row r="514" spans="1:48">
      <c r="A514" s="190">
        <f t="shared" si="221"/>
        <v>102.05424366872005</v>
      </c>
      <c r="B514" s="82">
        <f t="shared" si="222"/>
        <v>37</v>
      </c>
      <c r="C514" s="83">
        <f t="shared" si="223"/>
        <v>436</v>
      </c>
      <c r="D514" s="14">
        <f t="shared" si="210"/>
        <v>4.8675505653430484E-3</v>
      </c>
      <c r="E514" s="16">
        <f t="shared" si="211"/>
        <v>0</v>
      </c>
      <c r="F514" s="127"/>
      <c r="G514" s="88">
        <f t="shared" si="212"/>
        <v>0</v>
      </c>
      <c r="H514" s="89">
        <f t="shared" si="224"/>
        <v>4.1666666666666666E-3</v>
      </c>
      <c r="I514" s="219"/>
      <c r="J514" s="219"/>
      <c r="K514" s="6">
        <f t="shared" si="232"/>
        <v>0</v>
      </c>
      <c r="M514" s="6">
        <f t="shared" si="213"/>
        <v>0</v>
      </c>
      <c r="N514" s="6">
        <f t="shared" si="225"/>
        <v>0</v>
      </c>
      <c r="O514" s="90">
        <f t="shared" si="214"/>
        <v>0</v>
      </c>
      <c r="P514" s="91">
        <f t="shared" si="215"/>
        <v>0</v>
      </c>
      <c r="Q514" s="6">
        <f t="shared" si="216"/>
        <v>0</v>
      </c>
      <c r="R514" s="87">
        <f t="shared" si="235"/>
        <v>0</v>
      </c>
      <c r="S514" s="6">
        <f t="shared" si="217"/>
        <v>0</v>
      </c>
      <c r="T514" s="83">
        <f t="shared" si="226"/>
        <v>0</v>
      </c>
      <c r="U514" s="91">
        <f t="shared" si="233"/>
        <v>0</v>
      </c>
      <c r="V514" s="91">
        <f t="shared" si="227"/>
        <v>0</v>
      </c>
      <c r="W514" s="1">
        <f t="shared" si="240"/>
        <v>0</v>
      </c>
      <c r="X514" s="1">
        <f t="shared" si="240"/>
        <v>0</v>
      </c>
      <c r="Y514" s="1">
        <f t="shared" si="240"/>
        <v>0</v>
      </c>
      <c r="Z514" s="1">
        <f t="shared" si="240"/>
        <v>0</v>
      </c>
      <c r="AA514" s="1">
        <f t="shared" si="240"/>
        <v>0</v>
      </c>
      <c r="AB514" s="1">
        <f t="shared" si="240"/>
        <v>0</v>
      </c>
      <c r="AC514" s="1">
        <f t="shared" si="240"/>
        <v>0</v>
      </c>
      <c r="AD514" s="1">
        <f t="shared" si="240"/>
        <v>0</v>
      </c>
      <c r="AE514" s="1">
        <f t="shared" si="240"/>
        <v>0</v>
      </c>
      <c r="AF514" s="1">
        <f t="shared" si="240"/>
        <v>0</v>
      </c>
      <c r="AG514" s="1">
        <f t="shared" si="240"/>
        <v>0</v>
      </c>
      <c r="AH514" s="1">
        <f t="shared" si="240"/>
        <v>1</v>
      </c>
      <c r="AI514" s="44">
        <f t="shared" si="228"/>
        <v>0</v>
      </c>
      <c r="AJ514" s="44">
        <f t="shared" si="218"/>
        <v>0</v>
      </c>
      <c r="AK514" s="44">
        <f t="shared" si="236"/>
        <v>0</v>
      </c>
      <c r="AL514" s="4">
        <f t="shared" si="219"/>
        <v>436</v>
      </c>
      <c r="AM514" s="82">
        <f t="shared" si="229"/>
        <v>0</v>
      </c>
      <c r="AN514" s="82">
        <f t="shared" si="220"/>
        <v>0</v>
      </c>
      <c r="AO514" s="48">
        <f>0</f>
        <v>0</v>
      </c>
      <c r="AP514" s="91">
        <f t="shared" si="230"/>
        <v>0</v>
      </c>
      <c r="AQ514" s="91">
        <f t="shared" si="231"/>
        <v>0</v>
      </c>
      <c r="AV514" s="84"/>
    </row>
    <row r="515" spans="1:48">
      <c r="A515" s="190">
        <f t="shared" si="221"/>
        <v>102.13757700205338</v>
      </c>
      <c r="B515" s="82">
        <f t="shared" si="222"/>
        <v>37</v>
      </c>
      <c r="C515" s="83">
        <f t="shared" si="223"/>
        <v>437</v>
      </c>
      <c r="D515" s="14">
        <f t="shared" si="210"/>
        <v>4.8675505653430484E-3</v>
      </c>
      <c r="E515" s="16">
        <f t="shared" si="211"/>
        <v>0</v>
      </c>
      <c r="F515" s="127"/>
      <c r="G515" s="88">
        <f t="shared" si="212"/>
        <v>0</v>
      </c>
      <c r="H515" s="89">
        <f t="shared" si="224"/>
        <v>4.1666666666666666E-3</v>
      </c>
      <c r="I515" s="219"/>
      <c r="J515" s="219"/>
      <c r="K515" s="6">
        <f t="shared" si="232"/>
        <v>0</v>
      </c>
      <c r="M515" s="6">
        <f t="shared" si="213"/>
        <v>0</v>
      </c>
      <c r="N515" s="6">
        <f t="shared" si="225"/>
        <v>0</v>
      </c>
      <c r="O515" s="90">
        <f t="shared" si="214"/>
        <v>0</v>
      </c>
      <c r="P515" s="91">
        <f t="shared" si="215"/>
        <v>0</v>
      </c>
      <c r="Q515" s="6">
        <f t="shared" si="216"/>
        <v>0</v>
      </c>
      <c r="R515" s="87">
        <f t="shared" si="235"/>
        <v>0</v>
      </c>
      <c r="S515" s="6">
        <f t="shared" si="217"/>
        <v>0</v>
      </c>
      <c r="T515" s="83">
        <f t="shared" si="226"/>
        <v>0</v>
      </c>
      <c r="U515" s="91">
        <f t="shared" si="233"/>
        <v>0</v>
      </c>
      <c r="V515" s="91">
        <f t="shared" si="227"/>
        <v>0</v>
      </c>
      <c r="W515" s="1">
        <f t="shared" si="240"/>
        <v>0</v>
      </c>
      <c r="X515" s="1">
        <f t="shared" si="240"/>
        <v>0</v>
      </c>
      <c r="Y515" s="1">
        <f t="shared" si="240"/>
        <v>0</v>
      </c>
      <c r="Z515" s="1">
        <f t="shared" si="240"/>
        <v>0</v>
      </c>
      <c r="AA515" s="1">
        <f t="shared" si="240"/>
        <v>0</v>
      </c>
      <c r="AB515" s="1">
        <f t="shared" si="240"/>
        <v>0</v>
      </c>
      <c r="AC515" s="1">
        <f t="shared" si="240"/>
        <v>0</v>
      </c>
      <c r="AD515" s="1">
        <f t="shared" si="240"/>
        <v>0</v>
      </c>
      <c r="AE515" s="1">
        <f t="shared" si="240"/>
        <v>0</v>
      </c>
      <c r="AF515" s="1">
        <f t="shared" si="240"/>
        <v>0</v>
      </c>
      <c r="AG515" s="1">
        <f t="shared" si="240"/>
        <v>0</v>
      </c>
      <c r="AH515" s="1">
        <f t="shared" si="240"/>
        <v>1</v>
      </c>
      <c r="AI515" s="44">
        <f t="shared" si="228"/>
        <v>0</v>
      </c>
      <c r="AJ515" s="44">
        <f t="shared" si="218"/>
        <v>0</v>
      </c>
      <c r="AK515" s="44">
        <f t="shared" si="236"/>
        <v>0</v>
      </c>
      <c r="AL515" s="4">
        <f t="shared" si="219"/>
        <v>437</v>
      </c>
      <c r="AM515" s="82">
        <f t="shared" si="229"/>
        <v>0</v>
      </c>
      <c r="AN515" s="82">
        <f t="shared" si="220"/>
        <v>0</v>
      </c>
      <c r="AO515" s="48">
        <f>0</f>
        <v>0</v>
      </c>
      <c r="AP515" s="91">
        <f t="shared" si="230"/>
        <v>0</v>
      </c>
      <c r="AQ515" s="91">
        <f t="shared" si="231"/>
        <v>0</v>
      </c>
      <c r="AV515" s="84"/>
    </row>
    <row r="516" spans="1:48">
      <c r="A516" s="190">
        <f t="shared" si="221"/>
        <v>102.22091033538672</v>
      </c>
      <c r="B516" s="82">
        <f t="shared" si="222"/>
        <v>37</v>
      </c>
      <c r="C516" s="83">
        <f t="shared" si="223"/>
        <v>438</v>
      </c>
      <c r="D516" s="14">
        <f t="shared" si="210"/>
        <v>4.8675505653430484E-3</v>
      </c>
      <c r="E516" s="16">
        <f t="shared" si="211"/>
        <v>0</v>
      </c>
      <c r="F516" s="127"/>
      <c r="G516" s="88">
        <f t="shared" si="212"/>
        <v>0</v>
      </c>
      <c r="H516" s="89">
        <f t="shared" si="224"/>
        <v>4.1666666666666666E-3</v>
      </c>
      <c r="I516" s="219"/>
      <c r="J516" s="219"/>
      <c r="K516" s="6">
        <f t="shared" si="232"/>
        <v>0</v>
      </c>
      <c r="M516" s="6">
        <f t="shared" si="213"/>
        <v>0</v>
      </c>
      <c r="N516" s="6">
        <f t="shared" si="225"/>
        <v>0</v>
      </c>
      <c r="O516" s="90">
        <f t="shared" si="214"/>
        <v>0</v>
      </c>
      <c r="P516" s="91">
        <f t="shared" si="215"/>
        <v>0</v>
      </c>
      <c r="Q516" s="6">
        <f t="shared" si="216"/>
        <v>0</v>
      </c>
      <c r="R516" s="87">
        <f t="shared" si="235"/>
        <v>0</v>
      </c>
      <c r="S516" s="6">
        <f t="shared" si="217"/>
        <v>0</v>
      </c>
      <c r="T516" s="83">
        <f t="shared" si="226"/>
        <v>0</v>
      </c>
      <c r="U516" s="91">
        <f t="shared" si="233"/>
        <v>0</v>
      </c>
      <c r="V516" s="91">
        <f t="shared" si="227"/>
        <v>0</v>
      </c>
      <c r="W516" s="1">
        <f t="shared" si="240"/>
        <v>0</v>
      </c>
      <c r="X516" s="1">
        <f t="shared" si="240"/>
        <v>0</v>
      </c>
      <c r="Y516" s="1">
        <f t="shared" si="240"/>
        <v>0</v>
      </c>
      <c r="Z516" s="1">
        <f t="shared" si="240"/>
        <v>0</v>
      </c>
      <c r="AA516" s="1">
        <f t="shared" si="240"/>
        <v>0</v>
      </c>
      <c r="AB516" s="1">
        <f t="shared" si="240"/>
        <v>0</v>
      </c>
      <c r="AC516" s="1">
        <f t="shared" si="240"/>
        <v>0</v>
      </c>
      <c r="AD516" s="1">
        <f t="shared" si="240"/>
        <v>0</v>
      </c>
      <c r="AE516" s="1">
        <f t="shared" si="240"/>
        <v>0</v>
      </c>
      <c r="AF516" s="1">
        <f t="shared" si="240"/>
        <v>0</v>
      </c>
      <c r="AG516" s="1">
        <f t="shared" si="240"/>
        <v>0</v>
      </c>
      <c r="AH516" s="1">
        <f t="shared" si="240"/>
        <v>1</v>
      </c>
      <c r="AI516" s="44">
        <f t="shared" si="228"/>
        <v>0</v>
      </c>
      <c r="AJ516" s="44">
        <f t="shared" si="218"/>
        <v>0</v>
      </c>
      <c r="AK516" s="44">
        <f t="shared" si="236"/>
        <v>0</v>
      </c>
      <c r="AL516" s="4">
        <f t="shared" si="219"/>
        <v>438</v>
      </c>
      <c r="AM516" s="82">
        <f t="shared" si="229"/>
        <v>0</v>
      </c>
      <c r="AN516" s="82">
        <f t="shared" si="220"/>
        <v>0</v>
      </c>
      <c r="AO516" s="48">
        <f>0</f>
        <v>0</v>
      </c>
      <c r="AP516" s="91">
        <f t="shared" si="230"/>
        <v>0</v>
      </c>
      <c r="AQ516" s="91">
        <f t="shared" si="231"/>
        <v>0</v>
      </c>
      <c r="AV516" s="84"/>
    </row>
    <row r="517" spans="1:48">
      <c r="A517" s="190">
        <f t="shared" si="221"/>
        <v>102.30424366872005</v>
      </c>
      <c r="B517" s="82">
        <f t="shared" si="222"/>
        <v>37</v>
      </c>
      <c r="C517" s="83">
        <f t="shared" si="223"/>
        <v>439</v>
      </c>
      <c r="D517" s="14">
        <f t="shared" si="210"/>
        <v>4.8675505653430484E-3</v>
      </c>
      <c r="E517" s="16">
        <f t="shared" si="211"/>
        <v>0</v>
      </c>
      <c r="F517" s="127"/>
      <c r="G517" s="88">
        <f t="shared" si="212"/>
        <v>0</v>
      </c>
      <c r="H517" s="89">
        <f t="shared" si="224"/>
        <v>4.1666666666666666E-3</v>
      </c>
      <c r="I517" s="219"/>
      <c r="J517" s="219"/>
      <c r="K517" s="6">
        <f t="shared" si="232"/>
        <v>0</v>
      </c>
      <c r="M517" s="6">
        <f t="shared" si="213"/>
        <v>0</v>
      </c>
      <c r="N517" s="6">
        <f t="shared" si="225"/>
        <v>0</v>
      </c>
      <c r="O517" s="90">
        <f t="shared" si="214"/>
        <v>0</v>
      </c>
      <c r="P517" s="91">
        <f t="shared" si="215"/>
        <v>0</v>
      </c>
      <c r="Q517" s="6">
        <f t="shared" si="216"/>
        <v>0</v>
      </c>
      <c r="R517" s="87">
        <f t="shared" si="235"/>
        <v>0</v>
      </c>
      <c r="S517" s="6">
        <f t="shared" si="217"/>
        <v>0</v>
      </c>
      <c r="T517" s="83">
        <f t="shared" si="226"/>
        <v>0</v>
      </c>
      <c r="U517" s="91">
        <f t="shared" si="233"/>
        <v>0</v>
      </c>
      <c r="V517" s="91">
        <f t="shared" si="227"/>
        <v>0</v>
      </c>
      <c r="W517" s="1">
        <f t="shared" si="240"/>
        <v>0</v>
      </c>
      <c r="X517" s="1">
        <f t="shared" si="240"/>
        <v>0</v>
      </c>
      <c r="Y517" s="1">
        <f t="shared" si="240"/>
        <v>0</v>
      </c>
      <c r="Z517" s="1">
        <f t="shared" si="240"/>
        <v>0</v>
      </c>
      <c r="AA517" s="1">
        <f t="shared" si="240"/>
        <v>0</v>
      </c>
      <c r="AB517" s="1">
        <f t="shared" si="240"/>
        <v>0</v>
      </c>
      <c r="AC517" s="1">
        <f t="shared" si="240"/>
        <v>0</v>
      </c>
      <c r="AD517" s="1">
        <f t="shared" si="240"/>
        <v>0</v>
      </c>
      <c r="AE517" s="1">
        <f t="shared" si="240"/>
        <v>0</v>
      </c>
      <c r="AF517" s="1">
        <f t="shared" si="240"/>
        <v>0</v>
      </c>
      <c r="AG517" s="1">
        <f t="shared" si="240"/>
        <v>0</v>
      </c>
      <c r="AH517" s="1">
        <f t="shared" si="240"/>
        <v>1</v>
      </c>
      <c r="AI517" s="44">
        <f t="shared" si="228"/>
        <v>0</v>
      </c>
      <c r="AJ517" s="44">
        <f t="shared" si="218"/>
        <v>0</v>
      </c>
      <c r="AK517" s="44">
        <f t="shared" si="236"/>
        <v>0</v>
      </c>
      <c r="AL517" s="4">
        <f t="shared" si="219"/>
        <v>439</v>
      </c>
      <c r="AM517" s="82">
        <f t="shared" si="229"/>
        <v>0</v>
      </c>
      <c r="AN517" s="82">
        <f t="shared" si="220"/>
        <v>0</v>
      </c>
      <c r="AO517" s="48">
        <f>0</f>
        <v>0</v>
      </c>
      <c r="AP517" s="91">
        <f t="shared" si="230"/>
        <v>0</v>
      </c>
      <c r="AQ517" s="91">
        <f t="shared" si="231"/>
        <v>0</v>
      </c>
      <c r="AV517" s="84"/>
    </row>
    <row r="518" spans="1:48">
      <c r="A518" s="190">
        <f t="shared" si="221"/>
        <v>102.38757700205338</v>
      </c>
      <c r="B518" s="82">
        <f t="shared" si="222"/>
        <v>37</v>
      </c>
      <c r="C518" s="83">
        <f t="shared" si="223"/>
        <v>440</v>
      </c>
      <c r="D518" s="14">
        <f t="shared" si="210"/>
        <v>4.8675505653430484E-3</v>
      </c>
      <c r="E518" s="16">
        <f t="shared" si="211"/>
        <v>0</v>
      </c>
      <c r="F518" s="127"/>
      <c r="G518" s="88">
        <f t="shared" si="212"/>
        <v>0</v>
      </c>
      <c r="H518" s="89">
        <f t="shared" si="224"/>
        <v>4.1666666666666666E-3</v>
      </c>
      <c r="I518" s="219"/>
      <c r="J518" s="219"/>
      <c r="K518" s="6">
        <f t="shared" si="232"/>
        <v>0</v>
      </c>
      <c r="M518" s="6">
        <f t="shared" si="213"/>
        <v>0</v>
      </c>
      <c r="N518" s="6">
        <f t="shared" si="225"/>
        <v>0</v>
      </c>
      <c r="O518" s="90">
        <f t="shared" si="214"/>
        <v>0</v>
      </c>
      <c r="P518" s="91">
        <f t="shared" si="215"/>
        <v>0</v>
      </c>
      <c r="Q518" s="6">
        <f t="shared" si="216"/>
        <v>0</v>
      </c>
      <c r="R518" s="87">
        <f t="shared" si="235"/>
        <v>0</v>
      </c>
      <c r="S518" s="6">
        <f t="shared" si="217"/>
        <v>0</v>
      </c>
      <c r="T518" s="83">
        <f t="shared" si="226"/>
        <v>0</v>
      </c>
      <c r="U518" s="91">
        <f t="shared" si="233"/>
        <v>0</v>
      </c>
      <c r="V518" s="91">
        <f t="shared" si="227"/>
        <v>0</v>
      </c>
      <c r="W518" s="1">
        <f t="shared" si="240"/>
        <v>0</v>
      </c>
      <c r="X518" s="1">
        <f t="shared" si="240"/>
        <v>0</v>
      </c>
      <c r="Y518" s="1">
        <f t="shared" si="240"/>
        <v>0</v>
      </c>
      <c r="Z518" s="1">
        <f t="shared" si="240"/>
        <v>0</v>
      </c>
      <c r="AA518" s="1">
        <f t="shared" si="240"/>
        <v>0</v>
      </c>
      <c r="AB518" s="1">
        <f t="shared" si="240"/>
        <v>0</v>
      </c>
      <c r="AC518" s="1">
        <f t="shared" si="240"/>
        <v>0</v>
      </c>
      <c r="AD518" s="1">
        <f t="shared" si="240"/>
        <v>0</v>
      </c>
      <c r="AE518" s="1">
        <f t="shared" si="240"/>
        <v>0</v>
      </c>
      <c r="AF518" s="1">
        <f t="shared" si="240"/>
        <v>0</v>
      </c>
      <c r="AG518" s="1">
        <f t="shared" si="240"/>
        <v>0</v>
      </c>
      <c r="AH518" s="1">
        <f t="shared" si="240"/>
        <v>1</v>
      </c>
      <c r="AI518" s="44">
        <f t="shared" si="228"/>
        <v>0</v>
      </c>
      <c r="AJ518" s="44">
        <f t="shared" si="218"/>
        <v>0</v>
      </c>
      <c r="AK518" s="44">
        <f t="shared" si="236"/>
        <v>0</v>
      </c>
      <c r="AL518" s="4">
        <f t="shared" si="219"/>
        <v>440</v>
      </c>
      <c r="AM518" s="82">
        <f t="shared" si="229"/>
        <v>0</v>
      </c>
      <c r="AN518" s="82">
        <f t="shared" si="220"/>
        <v>0</v>
      </c>
      <c r="AO518" s="48">
        <f>0</f>
        <v>0</v>
      </c>
      <c r="AP518" s="91">
        <f t="shared" si="230"/>
        <v>0</v>
      </c>
      <c r="AQ518" s="91">
        <f t="shared" si="231"/>
        <v>0</v>
      </c>
      <c r="AV518" s="84"/>
    </row>
    <row r="519" spans="1:48">
      <c r="A519" s="190">
        <f t="shared" si="221"/>
        <v>102.47091033538672</v>
      </c>
      <c r="B519" s="82">
        <f t="shared" si="222"/>
        <v>37</v>
      </c>
      <c r="C519" s="83">
        <f t="shared" si="223"/>
        <v>441</v>
      </c>
      <c r="D519" s="14">
        <f t="shared" si="210"/>
        <v>4.8675505653430484E-3</v>
      </c>
      <c r="E519" s="16">
        <f t="shared" si="211"/>
        <v>0</v>
      </c>
      <c r="F519" s="127"/>
      <c r="G519" s="88">
        <f t="shared" si="212"/>
        <v>0</v>
      </c>
      <c r="H519" s="89">
        <f t="shared" si="224"/>
        <v>4.1666666666666666E-3</v>
      </c>
      <c r="I519" s="219"/>
      <c r="J519" s="219"/>
      <c r="K519" s="6">
        <f t="shared" si="232"/>
        <v>0</v>
      </c>
      <c r="M519" s="6">
        <f t="shared" si="213"/>
        <v>0</v>
      </c>
      <c r="N519" s="6">
        <f t="shared" si="225"/>
        <v>0</v>
      </c>
      <c r="O519" s="90">
        <f t="shared" si="214"/>
        <v>0</v>
      </c>
      <c r="P519" s="91">
        <f t="shared" si="215"/>
        <v>0</v>
      </c>
      <c r="Q519" s="6">
        <f t="shared" si="216"/>
        <v>0</v>
      </c>
      <c r="R519" s="87">
        <f t="shared" si="235"/>
        <v>0</v>
      </c>
      <c r="S519" s="6">
        <f t="shared" si="217"/>
        <v>0</v>
      </c>
      <c r="T519" s="83">
        <f t="shared" si="226"/>
        <v>0</v>
      </c>
      <c r="U519" s="91">
        <f t="shared" si="233"/>
        <v>0</v>
      </c>
      <c r="V519" s="91">
        <f t="shared" si="227"/>
        <v>0</v>
      </c>
      <c r="W519" s="1">
        <f t="shared" ref="W519:AH528" si="241">IF($B519&lt;=W$78,1,0)</f>
        <v>0</v>
      </c>
      <c r="X519" s="1">
        <f t="shared" si="241"/>
        <v>0</v>
      </c>
      <c r="Y519" s="1">
        <f t="shared" si="241"/>
        <v>0</v>
      </c>
      <c r="Z519" s="1">
        <f t="shared" si="241"/>
        <v>0</v>
      </c>
      <c r="AA519" s="1">
        <f t="shared" si="241"/>
        <v>0</v>
      </c>
      <c r="AB519" s="1">
        <f t="shared" si="241"/>
        <v>0</v>
      </c>
      <c r="AC519" s="1">
        <f t="shared" si="241"/>
        <v>0</v>
      </c>
      <c r="AD519" s="1">
        <f t="shared" si="241"/>
        <v>0</v>
      </c>
      <c r="AE519" s="1">
        <f t="shared" si="241"/>
        <v>0</v>
      </c>
      <c r="AF519" s="1">
        <f t="shared" si="241"/>
        <v>0</v>
      </c>
      <c r="AG519" s="1">
        <f t="shared" si="241"/>
        <v>0</v>
      </c>
      <c r="AH519" s="1">
        <f t="shared" si="241"/>
        <v>1</v>
      </c>
      <c r="AI519" s="44">
        <f t="shared" si="228"/>
        <v>0</v>
      </c>
      <c r="AJ519" s="44">
        <f t="shared" si="218"/>
        <v>0</v>
      </c>
      <c r="AK519" s="44">
        <f t="shared" si="236"/>
        <v>0</v>
      </c>
      <c r="AL519" s="4">
        <f t="shared" si="219"/>
        <v>441</v>
      </c>
      <c r="AM519" s="82">
        <f t="shared" si="229"/>
        <v>0</v>
      </c>
      <c r="AN519" s="82">
        <f t="shared" si="220"/>
        <v>0</v>
      </c>
      <c r="AO519" s="48">
        <f>0</f>
        <v>0</v>
      </c>
      <c r="AP519" s="91">
        <f t="shared" si="230"/>
        <v>0</v>
      </c>
      <c r="AQ519" s="91">
        <f t="shared" si="231"/>
        <v>0</v>
      </c>
      <c r="AV519" s="84"/>
    </row>
    <row r="520" spans="1:48">
      <c r="A520" s="190">
        <f t="shared" si="221"/>
        <v>102.55424366872005</v>
      </c>
      <c r="B520" s="82">
        <f t="shared" si="222"/>
        <v>37</v>
      </c>
      <c r="C520" s="83">
        <f t="shared" si="223"/>
        <v>442</v>
      </c>
      <c r="D520" s="14">
        <f t="shared" si="210"/>
        <v>4.8675505653430484E-3</v>
      </c>
      <c r="E520" s="16">
        <f t="shared" si="211"/>
        <v>0</v>
      </c>
      <c r="F520" s="127"/>
      <c r="G520" s="88">
        <f t="shared" si="212"/>
        <v>0</v>
      </c>
      <c r="H520" s="89">
        <f t="shared" si="224"/>
        <v>4.1666666666666666E-3</v>
      </c>
      <c r="I520" s="219"/>
      <c r="J520" s="219"/>
      <c r="K520" s="6">
        <f t="shared" si="232"/>
        <v>0</v>
      </c>
      <c r="M520" s="6">
        <f t="shared" si="213"/>
        <v>0</v>
      </c>
      <c r="N520" s="6">
        <f t="shared" si="225"/>
        <v>0</v>
      </c>
      <c r="O520" s="90">
        <f t="shared" si="214"/>
        <v>0</v>
      </c>
      <c r="P520" s="91">
        <f t="shared" si="215"/>
        <v>0</v>
      </c>
      <c r="Q520" s="6">
        <f t="shared" si="216"/>
        <v>0</v>
      </c>
      <c r="R520" s="87">
        <f t="shared" si="235"/>
        <v>0</v>
      </c>
      <c r="S520" s="6">
        <f t="shared" si="217"/>
        <v>0</v>
      </c>
      <c r="T520" s="83">
        <f t="shared" si="226"/>
        <v>0</v>
      </c>
      <c r="U520" s="91">
        <f t="shared" si="233"/>
        <v>0</v>
      </c>
      <c r="V520" s="91">
        <f t="shared" si="227"/>
        <v>0</v>
      </c>
      <c r="W520" s="1">
        <f t="shared" si="241"/>
        <v>0</v>
      </c>
      <c r="X520" s="1">
        <f t="shared" si="241"/>
        <v>0</v>
      </c>
      <c r="Y520" s="1">
        <f t="shared" si="241"/>
        <v>0</v>
      </c>
      <c r="Z520" s="1">
        <f t="shared" si="241"/>
        <v>0</v>
      </c>
      <c r="AA520" s="1">
        <f t="shared" si="241"/>
        <v>0</v>
      </c>
      <c r="AB520" s="1">
        <f t="shared" si="241"/>
        <v>0</v>
      </c>
      <c r="AC520" s="1">
        <f t="shared" si="241"/>
        <v>0</v>
      </c>
      <c r="AD520" s="1">
        <f t="shared" si="241"/>
        <v>0</v>
      </c>
      <c r="AE520" s="1">
        <f t="shared" si="241"/>
        <v>0</v>
      </c>
      <c r="AF520" s="1">
        <f t="shared" si="241"/>
        <v>0</v>
      </c>
      <c r="AG520" s="1">
        <f t="shared" si="241"/>
        <v>0</v>
      </c>
      <c r="AH520" s="1">
        <f t="shared" si="241"/>
        <v>1</v>
      </c>
      <c r="AI520" s="44">
        <f t="shared" si="228"/>
        <v>0</v>
      </c>
      <c r="AJ520" s="44">
        <f t="shared" si="218"/>
        <v>0</v>
      </c>
      <c r="AK520" s="44">
        <f t="shared" si="236"/>
        <v>0</v>
      </c>
      <c r="AL520" s="4">
        <f t="shared" si="219"/>
        <v>442</v>
      </c>
      <c r="AM520" s="82">
        <f t="shared" si="229"/>
        <v>0</v>
      </c>
      <c r="AN520" s="82">
        <f t="shared" si="220"/>
        <v>0</v>
      </c>
      <c r="AO520" s="48">
        <f>0</f>
        <v>0</v>
      </c>
      <c r="AP520" s="91">
        <f t="shared" si="230"/>
        <v>0</v>
      </c>
      <c r="AQ520" s="91">
        <f t="shared" si="231"/>
        <v>0</v>
      </c>
      <c r="AV520" s="84"/>
    </row>
    <row r="521" spans="1:48">
      <c r="A521" s="190">
        <f t="shared" si="221"/>
        <v>102.63757700205338</v>
      </c>
      <c r="B521" s="82">
        <f t="shared" si="222"/>
        <v>37</v>
      </c>
      <c r="C521" s="83">
        <f t="shared" si="223"/>
        <v>443</v>
      </c>
      <c r="D521" s="14">
        <f t="shared" si="210"/>
        <v>4.8675505653430484E-3</v>
      </c>
      <c r="E521" s="16">
        <f t="shared" si="211"/>
        <v>0</v>
      </c>
      <c r="F521" s="127"/>
      <c r="G521" s="88">
        <f t="shared" si="212"/>
        <v>0</v>
      </c>
      <c r="H521" s="89">
        <f t="shared" si="224"/>
        <v>4.1666666666666666E-3</v>
      </c>
      <c r="I521" s="219"/>
      <c r="J521" s="219"/>
      <c r="K521" s="6">
        <f t="shared" si="232"/>
        <v>0</v>
      </c>
      <c r="M521" s="6">
        <f t="shared" si="213"/>
        <v>0</v>
      </c>
      <c r="N521" s="6">
        <f t="shared" si="225"/>
        <v>0</v>
      </c>
      <c r="O521" s="90">
        <f t="shared" si="214"/>
        <v>0</v>
      </c>
      <c r="P521" s="91">
        <f t="shared" si="215"/>
        <v>0</v>
      </c>
      <c r="Q521" s="6">
        <f t="shared" si="216"/>
        <v>0</v>
      </c>
      <c r="R521" s="87">
        <f t="shared" si="235"/>
        <v>0</v>
      </c>
      <c r="S521" s="6">
        <f t="shared" si="217"/>
        <v>0</v>
      </c>
      <c r="T521" s="83">
        <f t="shared" si="226"/>
        <v>0</v>
      </c>
      <c r="U521" s="91">
        <f t="shared" si="233"/>
        <v>0</v>
      </c>
      <c r="V521" s="91">
        <f t="shared" si="227"/>
        <v>0</v>
      </c>
      <c r="W521" s="1">
        <f t="shared" si="241"/>
        <v>0</v>
      </c>
      <c r="X521" s="1">
        <f t="shared" si="241"/>
        <v>0</v>
      </c>
      <c r="Y521" s="1">
        <f t="shared" si="241"/>
        <v>0</v>
      </c>
      <c r="Z521" s="1">
        <f t="shared" si="241"/>
        <v>0</v>
      </c>
      <c r="AA521" s="1">
        <f t="shared" si="241"/>
        <v>0</v>
      </c>
      <c r="AB521" s="1">
        <f t="shared" si="241"/>
        <v>0</v>
      </c>
      <c r="AC521" s="1">
        <f t="shared" si="241"/>
        <v>0</v>
      </c>
      <c r="AD521" s="1">
        <f t="shared" si="241"/>
        <v>0</v>
      </c>
      <c r="AE521" s="1">
        <f t="shared" si="241"/>
        <v>0</v>
      </c>
      <c r="AF521" s="1">
        <f t="shared" si="241"/>
        <v>0</v>
      </c>
      <c r="AG521" s="1">
        <f t="shared" si="241"/>
        <v>0</v>
      </c>
      <c r="AH521" s="1">
        <f t="shared" si="241"/>
        <v>1</v>
      </c>
      <c r="AI521" s="44">
        <f t="shared" si="228"/>
        <v>0</v>
      </c>
      <c r="AJ521" s="44">
        <f t="shared" si="218"/>
        <v>0</v>
      </c>
      <c r="AK521" s="44">
        <f t="shared" si="236"/>
        <v>0</v>
      </c>
      <c r="AL521" s="4">
        <f t="shared" si="219"/>
        <v>443</v>
      </c>
      <c r="AM521" s="82">
        <f t="shared" si="229"/>
        <v>0</v>
      </c>
      <c r="AN521" s="82">
        <f t="shared" si="220"/>
        <v>0</v>
      </c>
      <c r="AO521" s="48">
        <f>0</f>
        <v>0</v>
      </c>
      <c r="AP521" s="91">
        <f t="shared" si="230"/>
        <v>0</v>
      </c>
      <c r="AQ521" s="91">
        <f t="shared" si="231"/>
        <v>0</v>
      </c>
      <c r="AV521" s="84"/>
    </row>
    <row r="522" spans="1:48">
      <c r="A522" s="190">
        <f t="shared" si="221"/>
        <v>102.72091033538672</v>
      </c>
      <c r="B522" s="82">
        <f t="shared" si="222"/>
        <v>37</v>
      </c>
      <c r="C522" s="83">
        <f t="shared" si="223"/>
        <v>444</v>
      </c>
      <c r="D522" s="14">
        <f t="shared" si="210"/>
        <v>4.8675505653430484E-3</v>
      </c>
      <c r="E522" s="16">
        <f t="shared" si="211"/>
        <v>0</v>
      </c>
      <c r="F522" s="127"/>
      <c r="G522" s="88">
        <f t="shared" si="212"/>
        <v>0</v>
      </c>
      <c r="H522" s="89">
        <f t="shared" si="224"/>
        <v>4.1666666666666666E-3</v>
      </c>
      <c r="I522" s="219"/>
      <c r="J522" s="219"/>
      <c r="K522" s="6">
        <f t="shared" si="232"/>
        <v>0</v>
      </c>
      <c r="M522" s="6">
        <f t="shared" si="213"/>
        <v>0</v>
      </c>
      <c r="N522" s="6">
        <f t="shared" si="225"/>
        <v>0</v>
      </c>
      <c r="O522" s="90">
        <f t="shared" si="214"/>
        <v>0</v>
      </c>
      <c r="P522" s="91">
        <f t="shared" si="215"/>
        <v>0</v>
      </c>
      <c r="Q522" s="6">
        <f t="shared" si="216"/>
        <v>0</v>
      </c>
      <c r="R522" s="87">
        <f t="shared" si="235"/>
        <v>0</v>
      </c>
      <c r="S522" s="6">
        <f t="shared" si="217"/>
        <v>0</v>
      </c>
      <c r="T522" s="83">
        <f t="shared" si="226"/>
        <v>0</v>
      </c>
      <c r="U522" s="91">
        <f t="shared" si="233"/>
        <v>0</v>
      </c>
      <c r="V522" s="91">
        <f t="shared" si="227"/>
        <v>0</v>
      </c>
      <c r="W522" s="1">
        <f t="shared" si="241"/>
        <v>0</v>
      </c>
      <c r="X522" s="1">
        <f t="shared" si="241"/>
        <v>0</v>
      </c>
      <c r="Y522" s="1">
        <f t="shared" si="241"/>
        <v>0</v>
      </c>
      <c r="Z522" s="1">
        <f t="shared" si="241"/>
        <v>0</v>
      </c>
      <c r="AA522" s="1">
        <f t="shared" si="241"/>
        <v>0</v>
      </c>
      <c r="AB522" s="1">
        <f t="shared" si="241"/>
        <v>0</v>
      </c>
      <c r="AC522" s="1">
        <f t="shared" si="241"/>
        <v>0</v>
      </c>
      <c r="AD522" s="1">
        <f t="shared" si="241"/>
        <v>0</v>
      </c>
      <c r="AE522" s="1">
        <f t="shared" si="241"/>
        <v>0</v>
      </c>
      <c r="AF522" s="1">
        <f t="shared" si="241"/>
        <v>0</v>
      </c>
      <c r="AG522" s="1">
        <f t="shared" si="241"/>
        <v>0</v>
      </c>
      <c r="AH522" s="1">
        <f t="shared" si="241"/>
        <v>1</v>
      </c>
      <c r="AI522" s="44">
        <f t="shared" si="228"/>
        <v>0</v>
      </c>
      <c r="AJ522" s="44">
        <f t="shared" si="218"/>
        <v>0</v>
      </c>
      <c r="AK522" s="44">
        <f t="shared" si="236"/>
        <v>0</v>
      </c>
      <c r="AL522" s="4">
        <f t="shared" si="219"/>
        <v>444</v>
      </c>
      <c r="AM522" s="82">
        <f t="shared" si="229"/>
        <v>0</v>
      </c>
      <c r="AN522" s="82">
        <f t="shared" si="220"/>
        <v>0</v>
      </c>
      <c r="AO522" s="48">
        <f>0</f>
        <v>0</v>
      </c>
      <c r="AP522" s="91">
        <f t="shared" si="230"/>
        <v>0</v>
      </c>
      <c r="AQ522" s="91">
        <f t="shared" si="231"/>
        <v>0</v>
      </c>
      <c r="AV522" s="84"/>
    </row>
    <row r="523" spans="1:48">
      <c r="A523" s="190">
        <f t="shared" si="221"/>
        <v>102.80424366872005</v>
      </c>
      <c r="B523" s="82">
        <f t="shared" si="222"/>
        <v>38</v>
      </c>
      <c r="C523" s="83">
        <f t="shared" si="223"/>
        <v>445</v>
      </c>
      <c r="D523" s="14">
        <f t="shared" si="210"/>
        <v>4.8675505653430484E-3</v>
      </c>
      <c r="E523" s="16">
        <f t="shared" si="211"/>
        <v>0</v>
      </c>
      <c r="F523" s="127"/>
      <c r="G523" s="88">
        <f t="shared" si="212"/>
        <v>0</v>
      </c>
      <c r="H523" s="89">
        <f t="shared" si="224"/>
        <v>4.1666666666666666E-3</v>
      </c>
      <c r="I523" s="219"/>
      <c r="J523" s="219"/>
      <c r="K523" s="6">
        <f t="shared" si="232"/>
        <v>0</v>
      </c>
      <c r="M523" s="6">
        <f t="shared" si="213"/>
        <v>0</v>
      </c>
      <c r="N523" s="6">
        <f t="shared" si="225"/>
        <v>0</v>
      </c>
      <c r="O523" s="90">
        <f t="shared" si="214"/>
        <v>0</v>
      </c>
      <c r="P523" s="91">
        <f t="shared" si="215"/>
        <v>0</v>
      </c>
      <c r="Q523" s="6">
        <f t="shared" si="216"/>
        <v>0</v>
      </c>
      <c r="R523" s="87">
        <f t="shared" si="235"/>
        <v>0</v>
      </c>
      <c r="S523" s="6">
        <f t="shared" si="217"/>
        <v>0</v>
      </c>
      <c r="T523" s="83">
        <f t="shared" si="226"/>
        <v>0</v>
      </c>
      <c r="U523" s="91">
        <f t="shared" si="233"/>
        <v>0</v>
      </c>
      <c r="V523" s="91">
        <f t="shared" si="227"/>
        <v>0</v>
      </c>
      <c r="W523" s="1">
        <f t="shared" si="241"/>
        <v>0</v>
      </c>
      <c r="X523" s="1">
        <f t="shared" si="241"/>
        <v>0</v>
      </c>
      <c r="Y523" s="1">
        <f t="shared" si="241"/>
        <v>0</v>
      </c>
      <c r="Z523" s="1">
        <f t="shared" si="241"/>
        <v>0</v>
      </c>
      <c r="AA523" s="1">
        <f t="shared" si="241"/>
        <v>0</v>
      </c>
      <c r="AB523" s="1">
        <f t="shared" si="241"/>
        <v>0</v>
      </c>
      <c r="AC523" s="1">
        <f t="shared" si="241"/>
        <v>0</v>
      </c>
      <c r="AD523" s="1">
        <f t="shared" si="241"/>
        <v>0</v>
      </c>
      <c r="AE523" s="1">
        <f t="shared" si="241"/>
        <v>0</v>
      </c>
      <c r="AF523" s="1">
        <f t="shared" si="241"/>
        <v>0</v>
      </c>
      <c r="AG523" s="1">
        <f t="shared" si="241"/>
        <v>0</v>
      </c>
      <c r="AH523" s="1">
        <f t="shared" si="241"/>
        <v>1</v>
      </c>
      <c r="AI523" s="44">
        <f t="shared" si="228"/>
        <v>0</v>
      </c>
      <c r="AJ523" s="44">
        <f t="shared" si="218"/>
        <v>0</v>
      </c>
      <c r="AK523" s="44">
        <f t="shared" si="236"/>
        <v>0</v>
      </c>
      <c r="AL523" s="4">
        <f t="shared" si="219"/>
        <v>445</v>
      </c>
      <c r="AM523" s="82">
        <f t="shared" si="229"/>
        <v>0</v>
      </c>
      <c r="AN523" s="82">
        <f t="shared" si="220"/>
        <v>0</v>
      </c>
      <c r="AO523" s="48">
        <f>0</f>
        <v>0</v>
      </c>
      <c r="AP523" s="91">
        <f t="shared" si="230"/>
        <v>0</v>
      </c>
      <c r="AQ523" s="91">
        <f t="shared" si="231"/>
        <v>0</v>
      </c>
      <c r="AV523" s="84"/>
    </row>
    <row r="524" spans="1:48">
      <c r="A524" s="190">
        <f t="shared" si="221"/>
        <v>102.88757700205338</v>
      </c>
      <c r="B524" s="82">
        <f t="shared" si="222"/>
        <v>38</v>
      </c>
      <c r="C524" s="83">
        <f t="shared" si="223"/>
        <v>446</v>
      </c>
      <c r="D524" s="14">
        <f t="shared" si="210"/>
        <v>4.8675505653430484E-3</v>
      </c>
      <c r="E524" s="16">
        <f t="shared" si="211"/>
        <v>0</v>
      </c>
      <c r="F524" s="127"/>
      <c r="G524" s="88">
        <f t="shared" si="212"/>
        <v>0</v>
      </c>
      <c r="H524" s="89">
        <f t="shared" si="224"/>
        <v>4.1666666666666666E-3</v>
      </c>
      <c r="I524" s="219"/>
      <c r="J524" s="219"/>
      <c r="K524" s="6">
        <f t="shared" si="232"/>
        <v>0</v>
      </c>
      <c r="M524" s="6">
        <f t="shared" si="213"/>
        <v>0</v>
      </c>
      <c r="N524" s="6">
        <f t="shared" si="225"/>
        <v>0</v>
      </c>
      <c r="O524" s="90">
        <f t="shared" si="214"/>
        <v>0</v>
      </c>
      <c r="P524" s="91">
        <f t="shared" si="215"/>
        <v>0</v>
      </c>
      <c r="Q524" s="6">
        <f t="shared" si="216"/>
        <v>0</v>
      </c>
      <c r="R524" s="87">
        <f t="shared" si="235"/>
        <v>0</v>
      </c>
      <c r="S524" s="6">
        <f t="shared" si="217"/>
        <v>0</v>
      </c>
      <c r="T524" s="83">
        <f t="shared" si="226"/>
        <v>0</v>
      </c>
      <c r="U524" s="91">
        <f t="shared" si="233"/>
        <v>0</v>
      </c>
      <c r="V524" s="91">
        <f t="shared" si="227"/>
        <v>0</v>
      </c>
      <c r="W524" s="1">
        <f t="shared" si="241"/>
        <v>0</v>
      </c>
      <c r="X524" s="1">
        <f t="shared" si="241"/>
        <v>0</v>
      </c>
      <c r="Y524" s="1">
        <f t="shared" si="241"/>
        <v>0</v>
      </c>
      <c r="Z524" s="1">
        <f t="shared" si="241"/>
        <v>0</v>
      </c>
      <c r="AA524" s="1">
        <f t="shared" si="241"/>
        <v>0</v>
      </c>
      <c r="AB524" s="1">
        <f t="shared" si="241"/>
        <v>0</v>
      </c>
      <c r="AC524" s="1">
        <f t="shared" si="241"/>
        <v>0</v>
      </c>
      <c r="AD524" s="1">
        <f t="shared" si="241"/>
        <v>0</v>
      </c>
      <c r="AE524" s="1">
        <f t="shared" si="241"/>
        <v>0</v>
      </c>
      <c r="AF524" s="1">
        <f t="shared" si="241"/>
        <v>0</v>
      </c>
      <c r="AG524" s="1">
        <f t="shared" si="241"/>
        <v>0</v>
      </c>
      <c r="AH524" s="1">
        <f t="shared" si="241"/>
        <v>1</v>
      </c>
      <c r="AI524" s="44">
        <f t="shared" si="228"/>
        <v>0</v>
      </c>
      <c r="AJ524" s="44">
        <f t="shared" si="218"/>
        <v>0</v>
      </c>
      <c r="AK524" s="44">
        <f t="shared" si="236"/>
        <v>0</v>
      </c>
      <c r="AL524" s="4">
        <f t="shared" si="219"/>
        <v>446</v>
      </c>
      <c r="AM524" s="82">
        <f t="shared" si="229"/>
        <v>0</v>
      </c>
      <c r="AN524" s="82">
        <f t="shared" si="220"/>
        <v>0</v>
      </c>
      <c r="AO524" s="48">
        <f>0</f>
        <v>0</v>
      </c>
      <c r="AP524" s="91">
        <f t="shared" si="230"/>
        <v>0</v>
      </c>
      <c r="AQ524" s="91">
        <f t="shared" si="231"/>
        <v>0</v>
      </c>
      <c r="AV524" s="84"/>
    </row>
    <row r="525" spans="1:48">
      <c r="A525" s="190">
        <f t="shared" si="221"/>
        <v>102.97091033538672</v>
      </c>
      <c r="B525" s="82">
        <f t="shared" si="222"/>
        <v>38</v>
      </c>
      <c r="C525" s="83">
        <f t="shared" si="223"/>
        <v>447</v>
      </c>
      <c r="D525" s="14">
        <f t="shared" si="210"/>
        <v>4.8675505653430484E-3</v>
      </c>
      <c r="E525" s="16">
        <f t="shared" si="211"/>
        <v>0</v>
      </c>
      <c r="F525" s="127"/>
      <c r="G525" s="88">
        <f t="shared" si="212"/>
        <v>0</v>
      </c>
      <c r="H525" s="89">
        <f t="shared" si="224"/>
        <v>4.1666666666666666E-3</v>
      </c>
      <c r="I525" s="219"/>
      <c r="J525" s="219"/>
      <c r="K525" s="6">
        <f t="shared" si="232"/>
        <v>0</v>
      </c>
      <c r="M525" s="6">
        <f t="shared" si="213"/>
        <v>0</v>
      </c>
      <c r="N525" s="6">
        <f t="shared" si="225"/>
        <v>0</v>
      </c>
      <c r="O525" s="90">
        <f t="shared" si="214"/>
        <v>0</v>
      </c>
      <c r="P525" s="91">
        <f t="shared" si="215"/>
        <v>0</v>
      </c>
      <c r="Q525" s="6">
        <f t="shared" si="216"/>
        <v>0</v>
      </c>
      <c r="R525" s="87">
        <f t="shared" si="235"/>
        <v>0</v>
      </c>
      <c r="S525" s="6">
        <f t="shared" si="217"/>
        <v>0</v>
      </c>
      <c r="T525" s="83">
        <f t="shared" si="226"/>
        <v>0</v>
      </c>
      <c r="U525" s="91">
        <f t="shared" si="233"/>
        <v>0</v>
      </c>
      <c r="V525" s="91">
        <f t="shared" si="227"/>
        <v>0</v>
      </c>
      <c r="W525" s="1">
        <f t="shared" si="241"/>
        <v>0</v>
      </c>
      <c r="X525" s="1">
        <f t="shared" si="241"/>
        <v>0</v>
      </c>
      <c r="Y525" s="1">
        <f t="shared" si="241"/>
        <v>0</v>
      </c>
      <c r="Z525" s="1">
        <f t="shared" si="241"/>
        <v>0</v>
      </c>
      <c r="AA525" s="1">
        <f t="shared" si="241"/>
        <v>0</v>
      </c>
      <c r="AB525" s="1">
        <f t="shared" si="241"/>
        <v>0</v>
      </c>
      <c r="AC525" s="1">
        <f t="shared" si="241"/>
        <v>0</v>
      </c>
      <c r="AD525" s="1">
        <f t="shared" si="241"/>
        <v>0</v>
      </c>
      <c r="AE525" s="1">
        <f t="shared" si="241"/>
        <v>0</v>
      </c>
      <c r="AF525" s="1">
        <f t="shared" si="241"/>
        <v>0</v>
      </c>
      <c r="AG525" s="1">
        <f t="shared" si="241"/>
        <v>0</v>
      </c>
      <c r="AH525" s="1">
        <f t="shared" si="241"/>
        <v>1</v>
      </c>
      <c r="AI525" s="44">
        <f t="shared" si="228"/>
        <v>0</v>
      </c>
      <c r="AJ525" s="44">
        <f t="shared" si="218"/>
        <v>0</v>
      </c>
      <c r="AK525" s="44">
        <f t="shared" si="236"/>
        <v>0</v>
      </c>
      <c r="AL525" s="4">
        <f t="shared" si="219"/>
        <v>447</v>
      </c>
      <c r="AM525" s="82">
        <f t="shared" si="229"/>
        <v>0</v>
      </c>
      <c r="AN525" s="82">
        <f t="shared" si="220"/>
        <v>0</v>
      </c>
      <c r="AO525" s="48">
        <f>0</f>
        <v>0</v>
      </c>
      <c r="AP525" s="91">
        <f t="shared" si="230"/>
        <v>0</v>
      </c>
      <c r="AQ525" s="91">
        <f t="shared" si="231"/>
        <v>0</v>
      </c>
      <c r="AV525" s="84"/>
    </row>
    <row r="526" spans="1:48">
      <c r="A526" s="190">
        <f t="shared" si="221"/>
        <v>103.05424366872005</v>
      </c>
      <c r="B526" s="82">
        <f t="shared" si="222"/>
        <v>38</v>
      </c>
      <c r="C526" s="83">
        <f t="shared" si="223"/>
        <v>448</v>
      </c>
      <c r="D526" s="14">
        <f t="shared" si="210"/>
        <v>4.8675505653430484E-3</v>
      </c>
      <c r="E526" s="16">
        <f t="shared" si="211"/>
        <v>0</v>
      </c>
      <c r="F526" s="127"/>
      <c r="G526" s="88">
        <f t="shared" si="212"/>
        <v>0</v>
      </c>
      <c r="H526" s="89">
        <f t="shared" si="224"/>
        <v>4.1666666666666666E-3</v>
      </c>
      <c r="I526" s="219"/>
      <c r="J526" s="219"/>
      <c r="K526" s="6">
        <f t="shared" si="232"/>
        <v>0</v>
      </c>
      <c r="M526" s="6">
        <f t="shared" si="213"/>
        <v>0</v>
      </c>
      <c r="N526" s="6">
        <f t="shared" si="225"/>
        <v>0</v>
      </c>
      <c r="O526" s="90">
        <f t="shared" si="214"/>
        <v>0</v>
      </c>
      <c r="P526" s="91">
        <f t="shared" si="215"/>
        <v>0</v>
      </c>
      <c r="Q526" s="6">
        <f t="shared" si="216"/>
        <v>0</v>
      </c>
      <c r="R526" s="87">
        <f t="shared" si="235"/>
        <v>0</v>
      </c>
      <c r="S526" s="6">
        <f t="shared" si="217"/>
        <v>0</v>
      </c>
      <c r="T526" s="83">
        <f t="shared" si="226"/>
        <v>0</v>
      </c>
      <c r="U526" s="91">
        <f t="shared" si="233"/>
        <v>0</v>
      </c>
      <c r="V526" s="91">
        <f t="shared" si="227"/>
        <v>0</v>
      </c>
      <c r="W526" s="1">
        <f t="shared" si="241"/>
        <v>0</v>
      </c>
      <c r="X526" s="1">
        <f t="shared" si="241"/>
        <v>0</v>
      </c>
      <c r="Y526" s="1">
        <f t="shared" si="241"/>
        <v>0</v>
      </c>
      <c r="Z526" s="1">
        <f t="shared" si="241"/>
        <v>0</v>
      </c>
      <c r="AA526" s="1">
        <f t="shared" si="241"/>
        <v>0</v>
      </c>
      <c r="AB526" s="1">
        <f t="shared" si="241"/>
        <v>0</v>
      </c>
      <c r="AC526" s="1">
        <f t="shared" si="241"/>
        <v>0</v>
      </c>
      <c r="AD526" s="1">
        <f t="shared" si="241"/>
        <v>0</v>
      </c>
      <c r="AE526" s="1">
        <f t="shared" si="241"/>
        <v>0</v>
      </c>
      <c r="AF526" s="1">
        <f t="shared" si="241"/>
        <v>0</v>
      </c>
      <c r="AG526" s="1">
        <f t="shared" si="241"/>
        <v>0</v>
      </c>
      <c r="AH526" s="1">
        <f t="shared" si="241"/>
        <v>1</v>
      </c>
      <c r="AI526" s="44">
        <f t="shared" si="228"/>
        <v>0</v>
      </c>
      <c r="AJ526" s="44">
        <f t="shared" si="218"/>
        <v>0</v>
      </c>
      <c r="AK526" s="44">
        <f t="shared" si="236"/>
        <v>0</v>
      </c>
      <c r="AL526" s="4">
        <f t="shared" si="219"/>
        <v>448</v>
      </c>
      <c r="AM526" s="82">
        <f t="shared" si="229"/>
        <v>0</v>
      </c>
      <c r="AN526" s="82">
        <f t="shared" si="220"/>
        <v>0</v>
      </c>
      <c r="AO526" s="48">
        <f>0</f>
        <v>0</v>
      </c>
      <c r="AP526" s="91">
        <f t="shared" si="230"/>
        <v>0</v>
      </c>
      <c r="AQ526" s="91">
        <f t="shared" si="231"/>
        <v>0</v>
      </c>
      <c r="AV526" s="84"/>
    </row>
    <row r="527" spans="1:48">
      <c r="A527" s="190">
        <f t="shared" si="221"/>
        <v>103.13757700205338</v>
      </c>
      <c r="B527" s="82">
        <f t="shared" si="222"/>
        <v>38</v>
      </c>
      <c r="C527" s="83">
        <f t="shared" si="223"/>
        <v>449</v>
      </c>
      <c r="D527" s="14">
        <f t="shared" ref="D527:D590" si="242">Growth_Rate_1_Monthly</f>
        <v>4.8675505653430484E-3</v>
      </c>
      <c r="E527" s="16">
        <f t="shared" ref="E527:E590" si="243">IF(Gtee_Flag="on",1,0)</f>
        <v>0</v>
      </c>
      <c r="F527" s="127"/>
      <c r="G527" s="88">
        <f t="shared" ref="G527:G590" si="244">IF(ISERROR(VLOOKUP(Product_Code,Product_Parameters,B527+5,FALSE)),0,VLOOKUP(Product_Code,Product_Parameters,B527+5,FALSE))</f>
        <v>0</v>
      </c>
      <c r="H527" s="89">
        <f t="shared" si="224"/>
        <v>4.1666666666666666E-3</v>
      </c>
      <c r="I527" s="219"/>
      <c r="J527" s="219"/>
      <c r="K527" s="6">
        <f t="shared" si="232"/>
        <v>0</v>
      </c>
      <c r="M527" s="6">
        <f t="shared" ref="M527:M590" si="245">(K527+L527)*D527</f>
        <v>0</v>
      </c>
      <c r="N527" s="6">
        <f t="shared" si="225"/>
        <v>0</v>
      </c>
      <c r="O527" s="90">
        <f t="shared" ref="O527:O590" si="246">IF(C527&gt;=Regular_Income_Start_Month,
MIN(Regular_Income_Amount/12*(1+Income_Escalation_Rate_Annual)^($B527-1),AJ527),0)</f>
        <v>0</v>
      </c>
      <c r="P527" s="91">
        <f t="shared" ref="P527:P590" si="247">MAX(IF(C527&gt;=Regular_Income_Start_Month,
MIN(IF(Income_Type="Fixed Percent",$C$51,0)/12*(K527+L527+M527+N527),AJ527),0),0)</f>
        <v>0</v>
      </c>
      <c r="Q527" s="6">
        <f t="shared" ref="Q527:Q590" si="248">MAX(IF(C527&gt;=Regular_Income_Start_Month,
MIN(H527*(K527+L527+M527+N527),AJ527),0),0)</f>
        <v>0</v>
      </c>
      <c r="R527" s="87">
        <f t="shared" si="235"/>
        <v>0</v>
      </c>
      <c r="S527" s="6">
        <f t="shared" ref="S527:S590" si="249">-(($K527+I527+M527/2+N527/2+R527/2)*(Ongoing_Commission_Monthly)+(I527)*new_upfront_commission)</f>
        <v>0</v>
      </c>
      <c r="T527" s="83">
        <f t="shared" si="226"/>
        <v>0</v>
      </c>
      <c r="U527" s="91">
        <f t="shared" si="233"/>
        <v>0</v>
      </c>
      <c r="V527" s="91">
        <f t="shared" si="227"/>
        <v>0</v>
      </c>
      <c r="W527" s="1">
        <f t="shared" si="241"/>
        <v>0</v>
      </c>
      <c r="X527" s="1">
        <f t="shared" si="241"/>
        <v>0</v>
      </c>
      <c r="Y527" s="1">
        <f t="shared" si="241"/>
        <v>0</v>
      </c>
      <c r="Z527" s="1">
        <f t="shared" si="241"/>
        <v>0</v>
      </c>
      <c r="AA527" s="1">
        <f t="shared" si="241"/>
        <v>0</v>
      </c>
      <c r="AB527" s="1">
        <f t="shared" si="241"/>
        <v>0</v>
      </c>
      <c r="AC527" s="1">
        <f t="shared" si="241"/>
        <v>0</v>
      </c>
      <c r="AD527" s="1">
        <f t="shared" si="241"/>
        <v>0</v>
      </c>
      <c r="AE527" s="1">
        <f t="shared" si="241"/>
        <v>0</v>
      </c>
      <c r="AF527" s="1">
        <f t="shared" si="241"/>
        <v>0</v>
      </c>
      <c r="AG527" s="1">
        <f t="shared" si="241"/>
        <v>0</v>
      </c>
      <c r="AH527" s="1">
        <f t="shared" si="241"/>
        <v>1</v>
      </c>
      <c r="AI527" s="44">
        <f t="shared" si="228"/>
        <v>0</v>
      </c>
      <c r="AJ527" s="44">
        <f t="shared" ref="AJ527:AJ590" si="250">MAX(0,SUM(K527:N527)-$C$66)</f>
        <v>0</v>
      </c>
      <c r="AK527" s="44">
        <f t="shared" si="236"/>
        <v>0</v>
      </c>
      <c r="AL527" s="4">
        <f t="shared" ref="AL527:AL590" si="251">C527</f>
        <v>449</v>
      </c>
      <c r="AM527" s="82">
        <f t="shared" si="229"/>
        <v>0</v>
      </c>
      <c r="AN527" s="82">
        <f t="shared" ref="AN527:AN590" si="252">IF(AND(B527=Fund_Zero_Year,K528=0,K527&gt;0),-U527,IF(AND(B527+1=Fund_Zero_Year,K528=0,K527&gt;0),-U527,0))</f>
        <v>0</v>
      </c>
      <c r="AO527" s="48">
        <f>0</f>
        <v>0</v>
      </c>
      <c r="AP527" s="91">
        <f t="shared" si="230"/>
        <v>0</v>
      </c>
      <c r="AQ527" s="91">
        <f t="shared" si="231"/>
        <v>0</v>
      </c>
      <c r="AV527" s="84"/>
    </row>
    <row r="528" spans="1:48">
      <c r="A528" s="190">
        <f t="shared" ref="A528:A591" si="253">$C$43+C527/12</f>
        <v>103.22091033538672</v>
      </c>
      <c r="B528" s="82">
        <f t="shared" ref="B528:B591" si="254">INT((C528-1)/12)+1</f>
        <v>38</v>
      </c>
      <c r="C528" s="83">
        <f t="shared" ref="C528:C591" si="255">C527+1</f>
        <v>450</v>
      </c>
      <c r="D528" s="14">
        <f t="shared" si="242"/>
        <v>4.8675505653430484E-3</v>
      </c>
      <c r="E528" s="16">
        <f t="shared" si="243"/>
        <v>0</v>
      </c>
      <c r="F528" s="127"/>
      <c r="G528" s="88">
        <f t="shared" si="244"/>
        <v>0</v>
      </c>
      <c r="H528" s="89">
        <f t="shared" ref="H528:H591" si="256">IF((K527+L527+M527+N527+R527)&gt;=2000000,VLOOKUP("&gt;=2000000",Default_IncomeRate_table,3,FALSE),
IF($A528&lt;71,VLOOKUP("&lt;71",Default_IncomeRate_table,3,FALSE),
IF($A528&gt;=71,VLOOKUP("&gt;=71",Default_IncomeRate_table,3,FALSE),"")))</f>
        <v>4.1666666666666666E-3</v>
      </c>
      <c r="I528" s="219"/>
      <c r="J528" s="219"/>
      <c r="K528" s="6">
        <f t="shared" si="232"/>
        <v>0</v>
      </c>
      <c r="M528" s="6">
        <f t="shared" si="245"/>
        <v>0</v>
      </c>
      <c r="N528" s="6">
        <f t="shared" ref="N528:N591" si="257">-(($K528+(L528)+M528/2)*(External_Fund_Charge_Monthly+Fund_Charge_Monthly+Gtee_Charge_Monthly*$E528))+MIN(J528,0)</f>
        <v>0</v>
      </c>
      <c r="O528" s="90">
        <f t="shared" si="246"/>
        <v>0</v>
      </c>
      <c r="P528" s="91">
        <f t="shared" si="247"/>
        <v>0</v>
      </c>
      <c r="Q528" s="6">
        <f t="shared" si="248"/>
        <v>0</v>
      </c>
      <c r="R528" s="87">
        <f t="shared" si="235"/>
        <v>0</v>
      </c>
      <c r="S528" s="6">
        <f t="shared" si="249"/>
        <v>0</v>
      </c>
      <c r="T528" s="83">
        <f t="shared" ref="T528:T591" si="258">SUM(K528:N528,R528)*$G528</f>
        <v>0</v>
      </c>
      <c r="U528" s="91">
        <f t="shared" si="233"/>
        <v>0</v>
      </c>
      <c r="V528" s="91">
        <f t="shared" ref="V528:V591" si="259">U528*D528</f>
        <v>0</v>
      </c>
      <c r="W528" s="1">
        <f t="shared" si="241"/>
        <v>0</v>
      </c>
      <c r="X528" s="1">
        <f t="shared" si="241"/>
        <v>0</v>
      </c>
      <c r="Y528" s="1">
        <f t="shared" si="241"/>
        <v>0</v>
      </c>
      <c r="Z528" s="1">
        <f t="shared" si="241"/>
        <v>0</v>
      </c>
      <c r="AA528" s="1">
        <f t="shared" si="241"/>
        <v>0</v>
      </c>
      <c r="AB528" s="1">
        <f t="shared" si="241"/>
        <v>0</v>
      </c>
      <c r="AC528" s="1">
        <f t="shared" si="241"/>
        <v>0</v>
      </c>
      <c r="AD528" s="1">
        <f t="shared" si="241"/>
        <v>0</v>
      </c>
      <c r="AE528" s="1">
        <f t="shared" si="241"/>
        <v>0</v>
      </c>
      <c r="AF528" s="1">
        <f t="shared" si="241"/>
        <v>0</v>
      </c>
      <c r="AG528" s="1">
        <f t="shared" si="241"/>
        <v>0</v>
      </c>
      <c r="AH528" s="1">
        <f t="shared" si="241"/>
        <v>1</v>
      </c>
      <c r="AI528" s="44">
        <f t="shared" ref="AI528:AI591" si="260">SUM(K528:N528,R528)</f>
        <v>0</v>
      </c>
      <c r="AJ528" s="44">
        <f t="shared" si="250"/>
        <v>0</v>
      </c>
      <c r="AK528" s="44">
        <f t="shared" si="236"/>
        <v>0</v>
      </c>
      <c r="AL528" s="4">
        <f t="shared" si="251"/>
        <v>450</v>
      </c>
      <c r="AM528" s="82">
        <f t="shared" ref="AM528:AM591" si="261">I528</f>
        <v>0</v>
      </c>
      <c r="AN528" s="82">
        <f t="shared" si="252"/>
        <v>0</v>
      </c>
      <c r="AO528" s="48">
        <f>0</f>
        <v>0</v>
      </c>
      <c r="AP528" s="91">
        <f t="shared" ref="AP528:AP591" si="262">$R528+AN528+AM528</f>
        <v>0</v>
      </c>
      <c r="AQ528" s="91">
        <f t="shared" ref="AQ528:AQ591" si="263">$R528+AO528+AM528</f>
        <v>0</v>
      </c>
      <c r="AV528" s="84"/>
    </row>
    <row r="529" spans="1:48">
      <c r="A529" s="190">
        <f t="shared" si="253"/>
        <v>103.30424366872005</v>
      </c>
      <c r="B529" s="82">
        <f t="shared" si="254"/>
        <v>38</v>
      </c>
      <c r="C529" s="83">
        <f t="shared" si="255"/>
        <v>451</v>
      </c>
      <c r="D529" s="14">
        <f t="shared" si="242"/>
        <v>4.8675505653430484E-3</v>
      </c>
      <c r="E529" s="16">
        <f t="shared" si="243"/>
        <v>0</v>
      </c>
      <c r="F529" s="127"/>
      <c r="G529" s="88">
        <f t="shared" si="244"/>
        <v>0</v>
      </c>
      <c r="H529" s="89">
        <f t="shared" si="256"/>
        <v>4.1666666666666666E-3</v>
      </c>
      <c r="I529" s="219"/>
      <c r="J529" s="219"/>
      <c r="K529" s="6">
        <f t="shared" ref="K529:K592" si="264">SUM(K528:M528,N528,R528)</f>
        <v>0</v>
      </c>
      <c r="M529" s="6">
        <f t="shared" si="245"/>
        <v>0</v>
      </c>
      <c r="N529" s="6">
        <f t="shared" si="257"/>
        <v>0</v>
      </c>
      <c r="O529" s="90">
        <f t="shared" si="246"/>
        <v>0</v>
      </c>
      <c r="P529" s="91">
        <f t="shared" si="247"/>
        <v>0</v>
      </c>
      <c r="Q529" s="6">
        <f t="shared" si="248"/>
        <v>0</v>
      </c>
      <c r="R529" s="87">
        <f t="shared" si="235"/>
        <v>0</v>
      </c>
      <c r="S529" s="6">
        <f t="shared" si="249"/>
        <v>0</v>
      </c>
      <c r="T529" s="83">
        <f t="shared" si="258"/>
        <v>0</v>
      </c>
      <c r="U529" s="91">
        <f t="shared" ref="U529:U592" si="265">IF(K529=0,0,SUM(U528,R528,V528))</f>
        <v>0</v>
      </c>
      <c r="V529" s="91">
        <f t="shared" si="259"/>
        <v>0</v>
      </c>
      <c r="W529" s="1">
        <f t="shared" ref="W529:AH538" si="266">IF($B529&lt;=W$78,1,0)</f>
        <v>0</v>
      </c>
      <c r="X529" s="1">
        <f t="shared" si="266"/>
        <v>0</v>
      </c>
      <c r="Y529" s="1">
        <f t="shared" si="266"/>
        <v>0</v>
      </c>
      <c r="Z529" s="1">
        <f t="shared" si="266"/>
        <v>0</v>
      </c>
      <c r="AA529" s="1">
        <f t="shared" si="266"/>
        <v>0</v>
      </c>
      <c r="AB529" s="1">
        <f t="shared" si="266"/>
        <v>0</v>
      </c>
      <c r="AC529" s="1">
        <f t="shared" si="266"/>
        <v>0</v>
      </c>
      <c r="AD529" s="1">
        <f t="shared" si="266"/>
        <v>0</v>
      </c>
      <c r="AE529" s="1">
        <f t="shared" si="266"/>
        <v>0</v>
      </c>
      <c r="AF529" s="1">
        <f t="shared" si="266"/>
        <v>0</v>
      </c>
      <c r="AG529" s="1">
        <f t="shared" si="266"/>
        <v>0</v>
      </c>
      <c r="AH529" s="1">
        <f t="shared" si="266"/>
        <v>1</v>
      </c>
      <c r="AI529" s="44">
        <f t="shared" si="260"/>
        <v>0</v>
      </c>
      <c r="AJ529" s="44">
        <f t="shared" si="250"/>
        <v>0</v>
      </c>
      <c r="AK529" s="44">
        <f t="shared" si="236"/>
        <v>0</v>
      </c>
      <c r="AL529" s="4">
        <f t="shared" si="251"/>
        <v>451</v>
      </c>
      <c r="AM529" s="82">
        <f t="shared" si="261"/>
        <v>0</v>
      </c>
      <c r="AN529" s="82">
        <f t="shared" si="252"/>
        <v>0</v>
      </c>
      <c r="AO529" s="48">
        <f>0</f>
        <v>0</v>
      </c>
      <c r="AP529" s="91">
        <f t="shared" si="262"/>
        <v>0</v>
      </c>
      <c r="AQ529" s="91">
        <f t="shared" si="263"/>
        <v>0</v>
      </c>
      <c r="AV529" s="84"/>
    </row>
    <row r="530" spans="1:48">
      <c r="A530" s="190">
        <f t="shared" si="253"/>
        <v>103.38757700205338</v>
      </c>
      <c r="B530" s="82">
        <f t="shared" si="254"/>
        <v>38</v>
      </c>
      <c r="C530" s="83">
        <f t="shared" si="255"/>
        <v>452</v>
      </c>
      <c r="D530" s="14">
        <f t="shared" si="242"/>
        <v>4.8675505653430484E-3</v>
      </c>
      <c r="E530" s="16">
        <f t="shared" si="243"/>
        <v>0</v>
      </c>
      <c r="F530" s="127"/>
      <c r="G530" s="88">
        <f t="shared" si="244"/>
        <v>0</v>
      </c>
      <c r="H530" s="89">
        <f t="shared" si="256"/>
        <v>4.1666666666666666E-3</v>
      </c>
      <c r="I530" s="219"/>
      <c r="J530" s="219"/>
      <c r="K530" s="6">
        <f t="shared" si="264"/>
        <v>0</v>
      </c>
      <c r="M530" s="6">
        <f t="shared" si="245"/>
        <v>0</v>
      </c>
      <c r="N530" s="6">
        <f t="shared" si="257"/>
        <v>0</v>
      </c>
      <c r="O530" s="90">
        <f t="shared" si="246"/>
        <v>0</v>
      </c>
      <c r="P530" s="91">
        <f t="shared" si="247"/>
        <v>0</v>
      </c>
      <c r="Q530" s="6">
        <f t="shared" si="248"/>
        <v>0</v>
      </c>
      <c r="R530" s="87">
        <f t="shared" si="235"/>
        <v>0</v>
      </c>
      <c r="S530" s="6">
        <f t="shared" si="249"/>
        <v>0</v>
      </c>
      <c r="T530" s="83">
        <f t="shared" si="258"/>
        <v>0</v>
      </c>
      <c r="U530" s="91">
        <f t="shared" si="265"/>
        <v>0</v>
      </c>
      <c r="V530" s="91">
        <f t="shared" si="259"/>
        <v>0</v>
      </c>
      <c r="W530" s="1">
        <f t="shared" si="266"/>
        <v>0</v>
      </c>
      <c r="X530" s="1">
        <f t="shared" si="266"/>
        <v>0</v>
      </c>
      <c r="Y530" s="1">
        <f t="shared" si="266"/>
        <v>0</v>
      </c>
      <c r="Z530" s="1">
        <f t="shared" si="266"/>
        <v>0</v>
      </c>
      <c r="AA530" s="1">
        <f t="shared" si="266"/>
        <v>0</v>
      </c>
      <c r="AB530" s="1">
        <f t="shared" si="266"/>
        <v>0</v>
      </c>
      <c r="AC530" s="1">
        <f t="shared" si="266"/>
        <v>0</v>
      </c>
      <c r="AD530" s="1">
        <f t="shared" si="266"/>
        <v>0</v>
      </c>
      <c r="AE530" s="1">
        <f t="shared" si="266"/>
        <v>0</v>
      </c>
      <c r="AF530" s="1">
        <f t="shared" si="266"/>
        <v>0</v>
      </c>
      <c r="AG530" s="1">
        <f t="shared" si="266"/>
        <v>0</v>
      </c>
      <c r="AH530" s="1">
        <f t="shared" si="266"/>
        <v>1</v>
      </c>
      <c r="AI530" s="44">
        <f t="shared" si="260"/>
        <v>0</v>
      </c>
      <c r="AJ530" s="44">
        <f t="shared" si="250"/>
        <v>0</v>
      </c>
      <c r="AK530" s="44">
        <f t="shared" si="236"/>
        <v>0</v>
      </c>
      <c r="AL530" s="4">
        <f t="shared" si="251"/>
        <v>452</v>
      </c>
      <c r="AM530" s="82">
        <f t="shared" si="261"/>
        <v>0</v>
      </c>
      <c r="AN530" s="82">
        <f t="shared" si="252"/>
        <v>0</v>
      </c>
      <c r="AO530" s="48">
        <f>0</f>
        <v>0</v>
      </c>
      <c r="AP530" s="91">
        <f t="shared" si="262"/>
        <v>0</v>
      </c>
      <c r="AQ530" s="91">
        <f t="shared" si="263"/>
        <v>0</v>
      </c>
      <c r="AV530" s="84"/>
    </row>
    <row r="531" spans="1:48">
      <c r="A531" s="190">
        <f t="shared" si="253"/>
        <v>103.47091033538672</v>
      </c>
      <c r="B531" s="82">
        <f t="shared" si="254"/>
        <v>38</v>
      </c>
      <c r="C531" s="83">
        <f t="shared" si="255"/>
        <v>453</v>
      </c>
      <c r="D531" s="14">
        <f t="shared" si="242"/>
        <v>4.8675505653430484E-3</v>
      </c>
      <c r="E531" s="16">
        <f t="shared" si="243"/>
        <v>0</v>
      </c>
      <c r="F531" s="127"/>
      <c r="G531" s="88">
        <f t="shared" si="244"/>
        <v>0</v>
      </c>
      <c r="H531" s="89">
        <f t="shared" si="256"/>
        <v>4.1666666666666666E-3</v>
      </c>
      <c r="I531" s="219"/>
      <c r="J531" s="219"/>
      <c r="K531" s="6">
        <f t="shared" si="264"/>
        <v>0</v>
      </c>
      <c r="M531" s="6">
        <f t="shared" si="245"/>
        <v>0</v>
      </c>
      <c r="N531" s="6">
        <f t="shared" si="257"/>
        <v>0</v>
      </c>
      <c r="O531" s="90">
        <f t="shared" si="246"/>
        <v>0</v>
      </c>
      <c r="P531" s="91">
        <f t="shared" si="247"/>
        <v>0</v>
      </c>
      <c r="Q531" s="6">
        <f t="shared" si="248"/>
        <v>0</v>
      </c>
      <c r="R531" s="87">
        <f t="shared" si="235"/>
        <v>0</v>
      </c>
      <c r="S531" s="6">
        <f t="shared" si="249"/>
        <v>0</v>
      </c>
      <c r="T531" s="83">
        <f t="shared" si="258"/>
        <v>0</v>
      </c>
      <c r="U531" s="91">
        <f t="shared" si="265"/>
        <v>0</v>
      </c>
      <c r="V531" s="91">
        <f t="shared" si="259"/>
        <v>0</v>
      </c>
      <c r="W531" s="1">
        <f t="shared" si="266"/>
        <v>0</v>
      </c>
      <c r="X531" s="1">
        <f t="shared" si="266"/>
        <v>0</v>
      </c>
      <c r="Y531" s="1">
        <f t="shared" si="266"/>
        <v>0</v>
      </c>
      <c r="Z531" s="1">
        <f t="shared" si="266"/>
        <v>0</v>
      </c>
      <c r="AA531" s="1">
        <f t="shared" si="266"/>
        <v>0</v>
      </c>
      <c r="AB531" s="1">
        <f t="shared" si="266"/>
        <v>0</v>
      </c>
      <c r="AC531" s="1">
        <f t="shared" si="266"/>
        <v>0</v>
      </c>
      <c r="AD531" s="1">
        <f t="shared" si="266"/>
        <v>0</v>
      </c>
      <c r="AE531" s="1">
        <f t="shared" si="266"/>
        <v>0</v>
      </c>
      <c r="AF531" s="1">
        <f t="shared" si="266"/>
        <v>0</v>
      </c>
      <c r="AG531" s="1">
        <f t="shared" si="266"/>
        <v>0</v>
      </c>
      <c r="AH531" s="1">
        <f t="shared" si="266"/>
        <v>1</v>
      </c>
      <c r="AI531" s="44">
        <f t="shared" si="260"/>
        <v>0</v>
      </c>
      <c r="AJ531" s="44">
        <f t="shared" si="250"/>
        <v>0</v>
      </c>
      <c r="AK531" s="44">
        <f t="shared" si="236"/>
        <v>0</v>
      </c>
      <c r="AL531" s="4">
        <f t="shared" si="251"/>
        <v>453</v>
      </c>
      <c r="AM531" s="82">
        <f t="shared" si="261"/>
        <v>0</v>
      </c>
      <c r="AN531" s="82">
        <f t="shared" si="252"/>
        <v>0</v>
      </c>
      <c r="AO531" s="48">
        <f>0</f>
        <v>0</v>
      </c>
      <c r="AP531" s="91">
        <f t="shared" si="262"/>
        <v>0</v>
      </c>
      <c r="AQ531" s="91">
        <f t="shared" si="263"/>
        <v>0</v>
      </c>
      <c r="AV531" s="84"/>
    </row>
    <row r="532" spans="1:48">
      <c r="A532" s="190">
        <f t="shared" si="253"/>
        <v>103.55424366872005</v>
      </c>
      <c r="B532" s="82">
        <f t="shared" si="254"/>
        <v>38</v>
      </c>
      <c r="C532" s="83">
        <f t="shared" si="255"/>
        <v>454</v>
      </c>
      <c r="D532" s="14">
        <f t="shared" si="242"/>
        <v>4.8675505653430484E-3</v>
      </c>
      <c r="E532" s="16">
        <f t="shared" si="243"/>
        <v>0</v>
      </c>
      <c r="F532" s="127"/>
      <c r="G532" s="88">
        <f t="shared" si="244"/>
        <v>0</v>
      </c>
      <c r="H532" s="89">
        <f t="shared" si="256"/>
        <v>4.1666666666666666E-3</v>
      </c>
      <c r="I532" s="219"/>
      <c r="J532" s="219"/>
      <c r="K532" s="6">
        <f t="shared" si="264"/>
        <v>0</v>
      </c>
      <c r="M532" s="6">
        <f t="shared" si="245"/>
        <v>0</v>
      </c>
      <c r="N532" s="6">
        <f t="shared" si="257"/>
        <v>0</v>
      </c>
      <c r="O532" s="90">
        <f t="shared" si="246"/>
        <v>0</v>
      </c>
      <c r="P532" s="91">
        <f t="shared" si="247"/>
        <v>0</v>
      </c>
      <c r="Q532" s="6">
        <f t="shared" si="248"/>
        <v>0</v>
      </c>
      <c r="R532" s="87">
        <f t="shared" si="235"/>
        <v>0</v>
      </c>
      <c r="S532" s="6">
        <f t="shared" si="249"/>
        <v>0</v>
      </c>
      <c r="T532" s="83">
        <f t="shared" si="258"/>
        <v>0</v>
      </c>
      <c r="U532" s="91">
        <f t="shared" si="265"/>
        <v>0</v>
      </c>
      <c r="V532" s="91">
        <f t="shared" si="259"/>
        <v>0</v>
      </c>
      <c r="W532" s="1">
        <f t="shared" si="266"/>
        <v>0</v>
      </c>
      <c r="X532" s="1">
        <f t="shared" si="266"/>
        <v>0</v>
      </c>
      <c r="Y532" s="1">
        <f t="shared" si="266"/>
        <v>0</v>
      </c>
      <c r="Z532" s="1">
        <f t="shared" si="266"/>
        <v>0</v>
      </c>
      <c r="AA532" s="1">
        <f t="shared" si="266"/>
        <v>0</v>
      </c>
      <c r="AB532" s="1">
        <f t="shared" si="266"/>
        <v>0</v>
      </c>
      <c r="AC532" s="1">
        <f t="shared" si="266"/>
        <v>0</v>
      </c>
      <c r="AD532" s="1">
        <f t="shared" si="266"/>
        <v>0</v>
      </c>
      <c r="AE532" s="1">
        <f t="shared" si="266"/>
        <v>0</v>
      </c>
      <c r="AF532" s="1">
        <f t="shared" si="266"/>
        <v>0</v>
      </c>
      <c r="AG532" s="1">
        <f t="shared" si="266"/>
        <v>0</v>
      </c>
      <c r="AH532" s="1">
        <f t="shared" si="266"/>
        <v>1</v>
      </c>
      <c r="AI532" s="44">
        <f t="shared" si="260"/>
        <v>0</v>
      </c>
      <c r="AJ532" s="44">
        <f t="shared" si="250"/>
        <v>0</v>
      </c>
      <c r="AK532" s="44">
        <f t="shared" si="236"/>
        <v>0</v>
      </c>
      <c r="AL532" s="4">
        <f t="shared" si="251"/>
        <v>454</v>
      </c>
      <c r="AM532" s="82">
        <f t="shared" si="261"/>
        <v>0</v>
      </c>
      <c r="AN532" s="82">
        <f t="shared" si="252"/>
        <v>0</v>
      </c>
      <c r="AO532" s="48">
        <f>0</f>
        <v>0</v>
      </c>
      <c r="AP532" s="91">
        <f t="shared" si="262"/>
        <v>0</v>
      </c>
      <c r="AQ532" s="91">
        <f t="shared" si="263"/>
        <v>0</v>
      </c>
      <c r="AV532" s="84"/>
    </row>
    <row r="533" spans="1:48">
      <c r="A533" s="190">
        <f t="shared" si="253"/>
        <v>103.63757700205338</v>
      </c>
      <c r="B533" s="82">
        <f t="shared" si="254"/>
        <v>38</v>
      </c>
      <c r="C533" s="83">
        <f t="shared" si="255"/>
        <v>455</v>
      </c>
      <c r="D533" s="14">
        <f t="shared" si="242"/>
        <v>4.8675505653430484E-3</v>
      </c>
      <c r="E533" s="16">
        <f t="shared" si="243"/>
        <v>0</v>
      </c>
      <c r="F533" s="127"/>
      <c r="G533" s="88">
        <f t="shared" si="244"/>
        <v>0</v>
      </c>
      <c r="H533" s="89">
        <f t="shared" si="256"/>
        <v>4.1666666666666666E-3</v>
      </c>
      <c r="I533" s="219"/>
      <c r="J533" s="219"/>
      <c r="K533" s="6">
        <f t="shared" si="264"/>
        <v>0</v>
      </c>
      <c r="M533" s="6">
        <f t="shared" si="245"/>
        <v>0</v>
      </c>
      <c r="N533" s="6">
        <f t="shared" si="257"/>
        <v>0</v>
      </c>
      <c r="O533" s="90">
        <f t="shared" si="246"/>
        <v>0</v>
      </c>
      <c r="P533" s="91">
        <f t="shared" si="247"/>
        <v>0</v>
      </c>
      <c r="Q533" s="6">
        <f t="shared" si="248"/>
        <v>0</v>
      </c>
      <c r="R533" s="87">
        <f t="shared" si="235"/>
        <v>0</v>
      </c>
      <c r="S533" s="6">
        <f t="shared" si="249"/>
        <v>0</v>
      </c>
      <c r="T533" s="83">
        <f t="shared" si="258"/>
        <v>0</v>
      </c>
      <c r="U533" s="91">
        <f t="shared" si="265"/>
        <v>0</v>
      </c>
      <c r="V533" s="91">
        <f t="shared" si="259"/>
        <v>0</v>
      </c>
      <c r="W533" s="1">
        <f t="shared" si="266"/>
        <v>0</v>
      </c>
      <c r="X533" s="1">
        <f t="shared" si="266"/>
        <v>0</v>
      </c>
      <c r="Y533" s="1">
        <f t="shared" si="266"/>
        <v>0</v>
      </c>
      <c r="Z533" s="1">
        <f t="shared" si="266"/>
        <v>0</v>
      </c>
      <c r="AA533" s="1">
        <f t="shared" si="266"/>
        <v>0</v>
      </c>
      <c r="AB533" s="1">
        <f t="shared" si="266"/>
        <v>0</v>
      </c>
      <c r="AC533" s="1">
        <f t="shared" si="266"/>
        <v>0</v>
      </c>
      <c r="AD533" s="1">
        <f t="shared" si="266"/>
        <v>0</v>
      </c>
      <c r="AE533" s="1">
        <f t="shared" si="266"/>
        <v>0</v>
      </c>
      <c r="AF533" s="1">
        <f t="shared" si="266"/>
        <v>0</v>
      </c>
      <c r="AG533" s="1">
        <f t="shared" si="266"/>
        <v>0</v>
      </c>
      <c r="AH533" s="1">
        <f t="shared" si="266"/>
        <v>1</v>
      </c>
      <c r="AI533" s="44">
        <f t="shared" si="260"/>
        <v>0</v>
      </c>
      <c r="AJ533" s="44">
        <f t="shared" si="250"/>
        <v>0</v>
      </c>
      <c r="AK533" s="44">
        <f t="shared" si="236"/>
        <v>0</v>
      </c>
      <c r="AL533" s="4">
        <f t="shared" si="251"/>
        <v>455</v>
      </c>
      <c r="AM533" s="82">
        <f t="shared" si="261"/>
        <v>0</v>
      </c>
      <c r="AN533" s="82">
        <f t="shared" si="252"/>
        <v>0</v>
      </c>
      <c r="AO533" s="48">
        <f>0</f>
        <v>0</v>
      </c>
      <c r="AP533" s="91">
        <f t="shared" si="262"/>
        <v>0</v>
      </c>
      <c r="AQ533" s="91">
        <f t="shared" si="263"/>
        <v>0</v>
      </c>
      <c r="AV533" s="84"/>
    </row>
    <row r="534" spans="1:48">
      <c r="A534" s="190">
        <f t="shared" si="253"/>
        <v>103.72091033538672</v>
      </c>
      <c r="B534" s="82">
        <f t="shared" si="254"/>
        <v>38</v>
      </c>
      <c r="C534" s="83">
        <f t="shared" si="255"/>
        <v>456</v>
      </c>
      <c r="D534" s="14">
        <f t="shared" si="242"/>
        <v>4.8675505653430484E-3</v>
      </c>
      <c r="E534" s="16">
        <f t="shared" si="243"/>
        <v>0</v>
      </c>
      <c r="F534" s="127"/>
      <c r="G534" s="88">
        <f t="shared" si="244"/>
        <v>0</v>
      </c>
      <c r="H534" s="89">
        <f t="shared" si="256"/>
        <v>4.1666666666666666E-3</v>
      </c>
      <c r="I534" s="219"/>
      <c r="J534" s="219"/>
      <c r="K534" s="6">
        <f t="shared" si="264"/>
        <v>0</v>
      </c>
      <c r="M534" s="6">
        <f t="shared" si="245"/>
        <v>0</v>
      </c>
      <c r="N534" s="6">
        <f t="shared" si="257"/>
        <v>0</v>
      </c>
      <c r="O534" s="90">
        <f t="shared" si="246"/>
        <v>0</v>
      </c>
      <c r="P534" s="91">
        <f t="shared" si="247"/>
        <v>0</v>
      </c>
      <c r="Q534" s="6">
        <f t="shared" si="248"/>
        <v>0</v>
      </c>
      <c r="R534" s="87">
        <f t="shared" si="235"/>
        <v>0</v>
      </c>
      <c r="S534" s="6">
        <f t="shared" si="249"/>
        <v>0</v>
      </c>
      <c r="T534" s="83">
        <f t="shared" si="258"/>
        <v>0</v>
      </c>
      <c r="U534" s="91">
        <f t="shared" si="265"/>
        <v>0</v>
      </c>
      <c r="V534" s="91">
        <f t="shared" si="259"/>
        <v>0</v>
      </c>
      <c r="W534" s="1">
        <f t="shared" si="266"/>
        <v>0</v>
      </c>
      <c r="X534" s="1">
        <f t="shared" si="266"/>
        <v>0</v>
      </c>
      <c r="Y534" s="1">
        <f t="shared" si="266"/>
        <v>0</v>
      </c>
      <c r="Z534" s="1">
        <f t="shared" si="266"/>
        <v>0</v>
      </c>
      <c r="AA534" s="1">
        <f t="shared" si="266"/>
        <v>0</v>
      </c>
      <c r="AB534" s="1">
        <f t="shared" si="266"/>
        <v>0</v>
      </c>
      <c r="AC534" s="1">
        <f t="shared" si="266"/>
        <v>0</v>
      </c>
      <c r="AD534" s="1">
        <f t="shared" si="266"/>
        <v>0</v>
      </c>
      <c r="AE534" s="1">
        <f t="shared" si="266"/>
        <v>0</v>
      </c>
      <c r="AF534" s="1">
        <f t="shared" si="266"/>
        <v>0</v>
      </c>
      <c r="AG534" s="1">
        <f t="shared" si="266"/>
        <v>0</v>
      </c>
      <c r="AH534" s="1">
        <f t="shared" si="266"/>
        <v>1</v>
      </c>
      <c r="AI534" s="44">
        <f t="shared" si="260"/>
        <v>0</v>
      </c>
      <c r="AJ534" s="44">
        <f t="shared" si="250"/>
        <v>0</v>
      </c>
      <c r="AK534" s="44">
        <f t="shared" si="236"/>
        <v>0</v>
      </c>
      <c r="AL534" s="4">
        <f t="shared" si="251"/>
        <v>456</v>
      </c>
      <c r="AM534" s="82">
        <f t="shared" si="261"/>
        <v>0</v>
      </c>
      <c r="AN534" s="82">
        <f t="shared" si="252"/>
        <v>0</v>
      </c>
      <c r="AO534" s="48">
        <f>0</f>
        <v>0</v>
      </c>
      <c r="AP534" s="91">
        <f t="shared" si="262"/>
        <v>0</v>
      </c>
      <c r="AQ534" s="91">
        <f t="shared" si="263"/>
        <v>0</v>
      </c>
      <c r="AV534" s="84"/>
    </row>
    <row r="535" spans="1:48">
      <c r="A535" s="190">
        <f t="shared" si="253"/>
        <v>103.80424366872005</v>
      </c>
      <c r="B535" s="82">
        <f t="shared" si="254"/>
        <v>39</v>
      </c>
      <c r="C535" s="83">
        <f t="shared" si="255"/>
        <v>457</v>
      </c>
      <c r="D535" s="14">
        <f t="shared" si="242"/>
        <v>4.8675505653430484E-3</v>
      </c>
      <c r="E535" s="16">
        <f t="shared" si="243"/>
        <v>0</v>
      </c>
      <c r="F535" s="127"/>
      <c r="G535" s="88">
        <f t="shared" si="244"/>
        <v>0</v>
      </c>
      <c r="H535" s="89">
        <f t="shared" si="256"/>
        <v>4.1666666666666666E-3</v>
      </c>
      <c r="I535" s="219"/>
      <c r="J535" s="219"/>
      <c r="K535" s="6">
        <f t="shared" si="264"/>
        <v>0</v>
      </c>
      <c r="M535" s="6">
        <f t="shared" si="245"/>
        <v>0</v>
      </c>
      <c r="N535" s="6">
        <f t="shared" si="257"/>
        <v>0</v>
      </c>
      <c r="O535" s="90">
        <f t="shared" si="246"/>
        <v>0</v>
      </c>
      <c r="P535" s="91">
        <f t="shared" si="247"/>
        <v>0</v>
      </c>
      <c r="Q535" s="6">
        <f t="shared" si="248"/>
        <v>0</v>
      </c>
      <c r="R535" s="87">
        <f t="shared" si="235"/>
        <v>0</v>
      </c>
      <c r="S535" s="6">
        <f t="shared" si="249"/>
        <v>0</v>
      </c>
      <c r="T535" s="83">
        <f t="shared" si="258"/>
        <v>0</v>
      </c>
      <c r="U535" s="91">
        <f t="shared" si="265"/>
        <v>0</v>
      </c>
      <c r="V535" s="91">
        <f t="shared" si="259"/>
        <v>0</v>
      </c>
      <c r="W535" s="1">
        <f t="shared" si="266"/>
        <v>0</v>
      </c>
      <c r="X535" s="1">
        <f t="shared" si="266"/>
        <v>0</v>
      </c>
      <c r="Y535" s="1">
        <f t="shared" si="266"/>
        <v>0</v>
      </c>
      <c r="Z535" s="1">
        <f t="shared" si="266"/>
        <v>0</v>
      </c>
      <c r="AA535" s="1">
        <f t="shared" si="266"/>
        <v>0</v>
      </c>
      <c r="AB535" s="1">
        <f t="shared" si="266"/>
        <v>0</v>
      </c>
      <c r="AC535" s="1">
        <f t="shared" si="266"/>
        <v>0</v>
      </c>
      <c r="AD535" s="1">
        <f t="shared" si="266"/>
        <v>0</v>
      </c>
      <c r="AE535" s="1">
        <f t="shared" si="266"/>
        <v>0</v>
      </c>
      <c r="AF535" s="1">
        <f t="shared" si="266"/>
        <v>0</v>
      </c>
      <c r="AG535" s="1">
        <f t="shared" si="266"/>
        <v>0</v>
      </c>
      <c r="AH535" s="1">
        <f t="shared" si="266"/>
        <v>1</v>
      </c>
      <c r="AI535" s="44">
        <f t="shared" si="260"/>
        <v>0</v>
      </c>
      <c r="AJ535" s="44">
        <f t="shared" si="250"/>
        <v>0</v>
      </c>
      <c r="AK535" s="44">
        <f t="shared" si="236"/>
        <v>0</v>
      </c>
      <c r="AL535" s="4">
        <f t="shared" si="251"/>
        <v>457</v>
      </c>
      <c r="AM535" s="82">
        <f t="shared" si="261"/>
        <v>0</v>
      </c>
      <c r="AN535" s="82">
        <f t="shared" si="252"/>
        <v>0</v>
      </c>
      <c r="AO535" s="48">
        <f>0</f>
        <v>0</v>
      </c>
      <c r="AP535" s="91">
        <f t="shared" si="262"/>
        <v>0</v>
      </c>
      <c r="AQ535" s="91">
        <f t="shared" si="263"/>
        <v>0</v>
      </c>
      <c r="AV535" s="84"/>
    </row>
    <row r="536" spans="1:48">
      <c r="A536" s="190">
        <f t="shared" si="253"/>
        <v>103.88757700205338</v>
      </c>
      <c r="B536" s="82">
        <f t="shared" si="254"/>
        <v>39</v>
      </c>
      <c r="C536" s="83">
        <f t="shared" si="255"/>
        <v>458</v>
      </c>
      <c r="D536" s="14">
        <f t="shared" si="242"/>
        <v>4.8675505653430484E-3</v>
      </c>
      <c r="E536" s="16">
        <f t="shared" si="243"/>
        <v>0</v>
      </c>
      <c r="F536" s="127"/>
      <c r="G536" s="88">
        <f t="shared" si="244"/>
        <v>0</v>
      </c>
      <c r="H536" s="89">
        <f t="shared" si="256"/>
        <v>4.1666666666666666E-3</v>
      </c>
      <c r="I536" s="219"/>
      <c r="J536" s="219"/>
      <c r="K536" s="6">
        <f t="shared" si="264"/>
        <v>0</v>
      </c>
      <c r="M536" s="6">
        <f t="shared" si="245"/>
        <v>0</v>
      </c>
      <c r="N536" s="6">
        <f t="shared" si="257"/>
        <v>0</v>
      </c>
      <c r="O536" s="90">
        <f t="shared" si="246"/>
        <v>0</v>
      </c>
      <c r="P536" s="91">
        <f t="shared" si="247"/>
        <v>0</v>
      </c>
      <c r="Q536" s="6">
        <f t="shared" si="248"/>
        <v>0</v>
      </c>
      <c r="R536" s="87">
        <f t="shared" si="235"/>
        <v>0</v>
      </c>
      <c r="S536" s="6">
        <f t="shared" si="249"/>
        <v>0</v>
      </c>
      <c r="T536" s="83">
        <f t="shared" si="258"/>
        <v>0</v>
      </c>
      <c r="U536" s="91">
        <f t="shared" si="265"/>
        <v>0</v>
      </c>
      <c r="V536" s="91">
        <f t="shared" si="259"/>
        <v>0</v>
      </c>
      <c r="W536" s="1">
        <f t="shared" si="266"/>
        <v>0</v>
      </c>
      <c r="X536" s="1">
        <f t="shared" si="266"/>
        <v>0</v>
      </c>
      <c r="Y536" s="1">
        <f t="shared" si="266"/>
        <v>0</v>
      </c>
      <c r="Z536" s="1">
        <f t="shared" si="266"/>
        <v>0</v>
      </c>
      <c r="AA536" s="1">
        <f t="shared" si="266"/>
        <v>0</v>
      </c>
      <c r="AB536" s="1">
        <f t="shared" si="266"/>
        <v>0</v>
      </c>
      <c r="AC536" s="1">
        <f t="shared" si="266"/>
        <v>0</v>
      </c>
      <c r="AD536" s="1">
        <f t="shared" si="266"/>
        <v>0</v>
      </c>
      <c r="AE536" s="1">
        <f t="shared" si="266"/>
        <v>0</v>
      </c>
      <c r="AF536" s="1">
        <f t="shared" si="266"/>
        <v>0</v>
      </c>
      <c r="AG536" s="1">
        <f t="shared" si="266"/>
        <v>0</v>
      </c>
      <c r="AH536" s="1">
        <f t="shared" si="266"/>
        <v>1</v>
      </c>
      <c r="AI536" s="44">
        <f t="shared" si="260"/>
        <v>0</v>
      </c>
      <c r="AJ536" s="44">
        <f t="shared" si="250"/>
        <v>0</v>
      </c>
      <c r="AK536" s="44">
        <f t="shared" si="236"/>
        <v>0</v>
      </c>
      <c r="AL536" s="4">
        <f t="shared" si="251"/>
        <v>458</v>
      </c>
      <c r="AM536" s="82">
        <f t="shared" si="261"/>
        <v>0</v>
      </c>
      <c r="AN536" s="82">
        <f t="shared" si="252"/>
        <v>0</v>
      </c>
      <c r="AO536" s="48">
        <f>0</f>
        <v>0</v>
      </c>
      <c r="AP536" s="91">
        <f t="shared" si="262"/>
        <v>0</v>
      </c>
      <c r="AQ536" s="91">
        <f t="shared" si="263"/>
        <v>0</v>
      </c>
      <c r="AV536" s="84"/>
    </row>
    <row r="537" spans="1:48">
      <c r="A537" s="190">
        <f t="shared" si="253"/>
        <v>103.97091033538672</v>
      </c>
      <c r="B537" s="82">
        <f t="shared" si="254"/>
        <v>39</v>
      </c>
      <c r="C537" s="83">
        <f t="shared" si="255"/>
        <v>459</v>
      </c>
      <c r="D537" s="14">
        <f t="shared" si="242"/>
        <v>4.8675505653430484E-3</v>
      </c>
      <c r="E537" s="16">
        <f t="shared" si="243"/>
        <v>0</v>
      </c>
      <c r="F537" s="127"/>
      <c r="G537" s="88">
        <f t="shared" si="244"/>
        <v>0</v>
      </c>
      <c r="H537" s="89">
        <f t="shared" si="256"/>
        <v>4.1666666666666666E-3</v>
      </c>
      <c r="I537" s="219"/>
      <c r="J537" s="219"/>
      <c r="K537" s="6">
        <f t="shared" si="264"/>
        <v>0</v>
      </c>
      <c r="M537" s="6">
        <f t="shared" si="245"/>
        <v>0</v>
      </c>
      <c r="N537" s="6">
        <f t="shared" si="257"/>
        <v>0</v>
      </c>
      <c r="O537" s="90">
        <f t="shared" si="246"/>
        <v>0</v>
      </c>
      <c r="P537" s="91">
        <f t="shared" si="247"/>
        <v>0</v>
      </c>
      <c r="Q537" s="6">
        <f t="shared" si="248"/>
        <v>0</v>
      </c>
      <c r="R537" s="87">
        <f t="shared" si="235"/>
        <v>0</v>
      </c>
      <c r="S537" s="6">
        <f t="shared" si="249"/>
        <v>0</v>
      </c>
      <c r="T537" s="83">
        <f t="shared" si="258"/>
        <v>0</v>
      </c>
      <c r="U537" s="91">
        <f t="shared" si="265"/>
        <v>0</v>
      </c>
      <c r="V537" s="91">
        <f t="shared" si="259"/>
        <v>0</v>
      </c>
      <c r="W537" s="1">
        <f t="shared" si="266"/>
        <v>0</v>
      </c>
      <c r="X537" s="1">
        <f t="shared" si="266"/>
        <v>0</v>
      </c>
      <c r="Y537" s="1">
        <f t="shared" si="266"/>
        <v>0</v>
      </c>
      <c r="Z537" s="1">
        <f t="shared" si="266"/>
        <v>0</v>
      </c>
      <c r="AA537" s="1">
        <f t="shared" si="266"/>
        <v>0</v>
      </c>
      <c r="AB537" s="1">
        <f t="shared" si="266"/>
        <v>0</v>
      </c>
      <c r="AC537" s="1">
        <f t="shared" si="266"/>
        <v>0</v>
      </c>
      <c r="AD537" s="1">
        <f t="shared" si="266"/>
        <v>0</v>
      </c>
      <c r="AE537" s="1">
        <f t="shared" si="266"/>
        <v>0</v>
      </c>
      <c r="AF537" s="1">
        <f t="shared" si="266"/>
        <v>0</v>
      </c>
      <c r="AG537" s="1">
        <f t="shared" si="266"/>
        <v>0</v>
      </c>
      <c r="AH537" s="1">
        <f t="shared" si="266"/>
        <v>1</v>
      </c>
      <c r="AI537" s="44">
        <f t="shared" si="260"/>
        <v>0</v>
      </c>
      <c r="AJ537" s="44">
        <f t="shared" si="250"/>
        <v>0</v>
      </c>
      <c r="AK537" s="44">
        <f t="shared" si="236"/>
        <v>0</v>
      </c>
      <c r="AL537" s="4">
        <f t="shared" si="251"/>
        <v>459</v>
      </c>
      <c r="AM537" s="82">
        <f t="shared" si="261"/>
        <v>0</v>
      </c>
      <c r="AN537" s="82">
        <f t="shared" si="252"/>
        <v>0</v>
      </c>
      <c r="AO537" s="48">
        <f>0</f>
        <v>0</v>
      </c>
      <c r="AP537" s="91">
        <f t="shared" si="262"/>
        <v>0</v>
      </c>
      <c r="AQ537" s="91">
        <f t="shared" si="263"/>
        <v>0</v>
      </c>
      <c r="AV537" s="84"/>
    </row>
    <row r="538" spans="1:48">
      <c r="A538" s="190">
        <f t="shared" si="253"/>
        <v>104.05424366872005</v>
      </c>
      <c r="B538" s="82">
        <f t="shared" si="254"/>
        <v>39</v>
      </c>
      <c r="C538" s="83">
        <f t="shared" si="255"/>
        <v>460</v>
      </c>
      <c r="D538" s="14">
        <f t="shared" si="242"/>
        <v>4.8675505653430484E-3</v>
      </c>
      <c r="E538" s="16">
        <f t="shared" si="243"/>
        <v>0</v>
      </c>
      <c r="F538" s="127"/>
      <c r="G538" s="88">
        <f t="shared" si="244"/>
        <v>0</v>
      </c>
      <c r="H538" s="89">
        <f t="shared" si="256"/>
        <v>4.1666666666666666E-3</v>
      </c>
      <c r="I538" s="219"/>
      <c r="J538" s="219"/>
      <c r="K538" s="6">
        <f t="shared" si="264"/>
        <v>0</v>
      </c>
      <c r="M538" s="6">
        <f t="shared" si="245"/>
        <v>0</v>
      </c>
      <c r="N538" s="6">
        <f t="shared" si="257"/>
        <v>0</v>
      </c>
      <c r="O538" s="90">
        <f t="shared" si="246"/>
        <v>0</v>
      </c>
      <c r="P538" s="91">
        <f t="shared" si="247"/>
        <v>0</v>
      </c>
      <c r="Q538" s="6">
        <f t="shared" si="248"/>
        <v>0</v>
      </c>
      <c r="R538" s="87">
        <f t="shared" si="235"/>
        <v>0</v>
      </c>
      <c r="S538" s="6">
        <f t="shared" si="249"/>
        <v>0</v>
      </c>
      <c r="T538" s="83">
        <f t="shared" si="258"/>
        <v>0</v>
      </c>
      <c r="U538" s="91">
        <f t="shared" si="265"/>
        <v>0</v>
      </c>
      <c r="V538" s="91">
        <f t="shared" si="259"/>
        <v>0</v>
      </c>
      <c r="W538" s="1">
        <f t="shared" si="266"/>
        <v>0</v>
      </c>
      <c r="X538" s="1">
        <f t="shared" si="266"/>
        <v>0</v>
      </c>
      <c r="Y538" s="1">
        <f t="shared" si="266"/>
        <v>0</v>
      </c>
      <c r="Z538" s="1">
        <f t="shared" si="266"/>
        <v>0</v>
      </c>
      <c r="AA538" s="1">
        <f t="shared" si="266"/>
        <v>0</v>
      </c>
      <c r="AB538" s="1">
        <f t="shared" si="266"/>
        <v>0</v>
      </c>
      <c r="AC538" s="1">
        <f t="shared" si="266"/>
        <v>0</v>
      </c>
      <c r="AD538" s="1">
        <f t="shared" si="266"/>
        <v>0</v>
      </c>
      <c r="AE538" s="1">
        <f t="shared" si="266"/>
        <v>0</v>
      </c>
      <c r="AF538" s="1">
        <f t="shared" si="266"/>
        <v>0</v>
      </c>
      <c r="AG538" s="1">
        <f t="shared" si="266"/>
        <v>0</v>
      </c>
      <c r="AH538" s="1">
        <f t="shared" si="266"/>
        <v>1</v>
      </c>
      <c r="AI538" s="44">
        <f t="shared" si="260"/>
        <v>0</v>
      </c>
      <c r="AJ538" s="44">
        <f t="shared" si="250"/>
        <v>0</v>
      </c>
      <c r="AK538" s="44">
        <f t="shared" si="236"/>
        <v>0</v>
      </c>
      <c r="AL538" s="4">
        <f t="shared" si="251"/>
        <v>460</v>
      </c>
      <c r="AM538" s="82">
        <f t="shared" si="261"/>
        <v>0</v>
      </c>
      <c r="AN538" s="82">
        <f t="shared" si="252"/>
        <v>0</v>
      </c>
      <c r="AO538" s="48">
        <f>0</f>
        <v>0</v>
      </c>
      <c r="AP538" s="91">
        <f t="shared" si="262"/>
        <v>0</v>
      </c>
      <c r="AQ538" s="91">
        <f t="shared" si="263"/>
        <v>0</v>
      </c>
      <c r="AV538" s="84"/>
    </row>
    <row r="539" spans="1:48">
      <c r="A539" s="190">
        <f t="shared" si="253"/>
        <v>104.13757700205338</v>
      </c>
      <c r="B539" s="82">
        <f t="shared" si="254"/>
        <v>39</v>
      </c>
      <c r="C539" s="83">
        <f t="shared" si="255"/>
        <v>461</v>
      </c>
      <c r="D539" s="14">
        <f t="shared" si="242"/>
        <v>4.8675505653430484E-3</v>
      </c>
      <c r="E539" s="16">
        <f t="shared" si="243"/>
        <v>0</v>
      </c>
      <c r="F539" s="127"/>
      <c r="G539" s="88">
        <f t="shared" si="244"/>
        <v>0</v>
      </c>
      <c r="H539" s="89">
        <f t="shared" si="256"/>
        <v>4.1666666666666666E-3</v>
      </c>
      <c r="I539" s="219"/>
      <c r="J539" s="219"/>
      <c r="K539" s="6">
        <f t="shared" si="264"/>
        <v>0</v>
      </c>
      <c r="M539" s="6">
        <f t="shared" si="245"/>
        <v>0</v>
      </c>
      <c r="N539" s="6">
        <f t="shared" si="257"/>
        <v>0</v>
      </c>
      <c r="O539" s="90">
        <f t="shared" si="246"/>
        <v>0</v>
      </c>
      <c r="P539" s="91">
        <f t="shared" si="247"/>
        <v>0</v>
      </c>
      <c r="Q539" s="6">
        <f t="shared" si="248"/>
        <v>0</v>
      </c>
      <c r="R539" s="87">
        <f t="shared" si="235"/>
        <v>0</v>
      </c>
      <c r="S539" s="6">
        <f t="shared" si="249"/>
        <v>0</v>
      </c>
      <c r="T539" s="83">
        <f t="shared" si="258"/>
        <v>0</v>
      </c>
      <c r="U539" s="91">
        <f t="shared" si="265"/>
        <v>0</v>
      </c>
      <c r="V539" s="91">
        <f t="shared" si="259"/>
        <v>0</v>
      </c>
      <c r="W539" s="1">
        <f t="shared" ref="W539:AH548" si="267">IF($B539&lt;=W$78,1,0)</f>
        <v>0</v>
      </c>
      <c r="X539" s="1">
        <f t="shared" si="267"/>
        <v>0</v>
      </c>
      <c r="Y539" s="1">
        <f t="shared" si="267"/>
        <v>0</v>
      </c>
      <c r="Z539" s="1">
        <f t="shared" si="267"/>
        <v>0</v>
      </c>
      <c r="AA539" s="1">
        <f t="shared" si="267"/>
        <v>0</v>
      </c>
      <c r="AB539" s="1">
        <f t="shared" si="267"/>
        <v>0</v>
      </c>
      <c r="AC539" s="1">
        <f t="shared" si="267"/>
        <v>0</v>
      </c>
      <c r="AD539" s="1">
        <f t="shared" si="267"/>
        <v>0</v>
      </c>
      <c r="AE539" s="1">
        <f t="shared" si="267"/>
        <v>0</v>
      </c>
      <c r="AF539" s="1">
        <f t="shared" si="267"/>
        <v>0</v>
      </c>
      <c r="AG539" s="1">
        <f t="shared" si="267"/>
        <v>0</v>
      </c>
      <c r="AH539" s="1">
        <f t="shared" si="267"/>
        <v>1</v>
      </c>
      <c r="AI539" s="44">
        <f t="shared" si="260"/>
        <v>0</v>
      </c>
      <c r="AJ539" s="44">
        <f t="shared" si="250"/>
        <v>0</v>
      </c>
      <c r="AK539" s="44">
        <f t="shared" si="236"/>
        <v>0</v>
      </c>
      <c r="AL539" s="4">
        <f t="shared" si="251"/>
        <v>461</v>
      </c>
      <c r="AM539" s="82">
        <f t="shared" si="261"/>
        <v>0</v>
      </c>
      <c r="AN539" s="82">
        <f t="shared" si="252"/>
        <v>0</v>
      </c>
      <c r="AO539" s="48">
        <f>0</f>
        <v>0</v>
      </c>
      <c r="AP539" s="91">
        <f t="shared" si="262"/>
        <v>0</v>
      </c>
      <c r="AQ539" s="91">
        <f t="shared" si="263"/>
        <v>0</v>
      </c>
      <c r="AV539" s="84"/>
    </row>
    <row r="540" spans="1:48">
      <c r="A540" s="190">
        <f t="shared" si="253"/>
        <v>104.22091033538672</v>
      </c>
      <c r="B540" s="82">
        <f t="shared" si="254"/>
        <v>39</v>
      </c>
      <c r="C540" s="83">
        <f t="shared" si="255"/>
        <v>462</v>
      </c>
      <c r="D540" s="14">
        <f t="shared" si="242"/>
        <v>4.8675505653430484E-3</v>
      </c>
      <c r="E540" s="16">
        <f t="shared" si="243"/>
        <v>0</v>
      </c>
      <c r="F540" s="127"/>
      <c r="G540" s="88">
        <f t="shared" si="244"/>
        <v>0</v>
      </c>
      <c r="H540" s="89">
        <f t="shared" si="256"/>
        <v>4.1666666666666666E-3</v>
      </c>
      <c r="I540" s="219"/>
      <c r="J540" s="219"/>
      <c r="K540" s="6">
        <f t="shared" si="264"/>
        <v>0</v>
      </c>
      <c r="M540" s="6">
        <f t="shared" si="245"/>
        <v>0</v>
      </c>
      <c r="N540" s="6">
        <f t="shared" si="257"/>
        <v>0</v>
      </c>
      <c r="O540" s="90">
        <f t="shared" si="246"/>
        <v>0</v>
      </c>
      <c r="P540" s="91">
        <f t="shared" si="247"/>
        <v>0</v>
      </c>
      <c r="Q540" s="6">
        <f t="shared" si="248"/>
        <v>0</v>
      </c>
      <c r="R540" s="87">
        <f t="shared" ref="R540:R603" si="268">-MIN(MAX(O540,P540,Q540,-R528*1.02),AJ540)</f>
        <v>0</v>
      </c>
      <c r="S540" s="6">
        <f t="shared" si="249"/>
        <v>0</v>
      </c>
      <c r="T540" s="83">
        <f t="shared" si="258"/>
        <v>0</v>
      </c>
      <c r="U540" s="91">
        <f t="shared" si="265"/>
        <v>0</v>
      </c>
      <c r="V540" s="91">
        <f t="shared" si="259"/>
        <v>0</v>
      </c>
      <c r="W540" s="1">
        <f t="shared" si="267"/>
        <v>0</v>
      </c>
      <c r="X540" s="1">
        <f t="shared" si="267"/>
        <v>0</v>
      </c>
      <c r="Y540" s="1">
        <f t="shared" si="267"/>
        <v>0</v>
      </c>
      <c r="Z540" s="1">
        <f t="shared" si="267"/>
        <v>0</v>
      </c>
      <c r="AA540" s="1">
        <f t="shared" si="267"/>
        <v>0</v>
      </c>
      <c r="AB540" s="1">
        <f t="shared" si="267"/>
        <v>0</v>
      </c>
      <c r="AC540" s="1">
        <f t="shared" si="267"/>
        <v>0</v>
      </c>
      <c r="AD540" s="1">
        <f t="shared" si="267"/>
        <v>0</v>
      </c>
      <c r="AE540" s="1">
        <f t="shared" si="267"/>
        <v>0</v>
      </c>
      <c r="AF540" s="1">
        <f t="shared" si="267"/>
        <v>0</v>
      </c>
      <c r="AG540" s="1">
        <f t="shared" si="267"/>
        <v>0</v>
      </c>
      <c r="AH540" s="1">
        <f t="shared" si="267"/>
        <v>1</v>
      </c>
      <c r="AI540" s="44">
        <f t="shared" si="260"/>
        <v>0</v>
      </c>
      <c r="AJ540" s="44">
        <f t="shared" si="250"/>
        <v>0</v>
      </c>
      <c r="AK540" s="44">
        <f t="shared" ref="AK540:AK603" si="269">IF(R540=0,0,IF(R540&gt;R528,"Y","N"))</f>
        <v>0</v>
      </c>
      <c r="AL540" s="4">
        <f t="shared" si="251"/>
        <v>462</v>
      </c>
      <c r="AM540" s="82">
        <f t="shared" si="261"/>
        <v>0</v>
      </c>
      <c r="AN540" s="82">
        <f t="shared" si="252"/>
        <v>0</v>
      </c>
      <c r="AO540" s="48">
        <f>0</f>
        <v>0</v>
      </c>
      <c r="AP540" s="91">
        <f t="shared" si="262"/>
        <v>0</v>
      </c>
      <c r="AQ540" s="91">
        <f t="shared" si="263"/>
        <v>0</v>
      </c>
      <c r="AV540" s="84"/>
    </row>
    <row r="541" spans="1:48">
      <c r="A541" s="190">
        <f t="shared" si="253"/>
        <v>104.30424366872005</v>
      </c>
      <c r="B541" s="82">
        <f t="shared" si="254"/>
        <v>39</v>
      </c>
      <c r="C541" s="83">
        <f t="shared" si="255"/>
        <v>463</v>
      </c>
      <c r="D541" s="14">
        <f t="shared" si="242"/>
        <v>4.8675505653430484E-3</v>
      </c>
      <c r="E541" s="16">
        <f t="shared" si="243"/>
        <v>0</v>
      </c>
      <c r="F541" s="127"/>
      <c r="G541" s="88">
        <f t="shared" si="244"/>
        <v>0</v>
      </c>
      <c r="H541" s="89">
        <f t="shared" si="256"/>
        <v>4.1666666666666666E-3</v>
      </c>
      <c r="I541" s="219"/>
      <c r="J541" s="219"/>
      <c r="K541" s="6">
        <f t="shared" si="264"/>
        <v>0</v>
      </c>
      <c r="M541" s="6">
        <f t="shared" si="245"/>
        <v>0</v>
      </c>
      <c r="N541" s="6">
        <f t="shared" si="257"/>
        <v>0</v>
      </c>
      <c r="O541" s="90">
        <f t="shared" si="246"/>
        <v>0</v>
      </c>
      <c r="P541" s="91">
        <f t="shared" si="247"/>
        <v>0</v>
      </c>
      <c r="Q541" s="6">
        <f t="shared" si="248"/>
        <v>0</v>
      </c>
      <c r="R541" s="87">
        <f t="shared" si="268"/>
        <v>0</v>
      </c>
      <c r="S541" s="6">
        <f t="shared" si="249"/>
        <v>0</v>
      </c>
      <c r="T541" s="83">
        <f t="shared" si="258"/>
        <v>0</v>
      </c>
      <c r="U541" s="91">
        <f t="shared" si="265"/>
        <v>0</v>
      </c>
      <c r="V541" s="91">
        <f t="shared" si="259"/>
        <v>0</v>
      </c>
      <c r="W541" s="1">
        <f t="shared" si="267"/>
        <v>0</v>
      </c>
      <c r="X541" s="1">
        <f t="shared" si="267"/>
        <v>0</v>
      </c>
      <c r="Y541" s="1">
        <f t="shared" si="267"/>
        <v>0</v>
      </c>
      <c r="Z541" s="1">
        <f t="shared" si="267"/>
        <v>0</v>
      </c>
      <c r="AA541" s="1">
        <f t="shared" si="267"/>
        <v>0</v>
      </c>
      <c r="AB541" s="1">
        <f t="shared" si="267"/>
        <v>0</v>
      </c>
      <c r="AC541" s="1">
        <f t="shared" si="267"/>
        <v>0</v>
      </c>
      <c r="AD541" s="1">
        <f t="shared" si="267"/>
        <v>0</v>
      </c>
      <c r="AE541" s="1">
        <f t="shared" si="267"/>
        <v>0</v>
      </c>
      <c r="AF541" s="1">
        <f t="shared" si="267"/>
        <v>0</v>
      </c>
      <c r="AG541" s="1">
        <f t="shared" si="267"/>
        <v>0</v>
      </c>
      <c r="AH541" s="1">
        <f t="shared" si="267"/>
        <v>1</v>
      </c>
      <c r="AI541" s="44">
        <f t="shared" si="260"/>
        <v>0</v>
      </c>
      <c r="AJ541" s="44">
        <f t="shared" si="250"/>
        <v>0</v>
      </c>
      <c r="AK541" s="44">
        <f t="shared" si="269"/>
        <v>0</v>
      </c>
      <c r="AL541" s="4">
        <f t="shared" si="251"/>
        <v>463</v>
      </c>
      <c r="AM541" s="82">
        <f t="shared" si="261"/>
        <v>0</v>
      </c>
      <c r="AN541" s="82">
        <f t="shared" si="252"/>
        <v>0</v>
      </c>
      <c r="AO541" s="48">
        <f>0</f>
        <v>0</v>
      </c>
      <c r="AP541" s="91">
        <f t="shared" si="262"/>
        <v>0</v>
      </c>
      <c r="AQ541" s="91">
        <f t="shared" si="263"/>
        <v>0</v>
      </c>
      <c r="AV541" s="84"/>
    </row>
    <row r="542" spans="1:48">
      <c r="A542" s="190">
        <f t="shared" si="253"/>
        <v>104.38757700205338</v>
      </c>
      <c r="B542" s="82">
        <f t="shared" si="254"/>
        <v>39</v>
      </c>
      <c r="C542" s="83">
        <f t="shared" si="255"/>
        <v>464</v>
      </c>
      <c r="D542" s="14">
        <f t="shared" si="242"/>
        <v>4.8675505653430484E-3</v>
      </c>
      <c r="E542" s="16">
        <f t="shared" si="243"/>
        <v>0</v>
      </c>
      <c r="F542" s="127"/>
      <c r="G542" s="88">
        <f t="shared" si="244"/>
        <v>0</v>
      </c>
      <c r="H542" s="89">
        <f t="shared" si="256"/>
        <v>4.1666666666666666E-3</v>
      </c>
      <c r="I542" s="219"/>
      <c r="J542" s="219"/>
      <c r="K542" s="6">
        <f t="shared" si="264"/>
        <v>0</v>
      </c>
      <c r="M542" s="6">
        <f t="shared" si="245"/>
        <v>0</v>
      </c>
      <c r="N542" s="6">
        <f t="shared" si="257"/>
        <v>0</v>
      </c>
      <c r="O542" s="90">
        <f t="shared" si="246"/>
        <v>0</v>
      </c>
      <c r="P542" s="91">
        <f t="shared" si="247"/>
        <v>0</v>
      </c>
      <c r="Q542" s="6">
        <f t="shared" si="248"/>
        <v>0</v>
      </c>
      <c r="R542" s="87">
        <f t="shared" si="268"/>
        <v>0</v>
      </c>
      <c r="S542" s="6">
        <f t="shared" si="249"/>
        <v>0</v>
      </c>
      <c r="T542" s="83">
        <f t="shared" si="258"/>
        <v>0</v>
      </c>
      <c r="U542" s="91">
        <f t="shared" si="265"/>
        <v>0</v>
      </c>
      <c r="V542" s="91">
        <f t="shared" si="259"/>
        <v>0</v>
      </c>
      <c r="W542" s="1">
        <f t="shared" si="267"/>
        <v>0</v>
      </c>
      <c r="X542" s="1">
        <f t="shared" si="267"/>
        <v>0</v>
      </c>
      <c r="Y542" s="1">
        <f t="shared" si="267"/>
        <v>0</v>
      </c>
      <c r="Z542" s="1">
        <f t="shared" si="267"/>
        <v>0</v>
      </c>
      <c r="AA542" s="1">
        <f t="shared" si="267"/>
        <v>0</v>
      </c>
      <c r="AB542" s="1">
        <f t="shared" si="267"/>
        <v>0</v>
      </c>
      <c r="AC542" s="1">
        <f t="shared" si="267"/>
        <v>0</v>
      </c>
      <c r="AD542" s="1">
        <f t="shared" si="267"/>
        <v>0</v>
      </c>
      <c r="AE542" s="1">
        <f t="shared" si="267"/>
        <v>0</v>
      </c>
      <c r="AF542" s="1">
        <f t="shared" si="267"/>
        <v>0</v>
      </c>
      <c r="AG542" s="1">
        <f t="shared" si="267"/>
        <v>0</v>
      </c>
      <c r="AH542" s="1">
        <f t="shared" si="267"/>
        <v>1</v>
      </c>
      <c r="AI542" s="44">
        <f t="shared" si="260"/>
        <v>0</v>
      </c>
      <c r="AJ542" s="44">
        <f t="shared" si="250"/>
        <v>0</v>
      </c>
      <c r="AK542" s="44">
        <f t="shared" si="269"/>
        <v>0</v>
      </c>
      <c r="AL542" s="4">
        <f t="shared" si="251"/>
        <v>464</v>
      </c>
      <c r="AM542" s="82">
        <f t="shared" si="261"/>
        <v>0</v>
      </c>
      <c r="AN542" s="82">
        <f t="shared" si="252"/>
        <v>0</v>
      </c>
      <c r="AO542" s="48">
        <f>0</f>
        <v>0</v>
      </c>
      <c r="AP542" s="91">
        <f t="shared" si="262"/>
        <v>0</v>
      </c>
      <c r="AQ542" s="91">
        <f t="shared" si="263"/>
        <v>0</v>
      </c>
      <c r="AV542" s="84"/>
    </row>
    <row r="543" spans="1:48">
      <c r="A543" s="190">
        <f t="shared" si="253"/>
        <v>104.47091033538672</v>
      </c>
      <c r="B543" s="82">
        <f t="shared" si="254"/>
        <v>39</v>
      </c>
      <c r="C543" s="83">
        <f t="shared" si="255"/>
        <v>465</v>
      </c>
      <c r="D543" s="14">
        <f t="shared" si="242"/>
        <v>4.8675505653430484E-3</v>
      </c>
      <c r="E543" s="16">
        <f t="shared" si="243"/>
        <v>0</v>
      </c>
      <c r="F543" s="127"/>
      <c r="G543" s="88">
        <f t="shared" si="244"/>
        <v>0</v>
      </c>
      <c r="H543" s="89">
        <f t="shared" si="256"/>
        <v>4.1666666666666666E-3</v>
      </c>
      <c r="I543" s="219"/>
      <c r="J543" s="219"/>
      <c r="K543" s="6">
        <f t="shared" si="264"/>
        <v>0</v>
      </c>
      <c r="M543" s="6">
        <f t="shared" si="245"/>
        <v>0</v>
      </c>
      <c r="N543" s="6">
        <f t="shared" si="257"/>
        <v>0</v>
      </c>
      <c r="O543" s="90">
        <f t="shared" si="246"/>
        <v>0</v>
      </c>
      <c r="P543" s="91">
        <f t="shared" si="247"/>
        <v>0</v>
      </c>
      <c r="Q543" s="6">
        <f t="shared" si="248"/>
        <v>0</v>
      </c>
      <c r="R543" s="87">
        <f t="shared" si="268"/>
        <v>0</v>
      </c>
      <c r="S543" s="6">
        <f t="shared" si="249"/>
        <v>0</v>
      </c>
      <c r="T543" s="83">
        <f t="shared" si="258"/>
        <v>0</v>
      </c>
      <c r="U543" s="91">
        <f t="shared" si="265"/>
        <v>0</v>
      </c>
      <c r="V543" s="91">
        <f t="shared" si="259"/>
        <v>0</v>
      </c>
      <c r="W543" s="1">
        <f t="shared" si="267"/>
        <v>0</v>
      </c>
      <c r="X543" s="1">
        <f t="shared" si="267"/>
        <v>0</v>
      </c>
      <c r="Y543" s="1">
        <f t="shared" si="267"/>
        <v>0</v>
      </c>
      <c r="Z543" s="1">
        <f t="shared" si="267"/>
        <v>0</v>
      </c>
      <c r="AA543" s="1">
        <f t="shared" si="267"/>
        <v>0</v>
      </c>
      <c r="AB543" s="1">
        <f t="shared" si="267"/>
        <v>0</v>
      </c>
      <c r="AC543" s="1">
        <f t="shared" si="267"/>
        <v>0</v>
      </c>
      <c r="AD543" s="1">
        <f t="shared" si="267"/>
        <v>0</v>
      </c>
      <c r="AE543" s="1">
        <f t="shared" si="267"/>
        <v>0</v>
      </c>
      <c r="AF543" s="1">
        <f t="shared" si="267"/>
        <v>0</v>
      </c>
      <c r="AG543" s="1">
        <f t="shared" si="267"/>
        <v>0</v>
      </c>
      <c r="AH543" s="1">
        <f t="shared" si="267"/>
        <v>1</v>
      </c>
      <c r="AI543" s="44">
        <f t="shared" si="260"/>
        <v>0</v>
      </c>
      <c r="AJ543" s="44">
        <f t="shared" si="250"/>
        <v>0</v>
      </c>
      <c r="AK543" s="44">
        <f t="shared" si="269"/>
        <v>0</v>
      </c>
      <c r="AL543" s="4">
        <f t="shared" si="251"/>
        <v>465</v>
      </c>
      <c r="AM543" s="82">
        <f t="shared" si="261"/>
        <v>0</v>
      </c>
      <c r="AN543" s="82">
        <f t="shared" si="252"/>
        <v>0</v>
      </c>
      <c r="AO543" s="48">
        <f>0</f>
        <v>0</v>
      </c>
      <c r="AP543" s="91">
        <f t="shared" si="262"/>
        <v>0</v>
      </c>
      <c r="AQ543" s="91">
        <f t="shared" si="263"/>
        <v>0</v>
      </c>
      <c r="AV543" s="84"/>
    </row>
    <row r="544" spans="1:48">
      <c r="A544" s="190">
        <f t="shared" si="253"/>
        <v>104.55424366872005</v>
      </c>
      <c r="B544" s="82">
        <f t="shared" si="254"/>
        <v>39</v>
      </c>
      <c r="C544" s="83">
        <f t="shared" si="255"/>
        <v>466</v>
      </c>
      <c r="D544" s="14">
        <f t="shared" si="242"/>
        <v>4.8675505653430484E-3</v>
      </c>
      <c r="E544" s="16">
        <f t="shared" si="243"/>
        <v>0</v>
      </c>
      <c r="F544" s="127"/>
      <c r="G544" s="88">
        <f t="shared" si="244"/>
        <v>0</v>
      </c>
      <c r="H544" s="89">
        <f t="shared" si="256"/>
        <v>4.1666666666666666E-3</v>
      </c>
      <c r="I544" s="219"/>
      <c r="J544" s="219"/>
      <c r="K544" s="6">
        <f t="shared" si="264"/>
        <v>0</v>
      </c>
      <c r="M544" s="6">
        <f t="shared" si="245"/>
        <v>0</v>
      </c>
      <c r="N544" s="6">
        <f t="shared" si="257"/>
        <v>0</v>
      </c>
      <c r="O544" s="90">
        <f t="shared" si="246"/>
        <v>0</v>
      </c>
      <c r="P544" s="91">
        <f t="shared" si="247"/>
        <v>0</v>
      </c>
      <c r="Q544" s="6">
        <f t="shared" si="248"/>
        <v>0</v>
      </c>
      <c r="R544" s="87">
        <f t="shared" si="268"/>
        <v>0</v>
      </c>
      <c r="S544" s="6">
        <f t="shared" si="249"/>
        <v>0</v>
      </c>
      <c r="T544" s="83">
        <f t="shared" si="258"/>
        <v>0</v>
      </c>
      <c r="U544" s="91">
        <f t="shared" si="265"/>
        <v>0</v>
      </c>
      <c r="V544" s="91">
        <f t="shared" si="259"/>
        <v>0</v>
      </c>
      <c r="W544" s="1">
        <f t="shared" si="267"/>
        <v>0</v>
      </c>
      <c r="X544" s="1">
        <f t="shared" si="267"/>
        <v>0</v>
      </c>
      <c r="Y544" s="1">
        <f t="shared" si="267"/>
        <v>0</v>
      </c>
      <c r="Z544" s="1">
        <f t="shared" si="267"/>
        <v>0</v>
      </c>
      <c r="AA544" s="1">
        <f t="shared" si="267"/>
        <v>0</v>
      </c>
      <c r="AB544" s="1">
        <f t="shared" si="267"/>
        <v>0</v>
      </c>
      <c r="AC544" s="1">
        <f t="shared" si="267"/>
        <v>0</v>
      </c>
      <c r="AD544" s="1">
        <f t="shared" si="267"/>
        <v>0</v>
      </c>
      <c r="AE544" s="1">
        <f t="shared" si="267"/>
        <v>0</v>
      </c>
      <c r="AF544" s="1">
        <f t="shared" si="267"/>
        <v>0</v>
      </c>
      <c r="AG544" s="1">
        <f t="shared" si="267"/>
        <v>0</v>
      </c>
      <c r="AH544" s="1">
        <f t="shared" si="267"/>
        <v>1</v>
      </c>
      <c r="AI544" s="44">
        <f t="shared" si="260"/>
        <v>0</v>
      </c>
      <c r="AJ544" s="44">
        <f t="shared" si="250"/>
        <v>0</v>
      </c>
      <c r="AK544" s="44">
        <f t="shared" si="269"/>
        <v>0</v>
      </c>
      <c r="AL544" s="4">
        <f t="shared" si="251"/>
        <v>466</v>
      </c>
      <c r="AM544" s="82">
        <f t="shared" si="261"/>
        <v>0</v>
      </c>
      <c r="AN544" s="82">
        <f t="shared" si="252"/>
        <v>0</v>
      </c>
      <c r="AO544" s="48">
        <f>0</f>
        <v>0</v>
      </c>
      <c r="AP544" s="91">
        <f t="shared" si="262"/>
        <v>0</v>
      </c>
      <c r="AQ544" s="91">
        <f t="shared" si="263"/>
        <v>0</v>
      </c>
      <c r="AV544" s="84"/>
    </row>
    <row r="545" spans="1:48">
      <c r="A545" s="190">
        <f t="shared" si="253"/>
        <v>104.63757700205338</v>
      </c>
      <c r="B545" s="82">
        <f t="shared" si="254"/>
        <v>39</v>
      </c>
      <c r="C545" s="83">
        <f t="shared" si="255"/>
        <v>467</v>
      </c>
      <c r="D545" s="14">
        <f t="shared" si="242"/>
        <v>4.8675505653430484E-3</v>
      </c>
      <c r="E545" s="16">
        <f t="shared" si="243"/>
        <v>0</v>
      </c>
      <c r="F545" s="127"/>
      <c r="G545" s="88">
        <f t="shared" si="244"/>
        <v>0</v>
      </c>
      <c r="H545" s="89">
        <f t="shared" si="256"/>
        <v>4.1666666666666666E-3</v>
      </c>
      <c r="I545" s="219"/>
      <c r="J545" s="219"/>
      <c r="K545" s="6">
        <f t="shared" si="264"/>
        <v>0</v>
      </c>
      <c r="M545" s="6">
        <f t="shared" si="245"/>
        <v>0</v>
      </c>
      <c r="N545" s="6">
        <f t="shared" si="257"/>
        <v>0</v>
      </c>
      <c r="O545" s="90">
        <f t="shared" si="246"/>
        <v>0</v>
      </c>
      <c r="P545" s="91">
        <f t="shared" si="247"/>
        <v>0</v>
      </c>
      <c r="Q545" s="6">
        <f t="shared" si="248"/>
        <v>0</v>
      </c>
      <c r="R545" s="87">
        <f t="shared" si="268"/>
        <v>0</v>
      </c>
      <c r="S545" s="6">
        <f t="shared" si="249"/>
        <v>0</v>
      </c>
      <c r="T545" s="83">
        <f t="shared" si="258"/>
        <v>0</v>
      </c>
      <c r="U545" s="91">
        <f t="shared" si="265"/>
        <v>0</v>
      </c>
      <c r="V545" s="91">
        <f t="shared" si="259"/>
        <v>0</v>
      </c>
      <c r="W545" s="1">
        <f t="shared" si="267"/>
        <v>0</v>
      </c>
      <c r="X545" s="1">
        <f t="shared" si="267"/>
        <v>0</v>
      </c>
      <c r="Y545" s="1">
        <f t="shared" si="267"/>
        <v>0</v>
      </c>
      <c r="Z545" s="1">
        <f t="shared" si="267"/>
        <v>0</v>
      </c>
      <c r="AA545" s="1">
        <f t="shared" si="267"/>
        <v>0</v>
      </c>
      <c r="AB545" s="1">
        <f t="shared" si="267"/>
        <v>0</v>
      </c>
      <c r="AC545" s="1">
        <f t="shared" si="267"/>
        <v>0</v>
      </c>
      <c r="AD545" s="1">
        <f t="shared" si="267"/>
        <v>0</v>
      </c>
      <c r="AE545" s="1">
        <f t="shared" si="267"/>
        <v>0</v>
      </c>
      <c r="AF545" s="1">
        <f t="shared" si="267"/>
        <v>0</v>
      </c>
      <c r="AG545" s="1">
        <f t="shared" si="267"/>
        <v>0</v>
      </c>
      <c r="AH545" s="1">
        <f t="shared" si="267"/>
        <v>1</v>
      </c>
      <c r="AI545" s="44">
        <f t="shared" si="260"/>
        <v>0</v>
      </c>
      <c r="AJ545" s="44">
        <f t="shared" si="250"/>
        <v>0</v>
      </c>
      <c r="AK545" s="44">
        <f t="shared" si="269"/>
        <v>0</v>
      </c>
      <c r="AL545" s="4">
        <f t="shared" si="251"/>
        <v>467</v>
      </c>
      <c r="AM545" s="82">
        <f t="shared" si="261"/>
        <v>0</v>
      </c>
      <c r="AN545" s="82">
        <f t="shared" si="252"/>
        <v>0</v>
      </c>
      <c r="AO545" s="48">
        <f>0</f>
        <v>0</v>
      </c>
      <c r="AP545" s="91">
        <f t="shared" si="262"/>
        <v>0</v>
      </c>
      <c r="AQ545" s="91">
        <f t="shared" si="263"/>
        <v>0</v>
      </c>
      <c r="AV545" s="84"/>
    </row>
    <row r="546" spans="1:48">
      <c r="A546" s="190">
        <f t="shared" si="253"/>
        <v>104.72091033538672</v>
      </c>
      <c r="B546" s="82">
        <f t="shared" si="254"/>
        <v>39</v>
      </c>
      <c r="C546" s="83">
        <f t="shared" si="255"/>
        <v>468</v>
      </c>
      <c r="D546" s="14">
        <f t="shared" si="242"/>
        <v>4.8675505653430484E-3</v>
      </c>
      <c r="E546" s="16">
        <f t="shared" si="243"/>
        <v>0</v>
      </c>
      <c r="F546" s="127"/>
      <c r="G546" s="88">
        <f t="shared" si="244"/>
        <v>0</v>
      </c>
      <c r="H546" s="89">
        <f t="shared" si="256"/>
        <v>4.1666666666666666E-3</v>
      </c>
      <c r="I546" s="219"/>
      <c r="J546" s="219"/>
      <c r="K546" s="6">
        <f t="shared" si="264"/>
        <v>0</v>
      </c>
      <c r="M546" s="6">
        <f t="shared" si="245"/>
        <v>0</v>
      </c>
      <c r="N546" s="6">
        <f t="shared" si="257"/>
        <v>0</v>
      </c>
      <c r="O546" s="90">
        <f t="shared" si="246"/>
        <v>0</v>
      </c>
      <c r="P546" s="91">
        <f t="shared" si="247"/>
        <v>0</v>
      </c>
      <c r="Q546" s="6">
        <f t="shared" si="248"/>
        <v>0</v>
      </c>
      <c r="R546" s="87">
        <f t="shared" si="268"/>
        <v>0</v>
      </c>
      <c r="S546" s="6">
        <f t="shared" si="249"/>
        <v>0</v>
      </c>
      <c r="T546" s="83">
        <f t="shared" si="258"/>
        <v>0</v>
      </c>
      <c r="U546" s="91">
        <f t="shared" si="265"/>
        <v>0</v>
      </c>
      <c r="V546" s="91">
        <f t="shared" si="259"/>
        <v>0</v>
      </c>
      <c r="W546" s="1">
        <f t="shared" si="267"/>
        <v>0</v>
      </c>
      <c r="X546" s="1">
        <f t="shared" si="267"/>
        <v>0</v>
      </c>
      <c r="Y546" s="1">
        <f t="shared" si="267"/>
        <v>0</v>
      </c>
      <c r="Z546" s="1">
        <f t="shared" si="267"/>
        <v>0</v>
      </c>
      <c r="AA546" s="1">
        <f t="shared" si="267"/>
        <v>0</v>
      </c>
      <c r="AB546" s="1">
        <f t="shared" si="267"/>
        <v>0</v>
      </c>
      <c r="AC546" s="1">
        <f t="shared" si="267"/>
        <v>0</v>
      </c>
      <c r="AD546" s="1">
        <f t="shared" si="267"/>
        <v>0</v>
      </c>
      <c r="AE546" s="1">
        <f t="shared" si="267"/>
        <v>0</v>
      </c>
      <c r="AF546" s="1">
        <f t="shared" si="267"/>
        <v>0</v>
      </c>
      <c r="AG546" s="1">
        <f t="shared" si="267"/>
        <v>0</v>
      </c>
      <c r="AH546" s="1">
        <f t="shared" si="267"/>
        <v>1</v>
      </c>
      <c r="AI546" s="44">
        <f t="shared" si="260"/>
        <v>0</v>
      </c>
      <c r="AJ546" s="44">
        <f t="shared" si="250"/>
        <v>0</v>
      </c>
      <c r="AK546" s="44">
        <f t="shared" si="269"/>
        <v>0</v>
      </c>
      <c r="AL546" s="4">
        <f t="shared" si="251"/>
        <v>468</v>
      </c>
      <c r="AM546" s="82">
        <f t="shared" si="261"/>
        <v>0</v>
      </c>
      <c r="AN546" s="82">
        <f t="shared" si="252"/>
        <v>0</v>
      </c>
      <c r="AO546" s="48">
        <f>0</f>
        <v>0</v>
      </c>
      <c r="AP546" s="91">
        <f t="shared" si="262"/>
        <v>0</v>
      </c>
      <c r="AQ546" s="91">
        <f t="shared" si="263"/>
        <v>0</v>
      </c>
      <c r="AV546" s="84"/>
    </row>
    <row r="547" spans="1:48">
      <c r="A547" s="190">
        <f t="shared" si="253"/>
        <v>104.80424366872005</v>
      </c>
      <c r="B547" s="82">
        <f t="shared" si="254"/>
        <v>40</v>
      </c>
      <c r="C547" s="83">
        <f t="shared" si="255"/>
        <v>469</v>
      </c>
      <c r="D547" s="14">
        <f t="shared" si="242"/>
        <v>4.8675505653430484E-3</v>
      </c>
      <c r="E547" s="16">
        <f t="shared" si="243"/>
        <v>0</v>
      </c>
      <c r="F547" s="127"/>
      <c r="G547" s="88">
        <f t="shared" si="244"/>
        <v>0</v>
      </c>
      <c r="H547" s="89">
        <f t="shared" si="256"/>
        <v>4.1666666666666666E-3</v>
      </c>
      <c r="I547" s="219"/>
      <c r="J547" s="219"/>
      <c r="K547" s="6">
        <f t="shared" si="264"/>
        <v>0</v>
      </c>
      <c r="M547" s="6">
        <f t="shared" si="245"/>
        <v>0</v>
      </c>
      <c r="N547" s="6">
        <f t="shared" si="257"/>
        <v>0</v>
      </c>
      <c r="O547" s="90">
        <f t="shared" si="246"/>
        <v>0</v>
      </c>
      <c r="P547" s="91">
        <f t="shared" si="247"/>
        <v>0</v>
      </c>
      <c r="Q547" s="6">
        <f t="shared" si="248"/>
        <v>0</v>
      </c>
      <c r="R547" s="87">
        <f t="shared" si="268"/>
        <v>0</v>
      </c>
      <c r="S547" s="6">
        <f t="shared" si="249"/>
        <v>0</v>
      </c>
      <c r="T547" s="83">
        <f t="shared" si="258"/>
        <v>0</v>
      </c>
      <c r="U547" s="91">
        <f t="shared" si="265"/>
        <v>0</v>
      </c>
      <c r="V547" s="91">
        <f t="shared" si="259"/>
        <v>0</v>
      </c>
      <c r="W547" s="1">
        <f t="shared" si="267"/>
        <v>0</v>
      </c>
      <c r="X547" s="1">
        <f t="shared" si="267"/>
        <v>0</v>
      </c>
      <c r="Y547" s="1">
        <f t="shared" si="267"/>
        <v>0</v>
      </c>
      <c r="Z547" s="1">
        <f t="shared" si="267"/>
        <v>0</v>
      </c>
      <c r="AA547" s="1">
        <f t="shared" si="267"/>
        <v>0</v>
      </c>
      <c r="AB547" s="1">
        <f t="shared" si="267"/>
        <v>0</v>
      </c>
      <c r="AC547" s="1">
        <f t="shared" si="267"/>
        <v>0</v>
      </c>
      <c r="AD547" s="1">
        <f t="shared" si="267"/>
        <v>0</v>
      </c>
      <c r="AE547" s="1">
        <f t="shared" si="267"/>
        <v>0</v>
      </c>
      <c r="AF547" s="1">
        <f t="shared" si="267"/>
        <v>0</v>
      </c>
      <c r="AG547" s="1">
        <f t="shared" si="267"/>
        <v>0</v>
      </c>
      <c r="AH547" s="1">
        <f t="shared" si="267"/>
        <v>1</v>
      </c>
      <c r="AI547" s="44">
        <f t="shared" si="260"/>
        <v>0</v>
      </c>
      <c r="AJ547" s="44">
        <f t="shared" si="250"/>
        <v>0</v>
      </c>
      <c r="AK547" s="44">
        <f t="shared" si="269"/>
        <v>0</v>
      </c>
      <c r="AL547" s="4">
        <f t="shared" si="251"/>
        <v>469</v>
      </c>
      <c r="AM547" s="82">
        <f t="shared" si="261"/>
        <v>0</v>
      </c>
      <c r="AN547" s="82">
        <f t="shared" si="252"/>
        <v>0</v>
      </c>
      <c r="AO547" s="48">
        <f>0</f>
        <v>0</v>
      </c>
      <c r="AP547" s="91">
        <f t="shared" si="262"/>
        <v>0</v>
      </c>
      <c r="AQ547" s="91">
        <f t="shared" si="263"/>
        <v>0</v>
      </c>
      <c r="AV547" s="84"/>
    </row>
    <row r="548" spans="1:48">
      <c r="A548" s="190">
        <f t="shared" si="253"/>
        <v>104.88757700205338</v>
      </c>
      <c r="B548" s="82">
        <f t="shared" si="254"/>
        <v>40</v>
      </c>
      <c r="C548" s="83">
        <f t="shared" si="255"/>
        <v>470</v>
      </c>
      <c r="D548" s="14">
        <f t="shared" si="242"/>
        <v>4.8675505653430484E-3</v>
      </c>
      <c r="E548" s="16">
        <f t="shared" si="243"/>
        <v>0</v>
      </c>
      <c r="F548" s="127"/>
      <c r="G548" s="88">
        <f t="shared" si="244"/>
        <v>0</v>
      </c>
      <c r="H548" s="89">
        <f t="shared" si="256"/>
        <v>4.1666666666666666E-3</v>
      </c>
      <c r="I548" s="219"/>
      <c r="J548" s="219"/>
      <c r="K548" s="6">
        <f t="shared" si="264"/>
        <v>0</v>
      </c>
      <c r="M548" s="6">
        <f t="shared" si="245"/>
        <v>0</v>
      </c>
      <c r="N548" s="6">
        <f t="shared" si="257"/>
        <v>0</v>
      </c>
      <c r="O548" s="90">
        <f t="shared" si="246"/>
        <v>0</v>
      </c>
      <c r="P548" s="91">
        <f t="shared" si="247"/>
        <v>0</v>
      </c>
      <c r="Q548" s="6">
        <f t="shared" si="248"/>
        <v>0</v>
      </c>
      <c r="R548" s="87">
        <f t="shared" si="268"/>
        <v>0</v>
      </c>
      <c r="S548" s="6">
        <f t="shared" si="249"/>
        <v>0</v>
      </c>
      <c r="T548" s="83">
        <f t="shared" si="258"/>
        <v>0</v>
      </c>
      <c r="U548" s="91">
        <f t="shared" si="265"/>
        <v>0</v>
      </c>
      <c r="V548" s="91">
        <f t="shared" si="259"/>
        <v>0</v>
      </c>
      <c r="W548" s="1">
        <f t="shared" si="267"/>
        <v>0</v>
      </c>
      <c r="X548" s="1">
        <f t="shared" si="267"/>
        <v>0</v>
      </c>
      <c r="Y548" s="1">
        <f t="shared" si="267"/>
        <v>0</v>
      </c>
      <c r="Z548" s="1">
        <f t="shared" si="267"/>
        <v>0</v>
      </c>
      <c r="AA548" s="1">
        <f t="shared" si="267"/>
        <v>0</v>
      </c>
      <c r="AB548" s="1">
        <f t="shared" si="267"/>
        <v>0</v>
      </c>
      <c r="AC548" s="1">
        <f t="shared" si="267"/>
        <v>0</v>
      </c>
      <c r="AD548" s="1">
        <f t="shared" si="267"/>
        <v>0</v>
      </c>
      <c r="AE548" s="1">
        <f t="shared" si="267"/>
        <v>0</v>
      </c>
      <c r="AF548" s="1">
        <f t="shared" si="267"/>
        <v>0</v>
      </c>
      <c r="AG548" s="1">
        <f t="shared" si="267"/>
        <v>0</v>
      </c>
      <c r="AH548" s="1">
        <f t="shared" si="267"/>
        <v>1</v>
      </c>
      <c r="AI548" s="44">
        <f t="shared" si="260"/>
        <v>0</v>
      </c>
      <c r="AJ548" s="44">
        <f t="shared" si="250"/>
        <v>0</v>
      </c>
      <c r="AK548" s="44">
        <f t="shared" si="269"/>
        <v>0</v>
      </c>
      <c r="AL548" s="4">
        <f t="shared" si="251"/>
        <v>470</v>
      </c>
      <c r="AM548" s="82">
        <f t="shared" si="261"/>
        <v>0</v>
      </c>
      <c r="AN548" s="82">
        <f t="shared" si="252"/>
        <v>0</v>
      </c>
      <c r="AO548" s="48">
        <f>0</f>
        <v>0</v>
      </c>
      <c r="AP548" s="91">
        <f t="shared" si="262"/>
        <v>0</v>
      </c>
      <c r="AQ548" s="91">
        <f t="shared" si="263"/>
        <v>0</v>
      </c>
      <c r="AV548" s="84"/>
    </row>
    <row r="549" spans="1:48">
      <c r="A549" s="190">
        <f t="shared" si="253"/>
        <v>104.97091033538672</v>
      </c>
      <c r="B549" s="82">
        <f t="shared" si="254"/>
        <v>40</v>
      </c>
      <c r="C549" s="83">
        <f t="shared" si="255"/>
        <v>471</v>
      </c>
      <c r="D549" s="14">
        <f t="shared" si="242"/>
        <v>4.8675505653430484E-3</v>
      </c>
      <c r="E549" s="16">
        <f t="shared" si="243"/>
        <v>0</v>
      </c>
      <c r="F549" s="127"/>
      <c r="G549" s="88">
        <f t="shared" si="244"/>
        <v>0</v>
      </c>
      <c r="H549" s="89">
        <f t="shared" si="256"/>
        <v>4.1666666666666666E-3</v>
      </c>
      <c r="I549" s="219"/>
      <c r="J549" s="219"/>
      <c r="K549" s="6">
        <f t="shared" si="264"/>
        <v>0</v>
      </c>
      <c r="M549" s="6">
        <f t="shared" si="245"/>
        <v>0</v>
      </c>
      <c r="N549" s="6">
        <f t="shared" si="257"/>
        <v>0</v>
      </c>
      <c r="O549" s="90">
        <f t="shared" si="246"/>
        <v>0</v>
      </c>
      <c r="P549" s="91">
        <f t="shared" si="247"/>
        <v>0</v>
      </c>
      <c r="Q549" s="6">
        <f t="shared" si="248"/>
        <v>0</v>
      </c>
      <c r="R549" s="87">
        <f t="shared" si="268"/>
        <v>0</v>
      </c>
      <c r="S549" s="6">
        <f t="shared" si="249"/>
        <v>0</v>
      </c>
      <c r="T549" s="83">
        <f t="shared" si="258"/>
        <v>0</v>
      </c>
      <c r="U549" s="91">
        <f t="shared" si="265"/>
        <v>0</v>
      </c>
      <c r="V549" s="91">
        <f t="shared" si="259"/>
        <v>0</v>
      </c>
      <c r="W549" s="1">
        <f t="shared" ref="W549:AH558" si="270">IF($B549&lt;=W$78,1,0)</f>
        <v>0</v>
      </c>
      <c r="X549" s="1">
        <f t="shared" si="270"/>
        <v>0</v>
      </c>
      <c r="Y549" s="1">
        <f t="shared" si="270"/>
        <v>0</v>
      </c>
      <c r="Z549" s="1">
        <f t="shared" si="270"/>
        <v>0</v>
      </c>
      <c r="AA549" s="1">
        <f t="shared" si="270"/>
        <v>0</v>
      </c>
      <c r="AB549" s="1">
        <f t="shared" si="270"/>
        <v>0</v>
      </c>
      <c r="AC549" s="1">
        <f t="shared" si="270"/>
        <v>0</v>
      </c>
      <c r="AD549" s="1">
        <f t="shared" si="270"/>
        <v>0</v>
      </c>
      <c r="AE549" s="1">
        <f t="shared" si="270"/>
        <v>0</v>
      </c>
      <c r="AF549" s="1">
        <f t="shared" si="270"/>
        <v>0</v>
      </c>
      <c r="AG549" s="1">
        <f t="shared" si="270"/>
        <v>0</v>
      </c>
      <c r="AH549" s="1">
        <f t="shared" si="270"/>
        <v>1</v>
      </c>
      <c r="AI549" s="44">
        <f t="shared" si="260"/>
        <v>0</v>
      </c>
      <c r="AJ549" s="44">
        <f t="shared" si="250"/>
        <v>0</v>
      </c>
      <c r="AK549" s="44">
        <f t="shared" si="269"/>
        <v>0</v>
      </c>
      <c r="AL549" s="4">
        <f t="shared" si="251"/>
        <v>471</v>
      </c>
      <c r="AM549" s="82">
        <f t="shared" si="261"/>
        <v>0</v>
      </c>
      <c r="AN549" s="82">
        <f t="shared" si="252"/>
        <v>0</v>
      </c>
      <c r="AO549" s="48">
        <f>0</f>
        <v>0</v>
      </c>
      <c r="AP549" s="91">
        <f t="shared" si="262"/>
        <v>0</v>
      </c>
      <c r="AQ549" s="91">
        <f t="shared" si="263"/>
        <v>0</v>
      </c>
      <c r="AV549" s="84"/>
    </row>
    <row r="550" spans="1:48">
      <c r="A550" s="190">
        <f t="shared" si="253"/>
        <v>105.05424366872005</v>
      </c>
      <c r="B550" s="82">
        <f t="shared" si="254"/>
        <v>40</v>
      </c>
      <c r="C550" s="83">
        <f t="shared" si="255"/>
        <v>472</v>
      </c>
      <c r="D550" s="14">
        <f t="shared" si="242"/>
        <v>4.8675505653430484E-3</v>
      </c>
      <c r="E550" s="16">
        <f t="shared" si="243"/>
        <v>0</v>
      </c>
      <c r="F550" s="127"/>
      <c r="G550" s="88">
        <f t="shared" si="244"/>
        <v>0</v>
      </c>
      <c r="H550" s="89">
        <f t="shared" si="256"/>
        <v>4.1666666666666666E-3</v>
      </c>
      <c r="I550" s="219"/>
      <c r="J550" s="219"/>
      <c r="K550" s="6">
        <f t="shared" si="264"/>
        <v>0</v>
      </c>
      <c r="M550" s="6">
        <f t="shared" si="245"/>
        <v>0</v>
      </c>
      <c r="N550" s="6">
        <f t="shared" si="257"/>
        <v>0</v>
      </c>
      <c r="O550" s="90">
        <f t="shared" si="246"/>
        <v>0</v>
      </c>
      <c r="P550" s="91">
        <f t="shared" si="247"/>
        <v>0</v>
      </c>
      <c r="Q550" s="6">
        <f t="shared" si="248"/>
        <v>0</v>
      </c>
      <c r="R550" s="87">
        <f t="shared" si="268"/>
        <v>0</v>
      </c>
      <c r="S550" s="6">
        <f t="shared" si="249"/>
        <v>0</v>
      </c>
      <c r="T550" s="83">
        <f t="shared" si="258"/>
        <v>0</v>
      </c>
      <c r="U550" s="91">
        <f t="shared" si="265"/>
        <v>0</v>
      </c>
      <c r="V550" s="91">
        <f t="shared" si="259"/>
        <v>0</v>
      </c>
      <c r="W550" s="1">
        <f t="shared" si="270"/>
        <v>0</v>
      </c>
      <c r="X550" s="1">
        <f t="shared" si="270"/>
        <v>0</v>
      </c>
      <c r="Y550" s="1">
        <f t="shared" si="270"/>
        <v>0</v>
      </c>
      <c r="Z550" s="1">
        <f t="shared" si="270"/>
        <v>0</v>
      </c>
      <c r="AA550" s="1">
        <f t="shared" si="270"/>
        <v>0</v>
      </c>
      <c r="AB550" s="1">
        <f t="shared" si="270"/>
        <v>0</v>
      </c>
      <c r="AC550" s="1">
        <f t="shared" si="270"/>
        <v>0</v>
      </c>
      <c r="AD550" s="1">
        <f t="shared" si="270"/>
        <v>0</v>
      </c>
      <c r="AE550" s="1">
        <f t="shared" si="270"/>
        <v>0</v>
      </c>
      <c r="AF550" s="1">
        <f t="shared" si="270"/>
        <v>0</v>
      </c>
      <c r="AG550" s="1">
        <f t="shared" si="270"/>
        <v>0</v>
      </c>
      <c r="AH550" s="1">
        <f t="shared" si="270"/>
        <v>1</v>
      </c>
      <c r="AI550" s="44">
        <f t="shared" si="260"/>
        <v>0</v>
      </c>
      <c r="AJ550" s="44">
        <f t="shared" si="250"/>
        <v>0</v>
      </c>
      <c r="AK550" s="44">
        <f t="shared" si="269"/>
        <v>0</v>
      </c>
      <c r="AL550" s="4">
        <f t="shared" si="251"/>
        <v>472</v>
      </c>
      <c r="AM550" s="82">
        <f t="shared" si="261"/>
        <v>0</v>
      </c>
      <c r="AN550" s="82">
        <f t="shared" si="252"/>
        <v>0</v>
      </c>
      <c r="AO550" s="48">
        <f>0</f>
        <v>0</v>
      </c>
      <c r="AP550" s="91">
        <f t="shared" si="262"/>
        <v>0</v>
      </c>
      <c r="AQ550" s="91">
        <f t="shared" si="263"/>
        <v>0</v>
      </c>
      <c r="AV550" s="84"/>
    </row>
    <row r="551" spans="1:48">
      <c r="A551" s="190">
        <f t="shared" si="253"/>
        <v>105.13757700205338</v>
      </c>
      <c r="B551" s="82">
        <f t="shared" si="254"/>
        <v>40</v>
      </c>
      <c r="C551" s="83">
        <f t="shared" si="255"/>
        <v>473</v>
      </c>
      <c r="D551" s="14">
        <f t="shared" si="242"/>
        <v>4.8675505653430484E-3</v>
      </c>
      <c r="E551" s="16">
        <f t="shared" si="243"/>
        <v>0</v>
      </c>
      <c r="F551" s="127"/>
      <c r="G551" s="88">
        <f t="shared" si="244"/>
        <v>0</v>
      </c>
      <c r="H551" s="89">
        <f t="shared" si="256"/>
        <v>4.1666666666666666E-3</v>
      </c>
      <c r="I551" s="219"/>
      <c r="J551" s="219"/>
      <c r="K551" s="6">
        <f t="shared" si="264"/>
        <v>0</v>
      </c>
      <c r="M551" s="6">
        <f t="shared" si="245"/>
        <v>0</v>
      </c>
      <c r="N551" s="6">
        <f t="shared" si="257"/>
        <v>0</v>
      </c>
      <c r="O551" s="90">
        <f t="shared" si="246"/>
        <v>0</v>
      </c>
      <c r="P551" s="91">
        <f t="shared" si="247"/>
        <v>0</v>
      </c>
      <c r="Q551" s="6">
        <f t="shared" si="248"/>
        <v>0</v>
      </c>
      <c r="R551" s="87">
        <f t="shared" si="268"/>
        <v>0</v>
      </c>
      <c r="S551" s="6">
        <f t="shared" si="249"/>
        <v>0</v>
      </c>
      <c r="T551" s="83">
        <f t="shared" si="258"/>
        <v>0</v>
      </c>
      <c r="U551" s="91">
        <f t="shared" si="265"/>
        <v>0</v>
      </c>
      <c r="V551" s="91">
        <f t="shared" si="259"/>
        <v>0</v>
      </c>
      <c r="W551" s="1">
        <f t="shared" si="270"/>
        <v>0</v>
      </c>
      <c r="X551" s="1">
        <f t="shared" si="270"/>
        <v>0</v>
      </c>
      <c r="Y551" s="1">
        <f t="shared" si="270"/>
        <v>0</v>
      </c>
      <c r="Z551" s="1">
        <f t="shared" si="270"/>
        <v>0</v>
      </c>
      <c r="AA551" s="1">
        <f t="shared" si="270"/>
        <v>0</v>
      </c>
      <c r="AB551" s="1">
        <f t="shared" si="270"/>
        <v>0</v>
      </c>
      <c r="AC551" s="1">
        <f t="shared" si="270"/>
        <v>0</v>
      </c>
      <c r="AD551" s="1">
        <f t="shared" si="270"/>
        <v>0</v>
      </c>
      <c r="AE551" s="1">
        <f t="shared" si="270"/>
        <v>0</v>
      </c>
      <c r="AF551" s="1">
        <f t="shared" si="270"/>
        <v>0</v>
      </c>
      <c r="AG551" s="1">
        <f t="shared" si="270"/>
        <v>0</v>
      </c>
      <c r="AH551" s="1">
        <f t="shared" si="270"/>
        <v>1</v>
      </c>
      <c r="AI551" s="44">
        <f t="shared" si="260"/>
        <v>0</v>
      </c>
      <c r="AJ551" s="44">
        <f t="shared" si="250"/>
        <v>0</v>
      </c>
      <c r="AK551" s="44">
        <f t="shared" si="269"/>
        <v>0</v>
      </c>
      <c r="AL551" s="4">
        <f t="shared" si="251"/>
        <v>473</v>
      </c>
      <c r="AM551" s="82">
        <f t="shared" si="261"/>
        <v>0</v>
      </c>
      <c r="AN551" s="82">
        <f t="shared" si="252"/>
        <v>0</v>
      </c>
      <c r="AO551" s="48">
        <f>0</f>
        <v>0</v>
      </c>
      <c r="AP551" s="91">
        <f t="shared" si="262"/>
        <v>0</v>
      </c>
      <c r="AQ551" s="91">
        <f t="shared" si="263"/>
        <v>0</v>
      </c>
      <c r="AV551" s="84"/>
    </row>
    <row r="552" spans="1:48">
      <c r="A552" s="190">
        <f t="shared" si="253"/>
        <v>105.22091033538672</v>
      </c>
      <c r="B552" s="82">
        <f t="shared" si="254"/>
        <v>40</v>
      </c>
      <c r="C552" s="83">
        <f t="shared" si="255"/>
        <v>474</v>
      </c>
      <c r="D552" s="14">
        <f t="shared" si="242"/>
        <v>4.8675505653430484E-3</v>
      </c>
      <c r="E552" s="16">
        <f t="shared" si="243"/>
        <v>0</v>
      </c>
      <c r="F552" s="127"/>
      <c r="G552" s="88">
        <f t="shared" si="244"/>
        <v>0</v>
      </c>
      <c r="H552" s="89">
        <f t="shared" si="256"/>
        <v>4.1666666666666666E-3</v>
      </c>
      <c r="I552" s="219"/>
      <c r="J552" s="219"/>
      <c r="K552" s="6">
        <f t="shared" si="264"/>
        <v>0</v>
      </c>
      <c r="M552" s="6">
        <f t="shared" si="245"/>
        <v>0</v>
      </c>
      <c r="N552" s="6">
        <f t="shared" si="257"/>
        <v>0</v>
      </c>
      <c r="O552" s="90">
        <f t="shared" si="246"/>
        <v>0</v>
      </c>
      <c r="P552" s="91">
        <f t="shared" si="247"/>
        <v>0</v>
      </c>
      <c r="Q552" s="6">
        <f t="shared" si="248"/>
        <v>0</v>
      </c>
      <c r="R552" s="87">
        <f t="shared" si="268"/>
        <v>0</v>
      </c>
      <c r="S552" s="6">
        <f t="shared" si="249"/>
        <v>0</v>
      </c>
      <c r="T552" s="83">
        <f t="shared" si="258"/>
        <v>0</v>
      </c>
      <c r="U552" s="91">
        <f t="shared" si="265"/>
        <v>0</v>
      </c>
      <c r="V552" s="91">
        <f t="shared" si="259"/>
        <v>0</v>
      </c>
      <c r="W552" s="1">
        <f t="shared" si="270"/>
        <v>0</v>
      </c>
      <c r="X552" s="1">
        <f t="shared" si="270"/>
        <v>0</v>
      </c>
      <c r="Y552" s="1">
        <f t="shared" si="270"/>
        <v>0</v>
      </c>
      <c r="Z552" s="1">
        <f t="shared" si="270"/>
        <v>0</v>
      </c>
      <c r="AA552" s="1">
        <f t="shared" si="270"/>
        <v>0</v>
      </c>
      <c r="AB552" s="1">
        <f t="shared" si="270"/>
        <v>0</v>
      </c>
      <c r="AC552" s="1">
        <f t="shared" si="270"/>
        <v>0</v>
      </c>
      <c r="AD552" s="1">
        <f t="shared" si="270"/>
        <v>0</v>
      </c>
      <c r="AE552" s="1">
        <f t="shared" si="270"/>
        <v>0</v>
      </c>
      <c r="AF552" s="1">
        <f t="shared" si="270"/>
        <v>0</v>
      </c>
      <c r="AG552" s="1">
        <f t="shared" si="270"/>
        <v>0</v>
      </c>
      <c r="AH552" s="1">
        <f t="shared" si="270"/>
        <v>1</v>
      </c>
      <c r="AI552" s="44">
        <f t="shared" si="260"/>
        <v>0</v>
      </c>
      <c r="AJ552" s="44">
        <f t="shared" si="250"/>
        <v>0</v>
      </c>
      <c r="AK552" s="44">
        <f t="shared" si="269"/>
        <v>0</v>
      </c>
      <c r="AL552" s="4">
        <f t="shared" si="251"/>
        <v>474</v>
      </c>
      <c r="AM552" s="82">
        <f t="shared" si="261"/>
        <v>0</v>
      </c>
      <c r="AN552" s="82">
        <f t="shared" si="252"/>
        <v>0</v>
      </c>
      <c r="AO552" s="48">
        <f>0</f>
        <v>0</v>
      </c>
      <c r="AP552" s="91">
        <f t="shared" si="262"/>
        <v>0</v>
      </c>
      <c r="AQ552" s="91">
        <f t="shared" si="263"/>
        <v>0</v>
      </c>
      <c r="AV552" s="84"/>
    </row>
    <row r="553" spans="1:48">
      <c r="A553" s="190">
        <f t="shared" si="253"/>
        <v>105.30424366872005</v>
      </c>
      <c r="B553" s="82">
        <f t="shared" si="254"/>
        <v>40</v>
      </c>
      <c r="C553" s="83">
        <f t="shared" si="255"/>
        <v>475</v>
      </c>
      <c r="D553" s="14">
        <f t="shared" si="242"/>
        <v>4.8675505653430484E-3</v>
      </c>
      <c r="E553" s="16">
        <f t="shared" si="243"/>
        <v>0</v>
      </c>
      <c r="F553" s="127"/>
      <c r="G553" s="88">
        <f t="shared" si="244"/>
        <v>0</v>
      </c>
      <c r="H553" s="89">
        <f t="shared" si="256"/>
        <v>4.1666666666666666E-3</v>
      </c>
      <c r="I553" s="219"/>
      <c r="J553" s="219"/>
      <c r="K553" s="6">
        <f t="shared" si="264"/>
        <v>0</v>
      </c>
      <c r="M553" s="6">
        <f t="shared" si="245"/>
        <v>0</v>
      </c>
      <c r="N553" s="6">
        <f t="shared" si="257"/>
        <v>0</v>
      </c>
      <c r="O553" s="90">
        <f t="shared" si="246"/>
        <v>0</v>
      </c>
      <c r="P553" s="91">
        <f t="shared" si="247"/>
        <v>0</v>
      </c>
      <c r="Q553" s="6">
        <f t="shared" si="248"/>
        <v>0</v>
      </c>
      <c r="R553" s="87">
        <f t="shared" si="268"/>
        <v>0</v>
      </c>
      <c r="S553" s="6">
        <f t="shared" si="249"/>
        <v>0</v>
      </c>
      <c r="T553" s="83">
        <f t="shared" si="258"/>
        <v>0</v>
      </c>
      <c r="U553" s="91">
        <f t="shared" si="265"/>
        <v>0</v>
      </c>
      <c r="V553" s="91">
        <f t="shared" si="259"/>
        <v>0</v>
      </c>
      <c r="W553" s="1">
        <f t="shared" si="270"/>
        <v>0</v>
      </c>
      <c r="X553" s="1">
        <f t="shared" si="270"/>
        <v>0</v>
      </c>
      <c r="Y553" s="1">
        <f t="shared" si="270"/>
        <v>0</v>
      </c>
      <c r="Z553" s="1">
        <f t="shared" si="270"/>
        <v>0</v>
      </c>
      <c r="AA553" s="1">
        <f t="shared" si="270"/>
        <v>0</v>
      </c>
      <c r="AB553" s="1">
        <f t="shared" si="270"/>
        <v>0</v>
      </c>
      <c r="AC553" s="1">
        <f t="shared" si="270"/>
        <v>0</v>
      </c>
      <c r="AD553" s="1">
        <f t="shared" si="270"/>
        <v>0</v>
      </c>
      <c r="AE553" s="1">
        <f t="shared" si="270"/>
        <v>0</v>
      </c>
      <c r="AF553" s="1">
        <f t="shared" si="270"/>
        <v>0</v>
      </c>
      <c r="AG553" s="1">
        <f t="shared" si="270"/>
        <v>0</v>
      </c>
      <c r="AH553" s="1">
        <f t="shared" si="270"/>
        <v>1</v>
      </c>
      <c r="AI553" s="44">
        <f t="shared" si="260"/>
        <v>0</v>
      </c>
      <c r="AJ553" s="44">
        <f t="shared" si="250"/>
        <v>0</v>
      </c>
      <c r="AK553" s="44">
        <f t="shared" si="269"/>
        <v>0</v>
      </c>
      <c r="AL553" s="4">
        <f t="shared" si="251"/>
        <v>475</v>
      </c>
      <c r="AM553" s="82">
        <f t="shared" si="261"/>
        <v>0</v>
      </c>
      <c r="AN553" s="82">
        <f t="shared" si="252"/>
        <v>0</v>
      </c>
      <c r="AO553" s="48">
        <f>0</f>
        <v>0</v>
      </c>
      <c r="AP553" s="91">
        <f t="shared" si="262"/>
        <v>0</v>
      </c>
      <c r="AQ553" s="91">
        <f t="shared" si="263"/>
        <v>0</v>
      </c>
      <c r="AV553" s="84"/>
    </row>
    <row r="554" spans="1:48">
      <c r="A554" s="190">
        <f t="shared" si="253"/>
        <v>105.38757700205338</v>
      </c>
      <c r="B554" s="82">
        <f t="shared" si="254"/>
        <v>40</v>
      </c>
      <c r="C554" s="83">
        <f t="shared" si="255"/>
        <v>476</v>
      </c>
      <c r="D554" s="14">
        <f t="shared" si="242"/>
        <v>4.8675505653430484E-3</v>
      </c>
      <c r="E554" s="16">
        <f t="shared" si="243"/>
        <v>0</v>
      </c>
      <c r="F554" s="127"/>
      <c r="G554" s="88">
        <f t="shared" si="244"/>
        <v>0</v>
      </c>
      <c r="H554" s="89">
        <f t="shared" si="256"/>
        <v>4.1666666666666666E-3</v>
      </c>
      <c r="I554" s="219"/>
      <c r="J554" s="219"/>
      <c r="K554" s="6">
        <f t="shared" si="264"/>
        <v>0</v>
      </c>
      <c r="M554" s="6">
        <f t="shared" si="245"/>
        <v>0</v>
      </c>
      <c r="N554" s="6">
        <f t="shared" si="257"/>
        <v>0</v>
      </c>
      <c r="O554" s="90">
        <f t="shared" si="246"/>
        <v>0</v>
      </c>
      <c r="P554" s="91">
        <f t="shared" si="247"/>
        <v>0</v>
      </c>
      <c r="Q554" s="6">
        <f t="shared" si="248"/>
        <v>0</v>
      </c>
      <c r="R554" s="87">
        <f t="shared" si="268"/>
        <v>0</v>
      </c>
      <c r="S554" s="6">
        <f t="shared" si="249"/>
        <v>0</v>
      </c>
      <c r="T554" s="83">
        <f t="shared" si="258"/>
        <v>0</v>
      </c>
      <c r="U554" s="91">
        <f t="shared" si="265"/>
        <v>0</v>
      </c>
      <c r="V554" s="91">
        <f t="shared" si="259"/>
        <v>0</v>
      </c>
      <c r="W554" s="1">
        <f t="shared" si="270"/>
        <v>0</v>
      </c>
      <c r="X554" s="1">
        <f t="shared" si="270"/>
        <v>0</v>
      </c>
      <c r="Y554" s="1">
        <f t="shared" si="270"/>
        <v>0</v>
      </c>
      <c r="Z554" s="1">
        <f t="shared" si="270"/>
        <v>0</v>
      </c>
      <c r="AA554" s="1">
        <f t="shared" si="270"/>
        <v>0</v>
      </c>
      <c r="AB554" s="1">
        <f t="shared" si="270"/>
        <v>0</v>
      </c>
      <c r="AC554" s="1">
        <f t="shared" si="270"/>
        <v>0</v>
      </c>
      <c r="AD554" s="1">
        <f t="shared" si="270"/>
        <v>0</v>
      </c>
      <c r="AE554" s="1">
        <f t="shared" si="270"/>
        <v>0</v>
      </c>
      <c r="AF554" s="1">
        <f t="shared" si="270"/>
        <v>0</v>
      </c>
      <c r="AG554" s="1">
        <f t="shared" si="270"/>
        <v>0</v>
      </c>
      <c r="AH554" s="1">
        <f t="shared" si="270"/>
        <v>1</v>
      </c>
      <c r="AI554" s="44">
        <f t="shared" si="260"/>
        <v>0</v>
      </c>
      <c r="AJ554" s="44">
        <f t="shared" si="250"/>
        <v>0</v>
      </c>
      <c r="AK554" s="44">
        <f t="shared" si="269"/>
        <v>0</v>
      </c>
      <c r="AL554" s="4">
        <f t="shared" si="251"/>
        <v>476</v>
      </c>
      <c r="AM554" s="82">
        <f t="shared" si="261"/>
        <v>0</v>
      </c>
      <c r="AN554" s="82">
        <f t="shared" si="252"/>
        <v>0</v>
      </c>
      <c r="AO554" s="48">
        <f>0</f>
        <v>0</v>
      </c>
      <c r="AP554" s="91">
        <f t="shared" si="262"/>
        <v>0</v>
      </c>
      <c r="AQ554" s="91">
        <f t="shared" si="263"/>
        <v>0</v>
      </c>
      <c r="AV554" s="84"/>
    </row>
    <row r="555" spans="1:48">
      <c r="A555" s="190">
        <f t="shared" si="253"/>
        <v>105.47091033538672</v>
      </c>
      <c r="B555" s="82">
        <f t="shared" si="254"/>
        <v>40</v>
      </c>
      <c r="C555" s="83">
        <f t="shared" si="255"/>
        <v>477</v>
      </c>
      <c r="D555" s="14">
        <f t="shared" si="242"/>
        <v>4.8675505653430484E-3</v>
      </c>
      <c r="E555" s="16">
        <f t="shared" si="243"/>
        <v>0</v>
      </c>
      <c r="F555" s="127"/>
      <c r="G555" s="88">
        <f t="shared" si="244"/>
        <v>0</v>
      </c>
      <c r="H555" s="89">
        <f t="shared" si="256"/>
        <v>4.1666666666666666E-3</v>
      </c>
      <c r="I555" s="219"/>
      <c r="J555" s="219"/>
      <c r="K555" s="6">
        <f t="shared" si="264"/>
        <v>0</v>
      </c>
      <c r="M555" s="6">
        <f t="shared" si="245"/>
        <v>0</v>
      </c>
      <c r="N555" s="6">
        <f t="shared" si="257"/>
        <v>0</v>
      </c>
      <c r="O555" s="90">
        <f t="shared" si="246"/>
        <v>0</v>
      </c>
      <c r="P555" s="91">
        <f t="shared" si="247"/>
        <v>0</v>
      </c>
      <c r="Q555" s="6">
        <f t="shared" si="248"/>
        <v>0</v>
      </c>
      <c r="R555" s="87">
        <f t="shared" si="268"/>
        <v>0</v>
      </c>
      <c r="S555" s="6">
        <f t="shared" si="249"/>
        <v>0</v>
      </c>
      <c r="T555" s="83">
        <f t="shared" si="258"/>
        <v>0</v>
      </c>
      <c r="U555" s="91">
        <f t="shared" si="265"/>
        <v>0</v>
      </c>
      <c r="V555" s="91">
        <f t="shared" si="259"/>
        <v>0</v>
      </c>
      <c r="W555" s="1">
        <f t="shared" si="270"/>
        <v>0</v>
      </c>
      <c r="X555" s="1">
        <f t="shared" si="270"/>
        <v>0</v>
      </c>
      <c r="Y555" s="1">
        <f t="shared" si="270"/>
        <v>0</v>
      </c>
      <c r="Z555" s="1">
        <f t="shared" si="270"/>
        <v>0</v>
      </c>
      <c r="AA555" s="1">
        <f t="shared" si="270"/>
        <v>0</v>
      </c>
      <c r="AB555" s="1">
        <f t="shared" si="270"/>
        <v>0</v>
      </c>
      <c r="AC555" s="1">
        <f t="shared" si="270"/>
        <v>0</v>
      </c>
      <c r="AD555" s="1">
        <f t="shared" si="270"/>
        <v>0</v>
      </c>
      <c r="AE555" s="1">
        <f t="shared" si="270"/>
        <v>0</v>
      </c>
      <c r="AF555" s="1">
        <f t="shared" si="270"/>
        <v>0</v>
      </c>
      <c r="AG555" s="1">
        <f t="shared" si="270"/>
        <v>0</v>
      </c>
      <c r="AH555" s="1">
        <f t="shared" si="270"/>
        <v>1</v>
      </c>
      <c r="AI555" s="44">
        <f t="shared" si="260"/>
        <v>0</v>
      </c>
      <c r="AJ555" s="44">
        <f t="shared" si="250"/>
        <v>0</v>
      </c>
      <c r="AK555" s="44">
        <f t="shared" si="269"/>
        <v>0</v>
      </c>
      <c r="AL555" s="4">
        <f t="shared" si="251"/>
        <v>477</v>
      </c>
      <c r="AM555" s="82">
        <f t="shared" si="261"/>
        <v>0</v>
      </c>
      <c r="AN555" s="82">
        <f t="shared" si="252"/>
        <v>0</v>
      </c>
      <c r="AO555" s="48">
        <f>0</f>
        <v>0</v>
      </c>
      <c r="AP555" s="91">
        <f t="shared" si="262"/>
        <v>0</v>
      </c>
      <c r="AQ555" s="91">
        <f t="shared" si="263"/>
        <v>0</v>
      </c>
      <c r="AV555" s="84"/>
    </row>
    <row r="556" spans="1:48">
      <c r="A556" s="190">
        <f t="shared" si="253"/>
        <v>105.55424366872005</v>
      </c>
      <c r="B556" s="82">
        <f t="shared" si="254"/>
        <v>40</v>
      </c>
      <c r="C556" s="83">
        <f t="shared" si="255"/>
        <v>478</v>
      </c>
      <c r="D556" s="14">
        <f t="shared" si="242"/>
        <v>4.8675505653430484E-3</v>
      </c>
      <c r="E556" s="16">
        <f t="shared" si="243"/>
        <v>0</v>
      </c>
      <c r="F556" s="127"/>
      <c r="G556" s="88">
        <f t="shared" si="244"/>
        <v>0</v>
      </c>
      <c r="H556" s="89">
        <f t="shared" si="256"/>
        <v>4.1666666666666666E-3</v>
      </c>
      <c r="I556" s="219"/>
      <c r="J556" s="219"/>
      <c r="K556" s="6">
        <f t="shared" si="264"/>
        <v>0</v>
      </c>
      <c r="M556" s="6">
        <f t="shared" si="245"/>
        <v>0</v>
      </c>
      <c r="N556" s="6">
        <f t="shared" si="257"/>
        <v>0</v>
      </c>
      <c r="O556" s="90">
        <f t="shared" si="246"/>
        <v>0</v>
      </c>
      <c r="P556" s="91">
        <f t="shared" si="247"/>
        <v>0</v>
      </c>
      <c r="Q556" s="6">
        <f t="shared" si="248"/>
        <v>0</v>
      </c>
      <c r="R556" s="87">
        <f t="shared" si="268"/>
        <v>0</v>
      </c>
      <c r="S556" s="6">
        <f t="shared" si="249"/>
        <v>0</v>
      </c>
      <c r="T556" s="83">
        <f t="shared" si="258"/>
        <v>0</v>
      </c>
      <c r="U556" s="91">
        <f t="shared" si="265"/>
        <v>0</v>
      </c>
      <c r="V556" s="91">
        <f t="shared" si="259"/>
        <v>0</v>
      </c>
      <c r="W556" s="1">
        <f t="shared" si="270"/>
        <v>0</v>
      </c>
      <c r="X556" s="1">
        <f t="shared" si="270"/>
        <v>0</v>
      </c>
      <c r="Y556" s="1">
        <f t="shared" si="270"/>
        <v>0</v>
      </c>
      <c r="Z556" s="1">
        <f t="shared" si="270"/>
        <v>0</v>
      </c>
      <c r="AA556" s="1">
        <f t="shared" si="270"/>
        <v>0</v>
      </c>
      <c r="AB556" s="1">
        <f t="shared" si="270"/>
        <v>0</v>
      </c>
      <c r="AC556" s="1">
        <f t="shared" si="270"/>
        <v>0</v>
      </c>
      <c r="AD556" s="1">
        <f t="shared" si="270"/>
        <v>0</v>
      </c>
      <c r="AE556" s="1">
        <f t="shared" si="270"/>
        <v>0</v>
      </c>
      <c r="AF556" s="1">
        <f t="shared" si="270"/>
        <v>0</v>
      </c>
      <c r="AG556" s="1">
        <f t="shared" si="270"/>
        <v>0</v>
      </c>
      <c r="AH556" s="1">
        <f t="shared" si="270"/>
        <v>1</v>
      </c>
      <c r="AI556" s="44">
        <f t="shared" si="260"/>
        <v>0</v>
      </c>
      <c r="AJ556" s="44">
        <f t="shared" si="250"/>
        <v>0</v>
      </c>
      <c r="AK556" s="44">
        <f t="shared" si="269"/>
        <v>0</v>
      </c>
      <c r="AL556" s="4">
        <f t="shared" si="251"/>
        <v>478</v>
      </c>
      <c r="AM556" s="82">
        <f t="shared" si="261"/>
        <v>0</v>
      </c>
      <c r="AN556" s="82">
        <f t="shared" si="252"/>
        <v>0</v>
      </c>
      <c r="AO556" s="48">
        <f>0</f>
        <v>0</v>
      </c>
      <c r="AP556" s="91">
        <f t="shared" si="262"/>
        <v>0</v>
      </c>
      <c r="AQ556" s="91">
        <f t="shared" si="263"/>
        <v>0</v>
      </c>
      <c r="AV556" s="84"/>
    </row>
    <row r="557" spans="1:48">
      <c r="A557" s="190">
        <f t="shared" si="253"/>
        <v>105.63757700205338</v>
      </c>
      <c r="B557" s="82">
        <f t="shared" si="254"/>
        <v>40</v>
      </c>
      <c r="C557" s="83">
        <f t="shared" si="255"/>
        <v>479</v>
      </c>
      <c r="D557" s="14">
        <f t="shared" si="242"/>
        <v>4.8675505653430484E-3</v>
      </c>
      <c r="E557" s="16">
        <f t="shared" si="243"/>
        <v>0</v>
      </c>
      <c r="F557" s="127"/>
      <c r="G557" s="88">
        <f t="shared" si="244"/>
        <v>0</v>
      </c>
      <c r="H557" s="89">
        <f t="shared" si="256"/>
        <v>4.1666666666666666E-3</v>
      </c>
      <c r="I557" s="219"/>
      <c r="J557" s="219"/>
      <c r="K557" s="6">
        <f t="shared" si="264"/>
        <v>0</v>
      </c>
      <c r="M557" s="6">
        <f t="shared" si="245"/>
        <v>0</v>
      </c>
      <c r="N557" s="6">
        <f t="shared" si="257"/>
        <v>0</v>
      </c>
      <c r="O557" s="90">
        <f t="shared" si="246"/>
        <v>0</v>
      </c>
      <c r="P557" s="91">
        <f t="shared" si="247"/>
        <v>0</v>
      </c>
      <c r="Q557" s="6">
        <f t="shared" si="248"/>
        <v>0</v>
      </c>
      <c r="R557" s="87">
        <f t="shared" si="268"/>
        <v>0</v>
      </c>
      <c r="S557" s="6">
        <f t="shared" si="249"/>
        <v>0</v>
      </c>
      <c r="T557" s="83">
        <f t="shared" si="258"/>
        <v>0</v>
      </c>
      <c r="U557" s="91">
        <f t="shared" si="265"/>
        <v>0</v>
      </c>
      <c r="V557" s="91">
        <f t="shared" si="259"/>
        <v>0</v>
      </c>
      <c r="W557" s="1">
        <f t="shared" si="270"/>
        <v>0</v>
      </c>
      <c r="X557" s="1">
        <f t="shared" si="270"/>
        <v>0</v>
      </c>
      <c r="Y557" s="1">
        <f t="shared" si="270"/>
        <v>0</v>
      </c>
      <c r="Z557" s="1">
        <f t="shared" si="270"/>
        <v>0</v>
      </c>
      <c r="AA557" s="1">
        <f t="shared" si="270"/>
        <v>0</v>
      </c>
      <c r="AB557" s="1">
        <f t="shared" si="270"/>
        <v>0</v>
      </c>
      <c r="AC557" s="1">
        <f t="shared" si="270"/>
        <v>0</v>
      </c>
      <c r="AD557" s="1">
        <f t="shared" si="270"/>
        <v>0</v>
      </c>
      <c r="AE557" s="1">
        <f t="shared" si="270"/>
        <v>0</v>
      </c>
      <c r="AF557" s="1">
        <f t="shared" si="270"/>
        <v>0</v>
      </c>
      <c r="AG557" s="1">
        <f t="shared" si="270"/>
        <v>0</v>
      </c>
      <c r="AH557" s="1">
        <f t="shared" si="270"/>
        <v>1</v>
      </c>
      <c r="AI557" s="44">
        <f t="shared" si="260"/>
        <v>0</v>
      </c>
      <c r="AJ557" s="44">
        <f t="shared" si="250"/>
        <v>0</v>
      </c>
      <c r="AK557" s="44">
        <f t="shared" si="269"/>
        <v>0</v>
      </c>
      <c r="AL557" s="4">
        <f t="shared" si="251"/>
        <v>479</v>
      </c>
      <c r="AM557" s="82">
        <f t="shared" si="261"/>
        <v>0</v>
      </c>
      <c r="AN557" s="82">
        <f t="shared" si="252"/>
        <v>0</v>
      </c>
      <c r="AO557" s="48">
        <f>0</f>
        <v>0</v>
      </c>
      <c r="AP557" s="91">
        <f t="shared" si="262"/>
        <v>0</v>
      </c>
      <c r="AQ557" s="91">
        <f t="shared" si="263"/>
        <v>0</v>
      </c>
      <c r="AV557" s="84"/>
    </row>
    <row r="558" spans="1:48">
      <c r="A558" s="190">
        <f t="shared" si="253"/>
        <v>105.72091033538672</v>
      </c>
      <c r="B558" s="82">
        <f t="shared" si="254"/>
        <v>40</v>
      </c>
      <c r="C558" s="83">
        <f t="shared" si="255"/>
        <v>480</v>
      </c>
      <c r="D558" s="14">
        <f t="shared" si="242"/>
        <v>4.8675505653430484E-3</v>
      </c>
      <c r="E558" s="16">
        <f t="shared" si="243"/>
        <v>0</v>
      </c>
      <c r="F558" s="127"/>
      <c r="G558" s="88">
        <f t="shared" si="244"/>
        <v>0</v>
      </c>
      <c r="H558" s="89">
        <f t="shared" si="256"/>
        <v>4.1666666666666666E-3</v>
      </c>
      <c r="I558" s="219"/>
      <c r="J558" s="219"/>
      <c r="K558" s="6">
        <f t="shared" si="264"/>
        <v>0</v>
      </c>
      <c r="M558" s="6">
        <f t="shared" si="245"/>
        <v>0</v>
      </c>
      <c r="N558" s="6">
        <f t="shared" si="257"/>
        <v>0</v>
      </c>
      <c r="O558" s="90">
        <f t="shared" si="246"/>
        <v>0</v>
      </c>
      <c r="P558" s="91">
        <f t="shared" si="247"/>
        <v>0</v>
      </c>
      <c r="Q558" s="6">
        <f t="shared" si="248"/>
        <v>0</v>
      </c>
      <c r="R558" s="87">
        <f t="shared" si="268"/>
        <v>0</v>
      </c>
      <c r="S558" s="6">
        <f t="shared" si="249"/>
        <v>0</v>
      </c>
      <c r="T558" s="83">
        <f t="shared" si="258"/>
        <v>0</v>
      </c>
      <c r="U558" s="91">
        <f t="shared" si="265"/>
        <v>0</v>
      </c>
      <c r="V558" s="91">
        <f t="shared" si="259"/>
        <v>0</v>
      </c>
      <c r="W558" s="1">
        <f t="shared" si="270"/>
        <v>0</v>
      </c>
      <c r="X558" s="1">
        <f t="shared" si="270"/>
        <v>0</v>
      </c>
      <c r="Y558" s="1">
        <f t="shared" si="270"/>
        <v>0</v>
      </c>
      <c r="Z558" s="1">
        <f t="shared" si="270"/>
        <v>0</v>
      </c>
      <c r="AA558" s="1">
        <f t="shared" si="270"/>
        <v>0</v>
      </c>
      <c r="AB558" s="1">
        <f t="shared" si="270"/>
        <v>0</v>
      </c>
      <c r="AC558" s="1">
        <f t="shared" si="270"/>
        <v>0</v>
      </c>
      <c r="AD558" s="1">
        <f t="shared" si="270"/>
        <v>0</v>
      </c>
      <c r="AE558" s="1">
        <f t="shared" si="270"/>
        <v>0</v>
      </c>
      <c r="AF558" s="1">
        <f t="shared" si="270"/>
        <v>0</v>
      </c>
      <c r="AG558" s="1">
        <f t="shared" si="270"/>
        <v>0</v>
      </c>
      <c r="AH558" s="1">
        <f t="shared" si="270"/>
        <v>1</v>
      </c>
      <c r="AI558" s="44">
        <f t="shared" si="260"/>
        <v>0</v>
      </c>
      <c r="AJ558" s="44">
        <f t="shared" si="250"/>
        <v>0</v>
      </c>
      <c r="AK558" s="44">
        <f t="shared" si="269"/>
        <v>0</v>
      </c>
      <c r="AL558" s="4">
        <f t="shared" si="251"/>
        <v>480</v>
      </c>
      <c r="AM558" s="82">
        <f t="shared" si="261"/>
        <v>0</v>
      </c>
      <c r="AN558" s="82">
        <f t="shared" si="252"/>
        <v>0</v>
      </c>
      <c r="AO558" s="48">
        <f>0</f>
        <v>0</v>
      </c>
      <c r="AP558" s="91">
        <f t="shared" si="262"/>
        <v>0</v>
      </c>
      <c r="AQ558" s="91">
        <f t="shared" si="263"/>
        <v>0</v>
      </c>
      <c r="AV558" s="84"/>
    </row>
    <row r="559" spans="1:48">
      <c r="A559" s="190">
        <f t="shared" si="253"/>
        <v>105.80424366872005</v>
      </c>
      <c r="B559" s="82">
        <f t="shared" si="254"/>
        <v>41</v>
      </c>
      <c r="C559" s="83">
        <f t="shared" si="255"/>
        <v>481</v>
      </c>
      <c r="D559" s="14">
        <f t="shared" si="242"/>
        <v>4.8675505653430484E-3</v>
      </c>
      <c r="E559" s="16">
        <f t="shared" si="243"/>
        <v>0</v>
      </c>
      <c r="F559" s="127"/>
      <c r="G559" s="88">
        <f t="shared" si="244"/>
        <v>0</v>
      </c>
      <c r="H559" s="89">
        <f t="shared" si="256"/>
        <v>4.1666666666666666E-3</v>
      </c>
      <c r="I559" s="219"/>
      <c r="J559" s="219"/>
      <c r="K559" s="6">
        <f t="shared" si="264"/>
        <v>0</v>
      </c>
      <c r="M559" s="6">
        <f t="shared" si="245"/>
        <v>0</v>
      </c>
      <c r="N559" s="6">
        <f t="shared" si="257"/>
        <v>0</v>
      </c>
      <c r="O559" s="90">
        <f t="shared" si="246"/>
        <v>0</v>
      </c>
      <c r="P559" s="91">
        <f t="shared" si="247"/>
        <v>0</v>
      </c>
      <c r="Q559" s="6">
        <f t="shared" si="248"/>
        <v>0</v>
      </c>
      <c r="R559" s="87">
        <f t="shared" si="268"/>
        <v>0</v>
      </c>
      <c r="S559" s="6">
        <f t="shared" si="249"/>
        <v>0</v>
      </c>
      <c r="T559" s="83">
        <f t="shared" si="258"/>
        <v>0</v>
      </c>
      <c r="U559" s="91">
        <f t="shared" si="265"/>
        <v>0</v>
      </c>
      <c r="V559" s="91">
        <f t="shared" si="259"/>
        <v>0</v>
      </c>
      <c r="W559" s="1">
        <f t="shared" ref="W559:AH568" si="271">IF($B559&lt;=W$78,1,0)</f>
        <v>0</v>
      </c>
      <c r="X559" s="1">
        <f t="shared" si="271"/>
        <v>0</v>
      </c>
      <c r="Y559" s="1">
        <f t="shared" si="271"/>
        <v>0</v>
      </c>
      <c r="Z559" s="1">
        <f t="shared" si="271"/>
        <v>0</v>
      </c>
      <c r="AA559" s="1">
        <f t="shared" si="271"/>
        <v>0</v>
      </c>
      <c r="AB559" s="1">
        <f t="shared" si="271"/>
        <v>0</v>
      </c>
      <c r="AC559" s="1">
        <f t="shared" si="271"/>
        <v>0</v>
      </c>
      <c r="AD559" s="1">
        <f t="shared" si="271"/>
        <v>0</v>
      </c>
      <c r="AE559" s="1">
        <f t="shared" si="271"/>
        <v>0</v>
      </c>
      <c r="AF559" s="1">
        <f t="shared" si="271"/>
        <v>0</v>
      </c>
      <c r="AG559" s="1">
        <f t="shared" si="271"/>
        <v>0</v>
      </c>
      <c r="AH559" s="1">
        <f t="shared" si="271"/>
        <v>0</v>
      </c>
      <c r="AI559" s="44">
        <f t="shared" si="260"/>
        <v>0</v>
      </c>
      <c r="AJ559" s="44">
        <f t="shared" si="250"/>
        <v>0</v>
      </c>
      <c r="AK559" s="44">
        <f t="shared" si="269"/>
        <v>0</v>
      </c>
      <c r="AL559" s="4">
        <f t="shared" si="251"/>
        <v>481</v>
      </c>
      <c r="AM559" s="82">
        <f t="shared" si="261"/>
        <v>0</v>
      </c>
      <c r="AN559" s="82">
        <f t="shared" si="252"/>
        <v>0</v>
      </c>
      <c r="AO559" s="48">
        <f>0</f>
        <v>0</v>
      </c>
      <c r="AP559" s="91">
        <f t="shared" si="262"/>
        <v>0</v>
      </c>
      <c r="AQ559" s="91">
        <f t="shared" si="263"/>
        <v>0</v>
      </c>
      <c r="AV559" s="84"/>
    </row>
    <row r="560" spans="1:48">
      <c r="A560" s="190">
        <f t="shared" si="253"/>
        <v>105.88757700205338</v>
      </c>
      <c r="B560" s="82">
        <f t="shared" si="254"/>
        <v>41</v>
      </c>
      <c r="C560" s="83">
        <f t="shared" si="255"/>
        <v>482</v>
      </c>
      <c r="D560" s="14">
        <f t="shared" si="242"/>
        <v>4.8675505653430484E-3</v>
      </c>
      <c r="E560" s="16">
        <f t="shared" si="243"/>
        <v>0</v>
      </c>
      <c r="F560" s="127"/>
      <c r="G560" s="88">
        <f t="shared" si="244"/>
        <v>0</v>
      </c>
      <c r="H560" s="89">
        <f t="shared" si="256"/>
        <v>4.1666666666666666E-3</v>
      </c>
      <c r="I560" s="219"/>
      <c r="J560" s="219"/>
      <c r="K560" s="6">
        <f t="shared" si="264"/>
        <v>0</v>
      </c>
      <c r="M560" s="6">
        <f t="shared" si="245"/>
        <v>0</v>
      </c>
      <c r="N560" s="6">
        <f t="shared" si="257"/>
        <v>0</v>
      </c>
      <c r="O560" s="90">
        <f t="shared" si="246"/>
        <v>0</v>
      </c>
      <c r="P560" s="91">
        <f t="shared" si="247"/>
        <v>0</v>
      </c>
      <c r="Q560" s="6">
        <f t="shared" si="248"/>
        <v>0</v>
      </c>
      <c r="R560" s="87">
        <f t="shared" si="268"/>
        <v>0</v>
      </c>
      <c r="S560" s="6">
        <f t="shared" si="249"/>
        <v>0</v>
      </c>
      <c r="T560" s="83">
        <f t="shared" si="258"/>
        <v>0</v>
      </c>
      <c r="U560" s="91">
        <f t="shared" si="265"/>
        <v>0</v>
      </c>
      <c r="V560" s="91">
        <f t="shared" si="259"/>
        <v>0</v>
      </c>
      <c r="W560" s="1">
        <f t="shared" si="271"/>
        <v>0</v>
      </c>
      <c r="X560" s="1">
        <f t="shared" si="271"/>
        <v>0</v>
      </c>
      <c r="Y560" s="1">
        <f t="shared" si="271"/>
        <v>0</v>
      </c>
      <c r="Z560" s="1">
        <f t="shared" si="271"/>
        <v>0</v>
      </c>
      <c r="AA560" s="1">
        <f t="shared" si="271"/>
        <v>0</v>
      </c>
      <c r="AB560" s="1">
        <f t="shared" si="271"/>
        <v>0</v>
      </c>
      <c r="AC560" s="1">
        <f t="shared" si="271"/>
        <v>0</v>
      </c>
      <c r="AD560" s="1">
        <f t="shared" si="271"/>
        <v>0</v>
      </c>
      <c r="AE560" s="1">
        <f t="shared" si="271"/>
        <v>0</v>
      </c>
      <c r="AF560" s="1">
        <f t="shared" si="271"/>
        <v>0</v>
      </c>
      <c r="AG560" s="1">
        <f t="shared" si="271"/>
        <v>0</v>
      </c>
      <c r="AH560" s="1">
        <f t="shared" si="271"/>
        <v>0</v>
      </c>
      <c r="AI560" s="44">
        <f t="shared" si="260"/>
        <v>0</v>
      </c>
      <c r="AJ560" s="44">
        <f t="shared" si="250"/>
        <v>0</v>
      </c>
      <c r="AK560" s="44">
        <f t="shared" si="269"/>
        <v>0</v>
      </c>
      <c r="AL560" s="4">
        <f t="shared" si="251"/>
        <v>482</v>
      </c>
      <c r="AM560" s="82">
        <f t="shared" si="261"/>
        <v>0</v>
      </c>
      <c r="AN560" s="82">
        <f t="shared" si="252"/>
        <v>0</v>
      </c>
      <c r="AO560" s="48">
        <f>0</f>
        <v>0</v>
      </c>
      <c r="AP560" s="91">
        <f t="shared" si="262"/>
        <v>0</v>
      </c>
      <c r="AQ560" s="91">
        <f t="shared" si="263"/>
        <v>0</v>
      </c>
      <c r="AV560" s="84"/>
    </row>
    <row r="561" spans="1:48">
      <c r="A561" s="190">
        <f t="shared" si="253"/>
        <v>105.97091033538672</v>
      </c>
      <c r="B561" s="82">
        <f t="shared" si="254"/>
        <v>41</v>
      </c>
      <c r="C561" s="83">
        <f t="shared" si="255"/>
        <v>483</v>
      </c>
      <c r="D561" s="14">
        <f t="shared" si="242"/>
        <v>4.8675505653430484E-3</v>
      </c>
      <c r="E561" s="16">
        <f t="shared" si="243"/>
        <v>0</v>
      </c>
      <c r="F561" s="127"/>
      <c r="G561" s="88">
        <f t="shared" si="244"/>
        <v>0</v>
      </c>
      <c r="H561" s="89">
        <f t="shared" si="256"/>
        <v>4.1666666666666666E-3</v>
      </c>
      <c r="I561" s="219"/>
      <c r="J561" s="219"/>
      <c r="K561" s="6">
        <f t="shared" si="264"/>
        <v>0</v>
      </c>
      <c r="M561" s="6">
        <f t="shared" si="245"/>
        <v>0</v>
      </c>
      <c r="N561" s="6">
        <f t="shared" si="257"/>
        <v>0</v>
      </c>
      <c r="O561" s="90">
        <f t="shared" si="246"/>
        <v>0</v>
      </c>
      <c r="P561" s="91">
        <f t="shared" si="247"/>
        <v>0</v>
      </c>
      <c r="Q561" s="6">
        <f t="shared" si="248"/>
        <v>0</v>
      </c>
      <c r="R561" s="87">
        <f t="shared" si="268"/>
        <v>0</v>
      </c>
      <c r="S561" s="6">
        <f t="shared" si="249"/>
        <v>0</v>
      </c>
      <c r="T561" s="83">
        <f t="shared" si="258"/>
        <v>0</v>
      </c>
      <c r="U561" s="91">
        <f t="shared" si="265"/>
        <v>0</v>
      </c>
      <c r="V561" s="91">
        <f t="shared" si="259"/>
        <v>0</v>
      </c>
      <c r="W561" s="1">
        <f t="shared" si="271"/>
        <v>0</v>
      </c>
      <c r="X561" s="1">
        <f t="shared" si="271"/>
        <v>0</v>
      </c>
      <c r="Y561" s="1">
        <f t="shared" si="271"/>
        <v>0</v>
      </c>
      <c r="Z561" s="1">
        <f t="shared" si="271"/>
        <v>0</v>
      </c>
      <c r="AA561" s="1">
        <f t="shared" si="271"/>
        <v>0</v>
      </c>
      <c r="AB561" s="1">
        <f t="shared" si="271"/>
        <v>0</v>
      </c>
      <c r="AC561" s="1">
        <f t="shared" si="271"/>
        <v>0</v>
      </c>
      <c r="AD561" s="1">
        <f t="shared" si="271"/>
        <v>0</v>
      </c>
      <c r="AE561" s="1">
        <f t="shared" si="271"/>
        <v>0</v>
      </c>
      <c r="AF561" s="1">
        <f t="shared" si="271"/>
        <v>0</v>
      </c>
      <c r="AG561" s="1">
        <f t="shared" si="271"/>
        <v>0</v>
      </c>
      <c r="AH561" s="1">
        <f t="shared" si="271"/>
        <v>0</v>
      </c>
      <c r="AI561" s="44">
        <f t="shared" si="260"/>
        <v>0</v>
      </c>
      <c r="AJ561" s="44">
        <f t="shared" si="250"/>
        <v>0</v>
      </c>
      <c r="AK561" s="44">
        <f t="shared" si="269"/>
        <v>0</v>
      </c>
      <c r="AL561" s="4">
        <f t="shared" si="251"/>
        <v>483</v>
      </c>
      <c r="AM561" s="82">
        <f t="shared" si="261"/>
        <v>0</v>
      </c>
      <c r="AN561" s="82">
        <f t="shared" si="252"/>
        <v>0</v>
      </c>
      <c r="AO561" s="48">
        <f>0</f>
        <v>0</v>
      </c>
      <c r="AP561" s="91">
        <f t="shared" si="262"/>
        <v>0</v>
      </c>
      <c r="AQ561" s="91">
        <f t="shared" si="263"/>
        <v>0</v>
      </c>
      <c r="AV561" s="84"/>
    </row>
    <row r="562" spans="1:48">
      <c r="A562" s="190">
        <f t="shared" si="253"/>
        <v>106.05424366872005</v>
      </c>
      <c r="B562" s="82">
        <f t="shared" si="254"/>
        <v>41</v>
      </c>
      <c r="C562" s="83">
        <f t="shared" si="255"/>
        <v>484</v>
      </c>
      <c r="D562" s="14">
        <f t="shared" si="242"/>
        <v>4.8675505653430484E-3</v>
      </c>
      <c r="E562" s="16">
        <f t="shared" si="243"/>
        <v>0</v>
      </c>
      <c r="F562" s="127"/>
      <c r="G562" s="88">
        <f t="shared" si="244"/>
        <v>0</v>
      </c>
      <c r="H562" s="89">
        <f t="shared" si="256"/>
        <v>4.1666666666666666E-3</v>
      </c>
      <c r="I562" s="219"/>
      <c r="J562" s="219"/>
      <c r="K562" s="6">
        <f t="shared" si="264"/>
        <v>0</v>
      </c>
      <c r="M562" s="6">
        <f t="shared" si="245"/>
        <v>0</v>
      </c>
      <c r="N562" s="6">
        <f t="shared" si="257"/>
        <v>0</v>
      </c>
      <c r="O562" s="90">
        <f t="shared" si="246"/>
        <v>0</v>
      </c>
      <c r="P562" s="91">
        <f t="shared" si="247"/>
        <v>0</v>
      </c>
      <c r="Q562" s="6">
        <f t="shared" si="248"/>
        <v>0</v>
      </c>
      <c r="R562" s="87">
        <f t="shared" si="268"/>
        <v>0</v>
      </c>
      <c r="S562" s="6">
        <f t="shared" si="249"/>
        <v>0</v>
      </c>
      <c r="T562" s="83">
        <f t="shared" si="258"/>
        <v>0</v>
      </c>
      <c r="U562" s="91">
        <f t="shared" si="265"/>
        <v>0</v>
      </c>
      <c r="V562" s="91">
        <f t="shared" si="259"/>
        <v>0</v>
      </c>
      <c r="W562" s="1">
        <f t="shared" si="271"/>
        <v>0</v>
      </c>
      <c r="X562" s="1">
        <f t="shared" si="271"/>
        <v>0</v>
      </c>
      <c r="Y562" s="1">
        <f t="shared" si="271"/>
        <v>0</v>
      </c>
      <c r="Z562" s="1">
        <f t="shared" si="271"/>
        <v>0</v>
      </c>
      <c r="AA562" s="1">
        <f t="shared" si="271"/>
        <v>0</v>
      </c>
      <c r="AB562" s="1">
        <f t="shared" si="271"/>
        <v>0</v>
      </c>
      <c r="AC562" s="1">
        <f t="shared" si="271"/>
        <v>0</v>
      </c>
      <c r="AD562" s="1">
        <f t="shared" si="271"/>
        <v>0</v>
      </c>
      <c r="AE562" s="1">
        <f t="shared" si="271"/>
        <v>0</v>
      </c>
      <c r="AF562" s="1">
        <f t="shared" si="271"/>
        <v>0</v>
      </c>
      <c r="AG562" s="1">
        <f t="shared" si="271"/>
        <v>0</v>
      </c>
      <c r="AH562" s="1">
        <f t="shared" si="271"/>
        <v>0</v>
      </c>
      <c r="AI562" s="44">
        <f t="shared" si="260"/>
        <v>0</v>
      </c>
      <c r="AJ562" s="44">
        <f t="shared" si="250"/>
        <v>0</v>
      </c>
      <c r="AK562" s="44">
        <f t="shared" si="269"/>
        <v>0</v>
      </c>
      <c r="AL562" s="4">
        <f t="shared" si="251"/>
        <v>484</v>
      </c>
      <c r="AM562" s="82">
        <f t="shared" si="261"/>
        <v>0</v>
      </c>
      <c r="AN562" s="82">
        <f t="shared" si="252"/>
        <v>0</v>
      </c>
      <c r="AO562" s="48">
        <f>0</f>
        <v>0</v>
      </c>
      <c r="AP562" s="91">
        <f t="shared" si="262"/>
        <v>0</v>
      </c>
      <c r="AQ562" s="91">
        <f t="shared" si="263"/>
        <v>0</v>
      </c>
      <c r="AV562" s="84"/>
    </row>
    <row r="563" spans="1:48">
      <c r="A563" s="190">
        <f t="shared" si="253"/>
        <v>106.13757700205338</v>
      </c>
      <c r="B563" s="82">
        <f t="shared" si="254"/>
        <v>41</v>
      </c>
      <c r="C563" s="83">
        <f t="shared" si="255"/>
        <v>485</v>
      </c>
      <c r="D563" s="14">
        <f t="shared" si="242"/>
        <v>4.8675505653430484E-3</v>
      </c>
      <c r="E563" s="16">
        <f t="shared" si="243"/>
        <v>0</v>
      </c>
      <c r="F563" s="127"/>
      <c r="G563" s="88">
        <f t="shared" si="244"/>
        <v>0</v>
      </c>
      <c r="H563" s="89">
        <f t="shared" si="256"/>
        <v>4.1666666666666666E-3</v>
      </c>
      <c r="I563" s="219"/>
      <c r="J563" s="219"/>
      <c r="K563" s="6">
        <f t="shared" si="264"/>
        <v>0</v>
      </c>
      <c r="M563" s="6">
        <f t="shared" si="245"/>
        <v>0</v>
      </c>
      <c r="N563" s="6">
        <f t="shared" si="257"/>
        <v>0</v>
      </c>
      <c r="O563" s="90">
        <f t="shared" si="246"/>
        <v>0</v>
      </c>
      <c r="P563" s="91">
        <f t="shared" si="247"/>
        <v>0</v>
      </c>
      <c r="Q563" s="6">
        <f t="shared" si="248"/>
        <v>0</v>
      </c>
      <c r="R563" s="87">
        <f t="shared" si="268"/>
        <v>0</v>
      </c>
      <c r="S563" s="6">
        <f t="shared" si="249"/>
        <v>0</v>
      </c>
      <c r="T563" s="83">
        <f t="shared" si="258"/>
        <v>0</v>
      </c>
      <c r="U563" s="91">
        <f t="shared" si="265"/>
        <v>0</v>
      </c>
      <c r="V563" s="91">
        <f t="shared" si="259"/>
        <v>0</v>
      </c>
      <c r="W563" s="1">
        <f t="shared" si="271"/>
        <v>0</v>
      </c>
      <c r="X563" s="1">
        <f t="shared" si="271"/>
        <v>0</v>
      </c>
      <c r="Y563" s="1">
        <f t="shared" si="271"/>
        <v>0</v>
      </c>
      <c r="Z563" s="1">
        <f t="shared" si="271"/>
        <v>0</v>
      </c>
      <c r="AA563" s="1">
        <f t="shared" si="271"/>
        <v>0</v>
      </c>
      <c r="AB563" s="1">
        <f t="shared" si="271"/>
        <v>0</v>
      </c>
      <c r="AC563" s="1">
        <f t="shared" si="271"/>
        <v>0</v>
      </c>
      <c r="AD563" s="1">
        <f t="shared" si="271"/>
        <v>0</v>
      </c>
      <c r="AE563" s="1">
        <f t="shared" si="271"/>
        <v>0</v>
      </c>
      <c r="AF563" s="1">
        <f t="shared" si="271"/>
        <v>0</v>
      </c>
      <c r="AG563" s="1">
        <f t="shared" si="271"/>
        <v>0</v>
      </c>
      <c r="AH563" s="1">
        <f t="shared" si="271"/>
        <v>0</v>
      </c>
      <c r="AI563" s="44">
        <f t="shared" si="260"/>
        <v>0</v>
      </c>
      <c r="AJ563" s="44">
        <f t="shared" si="250"/>
        <v>0</v>
      </c>
      <c r="AK563" s="44">
        <f t="shared" si="269"/>
        <v>0</v>
      </c>
      <c r="AL563" s="4">
        <f t="shared" si="251"/>
        <v>485</v>
      </c>
      <c r="AM563" s="82">
        <f t="shared" si="261"/>
        <v>0</v>
      </c>
      <c r="AN563" s="82">
        <f t="shared" si="252"/>
        <v>0</v>
      </c>
      <c r="AO563" s="48">
        <f>0</f>
        <v>0</v>
      </c>
      <c r="AP563" s="91">
        <f t="shared" si="262"/>
        <v>0</v>
      </c>
      <c r="AQ563" s="91">
        <f t="shared" si="263"/>
        <v>0</v>
      </c>
      <c r="AV563" s="84"/>
    </row>
    <row r="564" spans="1:48">
      <c r="A564" s="190">
        <f t="shared" si="253"/>
        <v>106.22091033538672</v>
      </c>
      <c r="B564" s="82">
        <f t="shared" si="254"/>
        <v>41</v>
      </c>
      <c r="C564" s="83">
        <f t="shared" si="255"/>
        <v>486</v>
      </c>
      <c r="D564" s="14">
        <f t="shared" si="242"/>
        <v>4.8675505653430484E-3</v>
      </c>
      <c r="E564" s="16">
        <f t="shared" si="243"/>
        <v>0</v>
      </c>
      <c r="F564" s="127"/>
      <c r="G564" s="88">
        <f t="shared" si="244"/>
        <v>0</v>
      </c>
      <c r="H564" s="89">
        <f t="shared" si="256"/>
        <v>4.1666666666666666E-3</v>
      </c>
      <c r="I564" s="219"/>
      <c r="J564" s="219"/>
      <c r="K564" s="6">
        <f t="shared" si="264"/>
        <v>0</v>
      </c>
      <c r="M564" s="6">
        <f t="shared" si="245"/>
        <v>0</v>
      </c>
      <c r="N564" s="6">
        <f t="shared" si="257"/>
        <v>0</v>
      </c>
      <c r="O564" s="90">
        <f t="shared" si="246"/>
        <v>0</v>
      </c>
      <c r="P564" s="91">
        <f t="shared" si="247"/>
        <v>0</v>
      </c>
      <c r="Q564" s="6">
        <f t="shared" si="248"/>
        <v>0</v>
      </c>
      <c r="R564" s="87">
        <f t="shared" si="268"/>
        <v>0</v>
      </c>
      <c r="S564" s="6">
        <f t="shared" si="249"/>
        <v>0</v>
      </c>
      <c r="T564" s="83">
        <f t="shared" si="258"/>
        <v>0</v>
      </c>
      <c r="U564" s="91">
        <f t="shared" si="265"/>
        <v>0</v>
      </c>
      <c r="V564" s="91">
        <f t="shared" si="259"/>
        <v>0</v>
      </c>
      <c r="W564" s="1">
        <f t="shared" si="271"/>
        <v>0</v>
      </c>
      <c r="X564" s="1">
        <f t="shared" si="271"/>
        <v>0</v>
      </c>
      <c r="Y564" s="1">
        <f t="shared" si="271"/>
        <v>0</v>
      </c>
      <c r="Z564" s="1">
        <f t="shared" si="271"/>
        <v>0</v>
      </c>
      <c r="AA564" s="1">
        <f t="shared" si="271"/>
        <v>0</v>
      </c>
      <c r="AB564" s="1">
        <f t="shared" si="271"/>
        <v>0</v>
      </c>
      <c r="AC564" s="1">
        <f t="shared" si="271"/>
        <v>0</v>
      </c>
      <c r="AD564" s="1">
        <f t="shared" si="271"/>
        <v>0</v>
      </c>
      <c r="AE564" s="1">
        <f t="shared" si="271"/>
        <v>0</v>
      </c>
      <c r="AF564" s="1">
        <f t="shared" si="271"/>
        <v>0</v>
      </c>
      <c r="AG564" s="1">
        <f t="shared" si="271"/>
        <v>0</v>
      </c>
      <c r="AH564" s="1">
        <f t="shared" si="271"/>
        <v>0</v>
      </c>
      <c r="AI564" s="44">
        <f t="shared" si="260"/>
        <v>0</v>
      </c>
      <c r="AJ564" s="44">
        <f t="shared" si="250"/>
        <v>0</v>
      </c>
      <c r="AK564" s="44">
        <f t="shared" si="269"/>
        <v>0</v>
      </c>
      <c r="AL564" s="4">
        <f t="shared" si="251"/>
        <v>486</v>
      </c>
      <c r="AM564" s="82">
        <f t="shared" si="261"/>
        <v>0</v>
      </c>
      <c r="AN564" s="82">
        <f t="shared" si="252"/>
        <v>0</v>
      </c>
      <c r="AO564" s="48">
        <f>0</f>
        <v>0</v>
      </c>
      <c r="AP564" s="91">
        <f t="shared" si="262"/>
        <v>0</v>
      </c>
      <c r="AQ564" s="91">
        <f t="shared" si="263"/>
        <v>0</v>
      </c>
      <c r="AV564" s="84"/>
    </row>
    <row r="565" spans="1:48">
      <c r="A565" s="190">
        <f t="shared" si="253"/>
        <v>106.30424366872005</v>
      </c>
      <c r="B565" s="82">
        <f t="shared" si="254"/>
        <v>41</v>
      </c>
      <c r="C565" s="83">
        <f t="shared" si="255"/>
        <v>487</v>
      </c>
      <c r="D565" s="14">
        <f t="shared" si="242"/>
        <v>4.8675505653430484E-3</v>
      </c>
      <c r="E565" s="16">
        <f t="shared" si="243"/>
        <v>0</v>
      </c>
      <c r="F565" s="127"/>
      <c r="G565" s="88">
        <f t="shared" si="244"/>
        <v>0</v>
      </c>
      <c r="H565" s="89">
        <f t="shared" si="256"/>
        <v>4.1666666666666666E-3</v>
      </c>
      <c r="I565" s="219"/>
      <c r="J565" s="219"/>
      <c r="K565" s="6">
        <f t="shared" si="264"/>
        <v>0</v>
      </c>
      <c r="M565" s="6">
        <f t="shared" si="245"/>
        <v>0</v>
      </c>
      <c r="N565" s="6">
        <f t="shared" si="257"/>
        <v>0</v>
      </c>
      <c r="O565" s="90">
        <f t="shared" si="246"/>
        <v>0</v>
      </c>
      <c r="P565" s="91">
        <f t="shared" si="247"/>
        <v>0</v>
      </c>
      <c r="Q565" s="6">
        <f t="shared" si="248"/>
        <v>0</v>
      </c>
      <c r="R565" s="87">
        <f t="shared" si="268"/>
        <v>0</v>
      </c>
      <c r="S565" s="6">
        <f t="shared" si="249"/>
        <v>0</v>
      </c>
      <c r="T565" s="83">
        <f t="shared" si="258"/>
        <v>0</v>
      </c>
      <c r="U565" s="91">
        <f t="shared" si="265"/>
        <v>0</v>
      </c>
      <c r="V565" s="91">
        <f t="shared" si="259"/>
        <v>0</v>
      </c>
      <c r="W565" s="1">
        <f t="shared" si="271"/>
        <v>0</v>
      </c>
      <c r="X565" s="1">
        <f t="shared" si="271"/>
        <v>0</v>
      </c>
      <c r="Y565" s="1">
        <f t="shared" si="271"/>
        <v>0</v>
      </c>
      <c r="Z565" s="1">
        <f t="shared" si="271"/>
        <v>0</v>
      </c>
      <c r="AA565" s="1">
        <f t="shared" si="271"/>
        <v>0</v>
      </c>
      <c r="AB565" s="1">
        <f t="shared" si="271"/>
        <v>0</v>
      </c>
      <c r="AC565" s="1">
        <f t="shared" si="271"/>
        <v>0</v>
      </c>
      <c r="AD565" s="1">
        <f t="shared" si="271"/>
        <v>0</v>
      </c>
      <c r="AE565" s="1">
        <f t="shared" si="271"/>
        <v>0</v>
      </c>
      <c r="AF565" s="1">
        <f t="shared" si="271"/>
        <v>0</v>
      </c>
      <c r="AG565" s="1">
        <f t="shared" si="271"/>
        <v>0</v>
      </c>
      <c r="AH565" s="1">
        <f t="shared" si="271"/>
        <v>0</v>
      </c>
      <c r="AI565" s="44">
        <f t="shared" si="260"/>
        <v>0</v>
      </c>
      <c r="AJ565" s="44">
        <f t="shared" si="250"/>
        <v>0</v>
      </c>
      <c r="AK565" s="44">
        <f t="shared" si="269"/>
        <v>0</v>
      </c>
      <c r="AL565" s="4">
        <f t="shared" si="251"/>
        <v>487</v>
      </c>
      <c r="AM565" s="82">
        <f t="shared" si="261"/>
        <v>0</v>
      </c>
      <c r="AN565" s="82">
        <f t="shared" si="252"/>
        <v>0</v>
      </c>
      <c r="AO565" s="48">
        <f>0</f>
        <v>0</v>
      </c>
      <c r="AP565" s="91">
        <f t="shared" si="262"/>
        <v>0</v>
      </c>
      <c r="AQ565" s="91">
        <f t="shared" si="263"/>
        <v>0</v>
      </c>
      <c r="AV565" s="84"/>
    </row>
    <row r="566" spans="1:48">
      <c r="A566" s="190">
        <f t="shared" si="253"/>
        <v>106.38757700205338</v>
      </c>
      <c r="B566" s="82">
        <f t="shared" si="254"/>
        <v>41</v>
      </c>
      <c r="C566" s="83">
        <f t="shared" si="255"/>
        <v>488</v>
      </c>
      <c r="D566" s="14">
        <f t="shared" si="242"/>
        <v>4.8675505653430484E-3</v>
      </c>
      <c r="E566" s="16">
        <f t="shared" si="243"/>
        <v>0</v>
      </c>
      <c r="F566" s="127"/>
      <c r="G566" s="88">
        <f t="shared" si="244"/>
        <v>0</v>
      </c>
      <c r="H566" s="89">
        <f t="shared" si="256"/>
        <v>4.1666666666666666E-3</v>
      </c>
      <c r="I566" s="219"/>
      <c r="J566" s="219"/>
      <c r="K566" s="6">
        <f t="shared" si="264"/>
        <v>0</v>
      </c>
      <c r="M566" s="6">
        <f t="shared" si="245"/>
        <v>0</v>
      </c>
      <c r="N566" s="6">
        <f t="shared" si="257"/>
        <v>0</v>
      </c>
      <c r="O566" s="90">
        <f t="shared" si="246"/>
        <v>0</v>
      </c>
      <c r="P566" s="91">
        <f t="shared" si="247"/>
        <v>0</v>
      </c>
      <c r="Q566" s="6">
        <f t="shared" si="248"/>
        <v>0</v>
      </c>
      <c r="R566" s="87">
        <f t="shared" si="268"/>
        <v>0</v>
      </c>
      <c r="S566" s="6">
        <f t="shared" si="249"/>
        <v>0</v>
      </c>
      <c r="T566" s="83">
        <f t="shared" si="258"/>
        <v>0</v>
      </c>
      <c r="U566" s="91">
        <f t="shared" si="265"/>
        <v>0</v>
      </c>
      <c r="V566" s="91">
        <f t="shared" si="259"/>
        <v>0</v>
      </c>
      <c r="W566" s="1">
        <f t="shared" si="271"/>
        <v>0</v>
      </c>
      <c r="X566" s="1">
        <f t="shared" si="271"/>
        <v>0</v>
      </c>
      <c r="Y566" s="1">
        <f t="shared" si="271"/>
        <v>0</v>
      </c>
      <c r="Z566" s="1">
        <f t="shared" si="271"/>
        <v>0</v>
      </c>
      <c r="AA566" s="1">
        <f t="shared" si="271"/>
        <v>0</v>
      </c>
      <c r="AB566" s="1">
        <f t="shared" si="271"/>
        <v>0</v>
      </c>
      <c r="AC566" s="1">
        <f t="shared" si="271"/>
        <v>0</v>
      </c>
      <c r="AD566" s="1">
        <f t="shared" si="271"/>
        <v>0</v>
      </c>
      <c r="AE566" s="1">
        <f t="shared" si="271"/>
        <v>0</v>
      </c>
      <c r="AF566" s="1">
        <f t="shared" si="271"/>
        <v>0</v>
      </c>
      <c r="AG566" s="1">
        <f t="shared" si="271"/>
        <v>0</v>
      </c>
      <c r="AH566" s="1">
        <f t="shared" si="271"/>
        <v>0</v>
      </c>
      <c r="AI566" s="44">
        <f t="shared" si="260"/>
        <v>0</v>
      </c>
      <c r="AJ566" s="44">
        <f t="shared" si="250"/>
        <v>0</v>
      </c>
      <c r="AK566" s="44">
        <f t="shared" si="269"/>
        <v>0</v>
      </c>
      <c r="AL566" s="4">
        <f t="shared" si="251"/>
        <v>488</v>
      </c>
      <c r="AM566" s="82">
        <f t="shared" si="261"/>
        <v>0</v>
      </c>
      <c r="AN566" s="82">
        <f t="shared" si="252"/>
        <v>0</v>
      </c>
      <c r="AO566" s="48">
        <f>0</f>
        <v>0</v>
      </c>
      <c r="AP566" s="91">
        <f t="shared" si="262"/>
        <v>0</v>
      </c>
      <c r="AQ566" s="91">
        <f t="shared" si="263"/>
        <v>0</v>
      </c>
      <c r="AV566" s="84"/>
    </row>
    <row r="567" spans="1:48">
      <c r="A567" s="190">
        <f t="shared" si="253"/>
        <v>106.47091033538672</v>
      </c>
      <c r="B567" s="82">
        <f t="shared" si="254"/>
        <v>41</v>
      </c>
      <c r="C567" s="83">
        <f t="shared" si="255"/>
        <v>489</v>
      </c>
      <c r="D567" s="14">
        <f t="shared" si="242"/>
        <v>4.8675505653430484E-3</v>
      </c>
      <c r="E567" s="16">
        <f t="shared" si="243"/>
        <v>0</v>
      </c>
      <c r="F567" s="127"/>
      <c r="G567" s="88">
        <f t="shared" si="244"/>
        <v>0</v>
      </c>
      <c r="H567" s="89">
        <f t="shared" si="256"/>
        <v>4.1666666666666666E-3</v>
      </c>
      <c r="I567" s="219"/>
      <c r="J567" s="219"/>
      <c r="K567" s="6">
        <f t="shared" si="264"/>
        <v>0</v>
      </c>
      <c r="M567" s="6">
        <f t="shared" si="245"/>
        <v>0</v>
      </c>
      <c r="N567" s="6">
        <f t="shared" si="257"/>
        <v>0</v>
      </c>
      <c r="O567" s="90">
        <f t="shared" si="246"/>
        <v>0</v>
      </c>
      <c r="P567" s="91">
        <f t="shared" si="247"/>
        <v>0</v>
      </c>
      <c r="Q567" s="6">
        <f t="shared" si="248"/>
        <v>0</v>
      </c>
      <c r="R567" s="87">
        <f t="shared" si="268"/>
        <v>0</v>
      </c>
      <c r="S567" s="6">
        <f t="shared" si="249"/>
        <v>0</v>
      </c>
      <c r="T567" s="83">
        <f t="shared" si="258"/>
        <v>0</v>
      </c>
      <c r="U567" s="91">
        <f t="shared" si="265"/>
        <v>0</v>
      </c>
      <c r="V567" s="91">
        <f t="shared" si="259"/>
        <v>0</v>
      </c>
      <c r="W567" s="1">
        <f t="shared" si="271"/>
        <v>0</v>
      </c>
      <c r="X567" s="1">
        <f t="shared" si="271"/>
        <v>0</v>
      </c>
      <c r="Y567" s="1">
        <f t="shared" si="271"/>
        <v>0</v>
      </c>
      <c r="Z567" s="1">
        <f t="shared" si="271"/>
        <v>0</v>
      </c>
      <c r="AA567" s="1">
        <f t="shared" si="271"/>
        <v>0</v>
      </c>
      <c r="AB567" s="1">
        <f t="shared" si="271"/>
        <v>0</v>
      </c>
      <c r="AC567" s="1">
        <f t="shared" si="271"/>
        <v>0</v>
      </c>
      <c r="AD567" s="1">
        <f t="shared" si="271"/>
        <v>0</v>
      </c>
      <c r="AE567" s="1">
        <f t="shared" si="271"/>
        <v>0</v>
      </c>
      <c r="AF567" s="1">
        <f t="shared" si="271"/>
        <v>0</v>
      </c>
      <c r="AG567" s="1">
        <f t="shared" si="271"/>
        <v>0</v>
      </c>
      <c r="AH567" s="1">
        <f t="shared" si="271"/>
        <v>0</v>
      </c>
      <c r="AI567" s="44">
        <f t="shared" si="260"/>
        <v>0</v>
      </c>
      <c r="AJ567" s="44">
        <f t="shared" si="250"/>
        <v>0</v>
      </c>
      <c r="AK567" s="44">
        <f t="shared" si="269"/>
        <v>0</v>
      </c>
      <c r="AL567" s="4">
        <f t="shared" si="251"/>
        <v>489</v>
      </c>
      <c r="AM567" s="82">
        <f t="shared" si="261"/>
        <v>0</v>
      </c>
      <c r="AN567" s="82">
        <f t="shared" si="252"/>
        <v>0</v>
      </c>
      <c r="AO567" s="48">
        <f>0</f>
        <v>0</v>
      </c>
      <c r="AP567" s="91">
        <f t="shared" si="262"/>
        <v>0</v>
      </c>
      <c r="AQ567" s="91">
        <f t="shared" si="263"/>
        <v>0</v>
      </c>
      <c r="AV567" s="84"/>
    </row>
    <row r="568" spans="1:48">
      <c r="A568" s="190">
        <f t="shared" si="253"/>
        <v>106.55424366872005</v>
      </c>
      <c r="B568" s="82">
        <f t="shared" si="254"/>
        <v>41</v>
      </c>
      <c r="C568" s="83">
        <f t="shared" si="255"/>
        <v>490</v>
      </c>
      <c r="D568" s="14">
        <f t="shared" si="242"/>
        <v>4.8675505653430484E-3</v>
      </c>
      <c r="E568" s="16">
        <f t="shared" si="243"/>
        <v>0</v>
      </c>
      <c r="F568" s="127"/>
      <c r="G568" s="88">
        <f t="shared" si="244"/>
        <v>0</v>
      </c>
      <c r="H568" s="89">
        <f t="shared" si="256"/>
        <v>4.1666666666666666E-3</v>
      </c>
      <c r="I568" s="219"/>
      <c r="J568" s="219"/>
      <c r="K568" s="6">
        <f t="shared" si="264"/>
        <v>0</v>
      </c>
      <c r="M568" s="6">
        <f t="shared" si="245"/>
        <v>0</v>
      </c>
      <c r="N568" s="6">
        <f t="shared" si="257"/>
        <v>0</v>
      </c>
      <c r="O568" s="90">
        <f t="shared" si="246"/>
        <v>0</v>
      </c>
      <c r="P568" s="91">
        <f t="shared" si="247"/>
        <v>0</v>
      </c>
      <c r="Q568" s="6">
        <f t="shared" si="248"/>
        <v>0</v>
      </c>
      <c r="R568" s="87">
        <f t="shared" si="268"/>
        <v>0</v>
      </c>
      <c r="S568" s="6">
        <f t="shared" si="249"/>
        <v>0</v>
      </c>
      <c r="T568" s="83">
        <f t="shared" si="258"/>
        <v>0</v>
      </c>
      <c r="U568" s="91">
        <f t="shared" si="265"/>
        <v>0</v>
      </c>
      <c r="V568" s="91">
        <f t="shared" si="259"/>
        <v>0</v>
      </c>
      <c r="W568" s="1">
        <f t="shared" si="271"/>
        <v>0</v>
      </c>
      <c r="X568" s="1">
        <f t="shared" si="271"/>
        <v>0</v>
      </c>
      <c r="Y568" s="1">
        <f t="shared" si="271"/>
        <v>0</v>
      </c>
      <c r="Z568" s="1">
        <f t="shared" si="271"/>
        <v>0</v>
      </c>
      <c r="AA568" s="1">
        <f t="shared" si="271"/>
        <v>0</v>
      </c>
      <c r="AB568" s="1">
        <f t="shared" si="271"/>
        <v>0</v>
      </c>
      <c r="AC568" s="1">
        <f t="shared" si="271"/>
        <v>0</v>
      </c>
      <c r="AD568" s="1">
        <f t="shared" si="271"/>
        <v>0</v>
      </c>
      <c r="AE568" s="1">
        <f t="shared" si="271"/>
        <v>0</v>
      </c>
      <c r="AF568" s="1">
        <f t="shared" si="271"/>
        <v>0</v>
      </c>
      <c r="AG568" s="1">
        <f t="shared" si="271"/>
        <v>0</v>
      </c>
      <c r="AH568" s="1">
        <f t="shared" si="271"/>
        <v>0</v>
      </c>
      <c r="AI568" s="44">
        <f t="shared" si="260"/>
        <v>0</v>
      </c>
      <c r="AJ568" s="44">
        <f t="shared" si="250"/>
        <v>0</v>
      </c>
      <c r="AK568" s="44">
        <f t="shared" si="269"/>
        <v>0</v>
      </c>
      <c r="AL568" s="4">
        <f t="shared" si="251"/>
        <v>490</v>
      </c>
      <c r="AM568" s="82">
        <f t="shared" si="261"/>
        <v>0</v>
      </c>
      <c r="AN568" s="82">
        <f t="shared" si="252"/>
        <v>0</v>
      </c>
      <c r="AO568" s="48">
        <f>0</f>
        <v>0</v>
      </c>
      <c r="AP568" s="91">
        <f t="shared" si="262"/>
        <v>0</v>
      </c>
      <c r="AQ568" s="91">
        <f t="shared" si="263"/>
        <v>0</v>
      </c>
      <c r="AV568" s="84"/>
    </row>
    <row r="569" spans="1:48">
      <c r="A569" s="190">
        <f t="shared" si="253"/>
        <v>106.63757700205338</v>
      </c>
      <c r="B569" s="82">
        <f t="shared" si="254"/>
        <v>41</v>
      </c>
      <c r="C569" s="83">
        <f t="shared" si="255"/>
        <v>491</v>
      </c>
      <c r="D569" s="14">
        <f t="shared" si="242"/>
        <v>4.8675505653430484E-3</v>
      </c>
      <c r="E569" s="16">
        <f t="shared" si="243"/>
        <v>0</v>
      </c>
      <c r="F569" s="127"/>
      <c r="G569" s="88">
        <f t="shared" si="244"/>
        <v>0</v>
      </c>
      <c r="H569" s="89">
        <f t="shared" si="256"/>
        <v>4.1666666666666666E-3</v>
      </c>
      <c r="I569" s="219"/>
      <c r="J569" s="219"/>
      <c r="K569" s="6">
        <f t="shared" si="264"/>
        <v>0</v>
      </c>
      <c r="M569" s="6">
        <f t="shared" si="245"/>
        <v>0</v>
      </c>
      <c r="N569" s="6">
        <f t="shared" si="257"/>
        <v>0</v>
      </c>
      <c r="O569" s="90">
        <f t="shared" si="246"/>
        <v>0</v>
      </c>
      <c r="P569" s="91">
        <f t="shared" si="247"/>
        <v>0</v>
      </c>
      <c r="Q569" s="6">
        <f t="shared" si="248"/>
        <v>0</v>
      </c>
      <c r="R569" s="87">
        <f t="shared" si="268"/>
        <v>0</v>
      </c>
      <c r="S569" s="6">
        <f t="shared" si="249"/>
        <v>0</v>
      </c>
      <c r="T569" s="83">
        <f t="shared" si="258"/>
        <v>0</v>
      </c>
      <c r="U569" s="91">
        <f t="shared" si="265"/>
        <v>0</v>
      </c>
      <c r="V569" s="91">
        <f t="shared" si="259"/>
        <v>0</v>
      </c>
      <c r="W569" s="1">
        <f t="shared" ref="W569:AH578" si="272">IF($B569&lt;=W$78,1,0)</f>
        <v>0</v>
      </c>
      <c r="X569" s="1">
        <f t="shared" si="272"/>
        <v>0</v>
      </c>
      <c r="Y569" s="1">
        <f t="shared" si="272"/>
        <v>0</v>
      </c>
      <c r="Z569" s="1">
        <f t="shared" si="272"/>
        <v>0</v>
      </c>
      <c r="AA569" s="1">
        <f t="shared" si="272"/>
        <v>0</v>
      </c>
      <c r="AB569" s="1">
        <f t="shared" si="272"/>
        <v>0</v>
      </c>
      <c r="AC569" s="1">
        <f t="shared" si="272"/>
        <v>0</v>
      </c>
      <c r="AD569" s="1">
        <f t="shared" si="272"/>
        <v>0</v>
      </c>
      <c r="AE569" s="1">
        <f t="shared" si="272"/>
        <v>0</v>
      </c>
      <c r="AF569" s="1">
        <f t="shared" si="272"/>
        <v>0</v>
      </c>
      <c r="AG569" s="1">
        <f t="shared" si="272"/>
        <v>0</v>
      </c>
      <c r="AH569" s="1">
        <f t="shared" si="272"/>
        <v>0</v>
      </c>
      <c r="AI569" s="44">
        <f t="shared" si="260"/>
        <v>0</v>
      </c>
      <c r="AJ569" s="44">
        <f t="shared" si="250"/>
        <v>0</v>
      </c>
      <c r="AK569" s="44">
        <f t="shared" si="269"/>
        <v>0</v>
      </c>
      <c r="AL569" s="4">
        <f t="shared" si="251"/>
        <v>491</v>
      </c>
      <c r="AM569" s="82">
        <f t="shared" si="261"/>
        <v>0</v>
      </c>
      <c r="AN569" s="82">
        <f t="shared" si="252"/>
        <v>0</v>
      </c>
      <c r="AO569" s="48">
        <f>0</f>
        <v>0</v>
      </c>
      <c r="AP569" s="91">
        <f t="shared" si="262"/>
        <v>0</v>
      </c>
      <c r="AQ569" s="91">
        <f t="shared" si="263"/>
        <v>0</v>
      </c>
      <c r="AV569" s="84"/>
    </row>
    <row r="570" spans="1:48">
      <c r="A570" s="190">
        <f t="shared" si="253"/>
        <v>106.72091033538672</v>
      </c>
      <c r="B570" s="82">
        <f t="shared" si="254"/>
        <v>41</v>
      </c>
      <c r="C570" s="83">
        <f t="shared" si="255"/>
        <v>492</v>
      </c>
      <c r="D570" s="14">
        <f t="shared" si="242"/>
        <v>4.8675505653430484E-3</v>
      </c>
      <c r="E570" s="16">
        <f t="shared" si="243"/>
        <v>0</v>
      </c>
      <c r="F570" s="127"/>
      <c r="G570" s="88">
        <f t="shared" si="244"/>
        <v>0</v>
      </c>
      <c r="H570" s="89">
        <f t="shared" si="256"/>
        <v>4.1666666666666666E-3</v>
      </c>
      <c r="I570" s="219"/>
      <c r="J570" s="219"/>
      <c r="K570" s="6">
        <f t="shared" si="264"/>
        <v>0</v>
      </c>
      <c r="M570" s="6">
        <f t="shared" si="245"/>
        <v>0</v>
      </c>
      <c r="N570" s="6">
        <f t="shared" si="257"/>
        <v>0</v>
      </c>
      <c r="O570" s="90">
        <f t="shared" si="246"/>
        <v>0</v>
      </c>
      <c r="P570" s="91">
        <f t="shared" si="247"/>
        <v>0</v>
      </c>
      <c r="Q570" s="6">
        <f t="shared" si="248"/>
        <v>0</v>
      </c>
      <c r="R570" s="87">
        <f t="shared" si="268"/>
        <v>0</v>
      </c>
      <c r="S570" s="6">
        <f t="shared" si="249"/>
        <v>0</v>
      </c>
      <c r="T570" s="83">
        <f t="shared" si="258"/>
        <v>0</v>
      </c>
      <c r="U570" s="91">
        <f t="shared" si="265"/>
        <v>0</v>
      </c>
      <c r="V570" s="91">
        <f t="shared" si="259"/>
        <v>0</v>
      </c>
      <c r="W570" s="1">
        <f t="shared" si="272"/>
        <v>0</v>
      </c>
      <c r="X570" s="1">
        <f t="shared" si="272"/>
        <v>0</v>
      </c>
      <c r="Y570" s="1">
        <f t="shared" si="272"/>
        <v>0</v>
      </c>
      <c r="Z570" s="1">
        <f t="shared" si="272"/>
        <v>0</v>
      </c>
      <c r="AA570" s="1">
        <f t="shared" si="272"/>
        <v>0</v>
      </c>
      <c r="AB570" s="1">
        <f t="shared" si="272"/>
        <v>0</v>
      </c>
      <c r="AC570" s="1">
        <f t="shared" si="272"/>
        <v>0</v>
      </c>
      <c r="AD570" s="1">
        <f t="shared" si="272"/>
        <v>0</v>
      </c>
      <c r="AE570" s="1">
        <f t="shared" si="272"/>
        <v>0</v>
      </c>
      <c r="AF570" s="1">
        <f t="shared" si="272"/>
        <v>0</v>
      </c>
      <c r="AG570" s="1">
        <f t="shared" si="272"/>
        <v>0</v>
      </c>
      <c r="AH570" s="1">
        <f t="shared" si="272"/>
        <v>0</v>
      </c>
      <c r="AI570" s="44">
        <f t="shared" si="260"/>
        <v>0</v>
      </c>
      <c r="AJ570" s="44">
        <f t="shared" si="250"/>
        <v>0</v>
      </c>
      <c r="AK570" s="44">
        <f t="shared" si="269"/>
        <v>0</v>
      </c>
      <c r="AL570" s="4">
        <f t="shared" si="251"/>
        <v>492</v>
      </c>
      <c r="AM570" s="82">
        <f t="shared" si="261"/>
        <v>0</v>
      </c>
      <c r="AN570" s="82">
        <f t="shared" si="252"/>
        <v>0</v>
      </c>
      <c r="AO570" s="48">
        <f>0</f>
        <v>0</v>
      </c>
      <c r="AP570" s="91">
        <f t="shared" si="262"/>
        <v>0</v>
      </c>
      <c r="AQ570" s="91">
        <f t="shared" si="263"/>
        <v>0</v>
      </c>
      <c r="AV570" s="84"/>
    </row>
    <row r="571" spans="1:48">
      <c r="A571" s="190">
        <f t="shared" si="253"/>
        <v>106.80424366872005</v>
      </c>
      <c r="B571" s="82">
        <f t="shared" si="254"/>
        <v>42</v>
      </c>
      <c r="C571" s="83">
        <f t="shared" si="255"/>
        <v>493</v>
      </c>
      <c r="D571" s="14">
        <f t="shared" si="242"/>
        <v>4.8675505653430484E-3</v>
      </c>
      <c r="E571" s="16">
        <f t="shared" si="243"/>
        <v>0</v>
      </c>
      <c r="F571" s="127"/>
      <c r="G571" s="88">
        <f t="shared" si="244"/>
        <v>0</v>
      </c>
      <c r="H571" s="89">
        <f t="shared" si="256"/>
        <v>4.1666666666666666E-3</v>
      </c>
      <c r="I571" s="219"/>
      <c r="J571" s="219"/>
      <c r="K571" s="6">
        <f t="shared" si="264"/>
        <v>0</v>
      </c>
      <c r="M571" s="6">
        <f t="shared" si="245"/>
        <v>0</v>
      </c>
      <c r="N571" s="6">
        <f t="shared" si="257"/>
        <v>0</v>
      </c>
      <c r="O571" s="90">
        <f t="shared" si="246"/>
        <v>0</v>
      </c>
      <c r="P571" s="91">
        <f t="shared" si="247"/>
        <v>0</v>
      </c>
      <c r="Q571" s="6">
        <f t="shared" si="248"/>
        <v>0</v>
      </c>
      <c r="R571" s="87">
        <f t="shared" si="268"/>
        <v>0</v>
      </c>
      <c r="S571" s="6">
        <f t="shared" si="249"/>
        <v>0</v>
      </c>
      <c r="T571" s="83">
        <f t="shared" si="258"/>
        <v>0</v>
      </c>
      <c r="U571" s="91">
        <f t="shared" si="265"/>
        <v>0</v>
      </c>
      <c r="V571" s="91">
        <f t="shared" si="259"/>
        <v>0</v>
      </c>
      <c r="W571" s="1">
        <f t="shared" si="272"/>
        <v>0</v>
      </c>
      <c r="X571" s="1">
        <f t="shared" si="272"/>
        <v>0</v>
      </c>
      <c r="Y571" s="1">
        <f t="shared" si="272"/>
        <v>0</v>
      </c>
      <c r="Z571" s="1">
        <f t="shared" si="272"/>
        <v>0</v>
      </c>
      <c r="AA571" s="1">
        <f t="shared" si="272"/>
        <v>0</v>
      </c>
      <c r="AB571" s="1">
        <f t="shared" si="272"/>
        <v>0</v>
      </c>
      <c r="AC571" s="1">
        <f t="shared" si="272"/>
        <v>0</v>
      </c>
      <c r="AD571" s="1">
        <f t="shared" si="272"/>
        <v>0</v>
      </c>
      <c r="AE571" s="1">
        <f t="shared" si="272"/>
        <v>0</v>
      </c>
      <c r="AF571" s="1">
        <f t="shared" si="272"/>
        <v>0</v>
      </c>
      <c r="AG571" s="1">
        <f t="shared" si="272"/>
        <v>0</v>
      </c>
      <c r="AH571" s="1">
        <f t="shared" si="272"/>
        <v>0</v>
      </c>
      <c r="AI571" s="44">
        <f t="shared" si="260"/>
        <v>0</v>
      </c>
      <c r="AJ571" s="44">
        <f t="shared" si="250"/>
        <v>0</v>
      </c>
      <c r="AK571" s="44">
        <f t="shared" si="269"/>
        <v>0</v>
      </c>
      <c r="AL571" s="4">
        <f t="shared" si="251"/>
        <v>493</v>
      </c>
      <c r="AM571" s="82">
        <f t="shared" si="261"/>
        <v>0</v>
      </c>
      <c r="AN571" s="82">
        <f t="shared" si="252"/>
        <v>0</v>
      </c>
      <c r="AO571" s="48">
        <f>0</f>
        <v>0</v>
      </c>
      <c r="AP571" s="91">
        <f t="shared" si="262"/>
        <v>0</v>
      </c>
      <c r="AQ571" s="91">
        <f t="shared" si="263"/>
        <v>0</v>
      </c>
      <c r="AV571" s="84"/>
    </row>
    <row r="572" spans="1:48">
      <c r="A572" s="190">
        <f t="shared" si="253"/>
        <v>106.88757700205338</v>
      </c>
      <c r="B572" s="82">
        <f t="shared" si="254"/>
        <v>42</v>
      </c>
      <c r="C572" s="83">
        <f t="shared" si="255"/>
        <v>494</v>
      </c>
      <c r="D572" s="14">
        <f t="shared" si="242"/>
        <v>4.8675505653430484E-3</v>
      </c>
      <c r="E572" s="16">
        <f t="shared" si="243"/>
        <v>0</v>
      </c>
      <c r="F572" s="127"/>
      <c r="G572" s="88">
        <f t="shared" si="244"/>
        <v>0</v>
      </c>
      <c r="H572" s="89">
        <f t="shared" si="256"/>
        <v>4.1666666666666666E-3</v>
      </c>
      <c r="I572" s="219"/>
      <c r="J572" s="219"/>
      <c r="K572" s="6">
        <f t="shared" si="264"/>
        <v>0</v>
      </c>
      <c r="M572" s="6">
        <f t="shared" si="245"/>
        <v>0</v>
      </c>
      <c r="N572" s="6">
        <f t="shared" si="257"/>
        <v>0</v>
      </c>
      <c r="O572" s="90">
        <f t="shared" si="246"/>
        <v>0</v>
      </c>
      <c r="P572" s="91">
        <f t="shared" si="247"/>
        <v>0</v>
      </c>
      <c r="Q572" s="6">
        <f t="shared" si="248"/>
        <v>0</v>
      </c>
      <c r="R572" s="87">
        <f t="shared" si="268"/>
        <v>0</v>
      </c>
      <c r="S572" s="6">
        <f t="shared" si="249"/>
        <v>0</v>
      </c>
      <c r="T572" s="83">
        <f t="shared" si="258"/>
        <v>0</v>
      </c>
      <c r="U572" s="91">
        <f t="shared" si="265"/>
        <v>0</v>
      </c>
      <c r="V572" s="91">
        <f t="shared" si="259"/>
        <v>0</v>
      </c>
      <c r="W572" s="1">
        <f t="shared" si="272"/>
        <v>0</v>
      </c>
      <c r="X572" s="1">
        <f t="shared" si="272"/>
        <v>0</v>
      </c>
      <c r="Y572" s="1">
        <f t="shared" si="272"/>
        <v>0</v>
      </c>
      <c r="Z572" s="1">
        <f t="shared" si="272"/>
        <v>0</v>
      </c>
      <c r="AA572" s="1">
        <f t="shared" si="272"/>
        <v>0</v>
      </c>
      <c r="AB572" s="1">
        <f t="shared" si="272"/>
        <v>0</v>
      </c>
      <c r="AC572" s="1">
        <f t="shared" si="272"/>
        <v>0</v>
      </c>
      <c r="AD572" s="1">
        <f t="shared" si="272"/>
        <v>0</v>
      </c>
      <c r="AE572" s="1">
        <f t="shared" si="272"/>
        <v>0</v>
      </c>
      <c r="AF572" s="1">
        <f t="shared" si="272"/>
        <v>0</v>
      </c>
      <c r="AG572" s="1">
        <f t="shared" si="272"/>
        <v>0</v>
      </c>
      <c r="AH572" s="1">
        <f t="shared" si="272"/>
        <v>0</v>
      </c>
      <c r="AI572" s="44">
        <f t="shared" si="260"/>
        <v>0</v>
      </c>
      <c r="AJ572" s="44">
        <f t="shared" si="250"/>
        <v>0</v>
      </c>
      <c r="AK572" s="44">
        <f t="shared" si="269"/>
        <v>0</v>
      </c>
      <c r="AL572" s="4">
        <f t="shared" si="251"/>
        <v>494</v>
      </c>
      <c r="AM572" s="82">
        <f t="shared" si="261"/>
        <v>0</v>
      </c>
      <c r="AN572" s="82">
        <f t="shared" si="252"/>
        <v>0</v>
      </c>
      <c r="AO572" s="48">
        <f>0</f>
        <v>0</v>
      </c>
      <c r="AP572" s="91">
        <f t="shared" si="262"/>
        <v>0</v>
      </c>
      <c r="AQ572" s="91">
        <f t="shared" si="263"/>
        <v>0</v>
      </c>
      <c r="AV572" s="84"/>
    </row>
    <row r="573" spans="1:48">
      <c r="A573" s="190">
        <f t="shared" si="253"/>
        <v>106.97091033538672</v>
      </c>
      <c r="B573" s="82">
        <f t="shared" si="254"/>
        <v>42</v>
      </c>
      <c r="C573" s="83">
        <f t="shared" si="255"/>
        <v>495</v>
      </c>
      <c r="D573" s="14">
        <f t="shared" si="242"/>
        <v>4.8675505653430484E-3</v>
      </c>
      <c r="E573" s="16">
        <f t="shared" si="243"/>
        <v>0</v>
      </c>
      <c r="F573" s="127"/>
      <c r="G573" s="88">
        <f t="shared" si="244"/>
        <v>0</v>
      </c>
      <c r="H573" s="89">
        <f t="shared" si="256"/>
        <v>4.1666666666666666E-3</v>
      </c>
      <c r="I573" s="219"/>
      <c r="J573" s="219"/>
      <c r="K573" s="6">
        <f t="shared" si="264"/>
        <v>0</v>
      </c>
      <c r="M573" s="6">
        <f t="shared" si="245"/>
        <v>0</v>
      </c>
      <c r="N573" s="6">
        <f t="shared" si="257"/>
        <v>0</v>
      </c>
      <c r="O573" s="90">
        <f t="shared" si="246"/>
        <v>0</v>
      </c>
      <c r="P573" s="91">
        <f t="shared" si="247"/>
        <v>0</v>
      </c>
      <c r="Q573" s="6">
        <f t="shared" si="248"/>
        <v>0</v>
      </c>
      <c r="R573" s="87">
        <f t="shared" si="268"/>
        <v>0</v>
      </c>
      <c r="S573" s="6">
        <f t="shared" si="249"/>
        <v>0</v>
      </c>
      <c r="T573" s="83">
        <f t="shared" si="258"/>
        <v>0</v>
      </c>
      <c r="U573" s="91">
        <f t="shared" si="265"/>
        <v>0</v>
      </c>
      <c r="V573" s="91">
        <f t="shared" si="259"/>
        <v>0</v>
      </c>
      <c r="W573" s="1">
        <f t="shared" si="272"/>
        <v>0</v>
      </c>
      <c r="X573" s="1">
        <f t="shared" si="272"/>
        <v>0</v>
      </c>
      <c r="Y573" s="1">
        <f t="shared" si="272"/>
        <v>0</v>
      </c>
      <c r="Z573" s="1">
        <f t="shared" si="272"/>
        <v>0</v>
      </c>
      <c r="AA573" s="1">
        <f t="shared" si="272"/>
        <v>0</v>
      </c>
      <c r="AB573" s="1">
        <f t="shared" si="272"/>
        <v>0</v>
      </c>
      <c r="AC573" s="1">
        <f t="shared" si="272"/>
        <v>0</v>
      </c>
      <c r="AD573" s="1">
        <f t="shared" si="272"/>
        <v>0</v>
      </c>
      <c r="AE573" s="1">
        <f t="shared" si="272"/>
        <v>0</v>
      </c>
      <c r="AF573" s="1">
        <f t="shared" si="272"/>
        <v>0</v>
      </c>
      <c r="AG573" s="1">
        <f t="shared" si="272"/>
        <v>0</v>
      </c>
      <c r="AH573" s="1">
        <f t="shared" si="272"/>
        <v>0</v>
      </c>
      <c r="AI573" s="44">
        <f t="shared" si="260"/>
        <v>0</v>
      </c>
      <c r="AJ573" s="44">
        <f t="shared" si="250"/>
        <v>0</v>
      </c>
      <c r="AK573" s="44">
        <f t="shared" si="269"/>
        <v>0</v>
      </c>
      <c r="AL573" s="4">
        <f t="shared" si="251"/>
        <v>495</v>
      </c>
      <c r="AM573" s="82">
        <f t="shared" si="261"/>
        <v>0</v>
      </c>
      <c r="AN573" s="82">
        <f t="shared" si="252"/>
        <v>0</v>
      </c>
      <c r="AO573" s="48">
        <f>0</f>
        <v>0</v>
      </c>
      <c r="AP573" s="91">
        <f t="shared" si="262"/>
        <v>0</v>
      </c>
      <c r="AQ573" s="91">
        <f t="shared" si="263"/>
        <v>0</v>
      </c>
      <c r="AV573" s="84"/>
    </row>
    <row r="574" spans="1:48">
      <c r="A574" s="190">
        <f t="shared" si="253"/>
        <v>107.05424366872005</v>
      </c>
      <c r="B574" s="82">
        <f t="shared" si="254"/>
        <v>42</v>
      </c>
      <c r="C574" s="83">
        <f t="shared" si="255"/>
        <v>496</v>
      </c>
      <c r="D574" s="14">
        <f t="shared" si="242"/>
        <v>4.8675505653430484E-3</v>
      </c>
      <c r="E574" s="16">
        <f t="shared" si="243"/>
        <v>0</v>
      </c>
      <c r="F574" s="127"/>
      <c r="G574" s="88">
        <f t="shared" si="244"/>
        <v>0</v>
      </c>
      <c r="H574" s="89">
        <f t="shared" si="256"/>
        <v>4.1666666666666666E-3</v>
      </c>
      <c r="I574" s="219"/>
      <c r="J574" s="219"/>
      <c r="K574" s="6">
        <f t="shared" si="264"/>
        <v>0</v>
      </c>
      <c r="M574" s="6">
        <f t="shared" si="245"/>
        <v>0</v>
      </c>
      <c r="N574" s="6">
        <f t="shared" si="257"/>
        <v>0</v>
      </c>
      <c r="O574" s="90">
        <f t="shared" si="246"/>
        <v>0</v>
      </c>
      <c r="P574" s="91">
        <f t="shared" si="247"/>
        <v>0</v>
      </c>
      <c r="Q574" s="6">
        <f t="shared" si="248"/>
        <v>0</v>
      </c>
      <c r="R574" s="87">
        <f t="shared" si="268"/>
        <v>0</v>
      </c>
      <c r="S574" s="6">
        <f t="shared" si="249"/>
        <v>0</v>
      </c>
      <c r="T574" s="83">
        <f t="shared" si="258"/>
        <v>0</v>
      </c>
      <c r="U574" s="91">
        <f t="shared" si="265"/>
        <v>0</v>
      </c>
      <c r="V574" s="91">
        <f t="shared" si="259"/>
        <v>0</v>
      </c>
      <c r="W574" s="1">
        <f t="shared" si="272"/>
        <v>0</v>
      </c>
      <c r="X574" s="1">
        <f t="shared" si="272"/>
        <v>0</v>
      </c>
      <c r="Y574" s="1">
        <f t="shared" si="272"/>
        <v>0</v>
      </c>
      <c r="Z574" s="1">
        <f t="shared" si="272"/>
        <v>0</v>
      </c>
      <c r="AA574" s="1">
        <f t="shared" si="272"/>
        <v>0</v>
      </c>
      <c r="AB574" s="1">
        <f t="shared" si="272"/>
        <v>0</v>
      </c>
      <c r="AC574" s="1">
        <f t="shared" si="272"/>
        <v>0</v>
      </c>
      <c r="AD574" s="1">
        <f t="shared" si="272"/>
        <v>0</v>
      </c>
      <c r="AE574" s="1">
        <f t="shared" si="272"/>
        <v>0</v>
      </c>
      <c r="AF574" s="1">
        <f t="shared" si="272"/>
        <v>0</v>
      </c>
      <c r="AG574" s="1">
        <f t="shared" si="272"/>
        <v>0</v>
      </c>
      <c r="AH574" s="1">
        <f t="shared" si="272"/>
        <v>0</v>
      </c>
      <c r="AI574" s="44">
        <f t="shared" si="260"/>
        <v>0</v>
      </c>
      <c r="AJ574" s="44">
        <f t="shared" si="250"/>
        <v>0</v>
      </c>
      <c r="AK574" s="44">
        <f t="shared" si="269"/>
        <v>0</v>
      </c>
      <c r="AL574" s="4">
        <f t="shared" si="251"/>
        <v>496</v>
      </c>
      <c r="AM574" s="82">
        <f t="shared" si="261"/>
        <v>0</v>
      </c>
      <c r="AN574" s="82">
        <f t="shared" si="252"/>
        <v>0</v>
      </c>
      <c r="AO574" s="48">
        <f>0</f>
        <v>0</v>
      </c>
      <c r="AP574" s="91">
        <f t="shared" si="262"/>
        <v>0</v>
      </c>
      <c r="AQ574" s="91">
        <f t="shared" si="263"/>
        <v>0</v>
      </c>
      <c r="AV574" s="84"/>
    </row>
    <row r="575" spans="1:48">
      <c r="A575" s="190">
        <f t="shared" si="253"/>
        <v>107.13757700205338</v>
      </c>
      <c r="B575" s="82">
        <f t="shared" si="254"/>
        <v>42</v>
      </c>
      <c r="C575" s="83">
        <f t="shared" si="255"/>
        <v>497</v>
      </c>
      <c r="D575" s="14">
        <f t="shared" si="242"/>
        <v>4.8675505653430484E-3</v>
      </c>
      <c r="E575" s="16">
        <f t="shared" si="243"/>
        <v>0</v>
      </c>
      <c r="F575" s="127"/>
      <c r="G575" s="88">
        <f t="shared" si="244"/>
        <v>0</v>
      </c>
      <c r="H575" s="89">
        <f t="shared" si="256"/>
        <v>4.1666666666666666E-3</v>
      </c>
      <c r="I575" s="219"/>
      <c r="J575" s="219"/>
      <c r="K575" s="6">
        <f t="shared" si="264"/>
        <v>0</v>
      </c>
      <c r="M575" s="6">
        <f t="shared" si="245"/>
        <v>0</v>
      </c>
      <c r="N575" s="6">
        <f t="shared" si="257"/>
        <v>0</v>
      </c>
      <c r="O575" s="90">
        <f t="shared" si="246"/>
        <v>0</v>
      </c>
      <c r="P575" s="91">
        <f t="shared" si="247"/>
        <v>0</v>
      </c>
      <c r="Q575" s="6">
        <f t="shared" si="248"/>
        <v>0</v>
      </c>
      <c r="R575" s="87">
        <f t="shared" si="268"/>
        <v>0</v>
      </c>
      <c r="S575" s="6">
        <f t="shared" si="249"/>
        <v>0</v>
      </c>
      <c r="T575" s="83">
        <f t="shared" si="258"/>
        <v>0</v>
      </c>
      <c r="U575" s="91">
        <f t="shared" si="265"/>
        <v>0</v>
      </c>
      <c r="V575" s="91">
        <f t="shared" si="259"/>
        <v>0</v>
      </c>
      <c r="W575" s="1">
        <f t="shared" si="272"/>
        <v>0</v>
      </c>
      <c r="X575" s="1">
        <f t="shared" si="272"/>
        <v>0</v>
      </c>
      <c r="Y575" s="1">
        <f t="shared" si="272"/>
        <v>0</v>
      </c>
      <c r="Z575" s="1">
        <f t="shared" si="272"/>
        <v>0</v>
      </c>
      <c r="AA575" s="1">
        <f t="shared" si="272"/>
        <v>0</v>
      </c>
      <c r="AB575" s="1">
        <f t="shared" si="272"/>
        <v>0</v>
      </c>
      <c r="AC575" s="1">
        <f t="shared" si="272"/>
        <v>0</v>
      </c>
      <c r="AD575" s="1">
        <f t="shared" si="272"/>
        <v>0</v>
      </c>
      <c r="AE575" s="1">
        <f t="shared" si="272"/>
        <v>0</v>
      </c>
      <c r="AF575" s="1">
        <f t="shared" si="272"/>
        <v>0</v>
      </c>
      <c r="AG575" s="1">
        <f t="shared" si="272"/>
        <v>0</v>
      </c>
      <c r="AH575" s="1">
        <f t="shared" si="272"/>
        <v>0</v>
      </c>
      <c r="AI575" s="44">
        <f t="shared" si="260"/>
        <v>0</v>
      </c>
      <c r="AJ575" s="44">
        <f t="shared" si="250"/>
        <v>0</v>
      </c>
      <c r="AK575" s="44">
        <f t="shared" si="269"/>
        <v>0</v>
      </c>
      <c r="AL575" s="4">
        <f t="shared" si="251"/>
        <v>497</v>
      </c>
      <c r="AM575" s="82">
        <f t="shared" si="261"/>
        <v>0</v>
      </c>
      <c r="AN575" s="82">
        <f t="shared" si="252"/>
        <v>0</v>
      </c>
      <c r="AO575" s="48">
        <f>0</f>
        <v>0</v>
      </c>
      <c r="AP575" s="91">
        <f t="shared" si="262"/>
        <v>0</v>
      </c>
      <c r="AQ575" s="91">
        <f t="shared" si="263"/>
        <v>0</v>
      </c>
      <c r="AV575" s="84"/>
    </row>
    <row r="576" spans="1:48">
      <c r="A576" s="190">
        <f t="shared" si="253"/>
        <v>107.22091033538672</v>
      </c>
      <c r="B576" s="82">
        <f t="shared" si="254"/>
        <v>42</v>
      </c>
      <c r="C576" s="83">
        <f t="shared" si="255"/>
        <v>498</v>
      </c>
      <c r="D576" s="14">
        <f t="shared" si="242"/>
        <v>4.8675505653430484E-3</v>
      </c>
      <c r="E576" s="16">
        <f t="shared" si="243"/>
        <v>0</v>
      </c>
      <c r="F576" s="127"/>
      <c r="G576" s="88">
        <f t="shared" si="244"/>
        <v>0</v>
      </c>
      <c r="H576" s="89">
        <f t="shared" si="256"/>
        <v>4.1666666666666666E-3</v>
      </c>
      <c r="I576" s="219"/>
      <c r="J576" s="219"/>
      <c r="K576" s="6">
        <f t="shared" si="264"/>
        <v>0</v>
      </c>
      <c r="M576" s="6">
        <f t="shared" si="245"/>
        <v>0</v>
      </c>
      <c r="N576" s="6">
        <f t="shared" si="257"/>
        <v>0</v>
      </c>
      <c r="O576" s="90">
        <f t="shared" si="246"/>
        <v>0</v>
      </c>
      <c r="P576" s="91">
        <f t="shared" si="247"/>
        <v>0</v>
      </c>
      <c r="Q576" s="6">
        <f t="shared" si="248"/>
        <v>0</v>
      </c>
      <c r="R576" s="87">
        <f t="shared" si="268"/>
        <v>0</v>
      </c>
      <c r="S576" s="6">
        <f t="shared" si="249"/>
        <v>0</v>
      </c>
      <c r="T576" s="83">
        <f t="shared" si="258"/>
        <v>0</v>
      </c>
      <c r="U576" s="91">
        <f t="shared" si="265"/>
        <v>0</v>
      </c>
      <c r="V576" s="91">
        <f t="shared" si="259"/>
        <v>0</v>
      </c>
      <c r="W576" s="1">
        <f t="shared" si="272"/>
        <v>0</v>
      </c>
      <c r="X576" s="1">
        <f t="shared" si="272"/>
        <v>0</v>
      </c>
      <c r="Y576" s="1">
        <f t="shared" si="272"/>
        <v>0</v>
      </c>
      <c r="Z576" s="1">
        <f t="shared" si="272"/>
        <v>0</v>
      </c>
      <c r="AA576" s="1">
        <f t="shared" si="272"/>
        <v>0</v>
      </c>
      <c r="AB576" s="1">
        <f t="shared" si="272"/>
        <v>0</v>
      </c>
      <c r="AC576" s="1">
        <f t="shared" si="272"/>
        <v>0</v>
      </c>
      <c r="AD576" s="1">
        <f t="shared" si="272"/>
        <v>0</v>
      </c>
      <c r="AE576" s="1">
        <f t="shared" si="272"/>
        <v>0</v>
      </c>
      <c r="AF576" s="1">
        <f t="shared" si="272"/>
        <v>0</v>
      </c>
      <c r="AG576" s="1">
        <f t="shared" si="272"/>
        <v>0</v>
      </c>
      <c r="AH576" s="1">
        <f t="shared" si="272"/>
        <v>0</v>
      </c>
      <c r="AI576" s="44">
        <f t="shared" si="260"/>
        <v>0</v>
      </c>
      <c r="AJ576" s="44">
        <f t="shared" si="250"/>
        <v>0</v>
      </c>
      <c r="AK576" s="44">
        <f t="shared" si="269"/>
        <v>0</v>
      </c>
      <c r="AL576" s="4">
        <f t="shared" si="251"/>
        <v>498</v>
      </c>
      <c r="AM576" s="82">
        <f t="shared" si="261"/>
        <v>0</v>
      </c>
      <c r="AN576" s="82">
        <f t="shared" si="252"/>
        <v>0</v>
      </c>
      <c r="AO576" s="48">
        <f>0</f>
        <v>0</v>
      </c>
      <c r="AP576" s="91">
        <f t="shared" si="262"/>
        <v>0</v>
      </c>
      <c r="AQ576" s="91">
        <f t="shared" si="263"/>
        <v>0</v>
      </c>
      <c r="AV576" s="84"/>
    </row>
    <row r="577" spans="1:48">
      <c r="A577" s="190">
        <f t="shared" si="253"/>
        <v>107.30424366872005</v>
      </c>
      <c r="B577" s="82">
        <f t="shared" si="254"/>
        <v>42</v>
      </c>
      <c r="C577" s="83">
        <f t="shared" si="255"/>
        <v>499</v>
      </c>
      <c r="D577" s="14">
        <f t="shared" si="242"/>
        <v>4.8675505653430484E-3</v>
      </c>
      <c r="E577" s="16">
        <f t="shared" si="243"/>
        <v>0</v>
      </c>
      <c r="F577" s="127"/>
      <c r="G577" s="88">
        <f t="shared" si="244"/>
        <v>0</v>
      </c>
      <c r="H577" s="89">
        <f t="shared" si="256"/>
        <v>4.1666666666666666E-3</v>
      </c>
      <c r="I577" s="219"/>
      <c r="J577" s="219"/>
      <c r="K577" s="6">
        <f t="shared" si="264"/>
        <v>0</v>
      </c>
      <c r="M577" s="6">
        <f t="shared" si="245"/>
        <v>0</v>
      </c>
      <c r="N577" s="6">
        <f t="shared" si="257"/>
        <v>0</v>
      </c>
      <c r="O577" s="90">
        <f t="shared" si="246"/>
        <v>0</v>
      </c>
      <c r="P577" s="91">
        <f t="shared" si="247"/>
        <v>0</v>
      </c>
      <c r="Q577" s="6">
        <f t="shared" si="248"/>
        <v>0</v>
      </c>
      <c r="R577" s="87">
        <f t="shared" si="268"/>
        <v>0</v>
      </c>
      <c r="S577" s="6">
        <f t="shared" si="249"/>
        <v>0</v>
      </c>
      <c r="T577" s="83">
        <f t="shared" si="258"/>
        <v>0</v>
      </c>
      <c r="U577" s="91">
        <f t="shared" si="265"/>
        <v>0</v>
      </c>
      <c r="V577" s="91">
        <f t="shared" si="259"/>
        <v>0</v>
      </c>
      <c r="W577" s="1">
        <f t="shared" si="272"/>
        <v>0</v>
      </c>
      <c r="X577" s="1">
        <f t="shared" si="272"/>
        <v>0</v>
      </c>
      <c r="Y577" s="1">
        <f t="shared" si="272"/>
        <v>0</v>
      </c>
      <c r="Z577" s="1">
        <f t="shared" si="272"/>
        <v>0</v>
      </c>
      <c r="AA577" s="1">
        <f t="shared" si="272"/>
        <v>0</v>
      </c>
      <c r="AB577" s="1">
        <f t="shared" si="272"/>
        <v>0</v>
      </c>
      <c r="AC577" s="1">
        <f t="shared" si="272"/>
        <v>0</v>
      </c>
      <c r="AD577" s="1">
        <f t="shared" si="272"/>
        <v>0</v>
      </c>
      <c r="AE577" s="1">
        <f t="shared" si="272"/>
        <v>0</v>
      </c>
      <c r="AF577" s="1">
        <f t="shared" si="272"/>
        <v>0</v>
      </c>
      <c r="AG577" s="1">
        <f t="shared" si="272"/>
        <v>0</v>
      </c>
      <c r="AH577" s="1">
        <f t="shared" si="272"/>
        <v>0</v>
      </c>
      <c r="AI577" s="44">
        <f t="shared" si="260"/>
        <v>0</v>
      </c>
      <c r="AJ577" s="44">
        <f t="shared" si="250"/>
        <v>0</v>
      </c>
      <c r="AK577" s="44">
        <f t="shared" si="269"/>
        <v>0</v>
      </c>
      <c r="AL577" s="4">
        <f t="shared" si="251"/>
        <v>499</v>
      </c>
      <c r="AM577" s="82">
        <f t="shared" si="261"/>
        <v>0</v>
      </c>
      <c r="AN577" s="82">
        <f t="shared" si="252"/>
        <v>0</v>
      </c>
      <c r="AO577" s="48">
        <f>0</f>
        <v>0</v>
      </c>
      <c r="AP577" s="91">
        <f t="shared" si="262"/>
        <v>0</v>
      </c>
      <c r="AQ577" s="91">
        <f t="shared" si="263"/>
        <v>0</v>
      </c>
      <c r="AV577" s="84"/>
    </row>
    <row r="578" spans="1:48">
      <c r="A578" s="190">
        <f t="shared" si="253"/>
        <v>107.38757700205338</v>
      </c>
      <c r="B578" s="82">
        <f t="shared" si="254"/>
        <v>42</v>
      </c>
      <c r="C578" s="83">
        <f t="shared" si="255"/>
        <v>500</v>
      </c>
      <c r="D578" s="14">
        <f t="shared" si="242"/>
        <v>4.8675505653430484E-3</v>
      </c>
      <c r="E578" s="16">
        <f t="shared" si="243"/>
        <v>0</v>
      </c>
      <c r="F578" s="127"/>
      <c r="G578" s="88">
        <f t="shared" si="244"/>
        <v>0</v>
      </c>
      <c r="H578" s="89">
        <f t="shared" si="256"/>
        <v>4.1666666666666666E-3</v>
      </c>
      <c r="I578" s="219"/>
      <c r="J578" s="219"/>
      <c r="K578" s="6">
        <f t="shared" si="264"/>
        <v>0</v>
      </c>
      <c r="M578" s="6">
        <f t="shared" si="245"/>
        <v>0</v>
      </c>
      <c r="N578" s="6">
        <f t="shared" si="257"/>
        <v>0</v>
      </c>
      <c r="O578" s="90">
        <f t="shared" si="246"/>
        <v>0</v>
      </c>
      <c r="P578" s="91">
        <f t="shared" si="247"/>
        <v>0</v>
      </c>
      <c r="Q578" s="6">
        <f t="shared" si="248"/>
        <v>0</v>
      </c>
      <c r="R578" s="87">
        <f t="shared" si="268"/>
        <v>0</v>
      </c>
      <c r="S578" s="6">
        <f t="shared" si="249"/>
        <v>0</v>
      </c>
      <c r="T578" s="83">
        <f t="shared" si="258"/>
        <v>0</v>
      </c>
      <c r="U578" s="91">
        <f t="shared" si="265"/>
        <v>0</v>
      </c>
      <c r="V578" s="91">
        <f t="shared" si="259"/>
        <v>0</v>
      </c>
      <c r="W578" s="1">
        <f t="shared" si="272"/>
        <v>0</v>
      </c>
      <c r="X578" s="1">
        <f t="shared" si="272"/>
        <v>0</v>
      </c>
      <c r="Y578" s="1">
        <f t="shared" si="272"/>
        <v>0</v>
      </c>
      <c r="Z578" s="1">
        <f t="shared" si="272"/>
        <v>0</v>
      </c>
      <c r="AA578" s="1">
        <f t="shared" si="272"/>
        <v>0</v>
      </c>
      <c r="AB578" s="1">
        <f t="shared" si="272"/>
        <v>0</v>
      </c>
      <c r="AC578" s="1">
        <f t="shared" si="272"/>
        <v>0</v>
      </c>
      <c r="AD578" s="1">
        <f t="shared" si="272"/>
        <v>0</v>
      </c>
      <c r="AE578" s="1">
        <f t="shared" si="272"/>
        <v>0</v>
      </c>
      <c r="AF578" s="1">
        <f t="shared" si="272"/>
        <v>0</v>
      </c>
      <c r="AG578" s="1">
        <f t="shared" si="272"/>
        <v>0</v>
      </c>
      <c r="AH578" s="1">
        <f t="shared" si="272"/>
        <v>0</v>
      </c>
      <c r="AI578" s="44">
        <f t="shared" si="260"/>
        <v>0</v>
      </c>
      <c r="AJ578" s="44">
        <f t="shared" si="250"/>
        <v>0</v>
      </c>
      <c r="AK578" s="44">
        <f t="shared" si="269"/>
        <v>0</v>
      </c>
      <c r="AL578" s="4">
        <f t="shared" si="251"/>
        <v>500</v>
      </c>
      <c r="AM578" s="82">
        <f t="shared" si="261"/>
        <v>0</v>
      </c>
      <c r="AN578" s="82">
        <f t="shared" si="252"/>
        <v>0</v>
      </c>
      <c r="AO578" s="48">
        <f>0</f>
        <v>0</v>
      </c>
      <c r="AP578" s="91">
        <f t="shared" si="262"/>
        <v>0</v>
      </c>
      <c r="AQ578" s="91">
        <f t="shared" si="263"/>
        <v>0</v>
      </c>
      <c r="AV578" s="84"/>
    </row>
    <row r="579" spans="1:48">
      <c r="A579" s="190">
        <f t="shared" si="253"/>
        <v>107.47091033538672</v>
      </c>
      <c r="B579" s="82">
        <f t="shared" si="254"/>
        <v>42</v>
      </c>
      <c r="C579" s="83">
        <f t="shared" si="255"/>
        <v>501</v>
      </c>
      <c r="D579" s="14">
        <f t="shared" si="242"/>
        <v>4.8675505653430484E-3</v>
      </c>
      <c r="E579" s="16">
        <f t="shared" si="243"/>
        <v>0</v>
      </c>
      <c r="F579" s="127"/>
      <c r="G579" s="88">
        <f t="shared" si="244"/>
        <v>0</v>
      </c>
      <c r="H579" s="89">
        <f t="shared" si="256"/>
        <v>4.1666666666666666E-3</v>
      </c>
      <c r="I579" s="219"/>
      <c r="J579" s="219"/>
      <c r="K579" s="6">
        <f t="shared" si="264"/>
        <v>0</v>
      </c>
      <c r="M579" s="6">
        <f t="shared" si="245"/>
        <v>0</v>
      </c>
      <c r="N579" s="6">
        <f t="shared" si="257"/>
        <v>0</v>
      </c>
      <c r="O579" s="90">
        <f t="shared" si="246"/>
        <v>0</v>
      </c>
      <c r="P579" s="91">
        <f t="shared" si="247"/>
        <v>0</v>
      </c>
      <c r="Q579" s="6">
        <f t="shared" si="248"/>
        <v>0</v>
      </c>
      <c r="R579" s="87">
        <f t="shared" si="268"/>
        <v>0</v>
      </c>
      <c r="S579" s="6">
        <f t="shared" si="249"/>
        <v>0</v>
      </c>
      <c r="T579" s="83">
        <f t="shared" si="258"/>
        <v>0</v>
      </c>
      <c r="U579" s="91">
        <f t="shared" si="265"/>
        <v>0</v>
      </c>
      <c r="V579" s="91">
        <f t="shared" si="259"/>
        <v>0</v>
      </c>
      <c r="W579" s="1">
        <f t="shared" ref="W579:AH588" si="273">IF($B579&lt;=W$78,1,0)</f>
        <v>0</v>
      </c>
      <c r="X579" s="1">
        <f t="shared" si="273"/>
        <v>0</v>
      </c>
      <c r="Y579" s="1">
        <f t="shared" si="273"/>
        <v>0</v>
      </c>
      <c r="Z579" s="1">
        <f t="shared" si="273"/>
        <v>0</v>
      </c>
      <c r="AA579" s="1">
        <f t="shared" si="273"/>
        <v>0</v>
      </c>
      <c r="AB579" s="1">
        <f t="shared" si="273"/>
        <v>0</v>
      </c>
      <c r="AC579" s="1">
        <f t="shared" si="273"/>
        <v>0</v>
      </c>
      <c r="AD579" s="1">
        <f t="shared" si="273"/>
        <v>0</v>
      </c>
      <c r="AE579" s="1">
        <f t="shared" si="273"/>
        <v>0</v>
      </c>
      <c r="AF579" s="1">
        <f t="shared" si="273"/>
        <v>0</v>
      </c>
      <c r="AG579" s="1">
        <f t="shared" si="273"/>
        <v>0</v>
      </c>
      <c r="AH579" s="1">
        <f t="shared" si="273"/>
        <v>0</v>
      </c>
      <c r="AI579" s="44">
        <f t="shared" si="260"/>
        <v>0</v>
      </c>
      <c r="AJ579" s="44">
        <f t="shared" si="250"/>
        <v>0</v>
      </c>
      <c r="AK579" s="44">
        <f t="shared" si="269"/>
        <v>0</v>
      </c>
      <c r="AL579" s="4">
        <f t="shared" si="251"/>
        <v>501</v>
      </c>
      <c r="AM579" s="82">
        <f t="shared" si="261"/>
        <v>0</v>
      </c>
      <c r="AN579" s="82">
        <f t="shared" si="252"/>
        <v>0</v>
      </c>
      <c r="AO579" s="48">
        <f>0</f>
        <v>0</v>
      </c>
      <c r="AP579" s="91">
        <f t="shared" si="262"/>
        <v>0</v>
      </c>
      <c r="AQ579" s="91">
        <f t="shared" si="263"/>
        <v>0</v>
      </c>
      <c r="AV579" s="84"/>
    </row>
    <row r="580" spans="1:48">
      <c r="A580" s="190">
        <f t="shared" si="253"/>
        <v>107.55424366872005</v>
      </c>
      <c r="B580" s="82">
        <f t="shared" si="254"/>
        <v>42</v>
      </c>
      <c r="C580" s="83">
        <f t="shared" si="255"/>
        <v>502</v>
      </c>
      <c r="D580" s="14">
        <f t="shared" si="242"/>
        <v>4.8675505653430484E-3</v>
      </c>
      <c r="E580" s="16">
        <f t="shared" si="243"/>
        <v>0</v>
      </c>
      <c r="F580" s="127"/>
      <c r="G580" s="88">
        <f t="shared" si="244"/>
        <v>0</v>
      </c>
      <c r="H580" s="89">
        <f t="shared" si="256"/>
        <v>4.1666666666666666E-3</v>
      </c>
      <c r="I580" s="219"/>
      <c r="J580" s="219"/>
      <c r="K580" s="6">
        <f t="shared" si="264"/>
        <v>0</v>
      </c>
      <c r="M580" s="6">
        <f t="shared" si="245"/>
        <v>0</v>
      </c>
      <c r="N580" s="6">
        <f t="shared" si="257"/>
        <v>0</v>
      </c>
      <c r="O580" s="90">
        <f t="shared" si="246"/>
        <v>0</v>
      </c>
      <c r="P580" s="91">
        <f t="shared" si="247"/>
        <v>0</v>
      </c>
      <c r="Q580" s="6">
        <f t="shared" si="248"/>
        <v>0</v>
      </c>
      <c r="R580" s="87">
        <f t="shared" si="268"/>
        <v>0</v>
      </c>
      <c r="S580" s="6">
        <f t="shared" si="249"/>
        <v>0</v>
      </c>
      <c r="T580" s="83">
        <f t="shared" si="258"/>
        <v>0</v>
      </c>
      <c r="U580" s="91">
        <f t="shared" si="265"/>
        <v>0</v>
      </c>
      <c r="V580" s="91">
        <f t="shared" si="259"/>
        <v>0</v>
      </c>
      <c r="W580" s="1">
        <f t="shared" si="273"/>
        <v>0</v>
      </c>
      <c r="X580" s="1">
        <f t="shared" si="273"/>
        <v>0</v>
      </c>
      <c r="Y580" s="1">
        <f t="shared" si="273"/>
        <v>0</v>
      </c>
      <c r="Z580" s="1">
        <f t="shared" si="273"/>
        <v>0</v>
      </c>
      <c r="AA580" s="1">
        <f t="shared" si="273"/>
        <v>0</v>
      </c>
      <c r="AB580" s="1">
        <f t="shared" si="273"/>
        <v>0</v>
      </c>
      <c r="AC580" s="1">
        <f t="shared" si="273"/>
        <v>0</v>
      </c>
      <c r="AD580" s="1">
        <f t="shared" si="273"/>
        <v>0</v>
      </c>
      <c r="AE580" s="1">
        <f t="shared" si="273"/>
        <v>0</v>
      </c>
      <c r="AF580" s="1">
        <f t="shared" si="273"/>
        <v>0</v>
      </c>
      <c r="AG580" s="1">
        <f t="shared" si="273"/>
        <v>0</v>
      </c>
      <c r="AH580" s="1">
        <f t="shared" si="273"/>
        <v>0</v>
      </c>
      <c r="AI580" s="44">
        <f t="shared" si="260"/>
        <v>0</v>
      </c>
      <c r="AJ580" s="44">
        <f t="shared" si="250"/>
        <v>0</v>
      </c>
      <c r="AK580" s="44">
        <f t="shared" si="269"/>
        <v>0</v>
      </c>
      <c r="AL580" s="4">
        <f t="shared" si="251"/>
        <v>502</v>
      </c>
      <c r="AM580" s="82">
        <f t="shared" si="261"/>
        <v>0</v>
      </c>
      <c r="AN580" s="82">
        <f t="shared" si="252"/>
        <v>0</v>
      </c>
      <c r="AO580" s="48">
        <f>0</f>
        <v>0</v>
      </c>
      <c r="AP580" s="91">
        <f t="shared" si="262"/>
        <v>0</v>
      </c>
      <c r="AQ580" s="91">
        <f t="shared" si="263"/>
        <v>0</v>
      </c>
      <c r="AV580" s="84"/>
    </row>
    <row r="581" spans="1:48">
      <c r="A581" s="190">
        <f t="shared" si="253"/>
        <v>107.63757700205338</v>
      </c>
      <c r="B581" s="82">
        <f t="shared" si="254"/>
        <v>42</v>
      </c>
      <c r="C581" s="83">
        <f t="shared" si="255"/>
        <v>503</v>
      </c>
      <c r="D581" s="14">
        <f t="shared" si="242"/>
        <v>4.8675505653430484E-3</v>
      </c>
      <c r="E581" s="16">
        <f t="shared" si="243"/>
        <v>0</v>
      </c>
      <c r="F581" s="127"/>
      <c r="G581" s="88">
        <f t="shared" si="244"/>
        <v>0</v>
      </c>
      <c r="H581" s="89">
        <f t="shared" si="256"/>
        <v>4.1666666666666666E-3</v>
      </c>
      <c r="I581" s="219"/>
      <c r="J581" s="219"/>
      <c r="K581" s="6">
        <f t="shared" si="264"/>
        <v>0</v>
      </c>
      <c r="M581" s="6">
        <f t="shared" si="245"/>
        <v>0</v>
      </c>
      <c r="N581" s="6">
        <f t="shared" si="257"/>
        <v>0</v>
      </c>
      <c r="O581" s="90">
        <f t="shared" si="246"/>
        <v>0</v>
      </c>
      <c r="P581" s="91">
        <f t="shared" si="247"/>
        <v>0</v>
      </c>
      <c r="Q581" s="6">
        <f t="shared" si="248"/>
        <v>0</v>
      </c>
      <c r="R581" s="87">
        <f t="shared" si="268"/>
        <v>0</v>
      </c>
      <c r="S581" s="6">
        <f t="shared" si="249"/>
        <v>0</v>
      </c>
      <c r="T581" s="83">
        <f t="shared" si="258"/>
        <v>0</v>
      </c>
      <c r="U581" s="91">
        <f t="shared" si="265"/>
        <v>0</v>
      </c>
      <c r="V581" s="91">
        <f t="shared" si="259"/>
        <v>0</v>
      </c>
      <c r="W581" s="1">
        <f t="shared" si="273"/>
        <v>0</v>
      </c>
      <c r="X581" s="1">
        <f t="shared" si="273"/>
        <v>0</v>
      </c>
      <c r="Y581" s="1">
        <f t="shared" si="273"/>
        <v>0</v>
      </c>
      <c r="Z581" s="1">
        <f t="shared" si="273"/>
        <v>0</v>
      </c>
      <c r="AA581" s="1">
        <f t="shared" si="273"/>
        <v>0</v>
      </c>
      <c r="AB581" s="1">
        <f t="shared" si="273"/>
        <v>0</v>
      </c>
      <c r="AC581" s="1">
        <f t="shared" si="273"/>
        <v>0</v>
      </c>
      <c r="AD581" s="1">
        <f t="shared" si="273"/>
        <v>0</v>
      </c>
      <c r="AE581" s="1">
        <f t="shared" si="273"/>
        <v>0</v>
      </c>
      <c r="AF581" s="1">
        <f t="shared" si="273"/>
        <v>0</v>
      </c>
      <c r="AG581" s="1">
        <f t="shared" si="273"/>
        <v>0</v>
      </c>
      <c r="AH581" s="1">
        <f t="shared" si="273"/>
        <v>0</v>
      </c>
      <c r="AI581" s="44">
        <f t="shared" si="260"/>
        <v>0</v>
      </c>
      <c r="AJ581" s="44">
        <f t="shared" si="250"/>
        <v>0</v>
      </c>
      <c r="AK581" s="44">
        <f t="shared" si="269"/>
        <v>0</v>
      </c>
      <c r="AL581" s="4">
        <f t="shared" si="251"/>
        <v>503</v>
      </c>
      <c r="AM581" s="82">
        <f t="shared" si="261"/>
        <v>0</v>
      </c>
      <c r="AN581" s="82">
        <f t="shared" si="252"/>
        <v>0</v>
      </c>
      <c r="AO581" s="48">
        <f>0</f>
        <v>0</v>
      </c>
      <c r="AP581" s="91">
        <f t="shared" si="262"/>
        <v>0</v>
      </c>
      <c r="AQ581" s="91">
        <f t="shared" si="263"/>
        <v>0</v>
      </c>
      <c r="AV581" s="84"/>
    </row>
    <row r="582" spans="1:48">
      <c r="A582" s="190">
        <f t="shared" si="253"/>
        <v>107.72091033538672</v>
      </c>
      <c r="B582" s="82">
        <f t="shared" si="254"/>
        <v>42</v>
      </c>
      <c r="C582" s="83">
        <f t="shared" si="255"/>
        <v>504</v>
      </c>
      <c r="D582" s="14">
        <f t="shared" si="242"/>
        <v>4.8675505653430484E-3</v>
      </c>
      <c r="E582" s="16">
        <f t="shared" si="243"/>
        <v>0</v>
      </c>
      <c r="F582" s="127"/>
      <c r="G582" s="88">
        <f t="shared" si="244"/>
        <v>0</v>
      </c>
      <c r="H582" s="89">
        <f t="shared" si="256"/>
        <v>4.1666666666666666E-3</v>
      </c>
      <c r="I582" s="219"/>
      <c r="J582" s="219"/>
      <c r="K582" s="6">
        <f t="shared" si="264"/>
        <v>0</v>
      </c>
      <c r="M582" s="6">
        <f t="shared" si="245"/>
        <v>0</v>
      </c>
      <c r="N582" s="6">
        <f t="shared" si="257"/>
        <v>0</v>
      </c>
      <c r="O582" s="90">
        <f t="shared" si="246"/>
        <v>0</v>
      </c>
      <c r="P582" s="91">
        <f t="shared" si="247"/>
        <v>0</v>
      </c>
      <c r="Q582" s="6">
        <f t="shared" si="248"/>
        <v>0</v>
      </c>
      <c r="R582" s="87">
        <f t="shared" si="268"/>
        <v>0</v>
      </c>
      <c r="S582" s="6">
        <f t="shared" si="249"/>
        <v>0</v>
      </c>
      <c r="T582" s="83">
        <f t="shared" si="258"/>
        <v>0</v>
      </c>
      <c r="U582" s="91">
        <f t="shared" si="265"/>
        <v>0</v>
      </c>
      <c r="V582" s="91">
        <f t="shared" si="259"/>
        <v>0</v>
      </c>
      <c r="W582" s="1">
        <f t="shared" si="273"/>
        <v>0</v>
      </c>
      <c r="X582" s="1">
        <f t="shared" si="273"/>
        <v>0</v>
      </c>
      <c r="Y582" s="1">
        <f t="shared" si="273"/>
        <v>0</v>
      </c>
      <c r="Z582" s="1">
        <f t="shared" si="273"/>
        <v>0</v>
      </c>
      <c r="AA582" s="1">
        <f t="shared" si="273"/>
        <v>0</v>
      </c>
      <c r="AB582" s="1">
        <f t="shared" si="273"/>
        <v>0</v>
      </c>
      <c r="AC582" s="1">
        <f t="shared" si="273"/>
        <v>0</v>
      </c>
      <c r="AD582" s="1">
        <f t="shared" si="273"/>
        <v>0</v>
      </c>
      <c r="AE582" s="1">
        <f t="shared" si="273"/>
        <v>0</v>
      </c>
      <c r="AF582" s="1">
        <f t="shared" si="273"/>
        <v>0</v>
      </c>
      <c r="AG582" s="1">
        <f t="shared" si="273"/>
        <v>0</v>
      </c>
      <c r="AH582" s="1">
        <f t="shared" si="273"/>
        <v>0</v>
      </c>
      <c r="AI582" s="44">
        <f t="shared" si="260"/>
        <v>0</v>
      </c>
      <c r="AJ582" s="44">
        <f t="shared" si="250"/>
        <v>0</v>
      </c>
      <c r="AK582" s="44">
        <f t="shared" si="269"/>
        <v>0</v>
      </c>
      <c r="AL582" s="4">
        <f t="shared" si="251"/>
        <v>504</v>
      </c>
      <c r="AM582" s="82">
        <f t="shared" si="261"/>
        <v>0</v>
      </c>
      <c r="AN582" s="82">
        <f t="shared" si="252"/>
        <v>0</v>
      </c>
      <c r="AO582" s="48">
        <f>0</f>
        <v>0</v>
      </c>
      <c r="AP582" s="91">
        <f t="shared" si="262"/>
        <v>0</v>
      </c>
      <c r="AQ582" s="91">
        <f t="shared" si="263"/>
        <v>0</v>
      </c>
      <c r="AV582" s="84"/>
    </row>
    <row r="583" spans="1:48">
      <c r="A583" s="190">
        <f t="shared" si="253"/>
        <v>107.80424366872005</v>
      </c>
      <c r="B583" s="82">
        <f t="shared" si="254"/>
        <v>43</v>
      </c>
      <c r="C583" s="83">
        <f t="shared" si="255"/>
        <v>505</v>
      </c>
      <c r="D583" s="14">
        <f t="shared" si="242"/>
        <v>4.8675505653430484E-3</v>
      </c>
      <c r="E583" s="16">
        <f t="shared" si="243"/>
        <v>0</v>
      </c>
      <c r="F583" s="127"/>
      <c r="G583" s="88">
        <f t="shared" si="244"/>
        <v>0</v>
      </c>
      <c r="H583" s="89">
        <f t="shared" si="256"/>
        <v>4.1666666666666666E-3</v>
      </c>
      <c r="I583" s="219"/>
      <c r="J583" s="219"/>
      <c r="K583" s="6">
        <f t="shared" si="264"/>
        <v>0</v>
      </c>
      <c r="M583" s="6">
        <f t="shared" si="245"/>
        <v>0</v>
      </c>
      <c r="N583" s="6">
        <f t="shared" si="257"/>
        <v>0</v>
      </c>
      <c r="O583" s="90">
        <f t="shared" si="246"/>
        <v>0</v>
      </c>
      <c r="P583" s="91">
        <f t="shared" si="247"/>
        <v>0</v>
      </c>
      <c r="Q583" s="6">
        <f t="shared" si="248"/>
        <v>0</v>
      </c>
      <c r="R583" s="87">
        <f t="shared" si="268"/>
        <v>0</v>
      </c>
      <c r="S583" s="6">
        <f t="shared" si="249"/>
        <v>0</v>
      </c>
      <c r="T583" s="83">
        <f t="shared" si="258"/>
        <v>0</v>
      </c>
      <c r="U583" s="91">
        <f t="shared" si="265"/>
        <v>0</v>
      </c>
      <c r="V583" s="91">
        <f t="shared" si="259"/>
        <v>0</v>
      </c>
      <c r="W583" s="1">
        <f t="shared" si="273"/>
        <v>0</v>
      </c>
      <c r="X583" s="1">
        <f t="shared" si="273"/>
        <v>0</v>
      </c>
      <c r="Y583" s="1">
        <f t="shared" si="273"/>
        <v>0</v>
      </c>
      <c r="Z583" s="1">
        <f t="shared" si="273"/>
        <v>0</v>
      </c>
      <c r="AA583" s="1">
        <f t="shared" si="273"/>
        <v>0</v>
      </c>
      <c r="AB583" s="1">
        <f t="shared" si="273"/>
        <v>0</v>
      </c>
      <c r="AC583" s="1">
        <f t="shared" si="273"/>
        <v>0</v>
      </c>
      <c r="AD583" s="1">
        <f t="shared" si="273"/>
        <v>0</v>
      </c>
      <c r="AE583" s="1">
        <f t="shared" si="273"/>
        <v>0</v>
      </c>
      <c r="AF583" s="1">
        <f t="shared" si="273"/>
        <v>0</v>
      </c>
      <c r="AG583" s="1">
        <f t="shared" si="273"/>
        <v>0</v>
      </c>
      <c r="AH583" s="1">
        <f t="shared" si="273"/>
        <v>0</v>
      </c>
      <c r="AI583" s="44">
        <f t="shared" si="260"/>
        <v>0</v>
      </c>
      <c r="AJ583" s="44">
        <f t="shared" si="250"/>
        <v>0</v>
      </c>
      <c r="AK583" s="44">
        <f t="shared" si="269"/>
        <v>0</v>
      </c>
      <c r="AL583" s="4">
        <f t="shared" si="251"/>
        <v>505</v>
      </c>
      <c r="AM583" s="82">
        <f t="shared" si="261"/>
        <v>0</v>
      </c>
      <c r="AN583" s="82">
        <f t="shared" si="252"/>
        <v>0</v>
      </c>
      <c r="AO583" s="48">
        <f>0</f>
        <v>0</v>
      </c>
      <c r="AP583" s="91">
        <f t="shared" si="262"/>
        <v>0</v>
      </c>
      <c r="AQ583" s="91">
        <f t="shared" si="263"/>
        <v>0</v>
      </c>
      <c r="AV583" s="84"/>
    </row>
    <row r="584" spans="1:48">
      <c r="A584" s="190">
        <f t="shared" si="253"/>
        <v>107.88757700205338</v>
      </c>
      <c r="B584" s="82">
        <f t="shared" si="254"/>
        <v>43</v>
      </c>
      <c r="C584" s="83">
        <f t="shared" si="255"/>
        <v>506</v>
      </c>
      <c r="D584" s="14">
        <f t="shared" si="242"/>
        <v>4.8675505653430484E-3</v>
      </c>
      <c r="E584" s="16">
        <f t="shared" si="243"/>
        <v>0</v>
      </c>
      <c r="F584" s="127"/>
      <c r="G584" s="88">
        <f t="shared" si="244"/>
        <v>0</v>
      </c>
      <c r="H584" s="89">
        <f t="shared" si="256"/>
        <v>4.1666666666666666E-3</v>
      </c>
      <c r="I584" s="219"/>
      <c r="J584" s="219"/>
      <c r="K584" s="6">
        <f t="shared" si="264"/>
        <v>0</v>
      </c>
      <c r="M584" s="6">
        <f t="shared" si="245"/>
        <v>0</v>
      </c>
      <c r="N584" s="6">
        <f t="shared" si="257"/>
        <v>0</v>
      </c>
      <c r="O584" s="90">
        <f t="shared" si="246"/>
        <v>0</v>
      </c>
      <c r="P584" s="91">
        <f t="shared" si="247"/>
        <v>0</v>
      </c>
      <c r="Q584" s="6">
        <f t="shared" si="248"/>
        <v>0</v>
      </c>
      <c r="R584" s="87">
        <f t="shared" si="268"/>
        <v>0</v>
      </c>
      <c r="S584" s="6">
        <f t="shared" si="249"/>
        <v>0</v>
      </c>
      <c r="T584" s="83">
        <f t="shared" si="258"/>
        <v>0</v>
      </c>
      <c r="U584" s="91">
        <f t="shared" si="265"/>
        <v>0</v>
      </c>
      <c r="V584" s="91">
        <f t="shared" si="259"/>
        <v>0</v>
      </c>
      <c r="W584" s="1">
        <f t="shared" si="273"/>
        <v>0</v>
      </c>
      <c r="X584" s="1">
        <f t="shared" si="273"/>
        <v>0</v>
      </c>
      <c r="Y584" s="1">
        <f t="shared" si="273"/>
        <v>0</v>
      </c>
      <c r="Z584" s="1">
        <f t="shared" si="273"/>
        <v>0</v>
      </c>
      <c r="AA584" s="1">
        <f t="shared" si="273"/>
        <v>0</v>
      </c>
      <c r="AB584" s="1">
        <f t="shared" si="273"/>
        <v>0</v>
      </c>
      <c r="AC584" s="1">
        <f t="shared" si="273"/>
        <v>0</v>
      </c>
      <c r="AD584" s="1">
        <f t="shared" si="273"/>
        <v>0</v>
      </c>
      <c r="AE584" s="1">
        <f t="shared" si="273"/>
        <v>0</v>
      </c>
      <c r="AF584" s="1">
        <f t="shared" si="273"/>
        <v>0</v>
      </c>
      <c r="AG584" s="1">
        <f t="shared" si="273"/>
        <v>0</v>
      </c>
      <c r="AH584" s="1">
        <f t="shared" si="273"/>
        <v>0</v>
      </c>
      <c r="AI584" s="44">
        <f t="shared" si="260"/>
        <v>0</v>
      </c>
      <c r="AJ584" s="44">
        <f t="shared" si="250"/>
        <v>0</v>
      </c>
      <c r="AK584" s="44">
        <f t="shared" si="269"/>
        <v>0</v>
      </c>
      <c r="AL584" s="4">
        <f t="shared" si="251"/>
        <v>506</v>
      </c>
      <c r="AM584" s="82">
        <f t="shared" si="261"/>
        <v>0</v>
      </c>
      <c r="AN584" s="82">
        <f t="shared" si="252"/>
        <v>0</v>
      </c>
      <c r="AO584" s="48">
        <f>0</f>
        <v>0</v>
      </c>
      <c r="AP584" s="91">
        <f t="shared" si="262"/>
        <v>0</v>
      </c>
      <c r="AQ584" s="91">
        <f t="shared" si="263"/>
        <v>0</v>
      </c>
      <c r="AV584" s="84"/>
    </row>
    <row r="585" spans="1:48">
      <c r="A585" s="190">
        <f t="shared" si="253"/>
        <v>107.97091033538672</v>
      </c>
      <c r="B585" s="82">
        <f t="shared" si="254"/>
        <v>43</v>
      </c>
      <c r="C585" s="83">
        <f t="shared" si="255"/>
        <v>507</v>
      </c>
      <c r="D585" s="14">
        <f t="shared" si="242"/>
        <v>4.8675505653430484E-3</v>
      </c>
      <c r="E585" s="16">
        <f t="shared" si="243"/>
        <v>0</v>
      </c>
      <c r="F585" s="127"/>
      <c r="G585" s="88">
        <f t="shared" si="244"/>
        <v>0</v>
      </c>
      <c r="H585" s="89">
        <f t="shared" si="256"/>
        <v>4.1666666666666666E-3</v>
      </c>
      <c r="I585" s="219"/>
      <c r="J585" s="219"/>
      <c r="K585" s="6">
        <f t="shared" si="264"/>
        <v>0</v>
      </c>
      <c r="M585" s="6">
        <f t="shared" si="245"/>
        <v>0</v>
      </c>
      <c r="N585" s="6">
        <f t="shared" si="257"/>
        <v>0</v>
      </c>
      <c r="O585" s="90">
        <f t="shared" si="246"/>
        <v>0</v>
      </c>
      <c r="P585" s="91">
        <f t="shared" si="247"/>
        <v>0</v>
      </c>
      <c r="Q585" s="6">
        <f t="shared" si="248"/>
        <v>0</v>
      </c>
      <c r="R585" s="87">
        <f t="shared" si="268"/>
        <v>0</v>
      </c>
      <c r="S585" s="6">
        <f t="shared" si="249"/>
        <v>0</v>
      </c>
      <c r="T585" s="83">
        <f t="shared" si="258"/>
        <v>0</v>
      </c>
      <c r="U585" s="91">
        <f t="shared" si="265"/>
        <v>0</v>
      </c>
      <c r="V585" s="91">
        <f t="shared" si="259"/>
        <v>0</v>
      </c>
      <c r="W585" s="1">
        <f t="shared" si="273"/>
        <v>0</v>
      </c>
      <c r="X585" s="1">
        <f t="shared" si="273"/>
        <v>0</v>
      </c>
      <c r="Y585" s="1">
        <f t="shared" si="273"/>
        <v>0</v>
      </c>
      <c r="Z585" s="1">
        <f t="shared" si="273"/>
        <v>0</v>
      </c>
      <c r="AA585" s="1">
        <f t="shared" si="273"/>
        <v>0</v>
      </c>
      <c r="AB585" s="1">
        <f t="shared" si="273"/>
        <v>0</v>
      </c>
      <c r="AC585" s="1">
        <f t="shared" si="273"/>
        <v>0</v>
      </c>
      <c r="AD585" s="1">
        <f t="shared" si="273"/>
        <v>0</v>
      </c>
      <c r="AE585" s="1">
        <f t="shared" si="273"/>
        <v>0</v>
      </c>
      <c r="AF585" s="1">
        <f t="shared" si="273"/>
        <v>0</v>
      </c>
      <c r="AG585" s="1">
        <f t="shared" si="273"/>
        <v>0</v>
      </c>
      <c r="AH585" s="1">
        <f t="shared" si="273"/>
        <v>0</v>
      </c>
      <c r="AI585" s="44">
        <f t="shared" si="260"/>
        <v>0</v>
      </c>
      <c r="AJ585" s="44">
        <f t="shared" si="250"/>
        <v>0</v>
      </c>
      <c r="AK585" s="44">
        <f t="shared" si="269"/>
        <v>0</v>
      </c>
      <c r="AL585" s="4">
        <f t="shared" si="251"/>
        <v>507</v>
      </c>
      <c r="AM585" s="82">
        <f t="shared" si="261"/>
        <v>0</v>
      </c>
      <c r="AN585" s="82">
        <f t="shared" si="252"/>
        <v>0</v>
      </c>
      <c r="AO585" s="48">
        <f>0</f>
        <v>0</v>
      </c>
      <c r="AP585" s="91">
        <f t="shared" si="262"/>
        <v>0</v>
      </c>
      <c r="AQ585" s="91">
        <f t="shared" si="263"/>
        <v>0</v>
      </c>
      <c r="AV585" s="84"/>
    </row>
    <row r="586" spans="1:48">
      <c r="A586" s="190">
        <f t="shared" si="253"/>
        <v>108.05424366872005</v>
      </c>
      <c r="B586" s="82">
        <f t="shared" si="254"/>
        <v>43</v>
      </c>
      <c r="C586" s="83">
        <f t="shared" si="255"/>
        <v>508</v>
      </c>
      <c r="D586" s="14">
        <f t="shared" si="242"/>
        <v>4.8675505653430484E-3</v>
      </c>
      <c r="E586" s="16">
        <f t="shared" si="243"/>
        <v>0</v>
      </c>
      <c r="F586" s="127"/>
      <c r="G586" s="88">
        <f t="shared" si="244"/>
        <v>0</v>
      </c>
      <c r="H586" s="89">
        <f t="shared" si="256"/>
        <v>4.1666666666666666E-3</v>
      </c>
      <c r="I586" s="219"/>
      <c r="J586" s="219"/>
      <c r="K586" s="6">
        <f t="shared" si="264"/>
        <v>0</v>
      </c>
      <c r="M586" s="6">
        <f t="shared" si="245"/>
        <v>0</v>
      </c>
      <c r="N586" s="6">
        <f t="shared" si="257"/>
        <v>0</v>
      </c>
      <c r="O586" s="90">
        <f t="shared" si="246"/>
        <v>0</v>
      </c>
      <c r="P586" s="91">
        <f t="shared" si="247"/>
        <v>0</v>
      </c>
      <c r="Q586" s="6">
        <f t="shared" si="248"/>
        <v>0</v>
      </c>
      <c r="R586" s="87">
        <f t="shared" si="268"/>
        <v>0</v>
      </c>
      <c r="S586" s="6">
        <f t="shared" si="249"/>
        <v>0</v>
      </c>
      <c r="T586" s="83">
        <f t="shared" si="258"/>
        <v>0</v>
      </c>
      <c r="U586" s="91">
        <f t="shared" si="265"/>
        <v>0</v>
      </c>
      <c r="V586" s="91">
        <f t="shared" si="259"/>
        <v>0</v>
      </c>
      <c r="W586" s="1">
        <f t="shared" si="273"/>
        <v>0</v>
      </c>
      <c r="X586" s="1">
        <f t="shared" si="273"/>
        <v>0</v>
      </c>
      <c r="Y586" s="1">
        <f t="shared" si="273"/>
        <v>0</v>
      </c>
      <c r="Z586" s="1">
        <f t="shared" si="273"/>
        <v>0</v>
      </c>
      <c r="AA586" s="1">
        <f t="shared" si="273"/>
        <v>0</v>
      </c>
      <c r="AB586" s="1">
        <f t="shared" si="273"/>
        <v>0</v>
      </c>
      <c r="AC586" s="1">
        <f t="shared" si="273"/>
        <v>0</v>
      </c>
      <c r="AD586" s="1">
        <f t="shared" si="273"/>
        <v>0</v>
      </c>
      <c r="AE586" s="1">
        <f t="shared" si="273"/>
        <v>0</v>
      </c>
      <c r="AF586" s="1">
        <f t="shared" si="273"/>
        <v>0</v>
      </c>
      <c r="AG586" s="1">
        <f t="shared" si="273"/>
        <v>0</v>
      </c>
      <c r="AH586" s="1">
        <f t="shared" si="273"/>
        <v>0</v>
      </c>
      <c r="AI586" s="44">
        <f t="shared" si="260"/>
        <v>0</v>
      </c>
      <c r="AJ586" s="44">
        <f t="shared" si="250"/>
        <v>0</v>
      </c>
      <c r="AK586" s="44">
        <f t="shared" si="269"/>
        <v>0</v>
      </c>
      <c r="AL586" s="4">
        <f t="shared" si="251"/>
        <v>508</v>
      </c>
      <c r="AM586" s="82">
        <f t="shared" si="261"/>
        <v>0</v>
      </c>
      <c r="AN586" s="82">
        <f t="shared" si="252"/>
        <v>0</v>
      </c>
      <c r="AO586" s="48">
        <f>0</f>
        <v>0</v>
      </c>
      <c r="AP586" s="91">
        <f t="shared" si="262"/>
        <v>0</v>
      </c>
      <c r="AQ586" s="91">
        <f t="shared" si="263"/>
        <v>0</v>
      </c>
      <c r="AV586" s="84"/>
    </row>
    <row r="587" spans="1:48">
      <c r="A587" s="190">
        <f t="shared" si="253"/>
        <v>108.13757700205338</v>
      </c>
      <c r="B587" s="82">
        <f t="shared" si="254"/>
        <v>43</v>
      </c>
      <c r="C587" s="83">
        <f t="shared" si="255"/>
        <v>509</v>
      </c>
      <c r="D587" s="14">
        <f t="shared" si="242"/>
        <v>4.8675505653430484E-3</v>
      </c>
      <c r="E587" s="16">
        <f t="shared" si="243"/>
        <v>0</v>
      </c>
      <c r="F587" s="127"/>
      <c r="G587" s="88">
        <f t="shared" si="244"/>
        <v>0</v>
      </c>
      <c r="H587" s="89">
        <f t="shared" si="256"/>
        <v>4.1666666666666666E-3</v>
      </c>
      <c r="I587" s="219"/>
      <c r="J587" s="219"/>
      <c r="K587" s="6">
        <f t="shared" si="264"/>
        <v>0</v>
      </c>
      <c r="M587" s="6">
        <f t="shared" si="245"/>
        <v>0</v>
      </c>
      <c r="N587" s="6">
        <f t="shared" si="257"/>
        <v>0</v>
      </c>
      <c r="O587" s="90">
        <f t="shared" si="246"/>
        <v>0</v>
      </c>
      <c r="P587" s="91">
        <f t="shared" si="247"/>
        <v>0</v>
      </c>
      <c r="Q587" s="6">
        <f t="shared" si="248"/>
        <v>0</v>
      </c>
      <c r="R587" s="87">
        <f t="shared" si="268"/>
        <v>0</v>
      </c>
      <c r="S587" s="6">
        <f t="shared" si="249"/>
        <v>0</v>
      </c>
      <c r="T587" s="83">
        <f t="shared" si="258"/>
        <v>0</v>
      </c>
      <c r="U587" s="91">
        <f t="shared" si="265"/>
        <v>0</v>
      </c>
      <c r="V587" s="91">
        <f t="shared" si="259"/>
        <v>0</v>
      </c>
      <c r="W587" s="1">
        <f t="shared" si="273"/>
        <v>0</v>
      </c>
      <c r="X587" s="1">
        <f t="shared" si="273"/>
        <v>0</v>
      </c>
      <c r="Y587" s="1">
        <f t="shared" si="273"/>
        <v>0</v>
      </c>
      <c r="Z587" s="1">
        <f t="shared" si="273"/>
        <v>0</v>
      </c>
      <c r="AA587" s="1">
        <f t="shared" si="273"/>
        <v>0</v>
      </c>
      <c r="AB587" s="1">
        <f t="shared" si="273"/>
        <v>0</v>
      </c>
      <c r="AC587" s="1">
        <f t="shared" si="273"/>
        <v>0</v>
      </c>
      <c r="AD587" s="1">
        <f t="shared" si="273"/>
        <v>0</v>
      </c>
      <c r="AE587" s="1">
        <f t="shared" si="273"/>
        <v>0</v>
      </c>
      <c r="AF587" s="1">
        <f t="shared" si="273"/>
        <v>0</v>
      </c>
      <c r="AG587" s="1">
        <f t="shared" si="273"/>
        <v>0</v>
      </c>
      <c r="AH587" s="1">
        <f t="shared" si="273"/>
        <v>0</v>
      </c>
      <c r="AI587" s="44">
        <f t="shared" si="260"/>
        <v>0</v>
      </c>
      <c r="AJ587" s="44">
        <f t="shared" si="250"/>
        <v>0</v>
      </c>
      <c r="AK587" s="44">
        <f t="shared" si="269"/>
        <v>0</v>
      </c>
      <c r="AL587" s="4">
        <f t="shared" si="251"/>
        <v>509</v>
      </c>
      <c r="AM587" s="82">
        <f t="shared" si="261"/>
        <v>0</v>
      </c>
      <c r="AN587" s="82">
        <f t="shared" si="252"/>
        <v>0</v>
      </c>
      <c r="AO587" s="48">
        <f>0</f>
        <v>0</v>
      </c>
      <c r="AP587" s="91">
        <f t="shared" si="262"/>
        <v>0</v>
      </c>
      <c r="AQ587" s="91">
        <f t="shared" si="263"/>
        <v>0</v>
      </c>
      <c r="AV587" s="84"/>
    </row>
    <row r="588" spans="1:48">
      <c r="A588" s="190">
        <f t="shared" si="253"/>
        <v>108.22091033538672</v>
      </c>
      <c r="B588" s="82">
        <f t="shared" si="254"/>
        <v>43</v>
      </c>
      <c r="C588" s="83">
        <f t="shared" si="255"/>
        <v>510</v>
      </c>
      <c r="D588" s="14">
        <f t="shared" si="242"/>
        <v>4.8675505653430484E-3</v>
      </c>
      <c r="E588" s="16">
        <f t="shared" si="243"/>
        <v>0</v>
      </c>
      <c r="F588" s="127"/>
      <c r="G588" s="88">
        <f t="shared" si="244"/>
        <v>0</v>
      </c>
      <c r="H588" s="89">
        <f t="shared" si="256"/>
        <v>4.1666666666666666E-3</v>
      </c>
      <c r="I588" s="219"/>
      <c r="J588" s="219"/>
      <c r="K588" s="6">
        <f t="shared" si="264"/>
        <v>0</v>
      </c>
      <c r="M588" s="6">
        <f t="shared" si="245"/>
        <v>0</v>
      </c>
      <c r="N588" s="6">
        <f t="shared" si="257"/>
        <v>0</v>
      </c>
      <c r="O588" s="90">
        <f t="shared" si="246"/>
        <v>0</v>
      </c>
      <c r="P588" s="91">
        <f t="shared" si="247"/>
        <v>0</v>
      </c>
      <c r="Q588" s="6">
        <f t="shared" si="248"/>
        <v>0</v>
      </c>
      <c r="R588" s="87">
        <f t="shared" si="268"/>
        <v>0</v>
      </c>
      <c r="S588" s="6">
        <f t="shared" si="249"/>
        <v>0</v>
      </c>
      <c r="T588" s="83">
        <f t="shared" si="258"/>
        <v>0</v>
      </c>
      <c r="U588" s="91">
        <f t="shared" si="265"/>
        <v>0</v>
      </c>
      <c r="V588" s="91">
        <f t="shared" si="259"/>
        <v>0</v>
      </c>
      <c r="W588" s="1">
        <f t="shared" si="273"/>
        <v>0</v>
      </c>
      <c r="X588" s="1">
        <f t="shared" si="273"/>
        <v>0</v>
      </c>
      <c r="Y588" s="1">
        <f t="shared" si="273"/>
        <v>0</v>
      </c>
      <c r="Z588" s="1">
        <f t="shared" si="273"/>
        <v>0</v>
      </c>
      <c r="AA588" s="1">
        <f t="shared" si="273"/>
        <v>0</v>
      </c>
      <c r="AB588" s="1">
        <f t="shared" si="273"/>
        <v>0</v>
      </c>
      <c r="AC588" s="1">
        <f t="shared" si="273"/>
        <v>0</v>
      </c>
      <c r="AD588" s="1">
        <f t="shared" si="273"/>
        <v>0</v>
      </c>
      <c r="AE588" s="1">
        <f t="shared" si="273"/>
        <v>0</v>
      </c>
      <c r="AF588" s="1">
        <f t="shared" si="273"/>
        <v>0</v>
      </c>
      <c r="AG588" s="1">
        <f t="shared" si="273"/>
        <v>0</v>
      </c>
      <c r="AH588" s="1">
        <f t="shared" si="273"/>
        <v>0</v>
      </c>
      <c r="AI588" s="44">
        <f t="shared" si="260"/>
        <v>0</v>
      </c>
      <c r="AJ588" s="44">
        <f t="shared" si="250"/>
        <v>0</v>
      </c>
      <c r="AK588" s="44">
        <f t="shared" si="269"/>
        <v>0</v>
      </c>
      <c r="AL588" s="4">
        <f t="shared" si="251"/>
        <v>510</v>
      </c>
      <c r="AM588" s="82">
        <f t="shared" si="261"/>
        <v>0</v>
      </c>
      <c r="AN588" s="82">
        <f t="shared" si="252"/>
        <v>0</v>
      </c>
      <c r="AO588" s="48">
        <f>0</f>
        <v>0</v>
      </c>
      <c r="AP588" s="91">
        <f t="shared" si="262"/>
        <v>0</v>
      </c>
      <c r="AQ588" s="91">
        <f t="shared" si="263"/>
        <v>0</v>
      </c>
      <c r="AV588" s="84"/>
    </row>
    <row r="589" spans="1:48">
      <c r="A589" s="190">
        <f t="shared" si="253"/>
        <v>108.30424366872005</v>
      </c>
      <c r="B589" s="82">
        <f t="shared" si="254"/>
        <v>43</v>
      </c>
      <c r="C589" s="83">
        <f t="shared" si="255"/>
        <v>511</v>
      </c>
      <c r="D589" s="14">
        <f t="shared" si="242"/>
        <v>4.8675505653430484E-3</v>
      </c>
      <c r="E589" s="16">
        <f t="shared" si="243"/>
        <v>0</v>
      </c>
      <c r="F589" s="127"/>
      <c r="G589" s="88">
        <f t="shared" si="244"/>
        <v>0</v>
      </c>
      <c r="H589" s="89">
        <f t="shared" si="256"/>
        <v>4.1666666666666666E-3</v>
      </c>
      <c r="I589" s="219"/>
      <c r="J589" s="219"/>
      <c r="K589" s="6">
        <f t="shared" si="264"/>
        <v>0</v>
      </c>
      <c r="M589" s="6">
        <f t="shared" si="245"/>
        <v>0</v>
      </c>
      <c r="N589" s="6">
        <f t="shared" si="257"/>
        <v>0</v>
      </c>
      <c r="O589" s="90">
        <f t="shared" si="246"/>
        <v>0</v>
      </c>
      <c r="P589" s="91">
        <f t="shared" si="247"/>
        <v>0</v>
      </c>
      <c r="Q589" s="6">
        <f t="shared" si="248"/>
        <v>0</v>
      </c>
      <c r="R589" s="87">
        <f t="shared" si="268"/>
        <v>0</v>
      </c>
      <c r="S589" s="6">
        <f t="shared" si="249"/>
        <v>0</v>
      </c>
      <c r="T589" s="83">
        <f t="shared" si="258"/>
        <v>0</v>
      </c>
      <c r="U589" s="91">
        <f t="shared" si="265"/>
        <v>0</v>
      </c>
      <c r="V589" s="91">
        <f t="shared" si="259"/>
        <v>0</v>
      </c>
      <c r="W589" s="1">
        <f t="shared" ref="W589:AH598" si="274">IF($B589&lt;=W$78,1,0)</f>
        <v>0</v>
      </c>
      <c r="X589" s="1">
        <f t="shared" si="274"/>
        <v>0</v>
      </c>
      <c r="Y589" s="1">
        <f t="shared" si="274"/>
        <v>0</v>
      </c>
      <c r="Z589" s="1">
        <f t="shared" si="274"/>
        <v>0</v>
      </c>
      <c r="AA589" s="1">
        <f t="shared" si="274"/>
        <v>0</v>
      </c>
      <c r="AB589" s="1">
        <f t="shared" si="274"/>
        <v>0</v>
      </c>
      <c r="AC589" s="1">
        <f t="shared" si="274"/>
        <v>0</v>
      </c>
      <c r="AD589" s="1">
        <f t="shared" si="274"/>
        <v>0</v>
      </c>
      <c r="AE589" s="1">
        <f t="shared" si="274"/>
        <v>0</v>
      </c>
      <c r="AF589" s="1">
        <f t="shared" si="274"/>
        <v>0</v>
      </c>
      <c r="AG589" s="1">
        <f t="shared" si="274"/>
        <v>0</v>
      </c>
      <c r="AH589" s="1">
        <f t="shared" si="274"/>
        <v>0</v>
      </c>
      <c r="AI589" s="44">
        <f t="shared" si="260"/>
        <v>0</v>
      </c>
      <c r="AJ589" s="44">
        <f t="shared" si="250"/>
        <v>0</v>
      </c>
      <c r="AK589" s="44">
        <f t="shared" si="269"/>
        <v>0</v>
      </c>
      <c r="AL589" s="4">
        <f t="shared" si="251"/>
        <v>511</v>
      </c>
      <c r="AM589" s="82">
        <f t="shared" si="261"/>
        <v>0</v>
      </c>
      <c r="AN589" s="82">
        <f t="shared" si="252"/>
        <v>0</v>
      </c>
      <c r="AO589" s="48">
        <f>0</f>
        <v>0</v>
      </c>
      <c r="AP589" s="91">
        <f t="shared" si="262"/>
        <v>0</v>
      </c>
      <c r="AQ589" s="91">
        <f t="shared" si="263"/>
        <v>0</v>
      </c>
      <c r="AV589" s="84"/>
    </row>
    <row r="590" spans="1:48">
      <c r="A590" s="190">
        <f t="shared" si="253"/>
        <v>108.38757700205338</v>
      </c>
      <c r="B590" s="82">
        <f t="shared" si="254"/>
        <v>43</v>
      </c>
      <c r="C590" s="83">
        <f t="shared" si="255"/>
        <v>512</v>
      </c>
      <c r="D590" s="14">
        <f t="shared" si="242"/>
        <v>4.8675505653430484E-3</v>
      </c>
      <c r="E590" s="16">
        <f t="shared" si="243"/>
        <v>0</v>
      </c>
      <c r="F590" s="127"/>
      <c r="G590" s="88">
        <f t="shared" si="244"/>
        <v>0</v>
      </c>
      <c r="H590" s="89">
        <f t="shared" si="256"/>
        <v>4.1666666666666666E-3</v>
      </c>
      <c r="I590" s="219"/>
      <c r="J590" s="219"/>
      <c r="K590" s="6">
        <f t="shared" si="264"/>
        <v>0</v>
      </c>
      <c r="M590" s="6">
        <f t="shared" si="245"/>
        <v>0</v>
      </c>
      <c r="N590" s="6">
        <f t="shared" si="257"/>
        <v>0</v>
      </c>
      <c r="O590" s="90">
        <f t="shared" si="246"/>
        <v>0</v>
      </c>
      <c r="P590" s="91">
        <f t="shared" si="247"/>
        <v>0</v>
      </c>
      <c r="Q590" s="6">
        <f t="shared" si="248"/>
        <v>0</v>
      </c>
      <c r="R590" s="87">
        <f t="shared" si="268"/>
        <v>0</v>
      </c>
      <c r="S590" s="6">
        <f t="shared" si="249"/>
        <v>0</v>
      </c>
      <c r="T590" s="83">
        <f t="shared" si="258"/>
        <v>0</v>
      </c>
      <c r="U590" s="91">
        <f t="shared" si="265"/>
        <v>0</v>
      </c>
      <c r="V590" s="91">
        <f t="shared" si="259"/>
        <v>0</v>
      </c>
      <c r="W590" s="1">
        <f t="shared" si="274"/>
        <v>0</v>
      </c>
      <c r="X590" s="1">
        <f t="shared" si="274"/>
        <v>0</v>
      </c>
      <c r="Y590" s="1">
        <f t="shared" si="274"/>
        <v>0</v>
      </c>
      <c r="Z590" s="1">
        <f t="shared" si="274"/>
        <v>0</v>
      </c>
      <c r="AA590" s="1">
        <f t="shared" si="274"/>
        <v>0</v>
      </c>
      <c r="AB590" s="1">
        <f t="shared" si="274"/>
        <v>0</v>
      </c>
      <c r="AC590" s="1">
        <f t="shared" si="274"/>
        <v>0</v>
      </c>
      <c r="AD590" s="1">
        <f t="shared" si="274"/>
        <v>0</v>
      </c>
      <c r="AE590" s="1">
        <f t="shared" si="274"/>
        <v>0</v>
      </c>
      <c r="AF590" s="1">
        <f t="shared" si="274"/>
        <v>0</v>
      </c>
      <c r="AG590" s="1">
        <f t="shared" si="274"/>
        <v>0</v>
      </c>
      <c r="AH590" s="1">
        <f t="shared" si="274"/>
        <v>0</v>
      </c>
      <c r="AI590" s="44">
        <f t="shared" si="260"/>
        <v>0</v>
      </c>
      <c r="AJ590" s="44">
        <f t="shared" si="250"/>
        <v>0</v>
      </c>
      <c r="AK590" s="44">
        <f t="shared" si="269"/>
        <v>0</v>
      </c>
      <c r="AL590" s="4">
        <f t="shared" si="251"/>
        <v>512</v>
      </c>
      <c r="AM590" s="82">
        <f t="shared" si="261"/>
        <v>0</v>
      </c>
      <c r="AN590" s="82">
        <f t="shared" si="252"/>
        <v>0</v>
      </c>
      <c r="AO590" s="48">
        <f>0</f>
        <v>0</v>
      </c>
      <c r="AP590" s="91">
        <f t="shared" si="262"/>
        <v>0</v>
      </c>
      <c r="AQ590" s="91">
        <f t="shared" si="263"/>
        <v>0</v>
      </c>
      <c r="AV590" s="84"/>
    </row>
    <row r="591" spans="1:48">
      <c r="A591" s="190">
        <f t="shared" si="253"/>
        <v>108.47091033538672</v>
      </c>
      <c r="B591" s="82">
        <f t="shared" si="254"/>
        <v>43</v>
      </c>
      <c r="C591" s="83">
        <f t="shared" si="255"/>
        <v>513</v>
      </c>
      <c r="D591" s="14">
        <f t="shared" ref="D591:D654" si="275">Growth_Rate_1_Monthly</f>
        <v>4.8675505653430484E-3</v>
      </c>
      <c r="E591" s="16">
        <f t="shared" ref="E591:E654" si="276">IF(Gtee_Flag="on",1,0)</f>
        <v>0</v>
      </c>
      <c r="F591" s="127"/>
      <c r="G591" s="88">
        <f t="shared" ref="G591:G654" si="277">IF(ISERROR(VLOOKUP(Product_Code,Product_Parameters,B591+5,FALSE)),0,VLOOKUP(Product_Code,Product_Parameters,B591+5,FALSE))</f>
        <v>0</v>
      </c>
      <c r="H591" s="89">
        <f t="shared" si="256"/>
        <v>4.1666666666666666E-3</v>
      </c>
      <c r="I591" s="219"/>
      <c r="J591" s="219"/>
      <c r="K591" s="6">
        <f t="shared" si="264"/>
        <v>0</v>
      </c>
      <c r="M591" s="6">
        <f t="shared" ref="M591:M654" si="278">(K591+L591)*D591</f>
        <v>0</v>
      </c>
      <c r="N591" s="6">
        <f t="shared" si="257"/>
        <v>0</v>
      </c>
      <c r="O591" s="90">
        <f t="shared" ref="O591:O654" si="279">IF(C591&gt;=Regular_Income_Start_Month,
MIN(Regular_Income_Amount/12*(1+Income_Escalation_Rate_Annual)^($B591-1),AJ591),0)</f>
        <v>0</v>
      </c>
      <c r="P591" s="91">
        <f t="shared" ref="P591:P654" si="280">MAX(IF(C591&gt;=Regular_Income_Start_Month,
MIN(IF(Income_Type="Fixed Percent",$C$51,0)/12*(K591+L591+M591+N591),AJ591),0),0)</f>
        <v>0</v>
      </c>
      <c r="Q591" s="6">
        <f t="shared" ref="Q591:Q654" si="281">MAX(IF(C591&gt;=Regular_Income_Start_Month,
MIN(H591*(K591+L591+M591+N591),AJ591),0),0)</f>
        <v>0</v>
      </c>
      <c r="R591" s="87">
        <f t="shared" si="268"/>
        <v>0</v>
      </c>
      <c r="S591" s="6">
        <f t="shared" ref="S591:S654" si="282">-(($K591+I591+M591/2+N591/2+R591/2)*(Ongoing_Commission_Monthly)+(I591)*new_upfront_commission)</f>
        <v>0</v>
      </c>
      <c r="T591" s="83">
        <f t="shared" si="258"/>
        <v>0</v>
      </c>
      <c r="U591" s="91">
        <f t="shared" si="265"/>
        <v>0</v>
      </c>
      <c r="V591" s="91">
        <f t="shared" si="259"/>
        <v>0</v>
      </c>
      <c r="W591" s="1">
        <f t="shared" si="274"/>
        <v>0</v>
      </c>
      <c r="X591" s="1">
        <f t="shared" si="274"/>
        <v>0</v>
      </c>
      <c r="Y591" s="1">
        <f t="shared" si="274"/>
        <v>0</v>
      </c>
      <c r="Z591" s="1">
        <f t="shared" si="274"/>
        <v>0</v>
      </c>
      <c r="AA591" s="1">
        <f t="shared" si="274"/>
        <v>0</v>
      </c>
      <c r="AB591" s="1">
        <f t="shared" si="274"/>
        <v>0</v>
      </c>
      <c r="AC591" s="1">
        <f t="shared" si="274"/>
        <v>0</v>
      </c>
      <c r="AD591" s="1">
        <f t="shared" si="274"/>
        <v>0</v>
      </c>
      <c r="AE591" s="1">
        <f t="shared" si="274"/>
        <v>0</v>
      </c>
      <c r="AF591" s="1">
        <f t="shared" si="274"/>
        <v>0</v>
      </c>
      <c r="AG591" s="1">
        <f t="shared" si="274"/>
        <v>0</v>
      </c>
      <c r="AH591" s="1">
        <f t="shared" si="274"/>
        <v>0</v>
      </c>
      <c r="AI591" s="44">
        <f t="shared" si="260"/>
        <v>0</v>
      </c>
      <c r="AJ591" s="44">
        <f t="shared" ref="AJ591:AJ654" si="283">MAX(0,SUM(K591:N591)-$C$66)</f>
        <v>0</v>
      </c>
      <c r="AK591" s="44">
        <f t="shared" si="269"/>
        <v>0</v>
      </c>
      <c r="AL591" s="4">
        <f t="shared" ref="AL591:AL654" si="284">C591</f>
        <v>513</v>
      </c>
      <c r="AM591" s="82">
        <f t="shared" si="261"/>
        <v>0</v>
      </c>
      <c r="AN591" s="82">
        <f t="shared" ref="AN591:AN654" si="285">IF(AND(B591=Fund_Zero_Year,K592=0,K591&gt;0),-U591,IF(AND(B591+1=Fund_Zero_Year,K592=0,K591&gt;0),-U591,0))</f>
        <v>0</v>
      </c>
      <c r="AO591" s="48">
        <f>0</f>
        <v>0</v>
      </c>
      <c r="AP591" s="91">
        <f t="shared" si="262"/>
        <v>0</v>
      </c>
      <c r="AQ591" s="91">
        <f t="shared" si="263"/>
        <v>0</v>
      </c>
      <c r="AV591" s="84"/>
    </row>
    <row r="592" spans="1:48">
      <c r="A592" s="190">
        <f t="shared" ref="A592:A655" si="286">$C$43+C591/12</f>
        <v>108.55424366872005</v>
      </c>
      <c r="B592" s="82">
        <f t="shared" ref="B592:B655" si="287">INT((C592-1)/12)+1</f>
        <v>43</v>
      </c>
      <c r="C592" s="83">
        <f t="shared" ref="C592:C655" si="288">C591+1</f>
        <v>514</v>
      </c>
      <c r="D592" s="14">
        <f t="shared" si="275"/>
        <v>4.8675505653430484E-3</v>
      </c>
      <c r="E592" s="16">
        <f t="shared" si="276"/>
        <v>0</v>
      </c>
      <c r="F592" s="127"/>
      <c r="G592" s="88">
        <f t="shared" si="277"/>
        <v>0</v>
      </c>
      <c r="H592" s="89">
        <f t="shared" ref="H592:H655" si="289">IF((K591+L591+M591+N591+R591)&gt;=2000000,VLOOKUP("&gt;=2000000",Default_IncomeRate_table,3,FALSE),
IF($A592&lt;71,VLOOKUP("&lt;71",Default_IncomeRate_table,3,FALSE),
IF($A592&gt;=71,VLOOKUP("&gt;=71",Default_IncomeRate_table,3,FALSE),"")))</f>
        <v>4.1666666666666666E-3</v>
      </c>
      <c r="I592" s="219"/>
      <c r="J592" s="219"/>
      <c r="K592" s="6">
        <f t="shared" si="264"/>
        <v>0</v>
      </c>
      <c r="M592" s="6">
        <f t="shared" si="278"/>
        <v>0</v>
      </c>
      <c r="N592" s="6">
        <f t="shared" ref="N592:N655" si="290">-(($K592+(L592)+M592/2)*(External_Fund_Charge_Monthly+Fund_Charge_Monthly+Gtee_Charge_Monthly*$E592))+MIN(J592,0)</f>
        <v>0</v>
      </c>
      <c r="O592" s="90">
        <f t="shared" si="279"/>
        <v>0</v>
      </c>
      <c r="P592" s="91">
        <f t="shared" si="280"/>
        <v>0</v>
      </c>
      <c r="Q592" s="6">
        <f t="shared" si="281"/>
        <v>0</v>
      </c>
      <c r="R592" s="87">
        <f t="shared" si="268"/>
        <v>0</v>
      </c>
      <c r="S592" s="6">
        <f t="shared" si="282"/>
        <v>0</v>
      </c>
      <c r="T592" s="83">
        <f t="shared" ref="T592:T655" si="291">SUM(K592:N592,R592)*$G592</f>
        <v>0</v>
      </c>
      <c r="U592" s="91">
        <f t="shared" si="265"/>
        <v>0</v>
      </c>
      <c r="V592" s="91">
        <f t="shared" ref="V592:V655" si="292">U592*D592</f>
        <v>0</v>
      </c>
      <c r="W592" s="1">
        <f t="shared" si="274"/>
        <v>0</v>
      </c>
      <c r="X592" s="1">
        <f t="shared" si="274"/>
        <v>0</v>
      </c>
      <c r="Y592" s="1">
        <f t="shared" si="274"/>
        <v>0</v>
      </c>
      <c r="Z592" s="1">
        <f t="shared" si="274"/>
        <v>0</v>
      </c>
      <c r="AA592" s="1">
        <f t="shared" si="274"/>
        <v>0</v>
      </c>
      <c r="AB592" s="1">
        <f t="shared" si="274"/>
        <v>0</v>
      </c>
      <c r="AC592" s="1">
        <f t="shared" si="274"/>
        <v>0</v>
      </c>
      <c r="AD592" s="1">
        <f t="shared" si="274"/>
        <v>0</v>
      </c>
      <c r="AE592" s="1">
        <f t="shared" si="274"/>
        <v>0</v>
      </c>
      <c r="AF592" s="1">
        <f t="shared" si="274"/>
        <v>0</v>
      </c>
      <c r="AG592" s="1">
        <f t="shared" si="274"/>
        <v>0</v>
      </c>
      <c r="AH592" s="1">
        <f t="shared" si="274"/>
        <v>0</v>
      </c>
      <c r="AI592" s="44">
        <f t="shared" ref="AI592:AI655" si="293">SUM(K592:N592,R592)</f>
        <v>0</v>
      </c>
      <c r="AJ592" s="44">
        <f t="shared" si="283"/>
        <v>0</v>
      </c>
      <c r="AK592" s="44">
        <f t="shared" si="269"/>
        <v>0</v>
      </c>
      <c r="AL592" s="4">
        <f t="shared" si="284"/>
        <v>514</v>
      </c>
      <c r="AM592" s="82">
        <f t="shared" ref="AM592:AM655" si="294">I592</f>
        <v>0</v>
      </c>
      <c r="AN592" s="82">
        <f t="shared" si="285"/>
        <v>0</v>
      </c>
      <c r="AO592" s="48">
        <f>0</f>
        <v>0</v>
      </c>
      <c r="AP592" s="91">
        <f t="shared" ref="AP592:AP655" si="295">$R592+AN592+AM592</f>
        <v>0</v>
      </c>
      <c r="AQ592" s="91">
        <f t="shared" ref="AQ592:AQ655" si="296">$R592+AO592+AM592</f>
        <v>0</v>
      </c>
      <c r="AV592" s="84"/>
    </row>
    <row r="593" spans="1:48">
      <c r="A593" s="190">
        <f t="shared" si="286"/>
        <v>108.63757700205338</v>
      </c>
      <c r="B593" s="82">
        <f t="shared" si="287"/>
        <v>43</v>
      </c>
      <c r="C593" s="83">
        <f t="shared" si="288"/>
        <v>515</v>
      </c>
      <c r="D593" s="14">
        <f t="shared" si="275"/>
        <v>4.8675505653430484E-3</v>
      </c>
      <c r="E593" s="16">
        <f t="shared" si="276"/>
        <v>0</v>
      </c>
      <c r="F593" s="127"/>
      <c r="G593" s="88">
        <f t="shared" si="277"/>
        <v>0</v>
      </c>
      <c r="H593" s="89">
        <f t="shared" si="289"/>
        <v>4.1666666666666666E-3</v>
      </c>
      <c r="I593" s="219"/>
      <c r="J593" s="219"/>
      <c r="K593" s="6">
        <f t="shared" ref="K593:K656" si="297">SUM(K592:M592,N592,R592)</f>
        <v>0</v>
      </c>
      <c r="M593" s="6">
        <f t="shared" si="278"/>
        <v>0</v>
      </c>
      <c r="N593" s="6">
        <f t="shared" si="290"/>
        <v>0</v>
      </c>
      <c r="O593" s="90">
        <f t="shared" si="279"/>
        <v>0</v>
      </c>
      <c r="P593" s="91">
        <f t="shared" si="280"/>
        <v>0</v>
      </c>
      <c r="Q593" s="6">
        <f t="shared" si="281"/>
        <v>0</v>
      </c>
      <c r="R593" s="87">
        <f t="shared" si="268"/>
        <v>0</v>
      </c>
      <c r="S593" s="6">
        <f t="shared" si="282"/>
        <v>0</v>
      </c>
      <c r="T593" s="83">
        <f t="shared" si="291"/>
        <v>0</v>
      </c>
      <c r="U593" s="91">
        <f t="shared" ref="U593:U656" si="298">IF(K593=0,0,SUM(U592,R592,V592))</f>
        <v>0</v>
      </c>
      <c r="V593" s="91">
        <f t="shared" si="292"/>
        <v>0</v>
      </c>
      <c r="W593" s="1">
        <f t="shared" si="274"/>
        <v>0</v>
      </c>
      <c r="X593" s="1">
        <f t="shared" si="274"/>
        <v>0</v>
      </c>
      <c r="Y593" s="1">
        <f t="shared" si="274"/>
        <v>0</v>
      </c>
      <c r="Z593" s="1">
        <f t="shared" si="274"/>
        <v>0</v>
      </c>
      <c r="AA593" s="1">
        <f t="shared" si="274"/>
        <v>0</v>
      </c>
      <c r="AB593" s="1">
        <f t="shared" si="274"/>
        <v>0</v>
      </c>
      <c r="AC593" s="1">
        <f t="shared" si="274"/>
        <v>0</v>
      </c>
      <c r="AD593" s="1">
        <f t="shared" si="274"/>
        <v>0</v>
      </c>
      <c r="AE593" s="1">
        <f t="shared" si="274"/>
        <v>0</v>
      </c>
      <c r="AF593" s="1">
        <f t="shared" si="274"/>
        <v>0</v>
      </c>
      <c r="AG593" s="1">
        <f t="shared" si="274"/>
        <v>0</v>
      </c>
      <c r="AH593" s="1">
        <f t="shared" si="274"/>
        <v>0</v>
      </c>
      <c r="AI593" s="44">
        <f t="shared" si="293"/>
        <v>0</v>
      </c>
      <c r="AJ593" s="44">
        <f t="shared" si="283"/>
        <v>0</v>
      </c>
      <c r="AK593" s="44">
        <f t="shared" si="269"/>
        <v>0</v>
      </c>
      <c r="AL593" s="4">
        <f t="shared" si="284"/>
        <v>515</v>
      </c>
      <c r="AM593" s="82">
        <f t="shared" si="294"/>
        <v>0</v>
      </c>
      <c r="AN593" s="82">
        <f t="shared" si="285"/>
        <v>0</v>
      </c>
      <c r="AO593" s="48">
        <f>0</f>
        <v>0</v>
      </c>
      <c r="AP593" s="91">
        <f t="shared" si="295"/>
        <v>0</v>
      </c>
      <c r="AQ593" s="91">
        <f t="shared" si="296"/>
        <v>0</v>
      </c>
      <c r="AV593" s="84"/>
    </row>
    <row r="594" spans="1:48">
      <c r="A594" s="190">
        <f t="shared" si="286"/>
        <v>108.72091033538672</v>
      </c>
      <c r="B594" s="82">
        <f t="shared" si="287"/>
        <v>43</v>
      </c>
      <c r="C594" s="83">
        <f t="shared" si="288"/>
        <v>516</v>
      </c>
      <c r="D594" s="14">
        <f t="shared" si="275"/>
        <v>4.8675505653430484E-3</v>
      </c>
      <c r="E594" s="16">
        <f t="shared" si="276"/>
        <v>0</v>
      </c>
      <c r="F594" s="127"/>
      <c r="G594" s="88">
        <f t="shared" si="277"/>
        <v>0</v>
      </c>
      <c r="H594" s="89">
        <f t="shared" si="289"/>
        <v>4.1666666666666666E-3</v>
      </c>
      <c r="I594" s="219"/>
      <c r="J594" s="219"/>
      <c r="K594" s="6">
        <f t="shared" si="297"/>
        <v>0</v>
      </c>
      <c r="M594" s="6">
        <f t="shared" si="278"/>
        <v>0</v>
      </c>
      <c r="N594" s="6">
        <f t="shared" si="290"/>
        <v>0</v>
      </c>
      <c r="O594" s="90">
        <f t="shared" si="279"/>
        <v>0</v>
      </c>
      <c r="P594" s="91">
        <f t="shared" si="280"/>
        <v>0</v>
      </c>
      <c r="Q594" s="6">
        <f t="shared" si="281"/>
        <v>0</v>
      </c>
      <c r="R594" s="87">
        <f t="shared" si="268"/>
        <v>0</v>
      </c>
      <c r="S594" s="6">
        <f t="shared" si="282"/>
        <v>0</v>
      </c>
      <c r="T594" s="83">
        <f t="shared" si="291"/>
        <v>0</v>
      </c>
      <c r="U594" s="91">
        <f t="shared" si="298"/>
        <v>0</v>
      </c>
      <c r="V594" s="91">
        <f t="shared" si="292"/>
        <v>0</v>
      </c>
      <c r="W594" s="1">
        <f t="shared" si="274"/>
        <v>0</v>
      </c>
      <c r="X594" s="1">
        <f t="shared" si="274"/>
        <v>0</v>
      </c>
      <c r="Y594" s="1">
        <f t="shared" si="274"/>
        <v>0</v>
      </c>
      <c r="Z594" s="1">
        <f t="shared" si="274"/>
        <v>0</v>
      </c>
      <c r="AA594" s="1">
        <f t="shared" si="274"/>
        <v>0</v>
      </c>
      <c r="AB594" s="1">
        <f t="shared" si="274"/>
        <v>0</v>
      </c>
      <c r="AC594" s="1">
        <f t="shared" si="274"/>
        <v>0</v>
      </c>
      <c r="AD594" s="1">
        <f t="shared" si="274"/>
        <v>0</v>
      </c>
      <c r="AE594" s="1">
        <f t="shared" si="274"/>
        <v>0</v>
      </c>
      <c r="AF594" s="1">
        <f t="shared" si="274"/>
        <v>0</v>
      </c>
      <c r="AG594" s="1">
        <f t="shared" si="274"/>
        <v>0</v>
      </c>
      <c r="AH594" s="1">
        <f t="shared" si="274"/>
        <v>0</v>
      </c>
      <c r="AI594" s="44">
        <f t="shared" si="293"/>
        <v>0</v>
      </c>
      <c r="AJ594" s="44">
        <f t="shared" si="283"/>
        <v>0</v>
      </c>
      <c r="AK594" s="44">
        <f t="shared" si="269"/>
        <v>0</v>
      </c>
      <c r="AL594" s="4">
        <f t="shared" si="284"/>
        <v>516</v>
      </c>
      <c r="AM594" s="82">
        <f t="shared" si="294"/>
        <v>0</v>
      </c>
      <c r="AN594" s="82">
        <f t="shared" si="285"/>
        <v>0</v>
      </c>
      <c r="AO594" s="48">
        <f>0</f>
        <v>0</v>
      </c>
      <c r="AP594" s="91">
        <f t="shared" si="295"/>
        <v>0</v>
      </c>
      <c r="AQ594" s="91">
        <f t="shared" si="296"/>
        <v>0</v>
      </c>
      <c r="AV594" s="84"/>
    </row>
    <row r="595" spans="1:48">
      <c r="A595" s="190">
        <f t="shared" si="286"/>
        <v>108.80424366872005</v>
      </c>
      <c r="B595" s="82">
        <f t="shared" si="287"/>
        <v>44</v>
      </c>
      <c r="C595" s="83">
        <f t="shared" si="288"/>
        <v>517</v>
      </c>
      <c r="D595" s="14">
        <f t="shared" si="275"/>
        <v>4.8675505653430484E-3</v>
      </c>
      <c r="E595" s="16">
        <f t="shared" si="276"/>
        <v>0</v>
      </c>
      <c r="F595" s="127"/>
      <c r="G595" s="88">
        <f t="shared" si="277"/>
        <v>0</v>
      </c>
      <c r="H595" s="89">
        <f t="shared" si="289"/>
        <v>4.1666666666666666E-3</v>
      </c>
      <c r="I595" s="219"/>
      <c r="J595" s="219"/>
      <c r="K595" s="6">
        <f t="shared" si="297"/>
        <v>0</v>
      </c>
      <c r="M595" s="6">
        <f t="shared" si="278"/>
        <v>0</v>
      </c>
      <c r="N595" s="6">
        <f t="shared" si="290"/>
        <v>0</v>
      </c>
      <c r="O595" s="90">
        <f t="shared" si="279"/>
        <v>0</v>
      </c>
      <c r="P595" s="91">
        <f t="shared" si="280"/>
        <v>0</v>
      </c>
      <c r="Q595" s="6">
        <f t="shared" si="281"/>
        <v>0</v>
      </c>
      <c r="R595" s="87">
        <f t="shared" si="268"/>
        <v>0</v>
      </c>
      <c r="S595" s="6">
        <f t="shared" si="282"/>
        <v>0</v>
      </c>
      <c r="T595" s="83">
        <f t="shared" si="291"/>
        <v>0</v>
      </c>
      <c r="U595" s="91">
        <f t="shared" si="298"/>
        <v>0</v>
      </c>
      <c r="V595" s="91">
        <f t="shared" si="292"/>
        <v>0</v>
      </c>
      <c r="W595" s="1">
        <f t="shared" si="274"/>
        <v>0</v>
      </c>
      <c r="X595" s="1">
        <f t="shared" si="274"/>
        <v>0</v>
      </c>
      <c r="Y595" s="1">
        <f t="shared" si="274"/>
        <v>0</v>
      </c>
      <c r="Z595" s="1">
        <f t="shared" si="274"/>
        <v>0</v>
      </c>
      <c r="AA595" s="1">
        <f t="shared" si="274"/>
        <v>0</v>
      </c>
      <c r="AB595" s="1">
        <f t="shared" si="274"/>
        <v>0</v>
      </c>
      <c r="AC595" s="1">
        <f t="shared" si="274"/>
        <v>0</v>
      </c>
      <c r="AD595" s="1">
        <f t="shared" si="274"/>
        <v>0</v>
      </c>
      <c r="AE595" s="1">
        <f t="shared" si="274"/>
        <v>0</v>
      </c>
      <c r="AF595" s="1">
        <f t="shared" si="274"/>
        <v>0</v>
      </c>
      <c r="AG595" s="1">
        <f t="shared" si="274"/>
        <v>0</v>
      </c>
      <c r="AH595" s="1">
        <f t="shared" si="274"/>
        <v>0</v>
      </c>
      <c r="AI595" s="44">
        <f t="shared" si="293"/>
        <v>0</v>
      </c>
      <c r="AJ595" s="44">
        <f t="shared" si="283"/>
        <v>0</v>
      </c>
      <c r="AK595" s="44">
        <f t="shared" si="269"/>
        <v>0</v>
      </c>
      <c r="AL595" s="4">
        <f t="shared" si="284"/>
        <v>517</v>
      </c>
      <c r="AM595" s="82">
        <f t="shared" si="294"/>
        <v>0</v>
      </c>
      <c r="AN595" s="82">
        <f t="shared" si="285"/>
        <v>0</v>
      </c>
      <c r="AO595" s="48">
        <f>0</f>
        <v>0</v>
      </c>
      <c r="AP595" s="91">
        <f t="shared" si="295"/>
        <v>0</v>
      </c>
      <c r="AQ595" s="91">
        <f t="shared" si="296"/>
        <v>0</v>
      </c>
      <c r="AV595" s="84"/>
    </row>
    <row r="596" spans="1:48">
      <c r="A596" s="190">
        <f t="shared" si="286"/>
        <v>108.88757700205338</v>
      </c>
      <c r="B596" s="82">
        <f t="shared" si="287"/>
        <v>44</v>
      </c>
      <c r="C596" s="83">
        <f t="shared" si="288"/>
        <v>518</v>
      </c>
      <c r="D596" s="14">
        <f t="shared" si="275"/>
        <v>4.8675505653430484E-3</v>
      </c>
      <c r="E596" s="16">
        <f t="shared" si="276"/>
        <v>0</v>
      </c>
      <c r="F596" s="127"/>
      <c r="G596" s="88">
        <f t="shared" si="277"/>
        <v>0</v>
      </c>
      <c r="H596" s="89">
        <f t="shared" si="289"/>
        <v>4.1666666666666666E-3</v>
      </c>
      <c r="I596" s="219"/>
      <c r="J596" s="219"/>
      <c r="K596" s="6">
        <f t="shared" si="297"/>
        <v>0</v>
      </c>
      <c r="M596" s="6">
        <f t="shared" si="278"/>
        <v>0</v>
      </c>
      <c r="N596" s="6">
        <f t="shared" si="290"/>
        <v>0</v>
      </c>
      <c r="O596" s="90">
        <f t="shared" si="279"/>
        <v>0</v>
      </c>
      <c r="P596" s="91">
        <f t="shared" si="280"/>
        <v>0</v>
      </c>
      <c r="Q596" s="6">
        <f t="shared" si="281"/>
        <v>0</v>
      </c>
      <c r="R596" s="87">
        <f t="shared" si="268"/>
        <v>0</v>
      </c>
      <c r="S596" s="6">
        <f t="shared" si="282"/>
        <v>0</v>
      </c>
      <c r="T596" s="83">
        <f t="shared" si="291"/>
        <v>0</v>
      </c>
      <c r="U596" s="91">
        <f t="shared" si="298"/>
        <v>0</v>
      </c>
      <c r="V596" s="91">
        <f t="shared" si="292"/>
        <v>0</v>
      </c>
      <c r="W596" s="1">
        <f t="shared" si="274"/>
        <v>0</v>
      </c>
      <c r="X596" s="1">
        <f t="shared" si="274"/>
        <v>0</v>
      </c>
      <c r="Y596" s="1">
        <f t="shared" si="274"/>
        <v>0</v>
      </c>
      <c r="Z596" s="1">
        <f t="shared" si="274"/>
        <v>0</v>
      </c>
      <c r="AA596" s="1">
        <f t="shared" si="274"/>
        <v>0</v>
      </c>
      <c r="AB596" s="1">
        <f t="shared" si="274"/>
        <v>0</v>
      </c>
      <c r="AC596" s="1">
        <f t="shared" si="274"/>
        <v>0</v>
      </c>
      <c r="AD596" s="1">
        <f t="shared" si="274"/>
        <v>0</v>
      </c>
      <c r="AE596" s="1">
        <f t="shared" si="274"/>
        <v>0</v>
      </c>
      <c r="AF596" s="1">
        <f t="shared" si="274"/>
        <v>0</v>
      </c>
      <c r="AG596" s="1">
        <f t="shared" si="274"/>
        <v>0</v>
      </c>
      <c r="AH596" s="1">
        <f t="shared" si="274"/>
        <v>0</v>
      </c>
      <c r="AI596" s="44">
        <f t="shared" si="293"/>
        <v>0</v>
      </c>
      <c r="AJ596" s="44">
        <f t="shared" si="283"/>
        <v>0</v>
      </c>
      <c r="AK596" s="44">
        <f t="shared" si="269"/>
        <v>0</v>
      </c>
      <c r="AL596" s="4">
        <f t="shared" si="284"/>
        <v>518</v>
      </c>
      <c r="AM596" s="82">
        <f t="shared" si="294"/>
        <v>0</v>
      </c>
      <c r="AN596" s="82">
        <f t="shared" si="285"/>
        <v>0</v>
      </c>
      <c r="AO596" s="48">
        <f>0</f>
        <v>0</v>
      </c>
      <c r="AP596" s="91">
        <f t="shared" si="295"/>
        <v>0</v>
      </c>
      <c r="AQ596" s="91">
        <f t="shared" si="296"/>
        <v>0</v>
      </c>
      <c r="AV596" s="84"/>
    </row>
    <row r="597" spans="1:48">
      <c r="A597" s="190">
        <f t="shared" si="286"/>
        <v>108.97091033538672</v>
      </c>
      <c r="B597" s="82">
        <f t="shared" si="287"/>
        <v>44</v>
      </c>
      <c r="C597" s="83">
        <f t="shared" si="288"/>
        <v>519</v>
      </c>
      <c r="D597" s="14">
        <f t="shared" si="275"/>
        <v>4.8675505653430484E-3</v>
      </c>
      <c r="E597" s="16">
        <f t="shared" si="276"/>
        <v>0</v>
      </c>
      <c r="F597" s="127"/>
      <c r="G597" s="88">
        <f t="shared" si="277"/>
        <v>0</v>
      </c>
      <c r="H597" s="89">
        <f t="shared" si="289"/>
        <v>4.1666666666666666E-3</v>
      </c>
      <c r="I597" s="219"/>
      <c r="J597" s="219"/>
      <c r="K597" s="6">
        <f t="shared" si="297"/>
        <v>0</v>
      </c>
      <c r="M597" s="6">
        <f t="shared" si="278"/>
        <v>0</v>
      </c>
      <c r="N597" s="6">
        <f t="shared" si="290"/>
        <v>0</v>
      </c>
      <c r="O597" s="90">
        <f t="shared" si="279"/>
        <v>0</v>
      </c>
      <c r="P597" s="91">
        <f t="shared" si="280"/>
        <v>0</v>
      </c>
      <c r="Q597" s="6">
        <f t="shared" si="281"/>
        <v>0</v>
      </c>
      <c r="R597" s="87">
        <f t="shared" si="268"/>
        <v>0</v>
      </c>
      <c r="S597" s="6">
        <f t="shared" si="282"/>
        <v>0</v>
      </c>
      <c r="T597" s="83">
        <f t="shared" si="291"/>
        <v>0</v>
      </c>
      <c r="U597" s="91">
        <f t="shared" si="298"/>
        <v>0</v>
      </c>
      <c r="V597" s="91">
        <f t="shared" si="292"/>
        <v>0</v>
      </c>
      <c r="W597" s="1">
        <f t="shared" si="274"/>
        <v>0</v>
      </c>
      <c r="X597" s="1">
        <f t="shared" si="274"/>
        <v>0</v>
      </c>
      <c r="Y597" s="1">
        <f t="shared" si="274"/>
        <v>0</v>
      </c>
      <c r="Z597" s="1">
        <f t="shared" si="274"/>
        <v>0</v>
      </c>
      <c r="AA597" s="1">
        <f t="shared" si="274"/>
        <v>0</v>
      </c>
      <c r="AB597" s="1">
        <f t="shared" si="274"/>
        <v>0</v>
      </c>
      <c r="AC597" s="1">
        <f t="shared" si="274"/>
        <v>0</v>
      </c>
      <c r="AD597" s="1">
        <f t="shared" si="274"/>
        <v>0</v>
      </c>
      <c r="AE597" s="1">
        <f t="shared" si="274"/>
        <v>0</v>
      </c>
      <c r="AF597" s="1">
        <f t="shared" si="274"/>
        <v>0</v>
      </c>
      <c r="AG597" s="1">
        <f t="shared" si="274"/>
        <v>0</v>
      </c>
      <c r="AH597" s="1">
        <f t="shared" si="274"/>
        <v>0</v>
      </c>
      <c r="AI597" s="44">
        <f t="shared" si="293"/>
        <v>0</v>
      </c>
      <c r="AJ597" s="44">
        <f t="shared" si="283"/>
        <v>0</v>
      </c>
      <c r="AK597" s="44">
        <f t="shared" si="269"/>
        <v>0</v>
      </c>
      <c r="AL597" s="4">
        <f t="shared" si="284"/>
        <v>519</v>
      </c>
      <c r="AM597" s="82">
        <f t="shared" si="294"/>
        <v>0</v>
      </c>
      <c r="AN597" s="82">
        <f t="shared" si="285"/>
        <v>0</v>
      </c>
      <c r="AO597" s="48">
        <f>0</f>
        <v>0</v>
      </c>
      <c r="AP597" s="91">
        <f t="shared" si="295"/>
        <v>0</v>
      </c>
      <c r="AQ597" s="91">
        <f t="shared" si="296"/>
        <v>0</v>
      </c>
      <c r="AV597" s="84"/>
    </row>
    <row r="598" spans="1:48">
      <c r="A598" s="190">
        <f t="shared" si="286"/>
        <v>109.05424366872005</v>
      </c>
      <c r="B598" s="82">
        <f t="shared" si="287"/>
        <v>44</v>
      </c>
      <c r="C598" s="83">
        <f t="shared" si="288"/>
        <v>520</v>
      </c>
      <c r="D598" s="14">
        <f t="shared" si="275"/>
        <v>4.8675505653430484E-3</v>
      </c>
      <c r="E598" s="16">
        <f t="shared" si="276"/>
        <v>0</v>
      </c>
      <c r="F598" s="127"/>
      <c r="G598" s="88">
        <f t="shared" si="277"/>
        <v>0</v>
      </c>
      <c r="H598" s="89">
        <f t="shared" si="289"/>
        <v>4.1666666666666666E-3</v>
      </c>
      <c r="I598" s="219"/>
      <c r="J598" s="219"/>
      <c r="K598" s="6">
        <f t="shared" si="297"/>
        <v>0</v>
      </c>
      <c r="M598" s="6">
        <f t="shared" si="278"/>
        <v>0</v>
      </c>
      <c r="N598" s="6">
        <f t="shared" si="290"/>
        <v>0</v>
      </c>
      <c r="O598" s="90">
        <f t="shared" si="279"/>
        <v>0</v>
      </c>
      <c r="P598" s="91">
        <f t="shared" si="280"/>
        <v>0</v>
      </c>
      <c r="Q598" s="6">
        <f t="shared" si="281"/>
        <v>0</v>
      </c>
      <c r="R598" s="87">
        <f t="shared" si="268"/>
        <v>0</v>
      </c>
      <c r="S598" s="6">
        <f t="shared" si="282"/>
        <v>0</v>
      </c>
      <c r="T598" s="83">
        <f t="shared" si="291"/>
        <v>0</v>
      </c>
      <c r="U598" s="91">
        <f t="shared" si="298"/>
        <v>0</v>
      </c>
      <c r="V598" s="91">
        <f t="shared" si="292"/>
        <v>0</v>
      </c>
      <c r="W598" s="1">
        <f t="shared" si="274"/>
        <v>0</v>
      </c>
      <c r="X598" s="1">
        <f t="shared" si="274"/>
        <v>0</v>
      </c>
      <c r="Y598" s="1">
        <f t="shared" si="274"/>
        <v>0</v>
      </c>
      <c r="Z598" s="1">
        <f t="shared" si="274"/>
        <v>0</v>
      </c>
      <c r="AA598" s="1">
        <f t="shared" si="274"/>
        <v>0</v>
      </c>
      <c r="AB598" s="1">
        <f t="shared" si="274"/>
        <v>0</v>
      </c>
      <c r="AC598" s="1">
        <f t="shared" si="274"/>
        <v>0</v>
      </c>
      <c r="AD598" s="1">
        <f t="shared" si="274"/>
        <v>0</v>
      </c>
      <c r="AE598" s="1">
        <f t="shared" si="274"/>
        <v>0</v>
      </c>
      <c r="AF598" s="1">
        <f t="shared" si="274"/>
        <v>0</v>
      </c>
      <c r="AG598" s="1">
        <f t="shared" si="274"/>
        <v>0</v>
      </c>
      <c r="AH598" s="1">
        <f t="shared" si="274"/>
        <v>0</v>
      </c>
      <c r="AI598" s="44">
        <f t="shared" si="293"/>
        <v>0</v>
      </c>
      <c r="AJ598" s="44">
        <f t="shared" si="283"/>
        <v>0</v>
      </c>
      <c r="AK598" s="44">
        <f t="shared" si="269"/>
        <v>0</v>
      </c>
      <c r="AL598" s="4">
        <f t="shared" si="284"/>
        <v>520</v>
      </c>
      <c r="AM598" s="82">
        <f t="shared" si="294"/>
        <v>0</v>
      </c>
      <c r="AN598" s="82">
        <f t="shared" si="285"/>
        <v>0</v>
      </c>
      <c r="AO598" s="48">
        <f>0</f>
        <v>0</v>
      </c>
      <c r="AP598" s="91">
        <f t="shared" si="295"/>
        <v>0</v>
      </c>
      <c r="AQ598" s="91">
        <f t="shared" si="296"/>
        <v>0</v>
      </c>
      <c r="AV598" s="84"/>
    </row>
    <row r="599" spans="1:48">
      <c r="A599" s="190">
        <f t="shared" si="286"/>
        <v>109.13757700205338</v>
      </c>
      <c r="B599" s="82">
        <f t="shared" si="287"/>
        <v>44</v>
      </c>
      <c r="C599" s="83">
        <f t="shared" si="288"/>
        <v>521</v>
      </c>
      <c r="D599" s="14">
        <f t="shared" si="275"/>
        <v>4.8675505653430484E-3</v>
      </c>
      <c r="E599" s="16">
        <f t="shared" si="276"/>
        <v>0</v>
      </c>
      <c r="F599" s="127"/>
      <c r="G599" s="88">
        <f t="shared" si="277"/>
        <v>0</v>
      </c>
      <c r="H599" s="89">
        <f t="shared" si="289"/>
        <v>4.1666666666666666E-3</v>
      </c>
      <c r="I599" s="219"/>
      <c r="J599" s="219"/>
      <c r="K599" s="6">
        <f t="shared" si="297"/>
        <v>0</v>
      </c>
      <c r="M599" s="6">
        <f t="shared" si="278"/>
        <v>0</v>
      </c>
      <c r="N599" s="6">
        <f t="shared" si="290"/>
        <v>0</v>
      </c>
      <c r="O599" s="90">
        <f t="shared" si="279"/>
        <v>0</v>
      </c>
      <c r="P599" s="91">
        <f t="shared" si="280"/>
        <v>0</v>
      </c>
      <c r="Q599" s="6">
        <f t="shared" si="281"/>
        <v>0</v>
      </c>
      <c r="R599" s="87">
        <f t="shared" si="268"/>
        <v>0</v>
      </c>
      <c r="S599" s="6">
        <f t="shared" si="282"/>
        <v>0</v>
      </c>
      <c r="T599" s="83">
        <f t="shared" si="291"/>
        <v>0</v>
      </c>
      <c r="U599" s="91">
        <f t="shared" si="298"/>
        <v>0</v>
      </c>
      <c r="V599" s="91">
        <f t="shared" si="292"/>
        <v>0</v>
      </c>
      <c r="W599" s="1">
        <f t="shared" ref="W599:AH608" si="299">IF($B599&lt;=W$78,1,0)</f>
        <v>0</v>
      </c>
      <c r="X599" s="1">
        <f t="shared" si="299"/>
        <v>0</v>
      </c>
      <c r="Y599" s="1">
        <f t="shared" si="299"/>
        <v>0</v>
      </c>
      <c r="Z599" s="1">
        <f t="shared" si="299"/>
        <v>0</v>
      </c>
      <c r="AA599" s="1">
        <f t="shared" si="299"/>
        <v>0</v>
      </c>
      <c r="AB599" s="1">
        <f t="shared" si="299"/>
        <v>0</v>
      </c>
      <c r="AC599" s="1">
        <f t="shared" si="299"/>
        <v>0</v>
      </c>
      <c r="AD599" s="1">
        <f t="shared" si="299"/>
        <v>0</v>
      </c>
      <c r="AE599" s="1">
        <f t="shared" si="299"/>
        <v>0</v>
      </c>
      <c r="AF599" s="1">
        <f t="shared" si="299"/>
        <v>0</v>
      </c>
      <c r="AG599" s="1">
        <f t="shared" si="299"/>
        <v>0</v>
      </c>
      <c r="AH599" s="1">
        <f t="shared" si="299"/>
        <v>0</v>
      </c>
      <c r="AI599" s="44">
        <f t="shared" si="293"/>
        <v>0</v>
      </c>
      <c r="AJ599" s="44">
        <f t="shared" si="283"/>
        <v>0</v>
      </c>
      <c r="AK599" s="44">
        <f t="shared" si="269"/>
        <v>0</v>
      </c>
      <c r="AL599" s="4">
        <f t="shared" si="284"/>
        <v>521</v>
      </c>
      <c r="AM599" s="82">
        <f t="shared" si="294"/>
        <v>0</v>
      </c>
      <c r="AN599" s="82">
        <f t="shared" si="285"/>
        <v>0</v>
      </c>
      <c r="AO599" s="48">
        <f>0</f>
        <v>0</v>
      </c>
      <c r="AP599" s="91">
        <f t="shared" si="295"/>
        <v>0</v>
      </c>
      <c r="AQ599" s="91">
        <f t="shared" si="296"/>
        <v>0</v>
      </c>
      <c r="AV599" s="84"/>
    </row>
    <row r="600" spans="1:48">
      <c r="A600" s="190">
        <f t="shared" si="286"/>
        <v>109.22091033538672</v>
      </c>
      <c r="B600" s="82">
        <f t="shared" si="287"/>
        <v>44</v>
      </c>
      <c r="C600" s="83">
        <f t="shared" si="288"/>
        <v>522</v>
      </c>
      <c r="D600" s="14">
        <f t="shared" si="275"/>
        <v>4.8675505653430484E-3</v>
      </c>
      <c r="E600" s="16">
        <f t="shared" si="276"/>
        <v>0</v>
      </c>
      <c r="F600" s="127"/>
      <c r="G600" s="88">
        <f t="shared" si="277"/>
        <v>0</v>
      </c>
      <c r="H600" s="89">
        <f t="shared" si="289"/>
        <v>4.1666666666666666E-3</v>
      </c>
      <c r="I600" s="219"/>
      <c r="J600" s="219"/>
      <c r="K600" s="6">
        <f t="shared" si="297"/>
        <v>0</v>
      </c>
      <c r="M600" s="6">
        <f t="shared" si="278"/>
        <v>0</v>
      </c>
      <c r="N600" s="6">
        <f t="shared" si="290"/>
        <v>0</v>
      </c>
      <c r="O600" s="90">
        <f t="shared" si="279"/>
        <v>0</v>
      </c>
      <c r="P600" s="91">
        <f t="shared" si="280"/>
        <v>0</v>
      </c>
      <c r="Q600" s="6">
        <f t="shared" si="281"/>
        <v>0</v>
      </c>
      <c r="R600" s="87">
        <f t="shared" si="268"/>
        <v>0</v>
      </c>
      <c r="S600" s="6">
        <f t="shared" si="282"/>
        <v>0</v>
      </c>
      <c r="T600" s="83">
        <f t="shared" si="291"/>
        <v>0</v>
      </c>
      <c r="U600" s="91">
        <f t="shared" si="298"/>
        <v>0</v>
      </c>
      <c r="V600" s="91">
        <f t="shared" si="292"/>
        <v>0</v>
      </c>
      <c r="W600" s="1">
        <f t="shared" si="299"/>
        <v>0</v>
      </c>
      <c r="X600" s="1">
        <f t="shared" si="299"/>
        <v>0</v>
      </c>
      <c r="Y600" s="1">
        <f t="shared" si="299"/>
        <v>0</v>
      </c>
      <c r="Z600" s="1">
        <f t="shared" si="299"/>
        <v>0</v>
      </c>
      <c r="AA600" s="1">
        <f t="shared" si="299"/>
        <v>0</v>
      </c>
      <c r="AB600" s="1">
        <f t="shared" si="299"/>
        <v>0</v>
      </c>
      <c r="AC600" s="1">
        <f t="shared" si="299"/>
        <v>0</v>
      </c>
      <c r="AD600" s="1">
        <f t="shared" si="299"/>
        <v>0</v>
      </c>
      <c r="AE600" s="1">
        <f t="shared" si="299"/>
        <v>0</v>
      </c>
      <c r="AF600" s="1">
        <f t="shared" si="299"/>
        <v>0</v>
      </c>
      <c r="AG600" s="1">
        <f t="shared" si="299"/>
        <v>0</v>
      </c>
      <c r="AH600" s="1">
        <f t="shared" si="299"/>
        <v>0</v>
      </c>
      <c r="AI600" s="44">
        <f t="shared" si="293"/>
        <v>0</v>
      </c>
      <c r="AJ600" s="44">
        <f t="shared" si="283"/>
        <v>0</v>
      </c>
      <c r="AK600" s="44">
        <f t="shared" si="269"/>
        <v>0</v>
      </c>
      <c r="AL600" s="4">
        <f t="shared" si="284"/>
        <v>522</v>
      </c>
      <c r="AM600" s="82">
        <f t="shared" si="294"/>
        <v>0</v>
      </c>
      <c r="AN600" s="82">
        <f t="shared" si="285"/>
        <v>0</v>
      </c>
      <c r="AO600" s="48">
        <f>0</f>
        <v>0</v>
      </c>
      <c r="AP600" s="91">
        <f t="shared" si="295"/>
        <v>0</v>
      </c>
      <c r="AQ600" s="91">
        <f t="shared" si="296"/>
        <v>0</v>
      </c>
      <c r="AV600" s="84"/>
    </row>
    <row r="601" spans="1:48">
      <c r="A601" s="190">
        <f t="shared" si="286"/>
        <v>109.30424366872005</v>
      </c>
      <c r="B601" s="82">
        <f t="shared" si="287"/>
        <v>44</v>
      </c>
      <c r="C601" s="83">
        <f t="shared" si="288"/>
        <v>523</v>
      </c>
      <c r="D601" s="14">
        <f t="shared" si="275"/>
        <v>4.8675505653430484E-3</v>
      </c>
      <c r="E601" s="16">
        <f t="shared" si="276"/>
        <v>0</v>
      </c>
      <c r="F601" s="127"/>
      <c r="G601" s="88">
        <f t="shared" si="277"/>
        <v>0</v>
      </c>
      <c r="H601" s="89">
        <f t="shared" si="289"/>
        <v>4.1666666666666666E-3</v>
      </c>
      <c r="I601" s="219"/>
      <c r="J601" s="219"/>
      <c r="K601" s="6">
        <f t="shared" si="297"/>
        <v>0</v>
      </c>
      <c r="M601" s="6">
        <f t="shared" si="278"/>
        <v>0</v>
      </c>
      <c r="N601" s="6">
        <f t="shared" si="290"/>
        <v>0</v>
      </c>
      <c r="O601" s="90">
        <f t="shared" si="279"/>
        <v>0</v>
      </c>
      <c r="P601" s="91">
        <f t="shared" si="280"/>
        <v>0</v>
      </c>
      <c r="Q601" s="6">
        <f t="shared" si="281"/>
        <v>0</v>
      </c>
      <c r="R601" s="87">
        <f t="shared" si="268"/>
        <v>0</v>
      </c>
      <c r="S601" s="6">
        <f t="shared" si="282"/>
        <v>0</v>
      </c>
      <c r="T601" s="83">
        <f t="shared" si="291"/>
        <v>0</v>
      </c>
      <c r="U601" s="91">
        <f t="shared" si="298"/>
        <v>0</v>
      </c>
      <c r="V601" s="91">
        <f t="shared" si="292"/>
        <v>0</v>
      </c>
      <c r="W601" s="1">
        <f t="shared" si="299"/>
        <v>0</v>
      </c>
      <c r="X601" s="1">
        <f t="shared" si="299"/>
        <v>0</v>
      </c>
      <c r="Y601" s="1">
        <f t="shared" si="299"/>
        <v>0</v>
      </c>
      <c r="Z601" s="1">
        <f t="shared" si="299"/>
        <v>0</v>
      </c>
      <c r="AA601" s="1">
        <f t="shared" si="299"/>
        <v>0</v>
      </c>
      <c r="AB601" s="1">
        <f t="shared" si="299"/>
        <v>0</v>
      </c>
      <c r="AC601" s="1">
        <f t="shared" si="299"/>
        <v>0</v>
      </c>
      <c r="AD601" s="1">
        <f t="shared" si="299"/>
        <v>0</v>
      </c>
      <c r="AE601" s="1">
        <f t="shared" si="299"/>
        <v>0</v>
      </c>
      <c r="AF601" s="1">
        <f t="shared" si="299"/>
        <v>0</v>
      </c>
      <c r="AG601" s="1">
        <f t="shared" si="299"/>
        <v>0</v>
      </c>
      <c r="AH601" s="1">
        <f t="shared" si="299"/>
        <v>0</v>
      </c>
      <c r="AI601" s="44">
        <f t="shared" si="293"/>
        <v>0</v>
      </c>
      <c r="AJ601" s="44">
        <f t="shared" si="283"/>
        <v>0</v>
      </c>
      <c r="AK601" s="44">
        <f t="shared" si="269"/>
        <v>0</v>
      </c>
      <c r="AL601" s="4">
        <f t="shared" si="284"/>
        <v>523</v>
      </c>
      <c r="AM601" s="82">
        <f t="shared" si="294"/>
        <v>0</v>
      </c>
      <c r="AN601" s="82">
        <f t="shared" si="285"/>
        <v>0</v>
      </c>
      <c r="AO601" s="48">
        <f>0</f>
        <v>0</v>
      </c>
      <c r="AP601" s="91">
        <f t="shared" si="295"/>
        <v>0</v>
      </c>
      <c r="AQ601" s="91">
        <f t="shared" si="296"/>
        <v>0</v>
      </c>
      <c r="AV601" s="84"/>
    </row>
    <row r="602" spans="1:48">
      <c r="A602" s="190">
        <f t="shared" si="286"/>
        <v>109.38757700205338</v>
      </c>
      <c r="B602" s="82">
        <f t="shared" si="287"/>
        <v>44</v>
      </c>
      <c r="C602" s="83">
        <f t="shared" si="288"/>
        <v>524</v>
      </c>
      <c r="D602" s="14">
        <f t="shared" si="275"/>
        <v>4.8675505653430484E-3</v>
      </c>
      <c r="E602" s="16">
        <f t="shared" si="276"/>
        <v>0</v>
      </c>
      <c r="F602" s="127"/>
      <c r="G602" s="88">
        <f t="shared" si="277"/>
        <v>0</v>
      </c>
      <c r="H602" s="89">
        <f t="shared" si="289"/>
        <v>4.1666666666666666E-3</v>
      </c>
      <c r="I602" s="219"/>
      <c r="J602" s="219"/>
      <c r="K602" s="6">
        <f t="shared" si="297"/>
        <v>0</v>
      </c>
      <c r="M602" s="6">
        <f t="shared" si="278"/>
        <v>0</v>
      </c>
      <c r="N602" s="6">
        <f t="shared" si="290"/>
        <v>0</v>
      </c>
      <c r="O602" s="90">
        <f t="shared" si="279"/>
        <v>0</v>
      </c>
      <c r="P602" s="91">
        <f t="shared" si="280"/>
        <v>0</v>
      </c>
      <c r="Q602" s="6">
        <f t="shared" si="281"/>
        <v>0</v>
      </c>
      <c r="R602" s="87">
        <f t="shared" si="268"/>
        <v>0</v>
      </c>
      <c r="S602" s="6">
        <f t="shared" si="282"/>
        <v>0</v>
      </c>
      <c r="T602" s="83">
        <f t="shared" si="291"/>
        <v>0</v>
      </c>
      <c r="U602" s="91">
        <f t="shared" si="298"/>
        <v>0</v>
      </c>
      <c r="V602" s="91">
        <f t="shared" si="292"/>
        <v>0</v>
      </c>
      <c r="W602" s="1">
        <f t="shared" si="299"/>
        <v>0</v>
      </c>
      <c r="X602" s="1">
        <f t="shared" si="299"/>
        <v>0</v>
      </c>
      <c r="Y602" s="1">
        <f t="shared" si="299"/>
        <v>0</v>
      </c>
      <c r="Z602" s="1">
        <f t="shared" si="299"/>
        <v>0</v>
      </c>
      <c r="AA602" s="1">
        <f t="shared" si="299"/>
        <v>0</v>
      </c>
      <c r="AB602" s="1">
        <f t="shared" si="299"/>
        <v>0</v>
      </c>
      <c r="AC602" s="1">
        <f t="shared" si="299"/>
        <v>0</v>
      </c>
      <c r="AD602" s="1">
        <f t="shared" si="299"/>
        <v>0</v>
      </c>
      <c r="AE602" s="1">
        <f t="shared" si="299"/>
        <v>0</v>
      </c>
      <c r="AF602" s="1">
        <f t="shared" si="299"/>
        <v>0</v>
      </c>
      <c r="AG602" s="1">
        <f t="shared" si="299"/>
        <v>0</v>
      </c>
      <c r="AH602" s="1">
        <f t="shared" si="299"/>
        <v>0</v>
      </c>
      <c r="AI602" s="44">
        <f t="shared" si="293"/>
        <v>0</v>
      </c>
      <c r="AJ602" s="44">
        <f t="shared" si="283"/>
        <v>0</v>
      </c>
      <c r="AK602" s="44">
        <f t="shared" si="269"/>
        <v>0</v>
      </c>
      <c r="AL602" s="4">
        <f t="shared" si="284"/>
        <v>524</v>
      </c>
      <c r="AM602" s="82">
        <f t="shared" si="294"/>
        <v>0</v>
      </c>
      <c r="AN602" s="82">
        <f t="shared" si="285"/>
        <v>0</v>
      </c>
      <c r="AO602" s="48">
        <f>0</f>
        <v>0</v>
      </c>
      <c r="AP602" s="91">
        <f t="shared" si="295"/>
        <v>0</v>
      </c>
      <c r="AQ602" s="91">
        <f t="shared" si="296"/>
        <v>0</v>
      </c>
      <c r="AV602" s="84"/>
    </row>
    <row r="603" spans="1:48">
      <c r="A603" s="190">
        <f t="shared" si="286"/>
        <v>109.47091033538672</v>
      </c>
      <c r="B603" s="82">
        <f t="shared" si="287"/>
        <v>44</v>
      </c>
      <c r="C603" s="83">
        <f t="shared" si="288"/>
        <v>525</v>
      </c>
      <c r="D603" s="14">
        <f t="shared" si="275"/>
        <v>4.8675505653430484E-3</v>
      </c>
      <c r="E603" s="16">
        <f t="shared" si="276"/>
        <v>0</v>
      </c>
      <c r="F603" s="127"/>
      <c r="G603" s="88">
        <f t="shared" si="277"/>
        <v>0</v>
      </c>
      <c r="H603" s="89">
        <f t="shared" si="289"/>
        <v>4.1666666666666666E-3</v>
      </c>
      <c r="I603" s="219"/>
      <c r="J603" s="219"/>
      <c r="K603" s="6">
        <f t="shared" si="297"/>
        <v>0</v>
      </c>
      <c r="M603" s="6">
        <f t="shared" si="278"/>
        <v>0</v>
      </c>
      <c r="N603" s="6">
        <f t="shared" si="290"/>
        <v>0</v>
      </c>
      <c r="O603" s="90">
        <f t="shared" si="279"/>
        <v>0</v>
      </c>
      <c r="P603" s="91">
        <f t="shared" si="280"/>
        <v>0</v>
      </c>
      <c r="Q603" s="6">
        <f t="shared" si="281"/>
        <v>0</v>
      </c>
      <c r="R603" s="87">
        <f t="shared" si="268"/>
        <v>0</v>
      </c>
      <c r="S603" s="6">
        <f t="shared" si="282"/>
        <v>0</v>
      </c>
      <c r="T603" s="83">
        <f t="shared" si="291"/>
        <v>0</v>
      </c>
      <c r="U603" s="91">
        <f t="shared" si="298"/>
        <v>0</v>
      </c>
      <c r="V603" s="91">
        <f t="shared" si="292"/>
        <v>0</v>
      </c>
      <c r="W603" s="1">
        <f t="shared" si="299"/>
        <v>0</v>
      </c>
      <c r="X603" s="1">
        <f t="shared" si="299"/>
        <v>0</v>
      </c>
      <c r="Y603" s="1">
        <f t="shared" si="299"/>
        <v>0</v>
      </c>
      <c r="Z603" s="1">
        <f t="shared" si="299"/>
        <v>0</v>
      </c>
      <c r="AA603" s="1">
        <f t="shared" si="299"/>
        <v>0</v>
      </c>
      <c r="AB603" s="1">
        <f t="shared" si="299"/>
        <v>0</v>
      </c>
      <c r="AC603" s="1">
        <f t="shared" si="299"/>
        <v>0</v>
      </c>
      <c r="AD603" s="1">
        <f t="shared" si="299"/>
        <v>0</v>
      </c>
      <c r="AE603" s="1">
        <f t="shared" si="299"/>
        <v>0</v>
      </c>
      <c r="AF603" s="1">
        <f t="shared" si="299"/>
        <v>0</v>
      </c>
      <c r="AG603" s="1">
        <f t="shared" si="299"/>
        <v>0</v>
      </c>
      <c r="AH603" s="1">
        <f t="shared" si="299"/>
        <v>0</v>
      </c>
      <c r="AI603" s="44">
        <f t="shared" si="293"/>
        <v>0</v>
      </c>
      <c r="AJ603" s="44">
        <f t="shared" si="283"/>
        <v>0</v>
      </c>
      <c r="AK603" s="44">
        <f t="shared" si="269"/>
        <v>0</v>
      </c>
      <c r="AL603" s="4">
        <f t="shared" si="284"/>
        <v>525</v>
      </c>
      <c r="AM603" s="82">
        <f t="shared" si="294"/>
        <v>0</v>
      </c>
      <c r="AN603" s="82">
        <f t="shared" si="285"/>
        <v>0</v>
      </c>
      <c r="AO603" s="48">
        <f>0</f>
        <v>0</v>
      </c>
      <c r="AP603" s="91">
        <f t="shared" si="295"/>
        <v>0</v>
      </c>
      <c r="AQ603" s="91">
        <f t="shared" si="296"/>
        <v>0</v>
      </c>
      <c r="AV603" s="84"/>
    </row>
    <row r="604" spans="1:48">
      <c r="A604" s="190">
        <f t="shared" si="286"/>
        <v>109.55424366872005</v>
      </c>
      <c r="B604" s="82">
        <f t="shared" si="287"/>
        <v>44</v>
      </c>
      <c r="C604" s="83">
        <f t="shared" si="288"/>
        <v>526</v>
      </c>
      <c r="D604" s="14">
        <f t="shared" si="275"/>
        <v>4.8675505653430484E-3</v>
      </c>
      <c r="E604" s="16">
        <f t="shared" si="276"/>
        <v>0</v>
      </c>
      <c r="F604" s="127"/>
      <c r="G604" s="88">
        <f t="shared" si="277"/>
        <v>0</v>
      </c>
      <c r="H604" s="89">
        <f t="shared" si="289"/>
        <v>4.1666666666666666E-3</v>
      </c>
      <c r="I604" s="219"/>
      <c r="J604" s="219"/>
      <c r="K604" s="6">
        <f t="shared" si="297"/>
        <v>0</v>
      </c>
      <c r="M604" s="6">
        <f t="shared" si="278"/>
        <v>0</v>
      </c>
      <c r="N604" s="6">
        <f t="shared" si="290"/>
        <v>0</v>
      </c>
      <c r="O604" s="90">
        <f t="shared" si="279"/>
        <v>0</v>
      </c>
      <c r="P604" s="91">
        <f t="shared" si="280"/>
        <v>0</v>
      </c>
      <c r="Q604" s="6">
        <f t="shared" si="281"/>
        <v>0</v>
      </c>
      <c r="R604" s="87">
        <f t="shared" ref="R604:R667" si="300">-MIN(MAX(O604,P604,Q604,-R592*1.02),AJ604)</f>
        <v>0</v>
      </c>
      <c r="S604" s="6">
        <f t="shared" si="282"/>
        <v>0</v>
      </c>
      <c r="T604" s="83">
        <f t="shared" si="291"/>
        <v>0</v>
      </c>
      <c r="U604" s="91">
        <f t="shared" si="298"/>
        <v>0</v>
      </c>
      <c r="V604" s="91">
        <f t="shared" si="292"/>
        <v>0</v>
      </c>
      <c r="W604" s="1">
        <f t="shared" si="299"/>
        <v>0</v>
      </c>
      <c r="X604" s="1">
        <f t="shared" si="299"/>
        <v>0</v>
      </c>
      <c r="Y604" s="1">
        <f t="shared" si="299"/>
        <v>0</v>
      </c>
      <c r="Z604" s="1">
        <f t="shared" si="299"/>
        <v>0</v>
      </c>
      <c r="AA604" s="1">
        <f t="shared" si="299"/>
        <v>0</v>
      </c>
      <c r="AB604" s="1">
        <f t="shared" si="299"/>
        <v>0</v>
      </c>
      <c r="AC604" s="1">
        <f t="shared" si="299"/>
        <v>0</v>
      </c>
      <c r="AD604" s="1">
        <f t="shared" si="299"/>
        <v>0</v>
      </c>
      <c r="AE604" s="1">
        <f t="shared" si="299"/>
        <v>0</v>
      </c>
      <c r="AF604" s="1">
        <f t="shared" si="299"/>
        <v>0</v>
      </c>
      <c r="AG604" s="1">
        <f t="shared" si="299"/>
        <v>0</v>
      </c>
      <c r="AH604" s="1">
        <f t="shared" si="299"/>
        <v>0</v>
      </c>
      <c r="AI604" s="44">
        <f t="shared" si="293"/>
        <v>0</v>
      </c>
      <c r="AJ604" s="44">
        <f t="shared" si="283"/>
        <v>0</v>
      </c>
      <c r="AK604" s="44">
        <f t="shared" ref="AK604:AK667" si="301">IF(R604=0,0,IF(R604&gt;R592,"Y","N"))</f>
        <v>0</v>
      </c>
      <c r="AL604" s="4">
        <f t="shared" si="284"/>
        <v>526</v>
      </c>
      <c r="AM604" s="82">
        <f t="shared" si="294"/>
        <v>0</v>
      </c>
      <c r="AN604" s="82">
        <f t="shared" si="285"/>
        <v>0</v>
      </c>
      <c r="AO604" s="48">
        <f>0</f>
        <v>0</v>
      </c>
      <c r="AP604" s="91">
        <f t="shared" si="295"/>
        <v>0</v>
      </c>
      <c r="AQ604" s="91">
        <f t="shared" si="296"/>
        <v>0</v>
      </c>
      <c r="AV604" s="84"/>
    </row>
    <row r="605" spans="1:48">
      <c r="A605" s="190">
        <f t="shared" si="286"/>
        <v>109.63757700205338</v>
      </c>
      <c r="B605" s="82">
        <f t="shared" si="287"/>
        <v>44</v>
      </c>
      <c r="C605" s="83">
        <f t="shared" si="288"/>
        <v>527</v>
      </c>
      <c r="D605" s="14">
        <f t="shared" si="275"/>
        <v>4.8675505653430484E-3</v>
      </c>
      <c r="E605" s="16">
        <f t="shared" si="276"/>
        <v>0</v>
      </c>
      <c r="F605" s="127"/>
      <c r="G605" s="88">
        <f t="shared" si="277"/>
        <v>0</v>
      </c>
      <c r="H605" s="89">
        <f t="shared" si="289"/>
        <v>4.1666666666666666E-3</v>
      </c>
      <c r="I605" s="219"/>
      <c r="J605" s="219"/>
      <c r="K605" s="6">
        <f t="shared" si="297"/>
        <v>0</v>
      </c>
      <c r="M605" s="6">
        <f t="shared" si="278"/>
        <v>0</v>
      </c>
      <c r="N605" s="6">
        <f t="shared" si="290"/>
        <v>0</v>
      </c>
      <c r="O605" s="90">
        <f t="shared" si="279"/>
        <v>0</v>
      </c>
      <c r="P605" s="91">
        <f t="shared" si="280"/>
        <v>0</v>
      </c>
      <c r="Q605" s="6">
        <f t="shared" si="281"/>
        <v>0</v>
      </c>
      <c r="R605" s="87">
        <f t="shared" si="300"/>
        <v>0</v>
      </c>
      <c r="S605" s="6">
        <f t="shared" si="282"/>
        <v>0</v>
      </c>
      <c r="T605" s="83">
        <f t="shared" si="291"/>
        <v>0</v>
      </c>
      <c r="U605" s="91">
        <f t="shared" si="298"/>
        <v>0</v>
      </c>
      <c r="V605" s="91">
        <f t="shared" si="292"/>
        <v>0</v>
      </c>
      <c r="W605" s="1">
        <f t="shared" si="299"/>
        <v>0</v>
      </c>
      <c r="X605" s="1">
        <f t="shared" si="299"/>
        <v>0</v>
      </c>
      <c r="Y605" s="1">
        <f t="shared" si="299"/>
        <v>0</v>
      </c>
      <c r="Z605" s="1">
        <f t="shared" si="299"/>
        <v>0</v>
      </c>
      <c r="AA605" s="1">
        <f t="shared" si="299"/>
        <v>0</v>
      </c>
      <c r="AB605" s="1">
        <f t="shared" si="299"/>
        <v>0</v>
      </c>
      <c r="AC605" s="1">
        <f t="shared" si="299"/>
        <v>0</v>
      </c>
      <c r="AD605" s="1">
        <f t="shared" si="299"/>
        <v>0</v>
      </c>
      <c r="AE605" s="1">
        <f t="shared" si="299"/>
        <v>0</v>
      </c>
      <c r="AF605" s="1">
        <f t="shared" si="299"/>
        <v>0</v>
      </c>
      <c r="AG605" s="1">
        <f t="shared" si="299"/>
        <v>0</v>
      </c>
      <c r="AH605" s="1">
        <f t="shared" si="299"/>
        <v>0</v>
      </c>
      <c r="AI605" s="44">
        <f t="shared" si="293"/>
        <v>0</v>
      </c>
      <c r="AJ605" s="44">
        <f t="shared" si="283"/>
        <v>0</v>
      </c>
      <c r="AK605" s="44">
        <f t="shared" si="301"/>
        <v>0</v>
      </c>
      <c r="AL605" s="4">
        <f t="shared" si="284"/>
        <v>527</v>
      </c>
      <c r="AM605" s="82">
        <f t="shared" si="294"/>
        <v>0</v>
      </c>
      <c r="AN605" s="82">
        <f t="shared" si="285"/>
        <v>0</v>
      </c>
      <c r="AO605" s="48">
        <f>0</f>
        <v>0</v>
      </c>
      <c r="AP605" s="91">
        <f t="shared" si="295"/>
        <v>0</v>
      </c>
      <c r="AQ605" s="91">
        <f t="shared" si="296"/>
        <v>0</v>
      </c>
      <c r="AV605" s="84"/>
    </row>
    <row r="606" spans="1:48">
      <c r="A606" s="190">
        <f t="shared" si="286"/>
        <v>109.72091033538672</v>
      </c>
      <c r="B606" s="82">
        <f t="shared" si="287"/>
        <v>44</v>
      </c>
      <c r="C606" s="83">
        <f t="shared" si="288"/>
        <v>528</v>
      </c>
      <c r="D606" s="14">
        <f t="shared" si="275"/>
        <v>4.8675505653430484E-3</v>
      </c>
      <c r="E606" s="16">
        <f t="shared" si="276"/>
        <v>0</v>
      </c>
      <c r="F606" s="127"/>
      <c r="G606" s="88">
        <f t="shared" si="277"/>
        <v>0</v>
      </c>
      <c r="H606" s="89">
        <f t="shared" si="289"/>
        <v>4.1666666666666666E-3</v>
      </c>
      <c r="I606" s="219"/>
      <c r="J606" s="219"/>
      <c r="K606" s="6">
        <f t="shared" si="297"/>
        <v>0</v>
      </c>
      <c r="M606" s="6">
        <f t="shared" si="278"/>
        <v>0</v>
      </c>
      <c r="N606" s="6">
        <f t="shared" si="290"/>
        <v>0</v>
      </c>
      <c r="O606" s="90">
        <f t="shared" si="279"/>
        <v>0</v>
      </c>
      <c r="P606" s="91">
        <f t="shared" si="280"/>
        <v>0</v>
      </c>
      <c r="Q606" s="6">
        <f t="shared" si="281"/>
        <v>0</v>
      </c>
      <c r="R606" s="87">
        <f t="shared" si="300"/>
        <v>0</v>
      </c>
      <c r="S606" s="6">
        <f t="shared" si="282"/>
        <v>0</v>
      </c>
      <c r="T606" s="83">
        <f t="shared" si="291"/>
        <v>0</v>
      </c>
      <c r="U606" s="91">
        <f t="shared" si="298"/>
        <v>0</v>
      </c>
      <c r="V606" s="91">
        <f t="shared" si="292"/>
        <v>0</v>
      </c>
      <c r="W606" s="1">
        <f t="shared" si="299"/>
        <v>0</v>
      </c>
      <c r="X606" s="1">
        <f t="shared" si="299"/>
        <v>0</v>
      </c>
      <c r="Y606" s="1">
        <f t="shared" si="299"/>
        <v>0</v>
      </c>
      <c r="Z606" s="1">
        <f t="shared" si="299"/>
        <v>0</v>
      </c>
      <c r="AA606" s="1">
        <f t="shared" si="299"/>
        <v>0</v>
      </c>
      <c r="AB606" s="1">
        <f t="shared" si="299"/>
        <v>0</v>
      </c>
      <c r="AC606" s="1">
        <f t="shared" si="299"/>
        <v>0</v>
      </c>
      <c r="AD606" s="1">
        <f t="shared" si="299"/>
        <v>0</v>
      </c>
      <c r="AE606" s="1">
        <f t="shared" si="299"/>
        <v>0</v>
      </c>
      <c r="AF606" s="1">
        <f t="shared" si="299"/>
        <v>0</v>
      </c>
      <c r="AG606" s="1">
        <f t="shared" si="299"/>
        <v>0</v>
      </c>
      <c r="AH606" s="1">
        <f t="shared" si="299"/>
        <v>0</v>
      </c>
      <c r="AI606" s="44">
        <f t="shared" si="293"/>
        <v>0</v>
      </c>
      <c r="AJ606" s="44">
        <f t="shared" si="283"/>
        <v>0</v>
      </c>
      <c r="AK606" s="44">
        <f t="shared" si="301"/>
        <v>0</v>
      </c>
      <c r="AL606" s="4">
        <f t="shared" si="284"/>
        <v>528</v>
      </c>
      <c r="AM606" s="82">
        <f t="shared" si="294"/>
        <v>0</v>
      </c>
      <c r="AN606" s="82">
        <f t="shared" si="285"/>
        <v>0</v>
      </c>
      <c r="AO606" s="48">
        <f>0</f>
        <v>0</v>
      </c>
      <c r="AP606" s="91">
        <f t="shared" si="295"/>
        <v>0</v>
      </c>
      <c r="AQ606" s="91">
        <f t="shared" si="296"/>
        <v>0</v>
      </c>
      <c r="AV606" s="84"/>
    </row>
    <row r="607" spans="1:48">
      <c r="A607" s="190">
        <f t="shared" si="286"/>
        <v>109.80424366872005</v>
      </c>
      <c r="B607" s="82">
        <f t="shared" si="287"/>
        <v>45</v>
      </c>
      <c r="C607" s="83">
        <f t="shared" si="288"/>
        <v>529</v>
      </c>
      <c r="D607" s="14">
        <f t="shared" si="275"/>
        <v>4.8675505653430484E-3</v>
      </c>
      <c r="E607" s="16">
        <f t="shared" si="276"/>
        <v>0</v>
      </c>
      <c r="F607" s="127"/>
      <c r="G607" s="88">
        <f t="shared" si="277"/>
        <v>0</v>
      </c>
      <c r="H607" s="89">
        <f t="shared" si="289"/>
        <v>4.1666666666666666E-3</v>
      </c>
      <c r="I607" s="219"/>
      <c r="J607" s="219"/>
      <c r="K607" s="6">
        <f t="shared" si="297"/>
        <v>0</v>
      </c>
      <c r="M607" s="6">
        <f t="shared" si="278"/>
        <v>0</v>
      </c>
      <c r="N607" s="6">
        <f t="shared" si="290"/>
        <v>0</v>
      </c>
      <c r="O607" s="90">
        <f t="shared" si="279"/>
        <v>0</v>
      </c>
      <c r="P607" s="91">
        <f t="shared" si="280"/>
        <v>0</v>
      </c>
      <c r="Q607" s="6">
        <f t="shared" si="281"/>
        <v>0</v>
      </c>
      <c r="R607" s="87">
        <f t="shared" si="300"/>
        <v>0</v>
      </c>
      <c r="S607" s="6">
        <f t="shared" si="282"/>
        <v>0</v>
      </c>
      <c r="T607" s="83">
        <f t="shared" si="291"/>
        <v>0</v>
      </c>
      <c r="U607" s="91">
        <f t="shared" si="298"/>
        <v>0</v>
      </c>
      <c r="V607" s="91">
        <f t="shared" si="292"/>
        <v>0</v>
      </c>
      <c r="W607" s="1">
        <f t="shared" si="299"/>
        <v>0</v>
      </c>
      <c r="X607" s="1">
        <f t="shared" si="299"/>
        <v>0</v>
      </c>
      <c r="Y607" s="1">
        <f t="shared" si="299"/>
        <v>0</v>
      </c>
      <c r="Z607" s="1">
        <f t="shared" si="299"/>
        <v>0</v>
      </c>
      <c r="AA607" s="1">
        <f t="shared" si="299"/>
        <v>0</v>
      </c>
      <c r="AB607" s="1">
        <f t="shared" si="299"/>
        <v>0</v>
      </c>
      <c r="AC607" s="1">
        <f t="shared" si="299"/>
        <v>0</v>
      </c>
      <c r="AD607" s="1">
        <f t="shared" si="299"/>
        <v>0</v>
      </c>
      <c r="AE607" s="1">
        <f t="shared" si="299"/>
        <v>0</v>
      </c>
      <c r="AF607" s="1">
        <f t="shared" si="299"/>
        <v>0</v>
      </c>
      <c r="AG607" s="1">
        <f t="shared" si="299"/>
        <v>0</v>
      </c>
      <c r="AH607" s="1">
        <f t="shared" si="299"/>
        <v>0</v>
      </c>
      <c r="AI607" s="44">
        <f t="shared" si="293"/>
        <v>0</v>
      </c>
      <c r="AJ607" s="44">
        <f t="shared" si="283"/>
        <v>0</v>
      </c>
      <c r="AK607" s="44">
        <f t="shared" si="301"/>
        <v>0</v>
      </c>
      <c r="AL607" s="4">
        <f t="shared" si="284"/>
        <v>529</v>
      </c>
      <c r="AM607" s="82">
        <f t="shared" si="294"/>
        <v>0</v>
      </c>
      <c r="AN607" s="82">
        <f t="shared" si="285"/>
        <v>0</v>
      </c>
      <c r="AO607" s="48">
        <f>0</f>
        <v>0</v>
      </c>
      <c r="AP607" s="91">
        <f t="shared" si="295"/>
        <v>0</v>
      </c>
      <c r="AQ607" s="91">
        <f t="shared" si="296"/>
        <v>0</v>
      </c>
      <c r="AV607" s="84"/>
    </row>
    <row r="608" spans="1:48">
      <c r="A608" s="190">
        <f t="shared" si="286"/>
        <v>109.88757700205338</v>
      </c>
      <c r="B608" s="82">
        <f t="shared" si="287"/>
        <v>45</v>
      </c>
      <c r="C608" s="83">
        <f t="shared" si="288"/>
        <v>530</v>
      </c>
      <c r="D608" s="14">
        <f t="shared" si="275"/>
        <v>4.8675505653430484E-3</v>
      </c>
      <c r="E608" s="16">
        <f t="shared" si="276"/>
        <v>0</v>
      </c>
      <c r="F608" s="127"/>
      <c r="G608" s="88">
        <f t="shared" si="277"/>
        <v>0</v>
      </c>
      <c r="H608" s="89">
        <f t="shared" si="289"/>
        <v>4.1666666666666666E-3</v>
      </c>
      <c r="I608" s="219"/>
      <c r="J608" s="219"/>
      <c r="K608" s="6">
        <f t="shared" si="297"/>
        <v>0</v>
      </c>
      <c r="M608" s="6">
        <f t="shared" si="278"/>
        <v>0</v>
      </c>
      <c r="N608" s="6">
        <f t="shared" si="290"/>
        <v>0</v>
      </c>
      <c r="O608" s="90">
        <f t="shared" si="279"/>
        <v>0</v>
      </c>
      <c r="P608" s="91">
        <f t="shared" si="280"/>
        <v>0</v>
      </c>
      <c r="Q608" s="6">
        <f t="shared" si="281"/>
        <v>0</v>
      </c>
      <c r="R608" s="87">
        <f t="shared" si="300"/>
        <v>0</v>
      </c>
      <c r="S608" s="6">
        <f t="shared" si="282"/>
        <v>0</v>
      </c>
      <c r="T608" s="83">
        <f t="shared" si="291"/>
        <v>0</v>
      </c>
      <c r="U608" s="91">
        <f t="shared" si="298"/>
        <v>0</v>
      </c>
      <c r="V608" s="91">
        <f t="shared" si="292"/>
        <v>0</v>
      </c>
      <c r="W608" s="1">
        <f t="shared" si="299"/>
        <v>0</v>
      </c>
      <c r="X608" s="1">
        <f t="shared" si="299"/>
        <v>0</v>
      </c>
      <c r="Y608" s="1">
        <f t="shared" si="299"/>
        <v>0</v>
      </c>
      <c r="Z608" s="1">
        <f t="shared" si="299"/>
        <v>0</v>
      </c>
      <c r="AA608" s="1">
        <f t="shared" si="299"/>
        <v>0</v>
      </c>
      <c r="AB608" s="1">
        <f t="shared" si="299"/>
        <v>0</v>
      </c>
      <c r="AC608" s="1">
        <f t="shared" si="299"/>
        <v>0</v>
      </c>
      <c r="AD608" s="1">
        <f t="shared" si="299"/>
        <v>0</v>
      </c>
      <c r="AE608" s="1">
        <f t="shared" si="299"/>
        <v>0</v>
      </c>
      <c r="AF608" s="1">
        <f t="shared" si="299"/>
        <v>0</v>
      </c>
      <c r="AG608" s="1">
        <f t="shared" si="299"/>
        <v>0</v>
      </c>
      <c r="AH608" s="1">
        <f t="shared" si="299"/>
        <v>0</v>
      </c>
      <c r="AI608" s="44">
        <f t="shared" si="293"/>
        <v>0</v>
      </c>
      <c r="AJ608" s="44">
        <f t="shared" si="283"/>
        <v>0</v>
      </c>
      <c r="AK608" s="44">
        <f t="shared" si="301"/>
        <v>0</v>
      </c>
      <c r="AL608" s="4">
        <f t="shared" si="284"/>
        <v>530</v>
      </c>
      <c r="AM608" s="82">
        <f t="shared" si="294"/>
        <v>0</v>
      </c>
      <c r="AN608" s="82">
        <f t="shared" si="285"/>
        <v>0</v>
      </c>
      <c r="AO608" s="48">
        <f>0</f>
        <v>0</v>
      </c>
      <c r="AP608" s="91">
        <f t="shared" si="295"/>
        <v>0</v>
      </c>
      <c r="AQ608" s="91">
        <f t="shared" si="296"/>
        <v>0</v>
      </c>
      <c r="AV608" s="84"/>
    </row>
    <row r="609" spans="1:48">
      <c r="A609" s="190">
        <f t="shared" si="286"/>
        <v>109.97091033538672</v>
      </c>
      <c r="B609" s="82">
        <f t="shared" si="287"/>
        <v>45</v>
      </c>
      <c r="C609" s="83">
        <f t="shared" si="288"/>
        <v>531</v>
      </c>
      <c r="D609" s="14">
        <f t="shared" si="275"/>
        <v>4.8675505653430484E-3</v>
      </c>
      <c r="E609" s="16">
        <f t="shared" si="276"/>
        <v>0</v>
      </c>
      <c r="F609" s="127"/>
      <c r="G609" s="88">
        <f t="shared" si="277"/>
        <v>0</v>
      </c>
      <c r="H609" s="89">
        <f t="shared" si="289"/>
        <v>4.1666666666666666E-3</v>
      </c>
      <c r="I609" s="219"/>
      <c r="J609" s="219"/>
      <c r="K609" s="6">
        <f t="shared" si="297"/>
        <v>0</v>
      </c>
      <c r="M609" s="6">
        <f t="shared" si="278"/>
        <v>0</v>
      </c>
      <c r="N609" s="6">
        <f t="shared" si="290"/>
        <v>0</v>
      </c>
      <c r="O609" s="90">
        <f t="shared" si="279"/>
        <v>0</v>
      </c>
      <c r="P609" s="91">
        <f t="shared" si="280"/>
        <v>0</v>
      </c>
      <c r="Q609" s="6">
        <f t="shared" si="281"/>
        <v>0</v>
      </c>
      <c r="R609" s="87">
        <f t="shared" si="300"/>
        <v>0</v>
      </c>
      <c r="S609" s="6">
        <f t="shared" si="282"/>
        <v>0</v>
      </c>
      <c r="T609" s="83">
        <f t="shared" si="291"/>
        <v>0</v>
      </c>
      <c r="U609" s="91">
        <f t="shared" si="298"/>
        <v>0</v>
      </c>
      <c r="V609" s="91">
        <f t="shared" si="292"/>
        <v>0</v>
      </c>
      <c r="W609" s="1">
        <f t="shared" ref="W609:AH618" si="302">IF($B609&lt;=W$78,1,0)</f>
        <v>0</v>
      </c>
      <c r="X609" s="1">
        <f t="shared" si="302"/>
        <v>0</v>
      </c>
      <c r="Y609" s="1">
        <f t="shared" si="302"/>
        <v>0</v>
      </c>
      <c r="Z609" s="1">
        <f t="shared" si="302"/>
        <v>0</v>
      </c>
      <c r="AA609" s="1">
        <f t="shared" si="302"/>
        <v>0</v>
      </c>
      <c r="AB609" s="1">
        <f t="shared" si="302"/>
        <v>0</v>
      </c>
      <c r="AC609" s="1">
        <f t="shared" si="302"/>
        <v>0</v>
      </c>
      <c r="AD609" s="1">
        <f t="shared" si="302"/>
        <v>0</v>
      </c>
      <c r="AE609" s="1">
        <f t="shared" si="302"/>
        <v>0</v>
      </c>
      <c r="AF609" s="1">
        <f t="shared" si="302"/>
        <v>0</v>
      </c>
      <c r="AG609" s="1">
        <f t="shared" si="302"/>
        <v>0</v>
      </c>
      <c r="AH609" s="1">
        <f t="shared" si="302"/>
        <v>0</v>
      </c>
      <c r="AI609" s="44">
        <f t="shared" si="293"/>
        <v>0</v>
      </c>
      <c r="AJ609" s="44">
        <f t="shared" si="283"/>
        <v>0</v>
      </c>
      <c r="AK609" s="44">
        <f t="shared" si="301"/>
        <v>0</v>
      </c>
      <c r="AL609" s="4">
        <f t="shared" si="284"/>
        <v>531</v>
      </c>
      <c r="AM609" s="82">
        <f t="shared" si="294"/>
        <v>0</v>
      </c>
      <c r="AN609" s="82">
        <f t="shared" si="285"/>
        <v>0</v>
      </c>
      <c r="AO609" s="48">
        <f>0</f>
        <v>0</v>
      </c>
      <c r="AP609" s="91">
        <f t="shared" si="295"/>
        <v>0</v>
      </c>
      <c r="AQ609" s="91">
        <f t="shared" si="296"/>
        <v>0</v>
      </c>
      <c r="AV609" s="84"/>
    </row>
    <row r="610" spans="1:48">
      <c r="A610" s="190">
        <f t="shared" si="286"/>
        <v>110.05424366872005</v>
      </c>
      <c r="B610" s="82">
        <f t="shared" si="287"/>
        <v>45</v>
      </c>
      <c r="C610" s="83">
        <f t="shared" si="288"/>
        <v>532</v>
      </c>
      <c r="D610" s="14">
        <f t="shared" si="275"/>
        <v>4.8675505653430484E-3</v>
      </c>
      <c r="E610" s="16">
        <f t="shared" si="276"/>
        <v>0</v>
      </c>
      <c r="F610" s="127"/>
      <c r="G610" s="88">
        <f t="shared" si="277"/>
        <v>0</v>
      </c>
      <c r="H610" s="89">
        <f t="shared" si="289"/>
        <v>4.1666666666666666E-3</v>
      </c>
      <c r="I610" s="219"/>
      <c r="J610" s="219"/>
      <c r="K610" s="6">
        <f t="shared" si="297"/>
        <v>0</v>
      </c>
      <c r="M610" s="6">
        <f t="shared" si="278"/>
        <v>0</v>
      </c>
      <c r="N610" s="6">
        <f t="shared" si="290"/>
        <v>0</v>
      </c>
      <c r="O610" s="90">
        <f t="shared" si="279"/>
        <v>0</v>
      </c>
      <c r="P610" s="91">
        <f t="shared" si="280"/>
        <v>0</v>
      </c>
      <c r="Q610" s="6">
        <f t="shared" si="281"/>
        <v>0</v>
      </c>
      <c r="R610" s="87">
        <f t="shared" si="300"/>
        <v>0</v>
      </c>
      <c r="S610" s="6">
        <f t="shared" si="282"/>
        <v>0</v>
      </c>
      <c r="T610" s="83">
        <f t="shared" si="291"/>
        <v>0</v>
      </c>
      <c r="U610" s="91">
        <f t="shared" si="298"/>
        <v>0</v>
      </c>
      <c r="V610" s="91">
        <f t="shared" si="292"/>
        <v>0</v>
      </c>
      <c r="W610" s="1">
        <f t="shared" si="302"/>
        <v>0</v>
      </c>
      <c r="X610" s="1">
        <f t="shared" si="302"/>
        <v>0</v>
      </c>
      <c r="Y610" s="1">
        <f t="shared" si="302"/>
        <v>0</v>
      </c>
      <c r="Z610" s="1">
        <f t="shared" si="302"/>
        <v>0</v>
      </c>
      <c r="AA610" s="1">
        <f t="shared" si="302"/>
        <v>0</v>
      </c>
      <c r="AB610" s="1">
        <f t="shared" si="302"/>
        <v>0</v>
      </c>
      <c r="AC610" s="1">
        <f t="shared" si="302"/>
        <v>0</v>
      </c>
      <c r="AD610" s="1">
        <f t="shared" si="302"/>
        <v>0</v>
      </c>
      <c r="AE610" s="1">
        <f t="shared" si="302"/>
        <v>0</v>
      </c>
      <c r="AF610" s="1">
        <f t="shared" si="302"/>
        <v>0</v>
      </c>
      <c r="AG610" s="1">
        <f t="shared" si="302"/>
        <v>0</v>
      </c>
      <c r="AH610" s="1">
        <f t="shared" si="302"/>
        <v>0</v>
      </c>
      <c r="AI610" s="44">
        <f t="shared" si="293"/>
        <v>0</v>
      </c>
      <c r="AJ610" s="44">
        <f t="shared" si="283"/>
        <v>0</v>
      </c>
      <c r="AK610" s="44">
        <f t="shared" si="301"/>
        <v>0</v>
      </c>
      <c r="AL610" s="4">
        <f t="shared" si="284"/>
        <v>532</v>
      </c>
      <c r="AM610" s="82">
        <f t="shared" si="294"/>
        <v>0</v>
      </c>
      <c r="AN610" s="82">
        <f t="shared" si="285"/>
        <v>0</v>
      </c>
      <c r="AO610" s="48">
        <f>0</f>
        <v>0</v>
      </c>
      <c r="AP610" s="91">
        <f t="shared" si="295"/>
        <v>0</v>
      </c>
      <c r="AQ610" s="91">
        <f t="shared" si="296"/>
        <v>0</v>
      </c>
      <c r="AV610" s="84"/>
    </row>
    <row r="611" spans="1:48">
      <c r="A611" s="190">
        <f t="shared" si="286"/>
        <v>110.13757700205338</v>
      </c>
      <c r="B611" s="82">
        <f t="shared" si="287"/>
        <v>45</v>
      </c>
      <c r="C611" s="83">
        <f t="shared" si="288"/>
        <v>533</v>
      </c>
      <c r="D611" s="14">
        <f t="shared" si="275"/>
        <v>4.8675505653430484E-3</v>
      </c>
      <c r="E611" s="16">
        <f t="shared" si="276"/>
        <v>0</v>
      </c>
      <c r="F611" s="127"/>
      <c r="G611" s="88">
        <f t="shared" si="277"/>
        <v>0</v>
      </c>
      <c r="H611" s="89">
        <f t="shared" si="289"/>
        <v>4.1666666666666666E-3</v>
      </c>
      <c r="I611" s="219"/>
      <c r="J611" s="219"/>
      <c r="K611" s="6">
        <f t="shared" si="297"/>
        <v>0</v>
      </c>
      <c r="M611" s="6">
        <f t="shared" si="278"/>
        <v>0</v>
      </c>
      <c r="N611" s="6">
        <f t="shared" si="290"/>
        <v>0</v>
      </c>
      <c r="O611" s="90">
        <f t="shared" si="279"/>
        <v>0</v>
      </c>
      <c r="P611" s="91">
        <f t="shared" si="280"/>
        <v>0</v>
      </c>
      <c r="Q611" s="6">
        <f t="shared" si="281"/>
        <v>0</v>
      </c>
      <c r="R611" s="87">
        <f t="shared" si="300"/>
        <v>0</v>
      </c>
      <c r="S611" s="6">
        <f t="shared" si="282"/>
        <v>0</v>
      </c>
      <c r="T611" s="83">
        <f t="shared" si="291"/>
        <v>0</v>
      </c>
      <c r="U611" s="91">
        <f t="shared" si="298"/>
        <v>0</v>
      </c>
      <c r="V611" s="91">
        <f t="shared" si="292"/>
        <v>0</v>
      </c>
      <c r="W611" s="1">
        <f t="shared" si="302"/>
        <v>0</v>
      </c>
      <c r="X611" s="1">
        <f t="shared" si="302"/>
        <v>0</v>
      </c>
      <c r="Y611" s="1">
        <f t="shared" si="302"/>
        <v>0</v>
      </c>
      <c r="Z611" s="1">
        <f t="shared" si="302"/>
        <v>0</v>
      </c>
      <c r="AA611" s="1">
        <f t="shared" si="302"/>
        <v>0</v>
      </c>
      <c r="AB611" s="1">
        <f t="shared" si="302"/>
        <v>0</v>
      </c>
      <c r="AC611" s="1">
        <f t="shared" si="302"/>
        <v>0</v>
      </c>
      <c r="AD611" s="1">
        <f t="shared" si="302"/>
        <v>0</v>
      </c>
      <c r="AE611" s="1">
        <f t="shared" si="302"/>
        <v>0</v>
      </c>
      <c r="AF611" s="1">
        <f t="shared" si="302"/>
        <v>0</v>
      </c>
      <c r="AG611" s="1">
        <f t="shared" si="302"/>
        <v>0</v>
      </c>
      <c r="AH611" s="1">
        <f t="shared" si="302"/>
        <v>0</v>
      </c>
      <c r="AI611" s="44">
        <f t="shared" si="293"/>
        <v>0</v>
      </c>
      <c r="AJ611" s="44">
        <f t="shared" si="283"/>
        <v>0</v>
      </c>
      <c r="AK611" s="44">
        <f t="shared" si="301"/>
        <v>0</v>
      </c>
      <c r="AL611" s="4">
        <f t="shared" si="284"/>
        <v>533</v>
      </c>
      <c r="AM611" s="82">
        <f t="shared" si="294"/>
        <v>0</v>
      </c>
      <c r="AN611" s="82">
        <f t="shared" si="285"/>
        <v>0</v>
      </c>
      <c r="AO611" s="48">
        <f>0</f>
        <v>0</v>
      </c>
      <c r="AP611" s="91">
        <f t="shared" si="295"/>
        <v>0</v>
      </c>
      <c r="AQ611" s="91">
        <f t="shared" si="296"/>
        <v>0</v>
      </c>
      <c r="AV611" s="84"/>
    </row>
    <row r="612" spans="1:48">
      <c r="A612" s="190">
        <f t="shared" si="286"/>
        <v>110.22091033538672</v>
      </c>
      <c r="B612" s="82">
        <f t="shared" si="287"/>
        <v>45</v>
      </c>
      <c r="C612" s="83">
        <f t="shared" si="288"/>
        <v>534</v>
      </c>
      <c r="D612" s="14">
        <f t="shared" si="275"/>
        <v>4.8675505653430484E-3</v>
      </c>
      <c r="E612" s="16">
        <f t="shared" si="276"/>
        <v>0</v>
      </c>
      <c r="F612" s="127"/>
      <c r="G612" s="88">
        <f t="shared" si="277"/>
        <v>0</v>
      </c>
      <c r="H612" s="89">
        <f t="shared" si="289"/>
        <v>4.1666666666666666E-3</v>
      </c>
      <c r="I612" s="219"/>
      <c r="J612" s="219"/>
      <c r="K612" s="6">
        <f t="shared" si="297"/>
        <v>0</v>
      </c>
      <c r="M612" s="6">
        <f t="shared" si="278"/>
        <v>0</v>
      </c>
      <c r="N612" s="6">
        <f t="shared" si="290"/>
        <v>0</v>
      </c>
      <c r="O612" s="90">
        <f t="shared" si="279"/>
        <v>0</v>
      </c>
      <c r="P612" s="91">
        <f t="shared" si="280"/>
        <v>0</v>
      </c>
      <c r="Q612" s="6">
        <f t="shared" si="281"/>
        <v>0</v>
      </c>
      <c r="R612" s="87">
        <f t="shared" si="300"/>
        <v>0</v>
      </c>
      <c r="S612" s="6">
        <f t="shared" si="282"/>
        <v>0</v>
      </c>
      <c r="T612" s="83">
        <f t="shared" si="291"/>
        <v>0</v>
      </c>
      <c r="U612" s="91">
        <f t="shared" si="298"/>
        <v>0</v>
      </c>
      <c r="V612" s="91">
        <f t="shared" si="292"/>
        <v>0</v>
      </c>
      <c r="W612" s="1">
        <f t="shared" si="302"/>
        <v>0</v>
      </c>
      <c r="X612" s="1">
        <f t="shared" si="302"/>
        <v>0</v>
      </c>
      <c r="Y612" s="1">
        <f t="shared" si="302"/>
        <v>0</v>
      </c>
      <c r="Z612" s="1">
        <f t="shared" si="302"/>
        <v>0</v>
      </c>
      <c r="AA612" s="1">
        <f t="shared" si="302"/>
        <v>0</v>
      </c>
      <c r="AB612" s="1">
        <f t="shared" si="302"/>
        <v>0</v>
      </c>
      <c r="AC612" s="1">
        <f t="shared" si="302"/>
        <v>0</v>
      </c>
      <c r="AD612" s="1">
        <f t="shared" si="302"/>
        <v>0</v>
      </c>
      <c r="AE612" s="1">
        <f t="shared" si="302"/>
        <v>0</v>
      </c>
      <c r="AF612" s="1">
        <f t="shared" si="302"/>
        <v>0</v>
      </c>
      <c r="AG612" s="1">
        <f t="shared" si="302"/>
        <v>0</v>
      </c>
      <c r="AH612" s="1">
        <f t="shared" si="302"/>
        <v>0</v>
      </c>
      <c r="AI612" s="44">
        <f t="shared" si="293"/>
        <v>0</v>
      </c>
      <c r="AJ612" s="44">
        <f t="shared" si="283"/>
        <v>0</v>
      </c>
      <c r="AK612" s="44">
        <f t="shared" si="301"/>
        <v>0</v>
      </c>
      <c r="AL612" s="4">
        <f t="shared" si="284"/>
        <v>534</v>
      </c>
      <c r="AM612" s="82">
        <f t="shared" si="294"/>
        <v>0</v>
      </c>
      <c r="AN612" s="82">
        <f t="shared" si="285"/>
        <v>0</v>
      </c>
      <c r="AO612" s="48">
        <f>0</f>
        <v>0</v>
      </c>
      <c r="AP612" s="91">
        <f t="shared" si="295"/>
        <v>0</v>
      </c>
      <c r="AQ612" s="91">
        <f t="shared" si="296"/>
        <v>0</v>
      </c>
      <c r="AV612" s="84"/>
    </row>
    <row r="613" spans="1:48">
      <c r="A613" s="190">
        <f t="shared" si="286"/>
        <v>110.30424366872005</v>
      </c>
      <c r="B613" s="82">
        <f t="shared" si="287"/>
        <v>45</v>
      </c>
      <c r="C613" s="83">
        <f t="shared" si="288"/>
        <v>535</v>
      </c>
      <c r="D613" s="14">
        <f t="shared" si="275"/>
        <v>4.8675505653430484E-3</v>
      </c>
      <c r="E613" s="16">
        <f t="shared" si="276"/>
        <v>0</v>
      </c>
      <c r="F613" s="127"/>
      <c r="G613" s="88">
        <f t="shared" si="277"/>
        <v>0</v>
      </c>
      <c r="H613" s="89">
        <f t="shared" si="289"/>
        <v>4.1666666666666666E-3</v>
      </c>
      <c r="I613" s="219"/>
      <c r="J613" s="219"/>
      <c r="K613" s="6">
        <f t="shared" si="297"/>
        <v>0</v>
      </c>
      <c r="M613" s="6">
        <f t="shared" si="278"/>
        <v>0</v>
      </c>
      <c r="N613" s="6">
        <f t="shared" si="290"/>
        <v>0</v>
      </c>
      <c r="O613" s="90">
        <f t="shared" si="279"/>
        <v>0</v>
      </c>
      <c r="P613" s="91">
        <f t="shared" si="280"/>
        <v>0</v>
      </c>
      <c r="Q613" s="6">
        <f t="shared" si="281"/>
        <v>0</v>
      </c>
      <c r="R613" s="87">
        <f t="shared" si="300"/>
        <v>0</v>
      </c>
      <c r="S613" s="6">
        <f t="shared" si="282"/>
        <v>0</v>
      </c>
      <c r="T613" s="83">
        <f t="shared" si="291"/>
        <v>0</v>
      </c>
      <c r="U613" s="91">
        <f t="shared" si="298"/>
        <v>0</v>
      </c>
      <c r="V613" s="91">
        <f t="shared" si="292"/>
        <v>0</v>
      </c>
      <c r="W613" s="1">
        <f t="shared" si="302"/>
        <v>0</v>
      </c>
      <c r="X613" s="1">
        <f t="shared" si="302"/>
        <v>0</v>
      </c>
      <c r="Y613" s="1">
        <f t="shared" si="302"/>
        <v>0</v>
      </c>
      <c r="Z613" s="1">
        <f t="shared" si="302"/>
        <v>0</v>
      </c>
      <c r="AA613" s="1">
        <f t="shared" si="302"/>
        <v>0</v>
      </c>
      <c r="AB613" s="1">
        <f t="shared" si="302"/>
        <v>0</v>
      </c>
      <c r="AC613" s="1">
        <f t="shared" si="302"/>
        <v>0</v>
      </c>
      <c r="AD613" s="1">
        <f t="shared" si="302"/>
        <v>0</v>
      </c>
      <c r="AE613" s="1">
        <f t="shared" si="302"/>
        <v>0</v>
      </c>
      <c r="AF613" s="1">
        <f t="shared" si="302"/>
        <v>0</v>
      </c>
      <c r="AG613" s="1">
        <f t="shared" si="302"/>
        <v>0</v>
      </c>
      <c r="AH613" s="1">
        <f t="shared" si="302"/>
        <v>0</v>
      </c>
      <c r="AI613" s="44">
        <f t="shared" si="293"/>
        <v>0</v>
      </c>
      <c r="AJ613" s="44">
        <f t="shared" si="283"/>
        <v>0</v>
      </c>
      <c r="AK613" s="44">
        <f t="shared" si="301"/>
        <v>0</v>
      </c>
      <c r="AL613" s="4">
        <f t="shared" si="284"/>
        <v>535</v>
      </c>
      <c r="AM613" s="82">
        <f t="shared" si="294"/>
        <v>0</v>
      </c>
      <c r="AN613" s="82">
        <f t="shared" si="285"/>
        <v>0</v>
      </c>
      <c r="AO613" s="48">
        <f>0</f>
        <v>0</v>
      </c>
      <c r="AP613" s="91">
        <f t="shared" si="295"/>
        <v>0</v>
      </c>
      <c r="AQ613" s="91">
        <f t="shared" si="296"/>
        <v>0</v>
      </c>
      <c r="AV613" s="84"/>
    </row>
    <row r="614" spans="1:48">
      <c r="A614" s="190">
        <f t="shared" si="286"/>
        <v>110.38757700205338</v>
      </c>
      <c r="B614" s="82">
        <f t="shared" si="287"/>
        <v>45</v>
      </c>
      <c r="C614" s="83">
        <f t="shared" si="288"/>
        <v>536</v>
      </c>
      <c r="D614" s="14">
        <f t="shared" si="275"/>
        <v>4.8675505653430484E-3</v>
      </c>
      <c r="E614" s="16">
        <f t="shared" si="276"/>
        <v>0</v>
      </c>
      <c r="F614" s="127"/>
      <c r="G614" s="88">
        <f t="shared" si="277"/>
        <v>0</v>
      </c>
      <c r="H614" s="89">
        <f t="shared" si="289"/>
        <v>4.1666666666666666E-3</v>
      </c>
      <c r="I614" s="219"/>
      <c r="J614" s="219"/>
      <c r="K614" s="6">
        <f t="shared" si="297"/>
        <v>0</v>
      </c>
      <c r="M614" s="6">
        <f t="shared" si="278"/>
        <v>0</v>
      </c>
      <c r="N614" s="6">
        <f t="shared" si="290"/>
        <v>0</v>
      </c>
      <c r="O614" s="90">
        <f t="shared" si="279"/>
        <v>0</v>
      </c>
      <c r="P614" s="91">
        <f t="shared" si="280"/>
        <v>0</v>
      </c>
      <c r="Q614" s="6">
        <f t="shared" si="281"/>
        <v>0</v>
      </c>
      <c r="R614" s="87">
        <f t="shared" si="300"/>
        <v>0</v>
      </c>
      <c r="S614" s="6">
        <f t="shared" si="282"/>
        <v>0</v>
      </c>
      <c r="T614" s="83">
        <f t="shared" si="291"/>
        <v>0</v>
      </c>
      <c r="U614" s="91">
        <f t="shared" si="298"/>
        <v>0</v>
      </c>
      <c r="V614" s="91">
        <f t="shared" si="292"/>
        <v>0</v>
      </c>
      <c r="W614" s="1">
        <f t="shared" si="302"/>
        <v>0</v>
      </c>
      <c r="X614" s="1">
        <f t="shared" si="302"/>
        <v>0</v>
      </c>
      <c r="Y614" s="1">
        <f t="shared" si="302"/>
        <v>0</v>
      </c>
      <c r="Z614" s="1">
        <f t="shared" si="302"/>
        <v>0</v>
      </c>
      <c r="AA614" s="1">
        <f t="shared" si="302"/>
        <v>0</v>
      </c>
      <c r="AB614" s="1">
        <f t="shared" si="302"/>
        <v>0</v>
      </c>
      <c r="AC614" s="1">
        <f t="shared" si="302"/>
        <v>0</v>
      </c>
      <c r="AD614" s="1">
        <f t="shared" si="302"/>
        <v>0</v>
      </c>
      <c r="AE614" s="1">
        <f t="shared" si="302"/>
        <v>0</v>
      </c>
      <c r="AF614" s="1">
        <f t="shared" si="302"/>
        <v>0</v>
      </c>
      <c r="AG614" s="1">
        <f t="shared" si="302"/>
        <v>0</v>
      </c>
      <c r="AH614" s="1">
        <f t="shared" si="302"/>
        <v>0</v>
      </c>
      <c r="AI614" s="44">
        <f t="shared" si="293"/>
        <v>0</v>
      </c>
      <c r="AJ614" s="44">
        <f t="shared" si="283"/>
        <v>0</v>
      </c>
      <c r="AK614" s="44">
        <f t="shared" si="301"/>
        <v>0</v>
      </c>
      <c r="AL614" s="4">
        <f t="shared" si="284"/>
        <v>536</v>
      </c>
      <c r="AM614" s="82">
        <f t="shared" si="294"/>
        <v>0</v>
      </c>
      <c r="AN614" s="82">
        <f t="shared" si="285"/>
        <v>0</v>
      </c>
      <c r="AO614" s="48">
        <f>0</f>
        <v>0</v>
      </c>
      <c r="AP614" s="91">
        <f t="shared" si="295"/>
        <v>0</v>
      </c>
      <c r="AQ614" s="91">
        <f t="shared" si="296"/>
        <v>0</v>
      </c>
      <c r="AV614" s="84"/>
    </row>
    <row r="615" spans="1:48">
      <c r="A615" s="190">
        <f t="shared" si="286"/>
        <v>110.47091033538672</v>
      </c>
      <c r="B615" s="82">
        <f t="shared" si="287"/>
        <v>45</v>
      </c>
      <c r="C615" s="83">
        <f t="shared" si="288"/>
        <v>537</v>
      </c>
      <c r="D615" s="14">
        <f t="shared" si="275"/>
        <v>4.8675505653430484E-3</v>
      </c>
      <c r="E615" s="16">
        <f t="shared" si="276"/>
        <v>0</v>
      </c>
      <c r="F615" s="127"/>
      <c r="G615" s="88">
        <f t="shared" si="277"/>
        <v>0</v>
      </c>
      <c r="H615" s="89">
        <f t="shared" si="289"/>
        <v>4.1666666666666666E-3</v>
      </c>
      <c r="I615" s="219"/>
      <c r="J615" s="219"/>
      <c r="K615" s="6">
        <f t="shared" si="297"/>
        <v>0</v>
      </c>
      <c r="M615" s="6">
        <f t="shared" si="278"/>
        <v>0</v>
      </c>
      <c r="N615" s="6">
        <f t="shared" si="290"/>
        <v>0</v>
      </c>
      <c r="O615" s="90">
        <f t="shared" si="279"/>
        <v>0</v>
      </c>
      <c r="P615" s="91">
        <f t="shared" si="280"/>
        <v>0</v>
      </c>
      <c r="Q615" s="6">
        <f t="shared" si="281"/>
        <v>0</v>
      </c>
      <c r="R615" s="87">
        <f t="shared" si="300"/>
        <v>0</v>
      </c>
      <c r="S615" s="6">
        <f t="shared" si="282"/>
        <v>0</v>
      </c>
      <c r="T615" s="83">
        <f t="shared" si="291"/>
        <v>0</v>
      </c>
      <c r="U615" s="91">
        <f t="shared" si="298"/>
        <v>0</v>
      </c>
      <c r="V615" s="91">
        <f t="shared" si="292"/>
        <v>0</v>
      </c>
      <c r="W615" s="1">
        <f t="shared" si="302"/>
        <v>0</v>
      </c>
      <c r="X615" s="1">
        <f t="shared" si="302"/>
        <v>0</v>
      </c>
      <c r="Y615" s="1">
        <f t="shared" si="302"/>
        <v>0</v>
      </c>
      <c r="Z615" s="1">
        <f t="shared" si="302"/>
        <v>0</v>
      </c>
      <c r="AA615" s="1">
        <f t="shared" si="302"/>
        <v>0</v>
      </c>
      <c r="AB615" s="1">
        <f t="shared" si="302"/>
        <v>0</v>
      </c>
      <c r="AC615" s="1">
        <f t="shared" si="302"/>
        <v>0</v>
      </c>
      <c r="AD615" s="1">
        <f t="shared" si="302"/>
        <v>0</v>
      </c>
      <c r="AE615" s="1">
        <f t="shared" si="302"/>
        <v>0</v>
      </c>
      <c r="AF615" s="1">
        <f t="shared" si="302"/>
        <v>0</v>
      </c>
      <c r="AG615" s="1">
        <f t="shared" si="302"/>
        <v>0</v>
      </c>
      <c r="AH615" s="1">
        <f t="shared" si="302"/>
        <v>0</v>
      </c>
      <c r="AI615" s="44">
        <f t="shared" si="293"/>
        <v>0</v>
      </c>
      <c r="AJ615" s="44">
        <f t="shared" si="283"/>
        <v>0</v>
      </c>
      <c r="AK615" s="44">
        <f t="shared" si="301"/>
        <v>0</v>
      </c>
      <c r="AL615" s="4">
        <f t="shared" si="284"/>
        <v>537</v>
      </c>
      <c r="AM615" s="82">
        <f t="shared" si="294"/>
        <v>0</v>
      </c>
      <c r="AN615" s="82">
        <f t="shared" si="285"/>
        <v>0</v>
      </c>
      <c r="AO615" s="48">
        <f>0</f>
        <v>0</v>
      </c>
      <c r="AP615" s="91">
        <f t="shared" si="295"/>
        <v>0</v>
      </c>
      <c r="AQ615" s="91">
        <f t="shared" si="296"/>
        <v>0</v>
      </c>
      <c r="AV615" s="84"/>
    </row>
    <row r="616" spans="1:48">
      <c r="A616" s="190">
        <f t="shared" si="286"/>
        <v>110.55424366872005</v>
      </c>
      <c r="B616" s="82">
        <f t="shared" si="287"/>
        <v>45</v>
      </c>
      <c r="C616" s="83">
        <f t="shared" si="288"/>
        <v>538</v>
      </c>
      <c r="D616" s="14">
        <f t="shared" si="275"/>
        <v>4.8675505653430484E-3</v>
      </c>
      <c r="E616" s="16">
        <f t="shared" si="276"/>
        <v>0</v>
      </c>
      <c r="F616" s="127"/>
      <c r="G616" s="88">
        <f t="shared" si="277"/>
        <v>0</v>
      </c>
      <c r="H616" s="89">
        <f t="shared" si="289"/>
        <v>4.1666666666666666E-3</v>
      </c>
      <c r="I616" s="219"/>
      <c r="J616" s="219"/>
      <c r="K616" s="6">
        <f t="shared" si="297"/>
        <v>0</v>
      </c>
      <c r="M616" s="6">
        <f t="shared" si="278"/>
        <v>0</v>
      </c>
      <c r="N616" s="6">
        <f t="shared" si="290"/>
        <v>0</v>
      </c>
      <c r="O616" s="90">
        <f t="shared" si="279"/>
        <v>0</v>
      </c>
      <c r="P616" s="91">
        <f t="shared" si="280"/>
        <v>0</v>
      </c>
      <c r="Q616" s="6">
        <f t="shared" si="281"/>
        <v>0</v>
      </c>
      <c r="R616" s="87">
        <f t="shared" si="300"/>
        <v>0</v>
      </c>
      <c r="S616" s="6">
        <f t="shared" si="282"/>
        <v>0</v>
      </c>
      <c r="T616" s="83">
        <f t="shared" si="291"/>
        <v>0</v>
      </c>
      <c r="U616" s="91">
        <f t="shared" si="298"/>
        <v>0</v>
      </c>
      <c r="V616" s="91">
        <f t="shared" si="292"/>
        <v>0</v>
      </c>
      <c r="W616" s="1">
        <f t="shared" si="302"/>
        <v>0</v>
      </c>
      <c r="X616" s="1">
        <f t="shared" si="302"/>
        <v>0</v>
      </c>
      <c r="Y616" s="1">
        <f t="shared" si="302"/>
        <v>0</v>
      </c>
      <c r="Z616" s="1">
        <f t="shared" si="302"/>
        <v>0</v>
      </c>
      <c r="AA616" s="1">
        <f t="shared" si="302"/>
        <v>0</v>
      </c>
      <c r="AB616" s="1">
        <f t="shared" si="302"/>
        <v>0</v>
      </c>
      <c r="AC616" s="1">
        <f t="shared" si="302"/>
        <v>0</v>
      </c>
      <c r="AD616" s="1">
        <f t="shared" si="302"/>
        <v>0</v>
      </c>
      <c r="AE616" s="1">
        <f t="shared" si="302"/>
        <v>0</v>
      </c>
      <c r="AF616" s="1">
        <f t="shared" si="302"/>
        <v>0</v>
      </c>
      <c r="AG616" s="1">
        <f t="shared" si="302"/>
        <v>0</v>
      </c>
      <c r="AH616" s="1">
        <f t="shared" si="302"/>
        <v>0</v>
      </c>
      <c r="AI616" s="44">
        <f t="shared" si="293"/>
        <v>0</v>
      </c>
      <c r="AJ616" s="44">
        <f t="shared" si="283"/>
        <v>0</v>
      </c>
      <c r="AK616" s="44">
        <f t="shared" si="301"/>
        <v>0</v>
      </c>
      <c r="AL616" s="4">
        <f t="shared" si="284"/>
        <v>538</v>
      </c>
      <c r="AM616" s="82">
        <f t="shared" si="294"/>
        <v>0</v>
      </c>
      <c r="AN616" s="82">
        <f t="shared" si="285"/>
        <v>0</v>
      </c>
      <c r="AO616" s="48">
        <f>0</f>
        <v>0</v>
      </c>
      <c r="AP616" s="91">
        <f t="shared" si="295"/>
        <v>0</v>
      </c>
      <c r="AQ616" s="91">
        <f t="shared" si="296"/>
        <v>0</v>
      </c>
      <c r="AV616" s="84"/>
    </row>
    <row r="617" spans="1:48">
      <c r="A617" s="190">
        <f t="shared" si="286"/>
        <v>110.63757700205338</v>
      </c>
      <c r="B617" s="82">
        <f t="shared" si="287"/>
        <v>45</v>
      </c>
      <c r="C617" s="83">
        <f t="shared" si="288"/>
        <v>539</v>
      </c>
      <c r="D617" s="14">
        <f t="shared" si="275"/>
        <v>4.8675505653430484E-3</v>
      </c>
      <c r="E617" s="16">
        <f t="shared" si="276"/>
        <v>0</v>
      </c>
      <c r="F617" s="127"/>
      <c r="G617" s="88">
        <f t="shared" si="277"/>
        <v>0</v>
      </c>
      <c r="H617" s="89">
        <f t="shared" si="289"/>
        <v>4.1666666666666666E-3</v>
      </c>
      <c r="I617" s="219"/>
      <c r="J617" s="219"/>
      <c r="K617" s="6">
        <f t="shared" si="297"/>
        <v>0</v>
      </c>
      <c r="M617" s="6">
        <f t="shared" si="278"/>
        <v>0</v>
      </c>
      <c r="N617" s="6">
        <f t="shared" si="290"/>
        <v>0</v>
      </c>
      <c r="O617" s="90">
        <f t="shared" si="279"/>
        <v>0</v>
      </c>
      <c r="P617" s="91">
        <f t="shared" si="280"/>
        <v>0</v>
      </c>
      <c r="Q617" s="6">
        <f t="shared" si="281"/>
        <v>0</v>
      </c>
      <c r="R617" s="87">
        <f t="shared" si="300"/>
        <v>0</v>
      </c>
      <c r="S617" s="6">
        <f t="shared" si="282"/>
        <v>0</v>
      </c>
      <c r="T617" s="83">
        <f t="shared" si="291"/>
        <v>0</v>
      </c>
      <c r="U617" s="91">
        <f t="shared" si="298"/>
        <v>0</v>
      </c>
      <c r="V617" s="91">
        <f t="shared" si="292"/>
        <v>0</v>
      </c>
      <c r="W617" s="1">
        <f t="shared" si="302"/>
        <v>0</v>
      </c>
      <c r="X617" s="1">
        <f t="shared" si="302"/>
        <v>0</v>
      </c>
      <c r="Y617" s="1">
        <f t="shared" si="302"/>
        <v>0</v>
      </c>
      <c r="Z617" s="1">
        <f t="shared" si="302"/>
        <v>0</v>
      </c>
      <c r="AA617" s="1">
        <f t="shared" si="302"/>
        <v>0</v>
      </c>
      <c r="AB617" s="1">
        <f t="shared" si="302"/>
        <v>0</v>
      </c>
      <c r="AC617" s="1">
        <f t="shared" si="302"/>
        <v>0</v>
      </c>
      <c r="AD617" s="1">
        <f t="shared" si="302"/>
        <v>0</v>
      </c>
      <c r="AE617" s="1">
        <f t="shared" si="302"/>
        <v>0</v>
      </c>
      <c r="AF617" s="1">
        <f t="shared" si="302"/>
        <v>0</v>
      </c>
      <c r="AG617" s="1">
        <f t="shared" si="302"/>
        <v>0</v>
      </c>
      <c r="AH617" s="1">
        <f t="shared" si="302"/>
        <v>0</v>
      </c>
      <c r="AI617" s="44">
        <f t="shared" si="293"/>
        <v>0</v>
      </c>
      <c r="AJ617" s="44">
        <f t="shared" si="283"/>
        <v>0</v>
      </c>
      <c r="AK617" s="44">
        <f t="shared" si="301"/>
        <v>0</v>
      </c>
      <c r="AL617" s="4">
        <f t="shared" si="284"/>
        <v>539</v>
      </c>
      <c r="AM617" s="82">
        <f t="shared" si="294"/>
        <v>0</v>
      </c>
      <c r="AN617" s="82">
        <f t="shared" si="285"/>
        <v>0</v>
      </c>
      <c r="AO617" s="48">
        <f>0</f>
        <v>0</v>
      </c>
      <c r="AP617" s="91">
        <f t="shared" si="295"/>
        <v>0</v>
      </c>
      <c r="AQ617" s="91">
        <f t="shared" si="296"/>
        <v>0</v>
      </c>
      <c r="AV617" s="84"/>
    </row>
    <row r="618" spans="1:48">
      <c r="A618" s="190">
        <f t="shared" si="286"/>
        <v>110.72091033538672</v>
      </c>
      <c r="B618" s="82">
        <f t="shared" si="287"/>
        <v>45</v>
      </c>
      <c r="C618" s="83">
        <f t="shared" si="288"/>
        <v>540</v>
      </c>
      <c r="D618" s="14">
        <f t="shared" si="275"/>
        <v>4.8675505653430484E-3</v>
      </c>
      <c r="E618" s="16">
        <f t="shared" si="276"/>
        <v>0</v>
      </c>
      <c r="F618" s="127"/>
      <c r="G618" s="88">
        <f t="shared" si="277"/>
        <v>0</v>
      </c>
      <c r="H618" s="89">
        <f t="shared" si="289"/>
        <v>4.1666666666666666E-3</v>
      </c>
      <c r="I618" s="219"/>
      <c r="J618" s="219"/>
      <c r="K618" s="6">
        <f t="shared" si="297"/>
        <v>0</v>
      </c>
      <c r="M618" s="6">
        <f t="shared" si="278"/>
        <v>0</v>
      </c>
      <c r="N618" s="6">
        <f t="shared" si="290"/>
        <v>0</v>
      </c>
      <c r="O618" s="90">
        <f t="shared" si="279"/>
        <v>0</v>
      </c>
      <c r="P618" s="91">
        <f t="shared" si="280"/>
        <v>0</v>
      </c>
      <c r="Q618" s="6">
        <f t="shared" si="281"/>
        <v>0</v>
      </c>
      <c r="R618" s="87">
        <f t="shared" si="300"/>
        <v>0</v>
      </c>
      <c r="S618" s="6">
        <f t="shared" si="282"/>
        <v>0</v>
      </c>
      <c r="T618" s="83">
        <f t="shared" si="291"/>
        <v>0</v>
      </c>
      <c r="U618" s="91">
        <f t="shared" si="298"/>
        <v>0</v>
      </c>
      <c r="V618" s="91">
        <f t="shared" si="292"/>
        <v>0</v>
      </c>
      <c r="W618" s="1">
        <f t="shared" si="302"/>
        <v>0</v>
      </c>
      <c r="X618" s="1">
        <f t="shared" si="302"/>
        <v>0</v>
      </c>
      <c r="Y618" s="1">
        <f t="shared" si="302"/>
        <v>0</v>
      </c>
      <c r="Z618" s="1">
        <f t="shared" si="302"/>
        <v>0</v>
      </c>
      <c r="AA618" s="1">
        <f t="shared" si="302"/>
        <v>0</v>
      </c>
      <c r="AB618" s="1">
        <f t="shared" si="302"/>
        <v>0</v>
      </c>
      <c r="AC618" s="1">
        <f t="shared" si="302"/>
        <v>0</v>
      </c>
      <c r="AD618" s="1">
        <f t="shared" si="302"/>
        <v>0</v>
      </c>
      <c r="AE618" s="1">
        <f t="shared" si="302"/>
        <v>0</v>
      </c>
      <c r="AF618" s="1">
        <f t="shared" si="302"/>
        <v>0</v>
      </c>
      <c r="AG618" s="1">
        <f t="shared" si="302"/>
        <v>0</v>
      </c>
      <c r="AH618" s="1">
        <f t="shared" si="302"/>
        <v>0</v>
      </c>
      <c r="AI618" s="44">
        <f t="shared" si="293"/>
        <v>0</v>
      </c>
      <c r="AJ618" s="44">
        <f t="shared" si="283"/>
        <v>0</v>
      </c>
      <c r="AK618" s="44">
        <f t="shared" si="301"/>
        <v>0</v>
      </c>
      <c r="AL618" s="4">
        <f t="shared" si="284"/>
        <v>540</v>
      </c>
      <c r="AM618" s="82">
        <f t="shared" si="294"/>
        <v>0</v>
      </c>
      <c r="AN618" s="82">
        <f t="shared" si="285"/>
        <v>0</v>
      </c>
      <c r="AO618" s="48">
        <f>0</f>
        <v>0</v>
      </c>
      <c r="AP618" s="91">
        <f t="shared" si="295"/>
        <v>0</v>
      </c>
      <c r="AQ618" s="91">
        <f t="shared" si="296"/>
        <v>0</v>
      </c>
      <c r="AV618" s="84"/>
    </row>
    <row r="619" spans="1:48">
      <c r="A619" s="190">
        <f t="shared" si="286"/>
        <v>110.80424366872005</v>
      </c>
      <c r="B619" s="82">
        <f t="shared" si="287"/>
        <v>46</v>
      </c>
      <c r="C619" s="83">
        <f t="shared" si="288"/>
        <v>541</v>
      </c>
      <c r="D619" s="14">
        <f t="shared" si="275"/>
        <v>4.8675505653430484E-3</v>
      </c>
      <c r="E619" s="16">
        <f t="shared" si="276"/>
        <v>0</v>
      </c>
      <c r="F619" s="127"/>
      <c r="G619" s="88">
        <f t="shared" si="277"/>
        <v>0</v>
      </c>
      <c r="H619" s="89">
        <f t="shared" si="289"/>
        <v>4.1666666666666666E-3</v>
      </c>
      <c r="I619" s="219"/>
      <c r="J619" s="219"/>
      <c r="K619" s="6">
        <f t="shared" si="297"/>
        <v>0</v>
      </c>
      <c r="M619" s="6">
        <f t="shared" si="278"/>
        <v>0</v>
      </c>
      <c r="N619" s="6">
        <f t="shared" si="290"/>
        <v>0</v>
      </c>
      <c r="O619" s="90">
        <f t="shared" si="279"/>
        <v>0</v>
      </c>
      <c r="P619" s="91">
        <f t="shared" si="280"/>
        <v>0</v>
      </c>
      <c r="Q619" s="6">
        <f t="shared" si="281"/>
        <v>0</v>
      </c>
      <c r="R619" s="87">
        <f t="shared" si="300"/>
        <v>0</v>
      </c>
      <c r="S619" s="6">
        <f t="shared" si="282"/>
        <v>0</v>
      </c>
      <c r="T619" s="83">
        <f t="shared" si="291"/>
        <v>0</v>
      </c>
      <c r="U619" s="91">
        <f t="shared" si="298"/>
        <v>0</v>
      </c>
      <c r="V619" s="91">
        <f t="shared" si="292"/>
        <v>0</v>
      </c>
      <c r="W619" s="1">
        <f t="shared" ref="W619:AH628" si="303">IF($B619&lt;=W$78,1,0)</f>
        <v>0</v>
      </c>
      <c r="X619" s="1">
        <f t="shared" si="303"/>
        <v>0</v>
      </c>
      <c r="Y619" s="1">
        <f t="shared" si="303"/>
        <v>0</v>
      </c>
      <c r="Z619" s="1">
        <f t="shared" si="303"/>
        <v>0</v>
      </c>
      <c r="AA619" s="1">
        <f t="shared" si="303"/>
        <v>0</v>
      </c>
      <c r="AB619" s="1">
        <f t="shared" si="303"/>
        <v>0</v>
      </c>
      <c r="AC619" s="1">
        <f t="shared" si="303"/>
        <v>0</v>
      </c>
      <c r="AD619" s="1">
        <f t="shared" si="303"/>
        <v>0</v>
      </c>
      <c r="AE619" s="1">
        <f t="shared" si="303"/>
        <v>0</v>
      </c>
      <c r="AF619" s="1">
        <f t="shared" si="303"/>
        <v>0</v>
      </c>
      <c r="AG619" s="1">
        <f t="shared" si="303"/>
        <v>0</v>
      </c>
      <c r="AH619" s="1">
        <f t="shared" si="303"/>
        <v>0</v>
      </c>
      <c r="AI619" s="44">
        <f t="shared" si="293"/>
        <v>0</v>
      </c>
      <c r="AJ619" s="44">
        <f t="shared" si="283"/>
        <v>0</v>
      </c>
      <c r="AK619" s="44">
        <f t="shared" si="301"/>
        <v>0</v>
      </c>
      <c r="AL619" s="4">
        <f t="shared" si="284"/>
        <v>541</v>
      </c>
      <c r="AM619" s="82">
        <f t="shared" si="294"/>
        <v>0</v>
      </c>
      <c r="AN619" s="82">
        <f t="shared" si="285"/>
        <v>0</v>
      </c>
      <c r="AO619" s="48">
        <f>0</f>
        <v>0</v>
      </c>
      <c r="AP619" s="91">
        <f t="shared" si="295"/>
        <v>0</v>
      </c>
      <c r="AQ619" s="91">
        <f t="shared" si="296"/>
        <v>0</v>
      </c>
      <c r="AV619" s="84"/>
    </row>
    <row r="620" spans="1:48">
      <c r="A620" s="190">
        <f t="shared" si="286"/>
        <v>110.88757700205338</v>
      </c>
      <c r="B620" s="82">
        <f t="shared" si="287"/>
        <v>46</v>
      </c>
      <c r="C620" s="83">
        <f t="shared" si="288"/>
        <v>542</v>
      </c>
      <c r="D620" s="14">
        <f t="shared" si="275"/>
        <v>4.8675505653430484E-3</v>
      </c>
      <c r="E620" s="16">
        <f t="shared" si="276"/>
        <v>0</v>
      </c>
      <c r="F620" s="127"/>
      <c r="G620" s="88">
        <f t="shared" si="277"/>
        <v>0</v>
      </c>
      <c r="H620" s="89">
        <f t="shared" si="289"/>
        <v>4.1666666666666666E-3</v>
      </c>
      <c r="I620" s="219"/>
      <c r="J620" s="219"/>
      <c r="K620" s="6">
        <f t="shared" si="297"/>
        <v>0</v>
      </c>
      <c r="M620" s="6">
        <f t="shared" si="278"/>
        <v>0</v>
      </c>
      <c r="N620" s="6">
        <f t="shared" si="290"/>
        <v>0</v>
      </c>
      <c r="O620" s="90">
        <f t="shared" si="279"/>
        <v>0</v>
      </c>
      <c r="P620" s="91">
        <f t="shared" si="280"/>
        <v>0</v>
      </c>
      <c r="Q620" s="6">
        <f t="shared" si="281"/>
        <v>0</v>
      </c>
      <c r="R620" s="87">
        <f t="shared" si="300"/>
        <v>0</v>
      </c>
      <c r="S620" s="6">
        <f t="shared" si="282"/>
        <v>0</v>
      </c>
      <c r="T620" s="83">
        <f t="shared" si="291"/>
        <v>0</v>
      </c>
      <c r="U620" s="91">
        <f t="shared" si="298"/>
        <v>0</v>
      </c>
      <c r="V620" s="91">
        <f t="shared" si="292"/>
        <v>0</v>
      </c>
      <c r="W620" s="1">
        <f t="shared" si="303"/>
        <v>0</v>
      </c>
      <c r="X620" s="1">
        <f t="shared" si="303"/>
        <v>0</v>
      </c>
      <c r="Y620" s="1">
        <f t="shared" si="303"/>
        <v>0</v>
      </c>
      <c r="Z620" s="1">
        <f t="shared" si="303"/>
        <v>0</v>
      </c>
      <c r="AA620" s="1">
        <f t="shared" si="303"/>
        <v>0</v>
      </c>
      <c r="AB620" s="1">
        <f t="shared" si="303"/>
        <v>0</v>
      </c>
      <c r="AC620" s="1">
        <f t="shared" si="303"/>
        <v>0</v>
      </c>
      <c r="AD620" s="1">
        <f t="shared" si="303"/>
        <v>0</v>
      </c>
      <c r="AE620" s="1">
        <f t="shared" si="303"/>
        <v>0</v>
      </c>
      <c r="AF620" s="1">
        <f t="shared" si="303"/>
        <v>0</v>
      </c>
      <c r="AG620" s="1">
        <f t="shared" si="303"/>
        <v>0</v>
      </c>
      <c r="AH620" s="1">
        <f t="shared" si="303"/>
        <v>0</v>
      </c>
      <c r="AI620" s="44">
        <f t="shared" si="293"/>
        <v>0</v>
      </c>
      <c r="AJ620" s="44">
        <f t="shared" si="283"/>
        <v>0</v>
      </c>
      <c r="AK620" s="44">
        <f t="shared" si="301"/>
        <v>0</v>
      </c>
      <c r="AL620" s="4">
        <f t="shared" si="284"/>
        <v>542</v>
      </c>
      <c r="AM620" s="82">
        <f t="shared" si="294"/>
        <v>0</v>
      </c>
      <c r="AN620" s="82">
        <f t="shared" si="285"/>
        <v>0</v>
      </c>
      <c r="AO620" s="48">
        <f>0</f>
        <v>0</v>
      </c>
      <c r="AP620" s="91">
        <f t="shared" si="295"/>
        <v>0</v>
      </c>
      <c r="AQ620" s="91">
        <f t="shared" si="296"/>
        <v>0</v>
      </c>
      <c r="AV620" s="84"/>
    </row>
    <row r="621" spans="1:48">
      <c r="A621" s="190">
        <f t="shared" si="286"/>
        <v>110.97091033538672</v>
      </c>
      <c r="B621" s="82">
        <f t="shared" si="287"/>
        <v>46</v>
      </c>
      <c r="C621" s="83">
        <f t="shared" si="288"/>
        <v>543</v>
      </c>
      <c r="D621" s="14">
        <f t="shared" si="275"/>
        <v>4.8675505653430484E-3</v>
      </c>
      <c r="E621" s="16">
        <f t="shared" si="276"/>
        <v>0</v>
      </c>
      <c r="F621" s="127"/>
      <c r="G621" s="88">
        <f t="shared" si="277"/>
        <v>0</v>
      </c>
      <c r="H621" s="89">
        <f t="shared" si="289"/>
        <v>4.1666666666666666E-3</v>
      </c>
      <c r="I621" s="219"/>
      <c r="J621" s="219"/>
      <c r="K621" s="6">
        <f t="shared" si="297"/>
        <v>0</v>
      </c>
      <c r="M621" s="6">
        <f t="shared" si="278"/>
        <v>0</v>
      </c>
      <c r="N621" s="6">
        <f t="shared" si="290"/>
        <v>0</v>
      </c>
      <c r="O621" s="90">
        <f t="shared" si="279"/>
        <v>0</v>
      </c>
      <c r="P621" s="91">
        <f t="shared" si="280"/>
        <v>0</v>
      </c>
      <c r="Q621" s="6">
        <f t="shared" si="281"/>
        <v>0</v>
      </c>
      <c r="R621" s="87">
        <f t="shared" si="300"/>
        <v>0</v>
      </c>
      <c r="S621" s="6">
        <f t="shared" si="282"/>
        <v>0</v>
      </c>
      <c r="T621" s="83">
        <f t="shared" si="291"/>
        <v>0</v>
      </c>
      <c r="U621" s="91">
        <f t="shared" si="298"/>
        <v>0</v>
      </c>
      <c r="V621" s="91">
        <f t="shared" si="292"/>
        <v>0</v>
      </c>
      <c r="W621" s="1">
        <f t="shared" si="303"/>
        <v>0</v>
      </c>
      <c r="X621" s="1">
        <f t="shared" si="303"/>
        <v>0</v>
      </c>
      <c r="Y621" s="1">
        <f t="shared" si="303"/>
        <v>0</v>
      </c>
      <c r="Z621" s="1">
        <f t="shared" si="303"/>
        <v>0</v>
      </c>
      <c r="AA621" s="1">
        <f t="shared" si="303"/>
        <v>0</v>
      </c>
      <c r="AB621" s="1">
        <f t="shared" si="303"/>
        <v>0</v>
      </c>
      <c r="AC621" s="1">
        <f t="shared" si="303"/>
        <v>0</v>
      </c>
      <c r="AD621" s="1">
        <f t="shared" si="303"/>
        <v>0</v>
      </c>
      <c r="AE621" s="1">
        <f t="shared" si="303"/>
        <v>0</v>
      </c>
      <c r="AF621" s="1">
        <f t="shared" si="303"/>
        <v>0</v>
      </c>
      <c r="AG621" s="1">
        <f t="shared" si="303"/>
        <v>0</v>
      </c>
      <c r="AH621" s="1">
        <f t="shared" si="303"/>
        <v>0</v>
      </c>
      <c r="AI621" s="44">
        <f t="shared" si="293"/>
        <v>0</v>
      </c>
      <c r="AJ621" s="44">
        <f t="shared" si="283"/>
        <v>0</v>
      </c>
      <c r="AK621" s="44">
        <f t="shared" si="301"/>
        <v>0</v>
      </c>
      <c r="AL621" s="4">
        <f t="shared" si="284"/>
        <v>543</v>
      </c>
      <c r="AM621" s="82">
        <f t="shared" si="294"/>
        <v>0</v>
      </c>
      <c r="AN621" s="82">
        <f t="shared" si="285"/>
        <v>0</v>
      </c>
      <c r="AO621" s="48">
        <f>0</f>
        <v>0</v>
      </c>
      <c r="AP621" s="91">
        <f t="shared" si="295"/>
        <v>0</v>
      </c>
      <c r="AQ621" s="91">
        <f t="shared" si="296"/>
        <v>0</v>
      </c>
      <c r="AV621" s="84"/>
    </row>
    <row r="622" spans="1:48">
      <c r="A622" s="190">
        <f t="shared" si="286"/>
        <v>111.05424366872005</v>
      </c>
      <c r="B622" s="82">
        <f t="shared" si="287"/>
        <v>46</v>
      </c>
      <c r="C622" s="83">
        <f t="shared" si="288"/>
        <v>544</v>
      </c>
      <c r="D622" s="14">
        <f t="shared" si="275"/>
        <v>4.8675505653430484E-3</v>
      </c>
      <c r="E622" s="16">
        <f t="shared" si="276"/>
        <v>0</v>
      </c>
      <c r="F622" s="127"/>
      <c r="G622" s="88">
        <f t="shared" si="277"/>
        <v>0</v>
      </c>
      <c r="H622" s="89">
        <f t="shared" si="289"/>
        <v>4.1666666666666666E-3</v>
      </c>
      <c r="I622" s="219"/>
      <c r="J622" s="219"/>
      <c r="K622" s="6">
        <f t="shared" si="297"/>
        <v>0</v>
      </c>
      <c r="M622" s="6">
        <f t="shared" si="278"/>
        <v>0</v>
      </c>
      <c r="N622" s="6">
        <f t="shared" si="290"/>
        <v>0</v>
      </c>
      <c r="O622" s="90">
        <f t="shared" si="279"/>
        <v>0</v>
      </c>
      <c r="P622" s="91">
        <f t="shared" si="280"/>
        <v>0</v>
      </c>
      <c r="Q622" s="6">
        <f t="shared" si="281"/>
        <v>0</v>
      </c>
      <c r="R622" s="87">
        <f t="shared" si="300"/>
        <v>0</v>
      </c>
      <c r="S622" s="6">
        <f t="shared" si="282"/>
        <v>0</v>
      </c>
      <c r="T622" s="83">
        <f t="shared" si="291"/>
        <v>0</v>
      </c>
      <c r="U622" s="91">
        <f t="shared" si="298"/>
        <v>0</v>
      </c>
      <c r="V622" s="91">
        <f t="shared" si="292"/>
        <v>0</v>
      </c>
      <c r="W622" s="1">
        <f t="shared" si="303"/>
        <v>0</v>
      </c>
      <c r="X622" s="1">
        <f t="shared" si="303"/>
        <v>0</v>
      </c>
      <c r="Y622" s="1">
        <f t="shared" si="303"/>
        <v>0</v>
      </c>
      <c r="Z622" s="1">
        <f t="shared" si="303"/>
        <v>0</v>
      </c>
      <c r="AA622" s="1">
        <f t="shared" si="303"/>
        <v>0</v>
      </c>
      <c r="AB622" s="1">
        <f t="shared" si="303"/>
        <v>0</v>
      </c>
      <c r="AC622" s="1">
        <f t="shared" si="303"/>
        <v>0</v>
      </c>
      <c r="AD622" s="1">
        <f t="shared" si="303"/>
        <v>0</v>
      </c>
      <c r="AE622" s="1">
        <f t="shared" si="303"/>
        <v>0</v>
      </c>
      <c r="AF622" s="1">
        <f t="shared" si="303"/>
        <v>0</v>
      </c>
      <c r="AG622" s="1">
        <f t="shared" si="303"/>
        <v>0</v>
      </c>
      <c r="AH622" s="1">
        <f t="shared" si="303"/>
        <v>0</v>
      </c>
      <c r="AI622" s="44">
        <f t="shared" si="293"/>
        <v>0</v>
      </c>
      <c r="AJ622" s="44">
        <f t="shared" si="283"/>
        <v>0</v>
      </c>
      <c r="AK622" s="44">
        <f t="shared" si="301"/>
        <v>0</v>
      </c>
      <c r="AL622" s="4">
        <f t="shared" si="284"/>
        <v>544</v>
      </c>
      <c r="AM622" s="82">
        <f t="shared" si="294"/>
        <v>0</v>
      </c>
      <c r="AN622" s="82">
        <f t="shared" si="285"/>
        <v>0</v>
      </c>
      <c r="AO622" s="48">
        <f>0</f>
        <v>0</v>
      </c>
      <c r="AP622" s="91">
        <f t="shared" si="295"/>
        <v>0</v>
      </c>
      <c r="AQ622" s="91">
        <f t="shared" si="296"/>
        <v>0</v>
      </c>
      <c r="AV622" s="84"/>
    </row>
    <row r="623" spans="1:48">
      <c r="A623" s="190">
        <f t="shared" si="286"/>
        <v>111.13757700205338</v>
      </c>
      <c r="B623" s="82">
        <f t="shared" si="287"/>
        <v>46</v>
      </c>
      <c r="C623" s="83">
        <f t="shared" si="288"/>
        <v>545</v>
      </c>
      <c r="D623" s="14">
        <f t="shared" si="275"/>
        <v>4.8675505653430484E-3</v>
      </c>
      <c r="E623" s="16">
        <f t="shared" si="276"/>
        <v>0</v>
      </c>
      <c r="F623" s="127"/>
      <c r="G623" s="88">
        <f t="shared" si="277"/>
        <v>0</v>
      </c>
      <c r="H623" s="89">
        <f t="shared" si="289"/>
        <v>4.1666666666666666E-3</v>
      </c>
      <c r="I623" s="219"/>
      <c r="J623" s="219"/>
      <c r="K623" s="6">
        <f t="shared" si="297"/>
        <v>0</v>
      </c>
      <c r="M623" s="6">
        <f t="shared" si="278"/>
        <v>0</v>
      </c>
      <c r="N623" s="6">
        <f t="shared" si="290"/>
        <v>0</v>
      </c>
      <c r="O623" s="90">
        <f t="shared" si="279"/>
        <v>0</v>
      </c>
      <c r="P623" s="91">
        <f t="shared" si="280"/>
        <v>0</v>
      </c>
      <c r="Q623" s="6">
        <f t="shared" si="281"/>
        <v>0</v>
      </c>
      <c r="R623" s="87">
        <f t="shared" si="300"/>
        <v>0</v>
      </c>
      <c r="S623" s="6">
        <f t="shared" si="282"/>
        <v>0</v>
      </c>
      <c r="T623" s="83">
        <f t="shared" si="291"/>
        <v>0</v>
      </c>
      <c r="U623" s="91">
        <f t="shared" si="298"/>
        <v>0</v>
      </c>
      <c r="V623" s="91">
        <f t="shared" si="292"/>
        <v>0</v>
      </c>
      <c r="W623" s="1">
        <f t="shared" si="303"/>
        <v>0</v>
      </c>
      <c r="X623" s="1">
        <f t="shared" si="303"/>
        <v>0</v>
      </c>
      <c r="Y623" s="1">
        <f t="shared" si="303"/>
        <v>0</v>
      </c>
      <c r="Z623" s="1">
        <f t="shared" si="303"/>
        <v>0</v>
      </c>
      <c r="AA623" s="1">
        <f t="shared" si="303"/>
        <v>0</v>
      </c>
      <c r="AB623" s="1">
        <f t="shared" si="303"/>
        <v>0</v>
      </c>
      <c r="AC623" s="1">
        <f t="shared" si="303"/>
        <v>0</v>
      </c>
      <c r="AD623" s="1">
        <f t="shared" si="303"/>
        <v>0</v>
      </c>
      <c r="AE623" s="1">
        <f t="shared" si="303"/>
        <v>0</v>
      </c>
      <c r="AF623" s="1">
        <f t="shared" si="303"/>
        <v>0</v>
      </c>
      <c r="AG623" s="1">
        <f t="shared" si="303"/>
        <v>0</v>
      </c>
      <c r="AH623" s="1">
        <f t="shared" si="303"/>
        <v>0</v>
      </c>
      <c r="AI623" s="44">
        <f t="shared" si="293"/>
        <v>0</v>
      </c>
      <c r="AJ623" s="44">
        <f t="shared" si="283"/>
        <v>0</v>
      </c>
      <c r="AK623" s="44">
        <f t="shared" si="301"/>
        <v>0</v>
      </c>
      <c r="AL623" s="4">
        <f t="shared" si="284"/>
        <v>545</v>
      </c>
      <c r="AM623" s="82">
        <f t="shared" si="294"/>
        <v>0</v>
      </c>
      <c r="AN623" s="82">
        <f t="shared" si="285"/>
        <v>0</v>
      </c>
      <c r="AO623" s="48">
        <f>0</f>
        <v>0</v>
      </c>
      <c r="AP623" s="91">
        <f t="shared" si="295"/>
        <v>0</v>
      </c>
      <c r="AQ623" s="91">
        <f t="shared" si="296"/>
        <v>0</v>
      </c>
      <c r="AV623" s="84"/>
    </row>
    <row r="624" spans="1:48">
      <c r="A624" s="190">
        <f t="shared" si="286"/>
        <v>111.22091033538672</v>
      </c>
      <c r="B624" s="82">
        <f t="shared" si="287"/>
        <v>46</v>
      </c>
      <c r="C624" s="83">
        <f t="shared" si="288"/>
        <v>546</v>
      </c>
      <c r="D624" s="14">
        <f t="shared" si="275"/>
        <v>4.8675505653430484E-3</v>
      </c>
      <c r="E624" s="16">
        <f t="shared" si="276"/>
        <v>0</v>
      </c>
      <c r="F624" s="127"/>
      <c r="G624" s="88">
        <f t="shared" si="277"/>
        <v>0</v>
      </c>
      <c r="H624" s="89">
        <f t="shared" si="289"/>
        <v>4.1666666666666666E-3</v>
      </c>
      <c r="I624" s="219"/>
      <c r="J624" s="219"/>
      <c r="K624" s="6">
        <f t="shared" si="297"/>
        <v>0</v>
      </c>
      <c r="M624" s="6">
        <f t="shared" si="278"/>
        <v>0</v>
      </c>
      <c r="N624" s="6">
        <f t="shared" si="290"/>
        <v>0</v>
      </c>
      <c r="O624" s="90">
        <f t="shared" si="279"/>
        <v>0</v>
      </c>
      <c r="P624" s="91">
        <f t="shared" si="280"/>
        <v>0</v>
      </c>
      <c r="Q624" s="6">
        <f t="shared" si="281"/>
        <v>0</v>
      </c>
      <c r="R624" s="87">
        <f t="shared" si="300"/>
        <v>0</v>
      </c>
      <c r="S624" s="6">
        <f t="shared" si="282"/>
        <v>0</v>
      </c>
      <c r="T624" s="83">
        <f t="shared" si="291"/>
        <v>0</v>
      </c>
      <c r="U624" s="91">
        <f t="shared" si="298"/>
        <v>0</v>
      </c>
      <c r="V624" s="91">
        <f t="shared" si="292"/>
        <v>0</v>
      </c>
      <c r="W624" s="1">
        <f t="shared" si="303"/>
        <v>0</v>
      </c>
      <c r="X624" s="1">
        <f t="shared" si="303"/>
        <v>0</v>
      </c>
      <c r="Y624" s="1">
        <f t="shared" si="303"/>
        <v>0</v>
      </c>
      <c r="Z624" s="1">
        <f t="shared" si="303"/>
        <v>0</v>
      </c>
      <c r="AA624" s="1">
        <f t="shared" si="303"/>
        <v>0</v>
      </c>
      <c r="AB624" s="1">
        <f t="shared" si="303"/>
        <v>0</v>
      </c>
      <c r="AC624" s="1">
        <f t="shared" si="303"/>
        <v>0</v>
      </c>
      <c r="AD624" s="1">
        <f t="shared" si="303"/>
        <v>0</v>
      </c>
      <c r="AE624" s="1">
        <f t="shared" si="303"/>
        <v>0</v>
      </c>
      <c r="AF624" s="1">
        <f t="shared" si="303"/>
        <v>0</v>
      </c>
      <c r="AG624" s="1">
        <f t="shared" si="303"/>
        <v>0</v>
      </c>
      <c r="AH624" s="1">
        <f t="shared" si="303"/>
        <v>0</v>
      </c>
      <c r="AI624" s="44">
        <f t="shared" si="293"/>
        <v>0</v>
      </c>
      <c r="AJ624" s="44">
        <f t="shared" si="283"/>
        <v>0</v>
      </c>
      <c r="AK624" s="44">
        <f t="shared" si="301"/>
        <v>0</v>
      </c>
      <c r="AL624" s="4">
        <f t="shared" si="284"/>
        <v>546</v>
      </c>
      <c r="AM624" s="82">
        <f t="shared" si="294"/>
        <v>0</v>
      </c>
      <c r="AN624" s="82">
        <f t="shared" si="285"/>
        <v>0</v>
      </c>
      <c r="AO624" s="48">
        <f>0</f>
        <v>0</v>
      </c>
      <c r="AP624" s="91">
        <f t="shared" si="295"/>
        <v>0</v>
      </c>
      <c r="AQ624" s="91">
        <f t="shared" si="296"/>
        <v>0</v>
      </c>
      <c r="AV624" s="84"/>
    </row>
    <row r="625" spans="1:48">
      <c r="A625" s="190">
        <f t="shared" si="286"/>
        <v>111.30424366872005</v>
      </c>
      <c r="B625" s="82">
        <f t="shared" si="287"/>
        <v>46</v>
      </c>
      <c r="C625" s="83">
        <f t="shared" si="288"/>
        <v>547</v>
      </c>
      <c r="D625" s="14">
        <f t="shared" si="275"/>
        <v>4.8675505653430484E-3</v>
      </c>
      <c r="E625" s="16">
        <f t="shared" si="276"/>
        <v>0</v>
      </c>
      <c r="F625" s="127"/>
      <c r="G625" s="88">
        <f t="shared" si="277"/>
        <v>0</v>
      </c>
      <c r="H625" s="89">
        <f t="shared" si="289"/>
        <v>4.1666666666666666E-3</v>
      </c>
      <c r="I625" s="219"/>
      <c r="J625" s="219"/>
      <c r="K625" s="6">
        <f t="shared" si="297"/>
        <v>0</v>
      </c>
      <c r="M625" s="6">
        <f t="shared" si="278"/>
        <v>0</v>
      </c>
      <c r="N625" s="6">
        <f t="shared" si="290"/>
        <v>0</v>
      </c>
      <c r="O625" s="90">
        <f t="shared" si="279"/>
        <v>0</v>
      </c>
      <c r="P625" s="91">
        <f t="shared" si="280"/>
        <v>0</v>
      </c>
      <c r="Q625" s="6">
        <f t="shared" si="281"/>
        <v>0</v>
      </c>
      <c r="R625" s="87">
        <f t="shared" si="300"/>
        <v>0</v>
      </c>
      <c r="S625" s="6">
        <f t="shared" si="282"/>
        <v>0</v>
      </c>
      <c r="T625" s="83">
        <f t="shared" si="291"/>
        <v>0</v>
      </c>
      <c r="U625" s="91">
        <f t="shared" si="298"/>
        <v>0</v>
      </c>
      <c r="V625" s="91">
        <f t="shared" si="292"/>
        <v>0</v>
      </c>
      <c r="W625" s="1">
        <f t="shared" si="303"/>
        <v>0</v>
      </c>
      <c r="X625" s="1">
        <f t="shared" si="303"/>
        <v>0</v>
      </c>
      <c r="Y625" s="1">
        <f t="shared" si="303"/>
        <v>0</v>
      </c>
      <c r="Z625" s="1">
        <f t="shared" si="303"/>
        <v>0</v>
      </c>
      <c r="AA625" s="1">
        <f t="shared" si="303"/>
        <v>0</v>
      </c>
      <c r="AB625" s="1">
        <f t="shared" si="303"/>
        <v>0</v>
      </c>
      <c r="AC625" s="1">
        <f t="shared" si="303"/>
        <v>0</v>
      </c>
      <c r="AD625" s="1">
        <f t="shared" si="303"/>
        <v>0</v>
      </c>
      <c r="AE625" s="1">
        <f t="shared" si="303"/>
        <v>0</v>
      </c>
      <c r="AF625" s="1">
        <f t="shared" si="303"/>
        <v>0</v>
      </c>
      <c r="AG625" s="1">
        <f t="shared" si="303"/>
        <v>0</v>
      </c>
      <c r="AH625" s="1">
        <f t="shared" si="303"/>
        <v>0</v>
      </c>
      <c r="AI625" s="44">
        <f t="shared" si="293"/>
        <v>0</v>
      </c>
      <c r="AJ625" s="44">
        <f t="shared" si="283"/>
        <v>0</v>
      </c>
      <c r="AK625" s="44">
        <f t="shared" si="301"/>
        <v>0</v>
      </c>
      <c r="AL625" s="4">
        <f t="shared" si="284"/>
        <v>547</v>
      </c>
      <c r="AM625" s="82">
        <f t="shared" si="294"/>
        <v>0</v>
      </c>
      <c r="AN625" s="82">
        <f t="shared" si="285"/>
        <v>0</v>
      </c>
      <c r="AO625" s="48">
        <f>0</f>
        <v>0</v>
      </c>
      <c r="AP625" s="91">
        <f t="shared" si="295"/>
        <v>0</v>
      </c>
      <c r="AQ625" s="91">
        <f t="shared" si="296"/>
        <v>0</v>
      </c>
      <c r="AV625" s="84"/>
    </row>
    <row r="626" spans="1:48">
      <c r="A626" s="190">
        <f t="shared" si="286"/>
        <v>111.38757700205338</v>
      </c>
      <c r="B626" s="82">
        <f t="shared" si="287"/>
        <v>46</v>
      </c>
      <c r="C626" s="83">
        <f t="shared" si="288"/>
        <v>548</v>
      </c>
      <c r="D626" s="14">
        <f t="shared" si="275"/>
        <v>4.8675505653430484E-3</v>
      </c>
      <c r="E626" s="16">
        <f t="shared" si="276"/>
        <v>0</v>
      </c>
      <c r="F626" s="127"/>
      <c r="G626" s="88">
        <f t="shared" si="277"/>
        <v>0</v>
      </c>
      <c r="H626" s="89">
        <f t="shared" si="289"/>
        <v>4.1666666666666666E-3</v>
      </c>
      <c r="I626" s="219"/>
      <c r="J626" s="219"/>
      <c r="K626" s="6">
        <f t="shared" si="297"/>
        <v>0</v>
      </c>
      <c r="M626" s="6">
        <f t="shared" si="278"/>
        <v>0</v>
      </c>
      <c r="N626" s="6">
        <f t="shared" si="290"/>
        <v>0</v>
      </c>
      <c r="O626" s="90">
        <f t="shared" si="279"/>
        <v>0</v>
      </c>
      <c r="P626" s="91">
        <f t="shared" si="280"/>
        <v>0</v>
      </c>
      <c r="Q626" s="6">
        <f t="shared" si="281"/>
        <v>0</v>
      </c>
      <c r="R626" s="87">
        <f t="shared" si="300"/>
        <v>0</v>
      </c>
      <c r="S626" s="6">
        <f t="shared" si="282"/>
        <v>0</v>
      </c>
      <c r="T626" s="83">
        <f t="shared" si="291"/>
        <v>0</v>
      </c>
      <c r="U626" s="91">
        <f t="shared" si="298"/>
        <v>0</v>
      </c>
      <c r="V626" s="91">
        <f t="shared" si="292"/>
        <v>0</v>
      </c>
      <c r="W626" s="1">
        <f t="shared" si="303"/>
        <v>0</v>
      </c>
      <c r="X626" s="1">
        <f t="shared" si="303"/>
        <v>0</v>
      </c>
      <c r="Y626" s="1">
        <f t="shared" si="303"/>
        <v>0</v>
      </c>
      <c r="Z626" s="1">
        <f t="shared" si="303"/>
        <v>0</v>
      </c>
      <c r="AA626" s="1">
        <f t="shared" si="303"/>
        <v>0</v>
      </c>
      <c r="AB626" s="1">
        <f t="shared" si="303"/>
        <v>0</v>
      </c>
      <c r="AC626" s="1">
        <f t="shared" si="303"/>
        <v>0</v>
      </c>
      <c r="AD626" s="1">
        <f t="shared" si="303"/>
        <v>0</v>
      </c>
      <c r="AE626" s="1">
        <f t="shared" si="303"/>
        <v>0</v>
      </c>
      <c r="AF626" s="1">
        <f t="shared" si="303"/>
        <v>0</v>
      </c>
      <c r="AG626" s="1">
        <f t="shared" si="303"/>
        <v>0</v>
      </c>
      <c r="AH626" s="1">
        <f t="shared" si="303"/>
        <v>0</v>
      </c>
      <c r="AI626" s="44">
        <f t="shared" si="293"/>
        <v>0</v>
      </c>
      <c r="AJ626" s="44">
        <f t="shared" si="283"/>
        <v>0</v>
      </c>
      <c r="AK626" s="44">
        <f t="shared" si="301"/>
        <v>0</v>
      </c>
      <c r="AL626" s="4">
        <f t="shared" si="284"/>
        <v>548</v>
      </c>
      <c r="AM626" s="82">
        <f t="shared" si="294"/>
        <v>0</v>
      </c>
      <c r="AN626" s="82">
        <f t="shared" si="285"/>
        <v>0</v>
      </c>
      <c r="AO626" s="48">
        <f>0</f>
        <v>0</v>
      </c>
      <c r="AP626" s="91">
        <f t="shared" si="295"/>
        <v>0</v>
      </c>
      <c r="AQ626" s="91">
        <f t="shared" si="296"/>
        <v>0</v>
      </c>
      <c r="AV626" s="84"/>
    </row>
    <row r="627" spans="1:48">
      <c r="A627" s="190">
        <f t="shared" si="286"/>
        <v>111.47091033538672</v>
      </c>
      <c r="B627" s="82">
        <f t="shared" si="287"/>
        <v>46</v>
      </c>
      <c r="C627" s="83">
        <f t="shared" si="288"/>
        <v>549</v>
      </c>
      <c r="D627" s="14">
        <f t="shared" si="275"/>
        <v>4.8675505653430484E-3</v>
      </c>
      <c r="E627" s="16">
        <f t="shared" si="276"/>
        <v>0</v>
      </c>
      <c r="F627" s="127"/>
      <c r="G627" s="88">
        <f t="shared" si="277"/>
        <v>0</v>
      </c>
      <c r="H627" s="89">
        <f t="shared" si="289"/>
        <v>4.1666666666666666E-3</v>
      </c>
      <c r="I627" s="219"/>
      <c r="J627" s="219"/>
      <c r="K627" s="6">
        <f t="shared" si="297"/>
        <v>0</v>
      </c>
      <c r="M627" s="6">
        <f t="shared" si="278"/>
        <v>0</v>
      </c>
      <c r="N627" s="6">
        <f t="shared" si="290"/>
        <v>0</v>
      </c>
      <c r="O627" s="90">
        <f t="shared" si="279"/>
        <v>0</v>
      </c>
      <c r="P627" s="91">
        <f t="shared" si="280"/>
        <v>0</v>
      </c>
      <c r="Q627" s="6">
        <f t="shared" si="281"/>
        <v>0</v>
      </c>
      <c r="R627" s="87">
        <f t="shared" si="300"/>
        <v>0</v>
      </c>
      <c r="S627" s="6">
        <f t="shared" si="282"/>
        <v>0</v>
      </c>
      <c r="T627" s="83">
        <f t="shared" si="291"/>
        <v>0</v>
      </c>
      <c r="U627" s="91">
        <f t="shared" si="298"/>
        <v>0</v>
      </c>
      <c r="V627" s="91">
        <f t="shared" si="292"/>
        <v>0</v>
      </c>
      <c r="W627" s="1">
        <f t="shared" si="303"/>
        <v>0</v>
      </c>
      <c r="X627" s="1">
        <f t="shared" si="303"/>
        <v>0</v>
      </c>
      <c r="Y627" s="1">
        <f t="shared" si="303"/>
        <v>0</v>
      </c>
      <c r="Z627" s="1">
        <f t="shared" si="303"/>
        <v>0</v>
      </c>
      <c r="AA627" s="1">
        <f t="shared" si="303"/>
        <v>0</v>
      </c>
      <c r="AB627" s="1">
        <f t="shared" si="303"/>
        <v>0</v>
      </c>
      <c r="AC627" s="1">
        <f t="shared" si="303"/>
        <v>0</v>
      </c>
      <c r="AD627" s="1">
        <f t="shared" si="303"/>
        <v>0</v>
      </c>
      <c r="AE627" s="1">
        <f t="shared" si="303"/>
        <v>0</v>
      </c>
      <c r="AF627" s="1">
        <f t="shared" si="303"/>
        <v>0</v>
      </c>
      <c r="AG627" s="1">
        <f t="shared" si="303"/>
        <v>0</v>
      </c>
      <c r="AH627" s="1">
        <f t="shared" si="303"/>
        <v>0</v>
      </c>
      <c r="AI627" s="44">
        <f t="shared" si="293"/>
        <v>0</v>
      </c>
      <c r="AJ627" s="44">
        <f t="shared" si="283"/>
        <v>0</v>
      </c>
      <c r="AK627" s="44">
        <f t="shared" si="301"/>
        <v>0</v>
      </c>
      <c r="AL627" s="4">
        <f t="shared" si="284"/>
        <v>549</v>
      </c>
      <c r="AM627" s="82">
        <f t="shared" si="294"/>
        <v>0</v>
      </c>
      <c r="AN627" s="82">
        <f t="shared" si="285"/>
        <v>0</v>
      </c>
      <c r="AO627" s="48">
        <f>0</f>
        <v>0</v>
      </c>
      <c r="AP627" s="91">
        <f t="shared" si="295"/>
        <v>0</v>
      </c>
      <c r="AQ627" s="91">
        <f t="shared" si="296"/>
        <v>0</v>
      </c>
      <c r="AV627" s="84"/>
    </row>
    <row r="628" spans="1:48">
      <c r="A628" s="190">
        <f t="shared" si="286"/>
        <v>111.55424366872005</v>
      </c>
      <c r="B628" s="82">
        <f t="shared" si="287"/>
        <v>46</v>
      </c>
      <c r="C628" s="83">
        <f t="shared" si="288"/>
        <v>550</v>
      </c>
      <c r="D628" s="14">
        <f t="shared" si="275"/>
        <v>4.8675505653430484E-3</v>
      </c>
      <c r="E628" s="16">
        <f t="shared" si="276"/>
        <v>0</v>
      </c>
      <c r="F628" s="127"/>
      <c r="G628" s="88">
        <f t="shared" si="277"/>
        <v>0</v>
      </c>
      <c r="H628" s="89">
        <f t="shared" si="289"/>
        <v>4.1666666666666666E-3</v>
      </c>
      <c r="I628" s="219"/>
      <c r="J628" s="219"/>
      <c r="K628" s="6">
        <f t="shared" si="297"/>
        <v>0</v>
      </c>
      <c r="M628" s="6">
        <f t="shared" si="278"/>
        <v>0</v>
      </c>
      <c r="N628" s="6">
        <f t="shared" si="290"/>
        <v>0</v>
      </c>
      <c r="O628" s="90">
        <f t="shared" si="279"/>
        <v>0</v>
      </c>
      <c r="P628" s="91">
        <f t="shared" si="280"/>
        <v>0</v>
      </c>
      <c r="Q628" s="6">
        <f t="shared" si="281"/>
        <v>0</v>
      </c>
      <c r="R628" s="87">
        <f t="shared" si="300"/>
        <v>0</v>
      </c>
      <c r="S628" s="6">
        <f t="shared" si="282"/>
        <v>0</v>
      </c>
      <c r="T628" s="83">
        <f t="shared" si="291"/>
        <v>0</v>
      </c>
      <c r="U628" s="91">
        <f t="shared" si="298"/>
        <v>0</v>
      </c>
      <c r="V628" s="91">
        <f t="shared" si="292"/>
        <v>0</v>
      </c>
      <c r="W628" s="1">
        <f t="shared" si="303"/>
        <v>0</v>
      </c>
      <c r="X628" s="1">
        <f t="shared" si="303"/>
        <v>0</v>
      </c>
      <c r="Y628" s="1">
        <f t="shared" si="303"/>
        <v>0</v>
      </c>
      <c r="Z628" s="1">
        <f t="shared" si="303"/>
        <v>0</v>
      </c>
      <c r="AA628" s="1">
        <f t="shared" si="303"/>
        <v>0</v>
      </c>
      <c r="AB628" s="1">
        <f t="shared" si="303"/>
        <v>0</v>
      </c>
      <c r="AC628" s="1">
        <f t="shared" si="303"/>
        <v>0</v>
      </c>
      <c r="AD628" s="1">
        <f t="shared" si="303"/>
        <v>0</v>
      </c>
      <c r="AE628" s="1">
        <f t="shared" si="303"/>
        <v>0</v>
      </c>
      <c r="AF628" s="1">
        <f t="shared" si="303"/>
        <v>0</v>
      </c>
      <c r="AG628" s="1">
        <f t="shared" si="303"/>
        <v>0</v>
      </c>
      <c r="AH628" s="1">
        <f t="shared" si="303"/>
        <v>0</v>
      </c>
      <c r="AI628" s="44">
        <f t="shared" si="293"/>
        <v>0</v>
      </c>
      <c r="AJ628" s="44">
        <f t="shared" si="283"/>
        <v>0</v>
      </c>
      <c r="AK628" s="44">
        <f t="shared" si="301"/>
        <v>0</v>
      </c>
      <c r="AL628" s="4">
        <f t="shared" si="284"/>
        <v>550</v>
      </c>
      <c r="AM628" s="82">
        <f t="shared" si="294"/>
        <v>0</v>
      </c>
      <c r="AN628" s="82">
        <f t="shared" si="285"/>
        <v>0</v>
      </c>
      <c r="AO628" s="48">
        <f>0</f>
        <v>0</v>
      </c>
      <c r="AP628" s="91">
        <f t="shared" si="295"/>
        <v>0</v>
      </c>
      <c r="AQ628" s="91">
        <f t="shared" si="296"/>
        <v>0</v>
      </c>
      <c r="AV628" s="84"/>
    </row>
    <row r="629" spans="1:48">
      <c r="A629" s="190">
        <f t="shared" si="286"/>
        <v>111.63757700205338</v>
      </c>
      <c r="B629" s="82">
        <f t="shared" si="287"/>
        <v>46</v>
      </c>
      <c r="C629" s="83">
        <f t="shared" si="288"/>
        <v>551</v>
      </c>
      <c r="D629" s="14">
        <f t="shared" si="275"/>
        <v>4.8675505653430484E-3</v>
      </c>
      <c r="E629" s="16">
        <f t="shared" si="276"/>
        <v>0</v>
      </c>
      <c r="F629" s="127"/>
      <c r="G629" s="88">
        <f t="shared" si="277"/>
        <v>0</v>
      </c>
      <c r="H629" s="89">
        <f t="shared" si="289"/>
        <v>4.1666666666666666E-3</v>
      </c>
      <c r="I629" s="219"/>
      <c r="J629" s="219"/>
      <c r="K629" s="6">
        <f t="shared" si="297"/>
        <v>0</v>
      </c>
      <c r="M629" s="6">
        <f t="shared" si="278"/>
        <v>0</v>
      </c>
      <c r="N629" s="6">
        <f t="shared" si="290"/>
        <v>0</v>
      </c>
      <c r="O629" s="90">
        <f t="shared" si="279"/>
        <v>0</v>
      </c>
      <c r="P629" s="91">
        <f t="shared" si="280"/>
        <v>0</v>
      </c>
      <c r="Q629" s="6">
        <f t="shared" si="281"/>
        <v>0</v>
      </c>
      <c r="R629" s="87">
        <f t="shared" si="300"/>
        <v>0</v>
      </c>
      <c r="S629" s="6">
        <f t="shared" si="282"/>
        <v>0</v>
      </c>
      <c r="T629" s="83">
        <f t="shared" si="291"/>
        <v>0</v>
      </c>
      <c r="U629" s="91">
        <f t="shared" si="298"/>
        <v>0</v>
      </c>
      <c r="V629" s="91">
        <f t="shared" si="292"/>
        <v>0</v>
      </c>
      <c r="W629" s="1">
        <f t="shared" ref="W629:AH638" si="304">IF($B629&lt;=W$78,1,0)</f>
        <v>0</v>
      </c>
      <c r="X629" s="1">
        <f t="shared" si="304"/>
        <v>0</v>
      </c>
      <c r="Y629" s="1">
        <f t="shared" si="304"/>
        <v>0</v>
      </c>
      <c r="Z629" s="1">
        <f t="shared" si="304"/>
        <v>0</v>
      </c>
      <c r="AA629" s="1">
        <f t="shared" si="304"/>
        <v>0</v>
      </c>
      <c r="AB629" s="1">
        <f t="shared" si="304"/>
        <v>0</v>
      </c>
      <c r="AC629" s="1">
        <f t="shared" si="304"/>
        <v>0</v>
      </c>
      <c r="AD629" s="1">
        <f t="shared" si="304"/>
        <v>0</v>
      </c>
      <c r="AE629" s="1">
        <f t="shared" si="304"/>
        <v>0</v>
      </c>
      <c r="AF629" s="1">
        <f t="shared" si="304"/>
        <v>0</v>
      </c>
      <c r="AG629" s="1">
        <f t="shared" si="304"/>
        <v>0</v>
      </c>
      <c r="AH629" s="1">
        <f t="shared" si="304"/>
        <v>0</v>
      </c>
      <c r="AI629" s="44">
        <f t="shared" si="293"/>
        <v>0</v>
      </c>
      <c r="AJ629" s="44">
        <f t="shared" si="283"/>
        <v>0</v>
      </c>
      <c r="AK629" s="44">
        <f t="shared" si="301"/>
        <v>0</v>
      </c>
      <c r="AL629" s="4">
        <f t="shared" si="284"/>
        <v>551</v>
      </c>
      <c r="AM629" s="82">
        <f t="shared" si="294"/>
        <v>0</v>
      </c>
      <c r="AN629" s="82">
        <f t="shared" si="285"/>
        <v>0</v>
      </c>
      <c r="AO629" s="48">
        <f>0</f>
        <v>0</v>
      </c>
      <c r="AP629" s="91">
        <f t="shared" si="295"/>
        <v>0</v>
      </c>
      <c r="AQ629" s="91">
        <f t="shared" si="296"/>
        <v>0</v>
      </c>
      <c r="AV629" s="84"/>
    </row>
    <row r="630" spans="1:48">
      <c r="A630" s="190">
        <f t="shared" si="286"/>
        <v>111.72091033538672</v>
      </c>
      <c r="B630" s="82">
        <f t="shared" si="287"/>
        <v>46</v>
      </c>
      <c r="C630" s="83">
        <f t="shared" si="288"/>
        <v>552</v>
      </c>
      <c r="D630" s="14">
        <f t="shared" si="275"/>
        <v>4.8675505653430484E-3</v>
      </c>
      <c r="E630" s="16">
        <f t="shared" si="276"/>
        <v>0</v>
      </c>
      <c r="F630" s="127"/>
      <c r="G630" s="88">
        <f t="shared" si="277"/>
        <v>0</v>
      </c>
      <c r="H630" s="89">
        <f t="shared" si="289"/>
        <v>4.1666666666666666E-3</v>
      </c>
      <c r="I630" s="219"/>
      <c r="J630" s="219"/>
      <c r="K630" s="6">
        <f t="shared" si="297"/>
        <v>0</v>
      </c>
      <c r="M630" s="6">
        <f t="shared" si="278"/>
        <v>0</v>
      </c>
      <c r="N630" s="6">
        <f t="shared" si="290"/>
        <v>0</v>
      </c>
      <c r="O630" s="90">
        <f t="shared" si="279"/>
        <v>0</v>
      </c>
      <c r="P630" s="91">
        <f t="shared" si="280"/>
        <v>0</v>
      </c>
      <c r="Q630" s="6">
        <f t="shared" si="281"/>
        <v>0</v>
      </c>
      <c r="R630" s="87">
        <f t="shared" si="300"/>
        <v>0</v>
      </c>
      <c r="S630" s="6">
        <f t="shared" si="282"/>
        <v>0</v>
      </c>
      <c r="T630" s="83">
        <f t="shared" si="291"/>
        <v>0</v>
      </c>
      <c r="U630" s="91">
        <f t="shared" si="298"/>
        <v>0</v>
      </c>
      <c r="V630" s="91">
        <f t="shared" si="292"/>
        <v>0</v>
      </c>
      <c r="W630" s="1">
        <f t="shared" si="304"/>
        <v>0</v>
      </c>
      <c r="X630" s="1">
        <f t="shared" si="304"/>
        <v>0</v>
      </c>
      <c r="Y630" s="1">
        <f t="shared" si="304"/>
        <v>0</v>
      </c>
      <c r="Z630" s="1">
        <f t="shared" si="304"/>
        <v>0</v>
      </c>
      <c r="AA630" s="1">
        <f t="shared" si="304"/>
        <v>0</v>
      </c>
      <c r="AB630" s="1">
        <f t="shared" si="304"/>
        <v>0</v>
      </c>
      <c r="AC630" s="1">
        <f t="shared" si="304"/>
        <v>0</v>
      </c>
      <c r="AD630" s="1">
        <f t="shared" si="304"/>
        <v>0</v>
      </c>
      <c r="AE630" s="1">
        <f t="shared" si="304"/>
        <v>0</v>
      </c>
      <c r="AF630" s="1">
        <f t="shared" si="304"/>
        <v>0</v>
      </c>
      <c r="AG630" s="1">
        <f t="shared" si="304"/>
        <v>0</v>
      </c>
      <c r="AH630" s="1">
        <f t="shared" si="304"/>
        <v>0</v>
      </c>
      <c r="AI630" s="44">
        <f t="shared" si="293"/>
        <v>0</v>
      </c>
      <c r="AJ630" s="44">
        <f t="shared" si="283"/>
        <v>0</v>
      </c>
      <c r="AK630" s="44">
        <f t="shared" si="301"/>
        <v>0</v>
      </c>
      <c r="AL630" s="4">
        <f t="shared" si="284"/>
        <v>552</v>
      </c>
      <c r="AM630" s="82">
        <f t="shared" si="294"/>
        <v>0</v>
      </c>
      <c r="AN630" s="82">
        <f t="shared" si="285"/>
        <v>0</v>
      </c>
      <c r="AO630" s="48">
        <f>0</f>
        <v>0</v>
      </c>
      <c r="AP630" s="91">
        <f t="shared" si="295"/>
        <v>0</v>
      </c>
      <c r="AQ630" s="91">
        <f t="shared" si="296"/>
        <v>0</v>
      </c>
      <c r="AV630" s="84"/>
    </row>
    <row r="631" spans="1:48">
      <c r="A631" s="190">
        <f t="shared" si="286"/>
        <v>111.80424366872005</v>
      </c>
      <c r="B631" s="82">
        <f t="shared" si="287"/>
        <v>47</v>
      </c>
      <c r="C631" s="83">
        <f t="shared" si="288"/>
        <v>553</v>
      </c>
      <c r="D631" s="14">
        <f t="shared" si="275"/>
        <v>4.8675505653430484E-3</v>
      </c>
      <c r="E631" s="16">
        <f t="shared" si="276"/>
        <v>0</v>
      </c>
      <c r="F631" s="127"/>
      <c r="G631" s="88">
        <f t="shared" si="277"/>
        <v>0</v>
      </c>
      <c r="H631" s="89">
        <f t="shared" si="289"/>
        <v>4.1666666666666666E-3</v>
      </c>
      <c r="I631" s="219"/>
      <c r="J631" s="219"/>
      <c r="K631" s="6">
        <f t="shared" si="297"/>
        <v>0</v>
      </c>
      <c r="M631" s="6">
        <f t="shared" si="278"/>
        <v>0</v>
      </c>
      <c r="N631" s="6">
        <f t="shared" si="290"/>
        <v>0</v>
      </c>
      <c r="O631" s="90">
        <f t="shared" si="279"/>
        <v>0</v>
      </c>
      <c r="P631" s="91">
        <f t="shared" si="280"/>
        <v>0</v>
      </c>
      <c r="Q631" s="6">
        <f t="shared" si="281"/>
        <v>0</v>
      </c>
      <c r="R631" s="87">
        <f t="shared" si="300"/>
        <v>0</v>
      </c>
      <c r="S631" s="6">
        <f t="shared" si="282"/>
        <v>0</v>
      </c>
      <c r="T631" s="83">
        <f t="shared" si="291"/>
        <v>0</v>
      </c>
      <c r="U631" s="91">
        <f t="shared" si="298"/>
        <v>0</v>
      </c>
      <c r="V631" s="91">
        <f t="shared" si="292"/>
        <v>0</v>
      </c>
      <c r="W631" s="1">
        <f t="shared" si="304"/>
        <v>0</v>
      </c>
      <c r="X631" s="1">
        <f t="shared" si="304"/>
        <v>0</v>
      </c>
      <c r="Y631" s="1">
        <f t="shared" si="304"/>
        <v>0</v>
      </c>
      <c r="Z631" s="1">
        <f t="shared" si="304"/>
        <v>0</v>
      </c>
      <c r="AA631" s="1">
        <f t="shared" si="304"/>
        <v>0</v>
      </c>
      <c r="AB631" s="1">
        <f t="shared" si="304"/>
        <v>0</v>
      </c>
      <c r="AC631" s="1">
        <f t="shared" si="304"/>
        <v>0</v>
      </c>
      <c r="AD631" s="1">
        <f t="shared" si="304"/>
        <v>0</v>
      </c>
      <c r="AE631" s="1">
        <f t="shared" si="304"/>
        <v>0</v>
      </c>
      <c r="AF631" s="1">
        <f t="shared" si="304"/>
        <v>0</v>
      </c>
      <c r="AG631" s="1">
        <f t="shared" si="304"/>
        <v>0</v>
      </c>
      <c r="AH631" s="1">
        <f t="shared" si="304"/>
        <v>0</v>
      </c>
      <c r="AI631" s="44">
        <f t="shared" si="293"/>
        <v>0</v>
      </c>
      <c r="AJ631" s="44">
        <f t="shared" si="283"/>
        <v>0</v>
      </c>
      <c r="AK631" s="44">
        <f t="shared" si="301"/>
        <v>0</v>
      </c>
      <c r="AL631" s="4">
        <f t="shared" si="284"/>
        <v>553</v>
      </c>
      <c r="AM631" s="82">
        <f t="shared" si="294"/>
        <v>0</v>
      </c>
      <c r="AN631" s="82">
        <f t="shared" si="285"/>
        <v>0</v>
      </c>
      <c r="AO631" s="48">
        <f>0</f>
        <v>0</v>
      </c>
      <c r="AP631" s="91">
        <f t="shared" si="295"/>
        <v>0</v>
      </c>
      <c r="AQ631" s="91">
        <f t="shared" si="296"/>
        <v>0</v>
      </c>
      <c r="AV631" s="84"/>
    </row>
    <row r="632" spans="1:48">
      <c r="A632" s="190">
        <f t="shared" si="286"/>
        <v>111.88757700205338</v>
      </c>
      <c r="B632" s="82">
        <f t="shared" si="287"/>
        <v>47</v>
      </c>
      <c r="C632" s="83">
        <f t="shared" si="288"/>
        <v>554</v>
      </c>
      <c r="D632" s="14">
        <f t="shared" si="275"/>
        <v>4.8675505653430484E-3</v>
      </c>
      <c r="E632" s="16">
        <f t="shared" si="276"/>
        <v>0</v>
      </c>
      <c r="F632" s="127"/>
      <c r="G632" s="88">
        <f t="shared" si="277"/>
        <v>0</v>
      </c>
      <c r="H632" s="89">
        <f t="shared" si="289"/>
        <v>4.1666666666666666E-3</v>
      </c>
      <c r="I632" s="219"/>
      <c r="J632" s="219"/>
      <c r="K632" s="6">
        <f t="shared" si="297"/>
        <v>0</v>
      </c>
      <c r="M632" s="6">
        <f t="shared" si="278"/>
        <v>0</v>
      </c>
      <c r="N632" s="6">
        <f t="shared" si="290"/>
        <v>0</v>
      </c>
      <c r="O632" s="90">
        <f t="shared" si="279"/>
        <v>0</v>
      </c>
      <c r="P632" s="91">
        <f t="shared" si="280"/>
        <v>0</v>
      </c>
      <c r="Q632" s="6">
        <f t="shared" si="281"/>
        <v>0</v>
      </c>
      <c r="R632" s="87">
        <f t="shared" si="300"/>
        <v>0</v>
      </c>
      <c r="S632" s="6">
        <f t="shared" si="282"/>
        <v>0</v>
      </c>
      <c r="T632" s="83">
        <f t="shared" si="291"/>
        <v>0</v>
      </c>
      <c r="U632" s="91">
        <f t="shared" si="298"/>
        <v>0</v>
      </c>
      <c r="V632" s="91">
        <f t="shared" si="292"/>
        <v>0</v>
      </c>
      <c r="W632" s="1">
        <f t="shared" si="304"/>
        <v>0</v>
      </c>
      <c r="X632" s="1">
        <f t="shared" si="304"/>
        <v>0</v>
      </c>
      <c r="Y632" s="1">
        <f t="shared" si="304"/>
        <v>0</v>
      </c>
      <c r="Z632" s="1">
        <f t="shared" si="304"/>
        <v>0</v>
      </c>
      <c r="AA632" s="1">
        <f t="shared" si="304"/>
        <v>0</v>
      </c>
      <c r="AB632" s="1">
        <f t="shared" si="304"/>
        <v>0</v>
      </c>
      <c r="AC632" s="1">
        <f t="shared" si="304"/>
        <v>0</v>
      </c>
      <c r="AD632" s="1">
        <f t="shared" si="304"/>
        <v>0</v>
      </c>
      <c r="AE632" s="1">
        <f t="shared" si="304"/>
        <v>0</v>
      </c>
      <c r="AF632" s="1">
        <f t="shared" si="304"/>
        <v>0</v>
      </c>
      <c r="AG632" s="1">
        <f t="shared" si="304"/>
        <v>0</v>
      </c>
      <c r="AH632" s="1">
        <f t="shared" si="304"/>
        <v>0</v>
      </c>
      <c r="AI632" s="44">
        <f t="shared" si="293"/>
        <v>0</v>
      </c>
      <c r="AJ632" s="44">
        <f t="shared" si="283"/>
        <v>0</v>
      </c>
      <c r="AK632" s="44">
        <f t="shared" si="301"/>
        <v>0</v>
      </c>
      <c r="AL632" s="4">
        <f t="shared" si="284"/>
        <v>554</v>
      </c>
      <c r="AM632" s="82">
        <f t="shared" si="294"/>
        <v>0</v>
      </c>
      <c r="AN632" s="82">
        <f t="shared" si="285"/>
        <v>0</v>
      </c>
      <c r="AO632" s="48">
        <f>0</f>
        <v>0</v>
      </c>
      <c r="AP632" s="91">
        <f t="shared" si="295"/>
        <v>0</v>
      </c>
      <c r="AQ632" s="91">
        <f t="shared" si="296"/>
        <v>0</v>
      </c>
      <c r="AV632" s="84"/>
    </row>
    <row r="633" spans="1:48">
      <c r="A633" s="190">
        <f t="shared" si="286"/>
        <v>111.97091033538672</v>
      </c>
      <c r="B633" s="82">
        <f t="shared" si="287"/>
        <v>47</v>
      </c>
      <c r="C633" s="83">
        <f t="shared" si="288"/>
        <v>555</v>
      </c>
      <c r="D633" s="14">
        <f t="shared" si="275"/>
        <v>4.8675505653430484E-3</v>
      </c>
      <c r="E633" s="16">
        <f t="shared" si="276"/>
        <v>0</v>
      </c>
      <c r="F633" s="127"/>
      <c r="G633" s="88">
        <f t="shared" si="277"/>
        <v>0</v>
      </c>
      <c r="H633" s="89">
        <f t="shared" si="289"/>
        <v>4.1666666666666666E-3</v>
      </c>
      <c r="I633" s="219"/>
      <c r="J633" s="219"/>
      <c r="K633" s="6">
        <f t="shared" si="297"/>
        <v>0</v>
      </c>
      <c r="M633" s="6">
        <f t="shared" si="278"/>
        <v>0</v>
      </c>
      <c r="N633" s="6">
        <f t="shared" si="290"/>
        <v>0</v>
      </c>
      <c r="O633" s="90">
        <f t="shared" si="279"/>
        <v>0</v>
      </c>
      <c r="P633" s="91">
        <f t="shared" si="280"/>
        <v>0</v>
      </c>
      <c r="Q633" s="6">
        <f t="shared" si="281"/>
        <v>0</v>
      </c>
      <c r="R633" s="87">
        <f t="shared" si="300"/>
        <v>0</v>
      </c>
      <c r="S633" s="6">
        <f t="shared" si="282"/>
        <v>0</v>
      </c>
      <c r="T633" s="83">
        <f t="shared" si="291"/>
        <v>0</v>
      </c>
      <c r="U633" s="91">
        <f t="shared" si="298"/>
        <v>0</v>
      </c>
      <c r="V633" s="91">
        <f t="shared" si="292"/>
        <v>0</v>
      </c>
      <c r="W633" s="1">
        <f t="shared" si="304"/>
        <v>0</v>
      </c>
      <c r="X633" s="1">
        <f t="shared" si="304"/>
        <v>0</v>
      </c>
      <c r="Y633" s="1">
        <f t="shared" si="304"/>
        <v>0</v>
      </c>
      <c r="Z633" s="1">
        <f t="shared" si="304"/>
        <v>0</v>
      </c>
      <c r="AA633" s="1">
        <f t="shared" si="304"/>
        <v>0</v>
      </c>
      <c r="AB633" s="1">
        <f t="shared" si="304"/>
        <v>0</v>
      </c>
      <c r="AC633" s="1">
        <f t="shared" si="304"/>
        <v>0</v>
      </c>
      <c r="AD633" s="1">
        <f t="shared" si="304"/>
        <v>0</v>
      </c>
      <c r="AE633" s="1">
        <f t="shared" si="304"/>
        <v>0</v>
      </c>
      <c r="AF633" s="1">
        <f t="shared" si="304"/>
        <v>0</v>
      </c>
      <c r="AG633" s="1">
        <f t="shared" si="304"/>
        <v>0</v>
      </c>
      <c r="AH633" s="1">
        <f t="shared" si="304"/>
        <v>0</v>
      </c>
      <c r="AI633" s="44">
        <f t="shared" si="293"/>
        <v>0</v>
      </c>
      <c r="AJ633" s="44">
        <f t="shared" si="283"/>
        <v>0</v>
      </c>
      <c r="AK633" s="44">
        <f t="shared" si="301"/>
        <v>0</v>
      </c>
      <c r="AL633" s="4">
        <f t="shared" si="284"/>
        <v>555</v>
      </c>
      <c r="AM633" s="82">
        <f t="shared" si="294"/>
        <v>0</v>
      </c>
      <c r="AN633" s="82">
        <f t="shared" si="285"/>
        <v>0</v>
      </c>
      <c r="AO633" s="48">
        <f>0</f>
        <v>0</v>
      </c>
      <c r="AP633" s="91">
        <f t="shared" si="295"/>
        <v>0</v>
      </c>
      <c r="AQ633" s="91">
        <f t="shared" si="296"/>
        <v>0</v>
      </c>
      <c r="AV633" s="84"/>
    </row>
    <row r="634" spans="1:48">
      <c r="A634" s="190">
        <f t="shared" si="286"/>
        <v>112.05424366872005</v>
      </c>
      <c r="B634" s="82">
        <f t="shared" si="287"/>
        <v>47</v>
      </c>
      <c r="C634" s="83">
        <f t="shared" si="288"/>
        <v>556</v>
      </c>
      <c r="D634" s="14">
        <f t="shared" si="275"/>
        <v>4.8675505653430484E-3</v>
      </c>
      <c r="E634" s="16">
        <f t="shared" si="276"/>
        <v>0</v>
      </c>
      <c r="F634" s="127"/>
      <c r="G634" s="88">
        <f t="shared" si="277"/>
        <v>0</v>
      </c>
      <c r="H634" s="89">
        <f t="shared" si="289"/>
        <v>4.1666666666666666E-3</v>
      </c>
      <c r="I634" s="219"/>
      <c r="J634" s="219"/>
      <c r="K634" s="6">
        <f t="shared" si="297"/>
        <v>0</v>
      </c>
      <c r="M634" s="6">
        <f t="shared" si="278"/>
        <v>0</v>
      </c>
      <c r="N634" s="6">
        <f t="shared" si="290"/>
        <v>0</v>
      </c>
      <c r="O634" s="90">
        <f t="shared" si="279"/>
        <v>0</v>
      </c>
      <c r="P634" s="91">
        <f t="shared" si="280"/>
        <v>0</v>
      </c>
      <c r="Q634" s="6">
        <f t="shared" si="281"/>
        <v>0</v>
      </c>
      <c r="R634" s="87">
        <f t="shared" si="300"/>
        <v>0</v>
      </c>
      <c r="S634" s="6">
        <f t="shared" si="282"/>
        <v>0</v>
      </c>
      <c r="T634" s="83">
        <f t="shared" si="291"/>
        <v>0</v>
      </c>
      <c r="U634" s="91">
        <f t="shared" si="298"/>
        <v>0</v>
      </c>
      <c r="V634" s="91">
        <f t="shared" si="292"/>
        <v>0</v>
      </c>
      <c r="W634" s="1">
        <f t="shared" si="304"/>
        <v>0</v>
      </c>
      <c r="X634" s="1">
        <f t="shared" si="304"/>
        <v>0</v>
      </c>
      <c r="Y634" s="1">
        <f t="shared" si="304"/>
        <v>0</v>
      </c>
      <c r="Z634" s="1">
        <f t="shared" si="304"/>
        <v>0</v>
      </c>
      <c r="AA634" s="1">
        <f t="shared" si="304"/>
        <v>0</v>
      </c>
      <c r="AB634" s="1">
        <f t="shared" si="304"/>
        <v>0</v>
      </c>
      <c r="AC634" s="1">
        <f t="shared" si="304"/>
        <v>0</v>
      </c>
      <c r="AD634" s="1">
        <f t="shared" si="304"/>
        <v>0</v>
      </c>
      <c r="AE634" s="1">
        <f t="shared" si="304"/>
        <v>0</v>
      </c>
      <c r="AF634" s="1">
        <f t="shared" si="304"/>
        <v>0</v>
      </c>
      <c r="AG634" s="1">
        <f t="shared" si="304"/>
        <v>0</v>
      </c>
      <c r="AH634" s="1">
        <f t="shared" si="304"/>
        <v>0</v>
      </c>
      <c r="AI634" s="44">
        <f t="shared" si="293"/>
        <v>0</v>
      </c>
      <c r="AJ634" s="44">
        <f t="shared" si="283"/>
        <v>0</v>
      </c>
      <c r="AK634" s="44">
        <f t="shared" si="301"/>
        <v>0</v>
      </c>
      <c r="AL634" s="4">
        <f t="shared" si="284"/>
        <v>556</v>
      </c>
      <c r="AM634" s="82">
        <f t="shared" si="294"/>
        <v>0</v>
      </c>
      <c r="AN634" s="82">
        <f t="shared" si="285"/>
        <v>0</v>
      </c>
      <c r="AO634" s="48">
        <f>0</f>
        <v>0</v>
      </c>
      <c r="AP634" s="91">
        <f t="shared" si="295"/>
        <v>0</v>
      </c>
      <c r="AQ634" s="91">
        <f t="shared" si="296"/>
        <v>0</v>
      </c>
      <c r="AV634" s="84"/>
    </row>
    <row r="635" spans="1:48">
      <c r="A635" s="190">
        <f t="shared" si="286"/>
        <v>112.13757700205338</v>
      </c>
      <c r="B635" s="82">
        <f t="shared" si="287"/>
        <v>47</v>
      </c>
      <c r="C635" s="83">
        <f t="shared" si="288"/>
        <v>557</v>
      </c>
      <c r="D635" s="14">
        <f t="shared" si="275"/>
        <v>4.8675505653430484E-3</v>
      </c>
      <c r="E635" s="16">
        <f t="shared" si="276"/>
        <v>0</v>
      </c>
      <c r="F635" s="127"/>
      <c r="G635" s="88">
        <f t="shared" si="277"/>
        <v>0</v>
      </c>
      <c r="H635" s="89">
        <f t="shared" si="289"/>
        <v>4.1666666666666666E-3</v>
      </c>
      <c r="I635" s="219"/>
      <c r="J635" s="219"/>
      <c r="K635" s="6">
        <f t="shared" si="297"/>
        <v>0</v>
      </c>
      <c r="M635" s="6">
        <f t="shared" si="278"/>
        <v>0</v>
      </c>
      <c r="N635" s="6">
        <f t="shared" si="290"/>
        <v>0</v>
      </c>
      <c r="O635" s="90">
        <f t="shared" si="279"/>
        <v>0</v>
      </c>
      <c r="P635" s="91">
        <f t="shared" si="280"/>
        <v>0</v>
      </c>
      <c r="Q635" s="6">
        <f t="shared" si="281"/>
        <v>0</v>
      </c>
      <c r="R635" s="87">
        <f t="shared" si="300"/>
        <v>0</v>
      </c>
      <c r="S635" s="6">
        <f t="shared" si="282"/>
        <v>0</v>
      </c>
      <c r="T635" s="83">
        <f t="shared" si="291"/>
        <v>0</v>
      </c>
      <c r="U635" s="91">
        <f t="shared" si="298"/>
        <v>0</v>
      </c>
      <c r="V635" s="91">
        <f t="shared" si="292"/>
        <v>0</v>
      </c>
      <c r="W635" s="1">
        <f t="shared" si="304"/>
        <v>0</v>
      </c>
      <c r="X635" s="1">
        <f t="shared" si="304"/>
        <v>0</v>
      </c>
      <c r="Y635" s="1">
        <f t="shared" si="304"/>
        <v>0</v>
      </c>
      <c r="Z635" s="1">
        <f t="shared" si="304"/>
        <v>0</v>
      </c>
      <c r="AA635" s="1">
        <f t="shared" si="304"/>
        <v>0</v>
      </c>
      <c r="AB635" s="1">
        <f t="shared" si="304"/>
        <v>0</v>
      </c>
      <c r="AC635" s="1">
        <f t="shared" si="304"/>
        <v>0</v>
      </c>
      <c r="AD635" s="1">
        <f t="shared" si="304"/>
        <v>0</v>
      </c>
      <c r="AE635" s="1">
        <f t="shared" si="304"/>
        <v>0</v>
      </c>
      <c r="AF635" s="1">
        <f t="shared" si="304"/>
        <v>0</v>
      </c>
      <c r="AG635" s="1">
        <f t="shared" si="304"/>
        <v>0</v>
      </c>
      <c r="AH635" s="1">
        <f t="shared" si="304"/>
        <v>0</v>
      </c>
      <c r="AI635" s="44">
        <f t="shared" si="293"/>
        <v>0</v>
      </c>
      <c r="AJ635" s="44">
        <f t="shared" si="283"/>
        <v>0</v>
      </c>
      <c r="AK635" s="44">
        <f t="shared" si="301"/>
        <v>0</v>
      </c>
      <c r="AL635" s="4">
        <f t="shared" si="284"/>
        <v>557</v>
      </c>
      <c r="AM635" s="82">
        <f t="shared" si="294"/>
        <v>0</v>
      </c>
      <c r="AN635" s="82">
        <f t="shared" si="285"/>
        <v>0</v>
      </c>
      <c r="AO635" s="48">
        <f>0</f>
        <v>0</v>
      </c>
      <c r="AP635" s="91">
        <f t="shared" si="295"/>
        <v>0</v>
      </c>
      <c r="AQ635" s="91">
        <f t="shared" si="296"/>
        <v>0</v>
      </c>
      <c r="AV635" s="84"/>
    </row>
    <row r="636" spans="1:48">
      <c r="A636" s="190">
        <f t="shared" si="286"/>
        <v>112.22091033538672</v>
      </c>
      <c r="B636" s="82">
        <f t="shared" si="287"/>
        <v>47</v>
      </c>
      <c r="C636" s="83">
        <f t="shared" si="288"/>
        <v>558</v>
      </c>
      <c r="D636" s="14">
        <f t="shared" si="275"/>
        <v>4.8675505653430484E-3</v>
      </c>
      <c r="E636" s="16">
        <f t="shared" si="276"/>
        <v>0</v>
      </c>
      <c r="F636" s="127"/>
      <c r="G636" s="88">
        <f t="shared" si="277"/>
        <v>0</v>
      </c>
      <c r="H636" s="89">
        <f t="shared" si="289"/>
        <v>4.1666666666666666E-3</v>
      </c>
      <c r="I636" s="219"/>
      <c r="J636" s="219"/>
      <c r="K636" s="6">
        <f t="shared" si="297"/>
        <v>0</v>
      </c>
      <c r="M636" s="6">
        <f t="shared" si="278"/>
        <v>0</v>
      </c>
      <c r="N636" s="6">
        <f t="shared" si="290"/>
        <v>0</v>
      </c>
      <c r="O636" s="90">
        <f t="shared" si="279"/>
        <v>0</v>
      </c>
      <c r="P636" s="91">
        <f t="shared" si="280"/>
        <v>0</v>
      </c>
      <c r="Q636" s="6">
        <f t="shared" si="281"/>
        <v>0</v>
      </c>
      <c r="R636" s="87">
        <f t="shared" si="300"/>
        <v>0</v>
      </c>
      <c r="S636" s="6">
        <f t="shared" si="282"/>
        <v>0</v>
      </c>
      <c r="T636" s="83">
        <f t="shared" si="291"/>
        <v>0</v>
      </c>
      <c r="U636" s="91">
        <f t="shared" si="298"/>
        <v>0</v>
      </c>
      <c r="V636" s="91">
        <f t="shared" si="292"/>
        <v>0</v>
      </c>
      <c r="W636" s="1">
        <f t="shared" si="304"/>
        <v>0</v>
      </c>
      <c r="X636" s="1">
        <f t="shared" si="304"/>
        <v>0</v>
      </c>
      <c r="Y636" s="1">
        <f t="shared" si="304"/>
        <v>0</v>
      </c>
      <c r="Z636" s="1">
        <f t="shared" si="304"/>
        <v>0</v>
      </c>
      <c r="AA636" s="1">
        <f t="shared" si="304"/>
        <v>0</v>
      </c>
      <c r="AB636" s="1">
        <f t="shared" si="304"/>
        <v>0</v>
      </c>
      <c r="AC636" s="1">
        <f t="shared" si="304"/>
        <v>0</v>
      </c>
      <c r="AD636" s="1">
        <f t="shared" si="304"/>
        <v>0</v>
      </c>
      <c r="AE636" s="1">
        <f t="shared" si="304"/>
        <v>0</v>
      </c>
      <c r="AF636" s="1">
        <f t="shared" si="304"/>
        <v>0</v>
      </c>
      <c r="AG636" s="1">
        <f t="shared" si="304"/>
        <v>0</v>
      </c>
      <c r="AH636" s="1">
        <f t="shared" si="304"/>
        <v>0</v>
      </c>
      <c r="AI636" s="44">
        <f t="shared" si="293"/>
        <v>0</v>
      </c>
      <c r="AJ636" s="44">
        <f t="shared" si="283"/>
        <v>0</v>
      </c>
      <c r="AK636" s="44">
        <f t="shared" si="301"/>
        <v>0</v>
      </c>
      <c r="AL636" s="4">
        <f t="shared" si="284"/>
        <v>558</v>
      </c>
      <c r="AM636" s="82">
        <f t="shared" si="294"/>
        <v>0</v>
      </c>
      <c r="AN636" s="82">
        <f t="shared" si="285"/>
        <v>0</v>
      </c>
      <c r="AO636" s="48">
        <f>0</f>
        <v>0</v>
      </c>
      <c r="AP636" s="91">
        <f t="shared" si="295"/>
        <v>0</v>
      </c>
      <c r="AQ636" s="91">
        <f t="shared" si="296"/>
        <v>0</v>
      </c>
      <c r="AV636" s="84"/>
    </row>
    <row r="637" spans="1:48">
      <c r="A637" s="190">
        <f t="shared" si="286"/>
        <v>112.30424366872005</v>
      </c>
      <c r="B637" s="82">
        <f t="shared" si="287"/>
        <v>47</v>
      </c>
      <c r="C637" s="83">
        <f t="shared" si="288"/>
        <v>559</v>
      </c>
      <c r="D637" s="14">
        <f t="shared" si="275"/>
        <v>4.8675505653430484E-3</v>
      </c>
      <c r="E637" s="16">
        <f t="shared" si="276"/>
        <v>0</v>
      </c>
      <c r="F637" s="127"/>
      <c r="G637" s="88">
        <f t="shared" si="277"/>
        <v>0</v>
      </c>
      <c r="H637" s="89">
        <f t="shared" si="289"/>
        <v>4.1666666666666666E-3</v>
      </c>
      <c r="I637" s="219"/>
      <c r="J637" s="219"/>
      <c r="K637" s="6">
        <f t="shared" si="297"/>
        <v>0</v>
      </c>
      <c r="M637" s="6">
        <f t="shared" si="278"/>
        <v>0</v>
      </c>
      <c r="N637" s="6">
        <f t="shared" si="290"/>
        <v>0</v>
      </c>
      <c r="O637" s="90">
        <f t="shared" si="279"/>
        <v>0</v>
      </c>
      <c r="P637" s="91">
        <f t="shared" si="280"/>
        <v>0</v>
      </c>
      <c r="Q637" s="6">
        <f t="shared" si="281"/>
        <v>0</v>
      </c>
      <c r="R637" s="87">
        <f t="shared" si="300"/>
        <v>0</v>
      </c>
      <c r="S637" s="6">
        <f t="shared" si="282"/>
        <v>0</v>
      </c>
      <c r="T637" s="83">
        <f t="shared" si="291"/>
        <v>0</v>
      </c>
      <c r="U637" s="91">
        <f t="shared" si="298"/>
        <v>0</v>
      </c>
      <c r="V637" s="91">
        <f t="shared" si="292"/>
        <v>0</v>
      </c>
      <c r="W637" s="1">
        <f t="shared" si="304"/>
        <v>0</v>
      </c>
      <c r="X637" s="1">
        <f t="shared" si="304"/>
        <v>0</v>
      </c>
      <c r="Y637" s="1">
        <f t="shared" si="304"/>
        <v>0</v>
      </c>
      <c r="Z637" s="1">
        <f t="shared" si="304"/>
        <v>0</v>
      </c>
      <c r="AA637" s="1">
        <f t="shared" si="304"/>
        <v>0</v>
      </c>
      <c r="AB637" s="1">
        <f t="shared" si="304"/>
        <v>0</v>
      </c>
      <c r="AC637" s="1">
        <f t="shared" si="304"/>
        <v>0</v>
      </c>
      <c r="AD637" s="1">
        <f t="shared" si="304"/>
        <v>0</v>
      </c>
      <c r="AE637" s="1">
        <f t="shared" si="304"/>
        <v>0</v>
      </c>
      <c r="AF637" s="1">
        <f t="shared" si="304"/>
        <v>0</v>
      </c>
      <c r="AG637" s="1">
        <f t="shared" si="304"/>
        <v>0</v>
      </c>
      <c r="AH637" s="1">
        <f t="shared" si="304"/>
        <v>0</v>
      </c>
      <c r="AI637" s="44">
        <f t="shared" si="293"/>
        <v>0</v>
      </c>
      <c r="AJ637" s="44">
        <f t="shared" si="283"/>
        <v>0</v>
      </c>
      <c r="AK637" s="44">
        <f t="shared" si="301"/>
        <v>0</v>
      </c>
      <c r="AL637" s="4">
        <f t="shared" si="284"/>
        <v>559</v>
      </c>
      <c r="AM637" s="82">
        <f t="shared" si="294"/>
        <v>0</v>
      </c>
      <c r="AN637" s="82">
        <f t="shared" si="285"/>
        <v>0</v>
      </c>
      <c r="AO637" s="48">
        <f>0</f>
        <v>0</v>
      </c>
      <c r="AP637" s="91">
        <f t="shared" si="295"/>
        <v>0</v>
      </c>
      <c r="AQ637" s="91">
        <f t="shared" si="296"/>
        <v>0</v>
      </c>
      <c r="AV637" s="84"/>
    </row>
    <row r="638" spans="1:48">
      <c r="A638" s="190">
        <f t="shared" si="286"/>
        <v>112.38757700205338</v>
      </c>
      <c r="B638" s="82">
        <f t="shared" si="287"/>
        <v>47</v>
      </c>
      <c r="C638" s="83">
        <f t="shared" si="288"/>
        <v>560</v>
      </c>
      <c r="D638" s="14">
        <f t="shared" si="275"/>
        <v>4.8675505653430484E-3</v>
      </c>
      <c r="E638" s="16">
        <f t="shared" si="276"/>
        <v>0</v>
      </c>
      <c r="F638" s="127"/>
      <c r="G638" s="88">
        <f t="shared" si="277"/>
        <v>0</v>
      </c>
      <c r="H638" s="89">
        <f t="shared" si="289"/>
        <v>4.1666666666666666E-3</v>
      </c>
      <c r="I638" s="219"/>
      <c r="J638" s="219"/>
      <c r="K638" s="6">
        <f t="shared" si="297"/>
        <v>0</v>
      </c>
      <c r="M638" s="6">
        <f t="shared" si="278"/>
        <v>0</v>
      </c>
      <c r="N638" s="6">
        <f t="shared" si="290"/>
        <v>0</v>
      </c>
      <c r="O638" s="90">
        <f t="shared" si="279"/>
        <v>0</v>
      </c>
      <c r="P638" s="91">
        <f t="shared" si="280"/>
        <v>0</v>
      </c>
      <c r="Q638" s="6">
        <f t="shared" si="281"/>
        <v>0</v>
      </c>
      <c r="R638" s="87">
        <f t="shared" si="300"/>
        <v>0</v>
      </c>
      <c r="S638" s="6">
        <f t="shared" si="282"/>
        <v>0</v>
      </c>
      <c r="T638" s="83">
        <f t="shared" si="291"/>
        <v>0</v>
      </c>
      <c r="U638" s="91">
        <f t="shared" si="298"/>
        <v>0</v>
      </c>
      <c r="V638" s="91">
        <f t="shared" si="292"/>
        <v>0</v>
      </c>
      <c r="W638" s="1">
        <f t="shared" si="304"/>
        <v>0</v>
      </c>
      <c r="X638" s="1">
        <f t="shared" si="304"/>
        <v>0</v>
      </c>
      <c r="Y638" s="1">
        <f t="shared" si="304"/>
        <v>0</v>
      </c>
      <c r="Z638" s="1">
        <f t="shared" si="304"/>
        <v>0</v>
      </c>
      <c r="AA638" s="1">
        <f t="shared" si="304"/>
        <v>0</v>
      </c>
      <c r="AB638" s="1">
        <f t="shared" si="304"/>
        <v>0</v>
      </c>
      <c r="AC638" s="1">
        <f t="shared" si="304"/>
        <v>0</v>
      </c>
      <c r="AD638" s="1">
        <f t="shared" si="304"/>
        <v>0</v>
      </c>
      <c r="AE638" s="1">
        <f t="shared" si="304"/>
        <v>0</v>
      </c>
      <c r="AF638" s="1">
        <f t="shared" si="304"/>
        <v>0</v>
      </c>
      <c r="AG638" s="1">
        <f t="shared" si="304"/>
        <v>0</v>
      </c>
      <c r="AH638" s="1">
        <f t="shared" si="304"/>
        <v>0</v>
      </c>
      <c r="AI638" s="44">
        <f t="shared" si="293"/>
        <v>0</v>
      </c>
      <c r="AJ638" s="44">
        <f t="shared" si="283"/>
        <v>0</v>
      </c>
      <c r="AK638" s="44">
        <f t="shared" si="301"/>
        <v>0</v>
      </c>
      <c r="AL638" s="4">
        <f t="shared" si="284"/>
        <v>560</v>
      </c>
      <c r="AM638" s="82">
        <f t="shared" si="294"/>
        <v>0</v>
      </c>
      <c r="AN638" s="82">
        <f t="shared" si="285"/>
        <v>0</v>
      </c>
      <c r="AO638" s="48">
        <f>0</f>
        <v>0</v>
      </c>
      <c r="AP638" s="91">
        <f t="shared" si="295"/>
        <v>0</v>
      </c>
      <c r="AQ638" s="91">
        <f t="shared" si="296"/>
        <v>0</v>
      </c>
      <c r="AV638" s="84"/>
    </row>
    <row r="639" spans="1:48">
      <c r="A639" s="190">
        <f t="shared" si="286"/>
        <v>112.47091033538672</v>
      </c>
      <c r="B639" s="82">
        <f t="shared" si="287"/>
        <v>47</v>
      </c>
      <c r="C639" s="83">
        <f t="shared" si="288"/>
        <v>561</v>
      </c>
      <c r="D639" s="14">
        <f t="shared" si="275"/>
        <v>4.8675505653430484E-3</v>
      </c>
      <c r="E639" s="16">
        <f t="shared" si="276"/>
        <v>0</v>
      </c>
      <c r="F639" s="127"/>
      <c r="G639" s="88">
        <f t="shared" si="277"/>
        <v>0</v>
      </c>
      <c r="H639" s="89">
        <f t="shared" si="289"/>
        <v>4.1666666666666666E-3</v>
      </c>
      <c r="I639" s="219"/>
      <c r="J639" s="219"/>
      <c r="K639" s="6">
        <f t="shared" si="297"/>
        <v>0</v>
      </c>
      <c r="M639" s="6">
        <f t="shared" si="278"/>
        <v>0</v>
      </c>
      <c r="N639" s="6">
        <f t="shared" si="290"/>
        <v>0</v>
      </c>
      <c r="O639" s="90">
        <f t="shared" si="279"/>
        <v>0</v>
      </c>
      <c r="P639" s="91">
        <f t="shared" si="280"/>
        <v>0</v>
      </c>
      <c r="Q639" s="6">
        <f t="shared" si="281"/>
        <v>0</v>
      </c>
      <c r="R639" s="87">
        <f t="shared" si="300"/>
        <v>0</v>
      </c>
      <c r="S639" s="6">
        <f t="shared" si="282"/>
        <v>0</v>
      </c>
      <c r="T639" s="83">
        <f t="shared" si="291"/>
        <v>0</v>
      </c>
      <c r="U639" s="91">
        <f t="shared" si="298"/>
        <v>0</v>
      </c>
      <c r="V639" s="91">
        <f t="shared" si="292"/>
        <v>0</v>
      </c>
      <c r="W639" s="1">
        <f t="shared" ref="W639:AH648" si="305">IF($B639&lt;=W$78,1,0)</f>
        <v>0</v>
      </c>
      <c r="X639" s="1">
        <f t="shared" si="305"/>
        <v>0</v>
      </c>
      <c r="Y639" s="1">
        <f t="shared" si="305"/>
        <v>0</v>
      </c>
      <c r="Z639" s="1">
        <f t="shared" si="305"/>
        <v>0</v>
      </c>
      <c r="AA639" s="1">
        <f t="shared" si="305"/>
        <v>0</v>
      </c>
      <c r="AB639" s="1">
        <f t="shared" si="305"/>
        <v>0</v>
      </c>
      <c r="AC639" s="1">
        <f t="shared" si="305"/>
        <v>0</v>
      </c>
      <c r="AD639" s="1">
        <f t="shared" si="305"/>
        <v>0</v>
      </c>
      <c r="AE639" s="1">
        <f t="shared" si="305"/>
        <v>0</v>
      </c>
      <c r="AF639" s="1">
        <f t="shared" si="305"/>
        <v>0</v>
      </c>
      <c r="AG639" s="1">
        <f t="shared" si="305"/>
        <v>0</v>
      </c>
      <c r="AH639" s="1">
        <f t="shared" si="305"/>
        <v>0</v>
      </c>
      <c r="AI639" s="44">
        <f t="shared" si="293"/>
        <v>0</v>
      </c>
      <c r="AJ639" s="44">
        <f t="shared" si="283"/>
        <v>0</v>
      </c>
      <c r="AK639" s="44">
        <f t="shared" si="301"/>
        <v>0</v>
      </c>
      <c r="AL639" s="4">
        <f t="shared" si="284"/>
        <v>561</v>
      </c>
      <c r="AM639" s="82">
        <f t="shared" si="294"/>
        <v>0</v>
      </c>
      <c r="AN639" s="82">
        <f t="shared" si="285"/>
        <v>0</v>
      </c>
      <c r="AO639" s="48">
        <f>0</f>
        <v>0</v>
      </c>
      <c r="AP639" s="91">
        <f t="shared" si="295"/>
        <v>0</v>
      </c>
      <c r="AQ639" s="91">
        <f t="shared" si="296"/>
        <v>0</v>
      </c>
      <c r="AV639" s="84"/>
    </row>
    <row r="640" spans="1:48">
      <c r="A640" s="190">
        <f t="shared" si="286"/>
        <v>112.55424366872005</v>
      </c>
      <c r="B640" s="82">
        <f t="shared" si="287"/>
        <v>47</v>
      </c>
      <c r="C640" s="83">
        <f t="shared" si="288"/>
        <v>562</v>
      </c>
      <c r="D640" s="14">
        <f t="shared" si="275"/>
        <v>4.8675505653430484E-3</v>
      </c>
      <c r="E640" s="16">
        <f t="shared" si="276"/>
        <v>0</v>
      </c>
      <c r="F640" s="127"/>
      <c r="G640" s="88">
        <f t="shared" si="277"/>
        <v>0</v>
      </c>
      <c r="H640" s="89">
        <f t="shared" si="289"/>
        <v>4.1666666666666666E-3</v>
      </c>
      <c r="I640" s="219"/>
      <c r="J640" s="219"/>
      <c r="K640" s="6">
        <f t="shared" si="297"/>
        <v>0</v>
      </c>
      <c r="M640" s="6">
        <f t="shared" si="278"/>
        <v>0</v>
      </c>
      <c r="N640" s="6">
        <f t="shared" si="290"/>
        <v>0</v>
      </c>
      <c r="O640" s="90">
        <f t="shared" si="279"/>
        <v>0</v>
      </c>
      <c r="P640" s="91">
        <f t="shared" si="280"/>
        <v>0</v>
      </c>
      <c r="Q640" s="6">
        <f t="shared" si="281"/>
        <v>0</v>
      </c>
      <c r="R640" s="87">
        <f t="shared" si="300"/>
        <v>0</v>
      </c>
      <c r="S640" s="6">
        <f t="shared" si="282"/>
        <v>0</v>
      </c>
      <c r="T640" s="83">
        <f t="shared" si="291"/>
        <v>0</v>
      </c>
      <c r="U640" s="91">
        <f t="shared" si="298"/>
        <v>0</v>
      </c>
      <c r="V640" s="91">
        <f t="shared" si="292"/>
        <v>0</v>
      </c>
      <c r="W640" s="1">
        <f t="shared" si="305"/>
        <v>0</v>
      </c>
      <c r="X640" s="1">
        <f t="shared" si="305"/>
        <v>0</v>
      </c>
      <c r="Y640" s="1">
        <f t="shared" si="305"/>
        <v>0</v>
      </c>
      <c r="Z640" s="1">
        <f t="shared" si="305"/>
        <v>0</v>
      </c>
      <c r="AA640" s="1">
        <f t="shared" si="305"/>
        <v>0</v>
      </c>
      <c r="AB640" s="1">
        <f t="shared" si="305"/>
        <v>0</v>
      </c>
      <c r="AC640" s="1">
        <f t="shared" si="305"/>
        <v>0</v>
      </c>
      <c r="AD640" s="1">
        <f t="shared" si="305"/>
        <v>0</v>
      </c>
      <c r="AE640" s="1">
        <f t="shared" si="305"/>
        <v>0</v>
      </c>
      <c r="AF640" s="1">
        <f t="shared" si="305"/>
        <v>0</v>
      </c>
      <c r="AG640" s="1">
        <f t="shared" si="305"/>
        <v>0</v>
      </c>
      <c r="AH640" s="1">
        <f t="shared" si="305"/>
        <v>0</v>
      </c>
      <c r="AI640" s="44">
        <f t="shared" si="293"/>
        <v>0</v>
      </c>
      <c r="AJ640" s="44">
        <f t="shared" si="283"/>
        <v>0</v>
      </c>
      <c r="AK640" s="44">
        <f t="shared" si="301"/>
        <v>0</v>
      </c>
      <c r="AL640" s="4">
        <f t="shared" si="284"/>
        <v>562</v>
      </c>
      <c r="AM640" s="82">
        <f t="shared" si="294"/>
        <v>0</v>
      </c>
      <c r="AN640" s="82">
        <f t="shared" si="285"/>
        <v>0</v>
      </c>
      <c r="AO640" s="48">
        <f>0</f>
        <v>0</v>
      </c>
      <c r="AP640" s="91">
        <f t="shared" si="295"/>
        <v>0</v>
      </c>
      <c r="AQ640" s="91">
        <f t="shared" si="296"/>
        <v>0</v>
      </c>
      <c r="AV640" s="84"/>
    </row>
    <row r="641" spans="1:48">
      <c r="A641" s="190">
        <f t="shared" si="286"/>
        <v>112.63757700205338</v>
      </c>
      <c r="B641" s="82">
        <f t="shared" si="287"/>
        <v>47</v>
      </c>
      <c r="C641" s="83">
        <f t="shared" si="288"/>
        <v>563</v>
      </c>
      <c r="D641" s="14">
        <f t="shared" si="275"/>
        <v>4.8675505653430484E-3</v>
      </c>
      <c r="E641" s="16">
        <f t="shared" si="276"/>
        <v>0</v>
      </c>
      <c r="F641" s="127"/>
      <c r="G641" s="88">
        <f t="shared" si="277"/>
        <v>0</v>
      </c>
      <c r="H641" s="89">
        <f t="shared" si="289"/>
        <v>4.1666666666666666E-3</v>
      </c>
      <c r="I641" s="219"/>
      <c r="J641" s="219"/>
      <c r="K641" s="6">
        <f t="shared" si="297"/>
        <v>0</v>
      </c>
      <c r="M641" s="6">
        <f t="shared" si="278"/>
        <v>0</v>
      </c>
      <c r="N641" s="6">
        <f t="shared" si="290"/>
        <v>0</v>
      </c>
      <c r="O641" s="90">
        <f t="shared" si="279"/>
        <v>0</v>
      </c>
      <c r="P641" s="91">
        <f t="shared" si="280"/>
        <v>0</v>
      </c>
      <c r="Q641" s="6">
        <f t="shared" si="281"/>
        <v>0</v>
      </c>
      <c r="R641" s="87">
        <f t="shared" si="300"/>
        <v>0</v>
      </c>
      <c r="S641" s="6">
        <f t="shared" si="282"/>
        <v>0</v>
      </c>
      <c r="T641" s="83">
        <f t="shared" si="291"/>
        <v>0</v>
      </c>
      <c r="U641" s="91">
        <f t="shared" si="298"/>
        <v>0</v>
      </c>
      <c r="V641" s="91">
        <f t="shared" si="292"/>
        <v>0</v>
      </c>
      <c r="W641" s="1">
        <f t="shared" si="305"/>
        <v>0</v>
      </c>
      <c r="X641" s="1">
        <f t="shared" si="305"/>
        <v>0</v>
      </c>
      <c r="Y641" s="1">
        <f t="shared" si="305"/>
        <v>0</v>
      </c>
      <c r="Z641" s="1">
        <f t="shared" si="305"/>
        <v>0</v>
      </c>
      <c r="AA641" s="1">
        <f t="shared" si="305"/>
        <v>0</v>
      </c>
      <c r="AB641" s="1">
        <f t="shared" si="305"/>
        <v>0</v>
      </c>
      <c r="AC641" s="1">
        <f t="shared" si="305"/>
        <v>0</v>
      </c>
      <c r="AD641" s="1">
        <f t="shared" si="305"/>
        <v>0</v>
      </c>
      <c r="AE641" s="1">
        <f t="shared" si="305"/>
        <v>0</v>
      </c>
      <c r="AF641" s="1">
        <f t="shared" si="305"/>
        <v>0</v>
      </c>
      <c r="AG641" s="1">
        <f t="shared" si="305"/>
        <v>0</v>
      </c>
      <c r="AH641" s="1">
        <f t="shared" si="305"/>
        <v>0</v>
      </c>
      <c r="AI641" s="44">
        <f t="shared" si="293"/>
        <v>0</v>
      </c>
      <c r="AJ641" s="44">
        <f t="shared" si="283"/>
        <v>0</v>
      </c>
      <c r="AK641" s="44">
        <f t="shared" si="301"/>
        <v>0</v>
      </c>
      <c r="AL641" s="4">
        <f t="shared" si="284"/>
        <v>563</v>
      </c>
      <c r="AM641" s="82">
        <f t="shared" si="294"/>
        <v>0</v>
      </c>
      <c r="AN641" s="82">
        <f t="shared" si="285"/>
        <v>0</v>
      </c>
      <c r="AO641" s="48">
        <f>0</f>
        <v>0</v>
      </c>
      <c r="AP641" s="91">
        <f t="shared" si="295"/>
        <v>0</v>
      </c>
      <c r="AQ641" s="91">
        <f t="shared" si="296"/>
        <v>0</v>
      </c>
      <c r="AV641" s="84"/>
    </row>
    <row r="642" spans="1:48">
      <c r="A642" s="190">
        <f t="shared" si="286"/>
        <v>112.72091033538672</v>
      </c>
      <c r="B642" s="82">
        <f t="shared" si="287"/>
        <v>47</v>
      </c>
      <c r="C642" s="83">
        <f t="shared" si="288"/>
        <v>564</v>
      </c>
      <c r="D642" s="14">
        <f t="shared" si="275"/>
        <v>4.8675505653430484E-3</v>
      </c>
      <c r="E642" s="16">
        <f t="shared" si="276"/>
        <v>0</v>
      </c>
      <c r="F642" s="127"/>
      <c r="G642" s="88">
        <f t="shared" si="277"/>
        <v>0</v>
      </c>
      <c r="H642" s="89">
        <f t="shared" si="289"/>
        <v>4.1666666666666666E-3</v>
      </c>
      <c r="I642" s="219"/>
      <c r="J642" s="219"/>
      <c r="K642" s="6">
        <f t="shared" si="297"/>
        <v>0</v>
      </c>
      <c r="M642" s="6">
        <f t="shared" si="278"/>
        <v>0</v>
      </c>
      <c r="N642" s="6">
        <f t="shared" si="290"/>
        <v>0</v>
      </c>
      <c r="O642" s="90">
        <f t="shared" si="279"/>
        <v>0</v>
      </c>
      <c r="P642" s="91">
        <f t="shared" si="280"/>
        <v>0</v>
      </c>
      <c r="Q642" s="6">
        <f t="shared" si="281"/>
        <v>0</v>
      </c>
      <c r="R642" s="87">
        <f t="shared" si="300"/>
        <v>0</v>
      </c>
      <c r="S642" s="6">
        <f t="shared" si="282"/>
        <v>0</v>
      </c>
      <c r="T642" s="83">
        <f t="shared" si="291"/>
        <v>0</v>
      </c>
      <c r="U642" s="91">
        <f t="shared" si="298"/>
        <v>0</v>
      </c>
      <c r="V642" s="91">
        <f t="shared" si="292"/>
        <v>0</v>
      </c>
      <c r="W642" s="1">
        <f t="shared" si="305"/>
        <v>0</v>
      </c>
      <c r="X642" s="1">
        <f t="shared" si="305"/>
        <v>0</v>
      </c>
      <c r="Y642" s="1">
        <f t="shared" si="305"/>
        <v>0</v>
      </c>
      <c r="Z642" s="1">
        <f t="shared" si="305"/>
        <v>0</v>
      </c>
      <c r="AA642" s="1">
        <f t="shared" si="305"/>
        <v>0</v>
      </c>
      <c r="AB642" s="1">
        <f t="shared" si="305"/>
        <v>0</v>
      </c>
      <c r="AC642" s="1">
        <f t="shared" si="305"/>
        <v>0</v>
      </c>
      <c r="AD642" s="1">
        <f t="shared" si="305"/>
        <v>0</v>
      </c>
      <c r="AE642" s="1">
        <f t="shared" si="305"/>
        <v>0</v>
      </c>
      <c r="AF642" s="1">
        <f t="shared" si="305"/>
        <v>0</v>
      </c>
      <c r="AG642" s="1">
        <f t="shared" si="305"/>
        <v>0</v>
      </c>
      <c r="AH642" s="1">
        <f t="shared" si="305"/>
        <v>0</v>
      </c>
      <c r="AI642" s="44">
        <f t="shared" si="293"/>
        <v>0</v>
      </c>
      <c r="AJ642" s="44">
        <f t="shared" si="283"/>
        <v>0</v>
      </c>
      <c r="AK642" s="44">
        <f t="shared" si="301"/>
        <v>0</v>
      </c>
      <c r="AL642" s="4">
        <f t="shared" si="284"/>
        <v>564</v>
      </c>
      <c r="AM642" s="82">
        <f t="shared" si="294"/>
        <v>0</v>
      </c>
      <c r="AN642" s="82">
        <f t="shared" si="285"/>
        <v>0</v>
      </c>
      <c r="AO642" s="48">
        <f>0</f>
        <v>0</v>
      </c>
      <c r="AP642" s="91">
        <f t="shared" si="295"/>
        <v>0</v>
      </c>
      <c r="AQ642" s="91">
        <f t="shared" si="296"/>
        <v>0</v>
      </c>
      <c r="AV642" s="84"/>
    </row>
    <row r="643" spans="1:48">
      <c r="A643" s="190">
        <f t="shared" si="286"/>
        <v>112.80424366872005</v>
      </c>
      <c r="B643" s="82">
        <f t="shared" si="287"/>
        <v>48</v>
      </c>
      <c r="C643" s="83">
        <f t="shared" si="288"/>
        <v>565</v>
      </c>
      <c r="D643" s="14">
        <f t="shared" si="275"/>
        <v>4.8675505653430484E-3</v>
      </c>
      <c r="E643" s="16">
        <f t="shared" si="276"/>
        <v>0</v>
      </c>
      <c r="F643" s="127"/>
      <c r="G643" s="88">
        <f t="shared" si="277"/>
        <v>0</v>
      </c>
      <c r="H643" s="89">
        <f t="shared" si="289"/>
        <v>4.1666666666666666E-3</v>
      </c>
      <c r="I643" s="219"/>
      <c r="J643" s="219"/>
      <c r="K643" s="6">
        <f t="shared" si="297"/>
        <v>0</v>
      </c>
      <c r="M643" s="6">
        <f t="shared" si="278"/>
        <v>0</v>
      </c>
      <c r="N643" s="6">
        <f t="shared" si="290"/>
        <v>0</v>
      </c>
      <c r="O643" s="90">
        <f t="shared" si="279"/>
        <v>0</v>
      </c>
      <c r="P643" s="91">
        <f t="shared" si="280"/>
        <v>0</v>
      </c>
      <c r="Q643" s="6">
        <f t="shared" si="281"/>
        <v>0</v>
      </c>
      <c r="R643" s="87">
        <f t="shared" si="300"/>
        <v>0</v>
      </c>
      <c r="S643" s="6">
        <f t="shared" si="282"/>
        <v>0</v>
      </c>
      <c r="T643" s="83">
        <f t="shared" si="291"/>
        <v>0</v>
      </c>
      <c r="U643" s="91">
        <f t="shared" si="298"/>
        <v>0</v>
      </c>
      <c r="V643" s="91">
        <f t="shared" si="292"/>
        <v>0</v>
      </c>
      <c r="W643" s="1">
        <f t="shared" si="305"/>
        <v>0</v>
      </c>
      <c r="X643" s="1">
        <f t="shared" si="305"/>
        <v>0</v>
      </c>
      <c r="Y643" s="1">
        <f t="shared" si="305"/>
        <v>0</v>
      </c>
      <c r="Z643" s="1">
        <f t="shared" si="305"/>
        <v>0</v>
      </c>
      <c r="AA643" s="1">
        <f t="shared" si="305"/>
        <v>0</v>
      </c>
      <c r="AB643" s="1">
        <f t="shared" si="305"/>
        <v>0</v>
      </c>
      <c r="AC643" s="1">
        <f t="shared" si="305"/>
        <v>0</v>
      </c>
      <c r="AD643" s="1">
        <f t="shared" si="305"/>
        <v>0</v>
      </c>
      <c r="AE643" s="1">
        <f t="shared" si="305"/>
        <v>0</v>
      </c>
      <c r="AF643" s="1">
        <f t="shared" si="305"/>
        <v>0</v>
      </c>
      <c r="AG643" s="1">
        <f t="shared" si="305"/>
        <v>0</v>
      </c>
      <c r="AH643" s="1">
        <f t="shared" si="305"/>
        <v>0</v>
      </c>
      <c r="AI643" s="44">
        <f t="shared" si="293"/>
        <v>0</v>
      </c>
      <c r="AJ643" s="44">
        <f t="shared" si="283"/>
        <v>0</v>
      </c>
      <c r="AK643" s="44">
        <f t="shared" si="301"/>
        <v>0</v>
      </c>
      <c r="AL643" s="4">
        <f t="shared" si="284"/>
        <v>565</v>
      </c>
      <c r="AM643" s="82">
        <f t="shared" si="294"/>
        <v>0</v>
      </c>
      <c r="AN643" s="82">
        <f t="shared" si="285"/>
        <v>0</v>
      </c>
      <c r="AO643" s="48">
        <f>0</f>
        <v>0</v>
      </c>
      <c r="AP643" s="91">
        <f t="shared" si="295"/>
        <v>0</v>
      </c>
      <c r="AQ643" s="91">
        <f t="shared" si="296"/>
        <v>0</v>
      </c>
      <c r="AV643" s="84"/>
    </row>
    <row r="644" spans="1:48">
      <c r="A644" s="190">
        <f t="shared" si="286"/>
        <v>112.88757700205338</v>
      </c>
      <c r="B644" s="82">
        <f t="shared" si="287"/>
        <v>48</v>
      </c>
      <c r="C644" s="83">
        <f t="shared" si="288"/>
        <v>566</v>
      </c>
      <c r="D644" s="14">
        <f t="shared" si="275"/>
        <v>4.8675505653430484E-3</v>
      </c>
      <c r="E644" s="16">
        <f t="shared" si="276"/>
        <v>0</v>
      </c>
      <c r="F644" s="127"/>
      <c r="G644" s="88">
        <f t="shared" si="277"/>
        <v>0</v>
      </c>
      <c r="H644" s="89">
        <f t="shared" si="289"/>
        <v>4.1666666666666666E-3</v>
      </c>
      <c r="I644" s="219"/>
      <c r="J644" s="219"/>
      <c r="K644" s="6">
        <f t="shared" si="297"/>
        <v>0</v>
      </c>
      <c r="M644" s="6">
        <f t="shared" si="278"/>
        <v>0</v>
      </c>
      <c r="N644" s="6">
        <f t="shared" si="290"/>
        <v>0</v>
      </c>
      <c r="O644" s="90">
        <f t="shared" si="279"/>
        <v>0</v>
      </c>
      <c r="P644" s="91">
        <f t="shared" si="280"/>
        <v>0</v>
      </c>
      <c r="Q644" s="6">
        <f t="shared" si="281"/>
        <v>0</v>
      </c>
      <c r="R644" s="87">
        <f t="shared" si="300"/>
        <v>0</v>
      </c>
      <c r="S644" s="6">
        <f t="shared" si="282"/>
        <v>0</v>
      </c>
      <c r="T644" s="83">
        <f t="shared" si="291"/>
        <v>0</v>
      </c>
      <c r="U644" s="91">
        <f t="shared" si="298"/>
        <v>0</v>
      </c>
      <c r="V644" s="91">
        <f t="shared" si="292"/>
        <v>0</v>
      </c>
      <c r="W644" s="1">
        <f t="shared" si="305"/>
        <v>0</v>
      </c>
      <c r="X644" s="1">
        <f t="shared" si="305"/>
        <v>0</v>
      </c>
      <c r="Y644" s="1">
        <f t="shared" si="305"/>
        <v>0</v>
      </c>
      <c r="Z644" s="1">
        <f t="shared" si="305"/>
        <v>0</v>
      </c>
      <c r="AA644" s="1">
        <f t="shared" si="305"/>
        <v>0</v>
      </c>
      <c r="AB644" s="1">
        <f t="shared" si="305"/>
        <v>0</v>
      </c>
      <c r="AC644" s="1">
        <f t="shared" si="305"/>
        <v>0</v>
      </c>
      <c r="AD644" s="1">
        <f t="shared" si="305"/>
        <v>0</v>
      </c>
      <c r="AE644" s="1">
        <f t="shared" si="305"/>
        <v>0</v>
      </c>
      <c r="AF644" s="1">
        <f t="shared" si="305"/>
        <v>0</v>
      </c>
      <c r="AG644" s="1">
        <f t="shared" si="305"/>
        <v>0</v>
      </c>
      <c r="AH644" s="1">
        <f t="shared" si="305"/>
        <v>0</v>
      </c>
      <c r="AI644" s="44">
        <f t="shared" si="293"/>
        <v>0</v>
      </c>
      <c r="AJ644" s="44">
        <f t="shared" si="283"/>
        <v>0</v>
      </c>
      <c r="AK644" s="44">
        <f t="shared" si="301"/>
        <v>0</v>
      </c>
      <c r="AL644" s="4">
        <f t="shared" si="284"/>
        <v>566</v>
      </c>
      <c r="AM644" s="82">
        <f t="shared" si="294"/>
        <v>0</v>
      </c>
      <c r="AN644" s="82">
        <f t="shared" si="285"/>
        <v>0</v>
      </c>
      <c r="AO644" s="48">
        <f>0</f>
        <v>0</v>
      </c>
      <c r="AP644" s="91">
        <f t="shared" si="295"/>
        <v>0</v>
      </c>
      <c r="AQ644" s="91">
        <f t="shared" si="296"/>
        <v>0</v>
      </c>
      <c r="AV644" s="84"/>
    </row>
    <row r="645" spans="1:48">
      <c r="A645" s="190">
        <f t="shared" si="286"/>
        <v>112.97091033538672</v>
      </c>
      <c r="B645" s="82">
        <f t="shared" si="287"/>
        <v>48</v>
      </c>
      <c r="C645" s="83">
        <f t="shared" si="288"/>
        <v>567</v>
      </c>
      <c r="D645" s="14">
        <f t="shared" si="275"/>
        <v>4.8675505653430484E-3</v>
      </c>
      <c r="E645" s="16">
        <f t="shared" si="276"/>
        <v>0</v>
      </c>
      <c r="F645" s="127"/>
      <c r="G645" s="88">
        <f t="shared" si="277"/>
        <v>0</v>
      </c>
      <c r="H645" s="89">
        <f t="shared" si="289"/>
        <v>4.1666666666666666E-3</v>
      </c>
      <c r="I645" s="219"/>
      <c r="J645" s="219"/>
      <c r="K645" s="6">
        <f t="shared" si="297"/>
        <v>0</v>
      </c>
      <c r="M645" s="6">
        <f t="shared" si="278"/>
        <v>0</v>
      </c>
      <c r="N645" s="6">
        <f t="shared" si="290"/>
        <v>0</v>
      </c>
      <c r="O645" s="90">
        <f t="shared" si="279"/>
        <v>0</v>
      </c>
      <c r="P645" s="91">
        <f t="shared" si="280"/>
        <v>0</v>
      </c>
      <c r="Q645" s="6">
        <f t="shared" si="281"/>
        <v>0</v>
      </c>
      <c r="R645" s="87">
        <f t="shared" si="300"/>
        <v>0</v>
      </c>
      <c r="S645" s="6">
        <f t="shared" si="282"/>
        <v>0</v>
      </c>
      <c r="T645" s="83">
        <f t="shared" si="291"/>
        <v>0</v>
      </c>
      <c r="U645" s="91">
        <f t="shared" si="298"/>
        <v>0</v>
      </c>
      <c r="V645" s="91">
        <f t="shared" si="292"/>
        <v>0</v>
      </c>
      <c r="W645" s="1">
        <f t="shared" si="305"/>
        <v>0</v>
      </c>
      <c r="X645" s="1">
        <f t="shared" si="305"/>
        <v>0</v>
      </c>
      <c r="Y645" s="1">
        <f t="shared" si="305"/>
        <v>0</v>
      </c>
      <c r="Z645" s="1">
        <f t="shared" si="305"/>
        <v>0</v>
      </c>
      <c r="AA645" s="1">
        <f t="shared" si="305"/>
        <v>0</v>
      </c>
      <c r="AB645" s="1">
        <f t="shared" si="305"/>
        <v>0</v>
      </c>
      <c r="AC645" s="1">
        <f t="shared" si="305"/>
        <v>0</v>
      </c>
      <c r="AD645" s="1">
        <f t="shared" si="305"/>
        <v>0</v>
      </c>
      <c r="AE645" s="1">
        <f t="shared" si="305"/>
        <v>0</v>
      </c>
      <c r="AF645" s="1">
        <f t="shared" si="305"/>
        <v>0</v>
      </c>
      <c r="AG645" s="1">
        <f t="shared" si="305"/>
        <v>0</v>
      </c>
      <c r="AH645" s="1">
        <f t="shared" si="305"/>
        <v>0</v>
      </c>
      <c r="AI645" s="44">
        <f t="shared" si="293"/>
        <v>0</v>
      </c>
      <c r="AJ645" s="44">
        <f t="shared" si="283"/>
        <v>0</v>
      </c>
      <c r="AK645" s="44">
        <f t="shared" si="301"/>
        <v>0</v>
      </c>
      <c r="AL645" s="4">
        <f t="shared" si="284"/>
        <v>567</v>
      </c>
      <c r="AM645" s="82">
        <f t="shared" si="294"/>
        <v>0</v>
      </c>
      <c r="AN645" s="82">
        <f t="shared" si="285"/>
        <v>0</v>
      </c>
      <c r="AO645" s="48">
        <f>0</f>
        <v>0</v>
      </c>
      <c r="AP645" s="91">
        <f t="shared" si="295"/>
        <v>0</v>
      </c>
      <c r="AQ645" s="91">
        <f t="shared" si="296"/>
        <v>0</v>
      </c>
      <c r="AV645" s="84"/>
    </row>
    <row r="646" spans="1:48">
      <c r="A646" s="190">
        <f t="shared" si="286"/>
        <v>113.05424366872005</v>
      </c>
      <c r="B646" s="82">
        <f t="shared" si="287"/>
        <v>48</v>
      </c>
      <c r="C646" s="83">
        <f t="shared" si="288"/>
        <v>568</v>
      </c>
      <c r="D646" s="14">
        <f t="shared" si="275"/>
        <v>4.8675505653430484E-3</v>
      </c>
      <c r="E646" s="16">
        <f t="shared" si="276"/>
        <v>0</v>
      </c>
      <c r="F646" s="127"/>
      <c r="G646" s="88">
        <f t="shared" si="277"/>
        <v>0</v>
      </c>
      <c r="H646" s="89">
        <f t="shared" si="289"/>
        <v>4.1666666666666666E-3</v>
      </c>
      <c r="I646" s="219"/>
      <c r="J646" s="219"/>
      <c r="K646" s="6">
        <f t="shared" si="297"/>
        <v>0</v>
      </c>
      <c r="M646" s="6">
        <f t="shared" si="278"/>
        <v>0</v>
      </c>
      <c r="N646" s="6">
        <f t="shared" si="290"/>
        <v>0</v>
      </c>
      <c r="O646" s="90">
        <f t="shared" si="279"/>
        <v>0</v>
      </c>
      <c r="P646" s="91">
        <f t="shared" si="280"/>
        <v>0</v>
      </c>
      <c r="Q646" s="6">
        <f t="shared" si="281"/>
        <v>0</v>
      </c>
      <c r="R646" s="87">
        <f t="shared" si="300"/>
        <v>0</v>
      </c>
      <c r="S646" s="6">
        <f t="shared" si="282"/>
        <v>0</v>
      </c>
      <c r="T646" s="83">
        <f t="shared" si="291"/>
        <v>0</v>
      </c>
      <c r="U646" s="91">
        <f t="shared" si="298"/>
        <v>0</v>
      </c>
      <c r="V646" s="91">
        <f t="shared" si="292"/>
        <v>0</v>
      </c>
      <c r="W646" s="1">
        <f t="shared" si="305"/>
        <v>0</v>
      </c>
      <c r="X646" s="1">
        <f t="shared" si="305"/>
        <v>0</v>
      </c>
      <c r="Y646" s="1">
        <f t="shared" si="305"/>
        <v>0</v>
      </c>
      <c r="Z646" s="1">
        <f t="shared" si="305"/>
        <v>0</v>
      </c>
      <c r="AA646" s="1">
        <f t="shared" si="305"/>
        <v>0</v>
      </c>
      <c r="AB646" s="1">
        <f t="shared" si="305"/>
        <v>0</v>
      </c>
      <c r="AC646" s="1">
        <f t="shared" si="305"/>
        <v>0</v>
      </c>
      <c r="AD646" s="1">
        <f t="shared" si="305"/>
        <v>0</v>
      </c>
      <c r="AE646" s="1">
        <f t="shared" si="305"/>
        <v>0</v>
      </c>
      <c r="AF646" s="1">
        <f t="shared" si="305"/>
        <v>0</v>
      </c>
      <c r="AG646" s="1">
        <f t="shared" si="305"/>
        <v>0</v>
      </c>
      <c r="AH646" s="1">
        <f t="shared" si="305"/>
        <v>0</v>
      </c>
      <c r="AI646" s="44">
        <f t="shared" si="293"/>
        <v>0</v>
      </c>
      <c r="AJ646" s="44">
        <f t="shared" si="283"/>
        <v>0</v>
      </c>
      <c r="AK646" s="44">
        <f t="shared" si="301"/>
        <v>0</v>
      </c>
      <c r="AL646" s="4">
        <f t="shared" si="284"/>
        <v>568</v>
      </c>
      <c r="AM646" s="82">
        <f t="shared" si="294"/>
        <v>0</v>
      </c>
      <c r="AN646" s="82">
        <f t="shared" si="285"/>
        <v>0</v>
      </c>
      <c r="AO646" s="48">
        <f>0</f>
        <v>0</v>
      </c>
      <c r="AP646" s="91">
        <f t="shared" si="295"/>
        <v>0</v>
      </c>
      <c r="AQ646" s="91">
        <f t="shared" si="296"/>
        <v>0</v>
      </c>
      <c r="AV646" s="84"/>
    </row>
    <row r="647" spans="1:48">
      <c r="A647" s="190">
        <f t="shared" si="286"/>
        <v>113.13757700205338</v>
      </c>
      <c r="B647" s="82">
        <f t="shared" si="287"/>
        <v>48</v>
      </c>
      <c r="C647" s="83">
        <f t="shared" si="288"/>
        <v>569</v>
      </c>
      <c r="D647" s="14">
        <f t="shared" si="275"/>
        <v>4.8675505653430484E-3</v>
      </c>
      <c r="E647" s="16">
        <f t="shared" si="276"/>
        <v>0</v>
      </c>
      <c r="F647" s="127"/>
      <c r="G647" s="88">
        <f t="shared" si="277"/>
        <v>0</v>
      </c>
      <c r="H647" s="89">
        <f t="shared" si="289"/>
        <v>4.1666666666666666E-3</v>
      </c>
      <c r="I647" s="219"/>
      <c r="J647" s="219"/>
      <c r="K647" s="6">
        <f t="shared" si="297"/>
        <v>0</v>
      </c>
      <c r="M647" s="6">
        <f t="shared" si="278"/>
        <v>0</v>
      </c>
      <c r="N647" s="6">
        <f t="shared" si="290"/>
        <v>0</v>
      </c>
      <c r="O647" s="90">
        <f t="shared" si="279"/>
        <v>0</v>
      </c>
      <c r="P647" s="91">
        <f t="shared" si="280"/>
        <v>0</v>
      </c>
      <c r="Q647" s="6">
        <f t="shared" si="281"/>
        <v>0</v>
      </c>
      <c r="R647" s="87">
        <f t="shared" si="300"/>
        <v>0</v>
      </c>
      <c r="S647" s="6">
        <f t="shared" si="282"/>
        <v>0</v>
      </c>
      <c r="T647" s="83">
        <f t="shared" si="291"/>
        <v>0</v>
      </c>
      <c r="U647" s="91">
        <f t="shared" si="298"/>
        <v>0</v>
      </c>
      <c r="V647" s="91">
        <f t="shared" si="292"/>
        <v>0</v>
      </c>
      <c r="W647" s="1">
        <f t="shared" si="305"/>
        <v>0</v>
      </c>
      <c r="X647" s="1">
        <f t="shared" si="305"/>
        <v>0</v>
      </c>
      <c r="Y647" s="1">
        <f t="shared" si="305"/>
        <v>0</v>
      </c>
      <c r="Z647" s="1">
        <f t="shared" si="305"/>
        <v>0</v>
      </c>
      <c r="AA647" s="1">
        <f t="shared" si="305"/>
        <v>0</v>
      </c>
      <c r="AB647" s="1">
        <f t="shared" si="305"/>
        <v>0</v>
      </c>
      <c r="AC647" s="1">
        <f t="shared" si="305"/>
        <v>0</v>
      </c>
      <c r="AD647" s="1">
        <f t="shared" si="305"/>
        <v>0</v>
      </c>
      <c r="AE647" s="1">
        <f t="shared" si="305"/>
        <v>0</v>
      </c>
      <c r="AF647" s="1">
        <f t="shared" si="305"/>
        <v>0</v>
      </c>
      <c r="AG647" s="1">
        <f t="shared" si="305"/>
        <v>0</v>
      </c>
      <c r="AH647" s="1">
        <f t="shared" si="305"/>
        <v>0</v>
      </c>
      <c r="AI647" s="44">
        <f t="shared" si="293"/>
        <v>0</v>
      </c>
      <c r="AJ647" s="44">
        <f t="shared" si="283"/>
        <v>0</v>
      </c>
      <c r="AK647" s="44">
        <f t="shared" si="301"/>
        <v>0</v>
      </c>
      <c r="AL647" s="4">
        <f t="shared" si="284"/>
        <v>569</v>
      </c>
      <c r="AM647" s="82">
        <f t="shared" si="294"/>
        <v>0</v>
      </c>
      <c r="AN647" s="82">
        <f t="shared" si="285"/>
        <v>0</v>
      </c>
      <c r="AO647" s="48">
        <f>0</f>
        <v>0</v>
      </c>
      <c r="AP647" s="91">
        <f t="shared" si="295"/>
        <v>0</v>
      </c>
      <c r="AQ647" s="91">
        <f t="shared" si="296"/>
        <v>0</v>
      </c>
      <c r="AV647" s="84"/>
    </row>
    <row r="648" spans="1:48">
      <c r="A648" s="190">
        <f t="shared" si="286"/>
        <v>113.22091033538672</v>
      </c>
      <c r="B648" s="82">
        <f t="shared" si="287"/>
        <v>48</v>
      </c>
      <c r="C648" s="83">
        <f t="shared" si="288"/>
        <v>570</v>
      </c>
      <c r="D648" s="14">
        <f t="shared" si="275"/>
        <v>4.8675505653430484E-3</v>
      </c>
      <c r="E648" s="16">
        <f t="shared" si="276"/>
        <v>0</v>
      </c>
      <c r="F648" s="127"/>
      <c r="G648" s="88">
        <f t="shared" si="277"/>
        <v>0</v>
      </c>
      <c r="H648" s="89">
        <f t="shared" si="289"/>
        <v>4.1666666666666666E-3</v>
      </c>
      <c r="I648" s="219"/>
      <c r="J648" s="219"/>
      <c r="K648" s="6">
        <f t="shared" si="297"/>
        <v>0</v>
      </c>
      <c r="M648" s="6">
        <f t="shared" si="278"/>
        <v>0</v>
      </c>
      <c r="N648" s="6">
        <f t="shared" si="290"/>
        <v>0</v>
      </c>
      <c r="O648" s="90">
        <f t="shared" si="279"/>
        <v>0</v>
      </c>
      <c r="P648" s="91">
        <f t="shared" si="280"/>
        <v>0</v>
      </c>
      <c r="Q648" s="6">
        <f t="shared" si="281"/>
        <v>0</v>
      </c>
      <c r="R648" s="87">
        <f t="shared" si="300"/>
        <v>0</v>
      </c>
      <c r="S648" s="6">
        <f t="shared" si="282"/>
        <v>0</v>
      </c>
      <c r="T648" s="83">
        <f t="shared" si="291"/>
        <v>0</v>
      </c>
      <c r="U648" s="91">
        <f t="shared" si="298"/>
        <v>0</v>
      </c>
      <c r="V648" s="91">
        <f t="shared" si="292"/>
        <v>0</v>
      </c>
      <c r="W648" s="1">
        <f t="shared" si="305"/>
        <v>0</v>
      </c>
      <c r="X648" s="1">
        <f t="shared" si="305"/>
        <v>0</v>
      </c>
      <c r="Y648" s="1">
        <f t="shared" si="305"/>
        <v>0</v>
      </c>
      <c r="Z648" s="1">
        <f t="shared" si="305"/>
        <v>0</v>
      </c>
      <c r="AA648" s="1">
        <f t="shared" si="305"/>
        <v>0</v>
      </c>
      <c r="AB648" s="1">
        <f t="shared" si="305"/>
        <v>0</v>
      </c>
      <c r="AC648" s="1">
        <f t="shared" si="305"/>
        <v>0</v>
      </c>
      <c r="AD648" s="1">
        <f t="shared" si="305"/>
        <v>0</v>
      </c>
      <c r="AE648" s="1">
        <f t="shared" si="305"/>
        <v>0</v>
      </c>
      <c r="AF648" s="1">
        <f t="shared" si="305"/>
        <v>0</v>
      </c>
      <c r="AG648" s="1">
        <f t="shared" si="305"/>
        <v>0</v>
      </c>
      <c r="AH648" s="1">
        <f t="shared" si="305"/>
        <v>0</v>
      </c>
      <c r="AI648" s="44">
        <f t="shared" si="293"/>
        <v>0</v>
      </c>
      <c r="AJ648" s="44">
        <f t="shared" si="283"/>
        <v>0</v>
      </c>
      <c r="AK648" s="44">
        <f t="shared" si="301"/>
        <v>0</v>
      </c>
      <c r="AL648" s="4">
        <f t="shared" si="284"/>
        <v>570</v>
      </c>
      <c r="AM648" s="82">
        <f t="shared" si="294"/>
        <v>0</v>
      </c>
      <c r="AN648" s="82">
        <f t="shared" si="285"/>
        <v>0</v>
      </c>
      <c r="AO648" s="48">
        <f>0</f>
        <v>0</v>
      </c>
      <c r="AP648" s="91">
        <f t="shared" si="295"/>
        <v>0</v>
      </c>
      <c r="AQ648" s="91">
        <f t="shared" si="296"/>
        <v>0</v>
      </c>
      <c r="AV648" s="84"/>
    </row>
    <row r="649" spans="1:48">
      <c r="A649" s="190">
        <f t="shared" si="286"/>
        <v>113.30424366872005</v>
      </c>
      <c r="B649" s="82">
        <f t="shared" si="287"/>
        <v>48</v>
      </c>
      <c r="C649" s="83">
        <f t="shared" si="288"/>
        <v>571</v>
      </c>
      <c r="D649" s="14">
        <f t="shared" si="275"/>
        <v>4.8675505653430484E-3</v>
      </c>
      <c r="E649" s="16">
        <f t="shared" si="276"/>
        <v>0</v>
      </c>
      <c r="F649" s="127"/>
      <c r="G649" s="88">
        <f t="shared" si="277"/>
        <v>0</v>
      </c>
      <c r="H649" s="89">
        <f t="shared" si="289"/>
        <v>4.1666666666666666E-3</v>
      </c>
      <c r="I649" s="219"/>
      <c r="J649" s="219"/>
      <c r="K649" s="6">
        <f t="shared" si="297"/>
        <v>0</v>
      </c>
      <c r="M649" s="6">
        <f t="shared" si="278"/>
        <v>0</v>
      </c>
      <c r="N649" s="6">
        <f t="shared" si="290"/>
        <v>0</v>
      </c>
      <c r="O649" s="90">
        <f t="shared" si="279"/>
        <v>0</v>
      </c>
      <c r="P649" s="91">
        <f t="shared" si="280"/>
        <v>0</v>
      </c>
      <c r="Q649" s="6">
        <f t="shared" si="281"/>
        <v>0</v>
      </c>
      <c r="R649" s="87">
        <f t="shared" si="300"/>
        <v>0</v>
      </c>
      <c r="S649" s="6">
        <f t="shared" si="282"/>
        <v>0</v>
      </c>
      <c r="T649" s="83">
        <f t="shared" si="291"/>
        <v>0</v>
      </c>
      <c r="U649" s="91">
        <f t="shared" si="298"/>
        <v>0</v>
      </c>
      <c r="V649" s="91">
        <f t="shared" si="292"/>
        <v>0</v>
      </c>
      <c r="W649" s="1">
        <f t="shared" ref="W649:AH658" si="306">IF($B649&lt;=W$78,1,0)</f>
        <v>0</v>
      </c>
      <c r="X649" s="1">
        <f t="shared" si="306"/>
        <v>0</v>
      </c>
      <c r="Y649" s="1">
        <f t="shared" si="306"/>
        <v>0</v>
      </c>
      <c r="Z649" s="1">
        <f t="shared" si="306"/>
        <v>0</v>
      </c>
      <c r="AA649" s="1">
        <f t="shared" si="306"/>
        <v>0</v>
      </c>
      <c r="AB649" s="1">
        <f t="shared" si="306"/>
        <v>0</v>
      </c>
      <c r="AC649" s="1">
        <f t="shared" si="306"/>
        <v>0</v>
      </c>
      <c r="AD649" s="1">
        <f t="shared" si="306"/>
        <v>0</v>
      </c>
      <c r="AE649" s="1">
        <f t="shared" si="306"/>
        <v>0</v>
      </c>
      <c r="AF649" s="1">
        <f t="shared" si="306"/>
        <v>0</v>
      </c>
      <c r="AG649" s="1">
        <f t="shared" si="306"/>
        <v>0</v>
      </c>
      <c r="AH649" s="1">
        <f t="shared" si="306"/>
        <v>0</v>
      </c>
      <c r="AI649" s="44">
        <f t="shared" si="293"/>
        <v>0</v>
      </c>
      <c r="AJ649" s="44">
        <f t="shared" si="283"/>
        <v>0</v>
      </c>
      <c r="AK649" s="44">
        <f t="shared" si="301"/>
        <v>0</v>
      </c>
      <c r="AL649" s="4">
        <f t="shared" si="284"/>
        <v>571</v>
      </c>
      <c r="AM649" s="82">
        <f t="shared" si="294"/>
        <v>0</v>
      </c>
      <c r="AN649" s="82">
        <f t="shared" si="285"/>
        <v>0</v>
      </c>
      <c r="AO649" s="48">
        <f>0</f>
        <v>0</v>
      </c>
      <c r="AP649" s="91">
        <f t="shared" si="295"/>
        <v>0</v>
      </c>
      <c r="AQ649" s="91">
        <f t="shared" si="296"/>
        <v>0</v>
      </c>
      <c r="AV649" s="84"/>
    </row>
    <row r="650" spans="1:48">
      <c r="A650" s="190">
        <f t="shared" si="286"/>
        <v>113.38757700205338</v>
      </c>
      <c r="B650" s="82">
        <f t="shared" si="287"/>
        <v>48</v>
      </c>
      <c r="C650" s="83">
        <f t="shared" si="288"/>
        <v>572</v>
      </c>
      <c r="D650" s="14">
        <f t="shared" si="275"/>
        <v>4.8675505653430484E-3</v>
      </c>
      <c r="E650" s="16">
        <f t="shared" si="276"/>
        <v>0</v>
      </c>
      <c r="F650" s="127"/>
      <c r="G650" s="88">
        <f t="shared" si="277"/>
        <v>0</v>
      </c>
      <c r="H650" s="89">
        <f t="shared" si="289"/>
        <v>4.1666666666666666E-3</v>
      </c>
      <c r="I650" s="219"/>
      <c r="J650" s="219"/>
      <c r="K650" s="6">
        <f t="shared" si="297"/>
        <v>0</v>
      </c>
      <c r="M650" s="6">
        <f t="shared" si="278"/>
        <v>0</v>
      </c>
      <c r="N650" s="6">
        <f t="shared" si="290"/>
        <v>0</v>
      </c>
      <c r="O650" s="90">
        <f t="shared" si="279"/>
        <v>0</v>
      </c>
      <c r="P650" s="91">
        <f t="shared" si="280"/>
        <v>0</v>
      </c>
      <c r="Q650" s="6">
        <f t="shared" si="281"/>
        <v>0</v>
      </c>
      <c r="R650" s="87">
        <f t="shared" si="300"/>
        <v>0</v>
      </c>
      <c r="S650" s="6">
        <f t="shared" si="282"/>
        <v>0</v>
      </c>
      <c r="T650" s="83">
        <f t="shared" si="291"/>
        <v>0</v>
      </c>
      <c r="U650" s="91">
        <f t="shared" si="298"/>
        <v>0</v>
      </c>
      <c r="V650" s="91">
        <f t="shared" si="292"/>
        <v>0</v>
      </c>
      <c r="W650" s="1">
        <f t="shared" si="306"/>
        <v>0</v>
      </c>
      <c r="X650" s="1">
        <f t="shared" si="306"/>
        <v>0</v>
      </c>
      <c r="Y650" s="1">
        <f t="shared" si="306"/>
        <v>0</v>
      </c>
      <c r="Z650" s="1">
        <f t="shared" si="306"/>
        <v>0</v>
      </c>
      <c r="AA650" s="1">
        <f t="shared" si="306"/>
        <v>0</v>
      </c>
      <c r="AB650" s="1">
        <f t="shared" si="306"/>
        <v>0</v>
      </c>
      <c r="AC650" s="1">
        <f t="shared" si="306"/>
        <v>0</v>
      </c>
      <c r="AD650" s="1">
        <f t="shared" si="306"/>
        <v>0</v>
      </c>
      <c r="AE650" s="1">
        <f t="shared" si="306"/>
        <v>0</v>
      </c>
      <c r="AF650" s="1">
        <f t="shared" si="306"/>
        <v>0</v>
      </c>
      <c r="AG650" s="1">
        <f t="shared" si="306"/>
        <v>0</v>
      </c>
      <c r="AH650" s="1">
        <f t="shared" si="306"/>
        <v>0</v>
      </c>
      <c r="AI650" s="44">
        <f t="shared" si="293"/>
        <v>0</v>
      </c>
      <c r="AJ650" s="44">
        <f t="shared" si="283"/>
        <v>0</v>
      </c>
      <c r="AK650" s="44">
        <f t="shared" si="301"/>
        <v>0</v>
      </c>
      <c r="AL650" s="4">
        <f t="shared" si="284"/>
        <v>572</v>
      </c>
      <c r="AM650" s="82">
        <f t="shared" si="294"/>
        <v>0</v>
      </c>
      <c r="AN650" s="82">
        <f t="shared" si="285"/>
        <v>0</v>
      </c>
      <c r="AO650" s="48">
        <f>0</f>
        <v>0</v>
      </c>
      <c r="AP650" s="91">
        <f t="shared" si="295"/>
        <v>0</v>
      </c>
      <c r="AQ650" s="91">
        <f t="shared" si="296"/>
        <v>0</v>
      </c>
      <c r="AV650" s="84"/>
    </row>
    <row r="651" spans="1:48">
      <c r="A651" s="190">
        <f t="shared" si="286"/>
        <v>113.47091033538672</v>
      </c>
      <c r="B651" s="82">
        <f t="shared" si="287"/>
        <v>48</v>
      </c>
      <c r="C651" s="83">
        <f t="shared" si="288"/>
        <v>573</v>
      </c>
      <c r="D651" s="14">
        <f t="shared" si="275"/>
        <v>4.8675505653430484E-3</v>
      </c>
      <c r="E651" s="16">
        <f t="shared" si="276"/>
        <v>0</v>
      </c>
      <c r="F651" s="127"/>
      <c r="G651" s="88">
        <f t="shared" si="277"/>
        <v>0</v>
      </c>
      <c r="H651" s="89">
        <f t="shared" si="289"/>
        <v>4.1666666666666666E-3</v>
      </c>
      <c r="I651" s="219"/>
      <c r="J651" s="219"/>
      <c r="K651" s="6">
        <f t="shared" si="297"/>
        <v>0</v>
      </c>
      <c r="M651" s="6">
        <f t="shared" si="278"/>
        <v>0</v>
      </c>
      <c r="N651" s="6">
        <f t="shared" si="290"/>
        <v>0</v>
      </c>
      <c r="O651" s="90">
        <f t="shared" si="279"/>
        <v>0</v>
      </c>
      <c r="P651" s="91">
        <f t="shared" si="280"/>
        <v>0</v>
      </c>
      <c r="Q651" s="6">
        <f t="shared" si="281"/>
        <v>0</v>
      </c>
      <c r="R651" s="87">
        <f t="shared" si="300"/>
        <v>0</v>
      </c>
      <c r="S651" s="6">
        <f t="shared" si="282"/>
        <v>0</v>
      </c>
      <c r="T651" s="83">
        <f t="shared" si="291"/>
        <v>0</v>
      </c>
      <c r="U651" s="91">
        <f t="shared" si="298"/>
        <v>0</v>
      </c>
      <c r="V651" s="91">
        <f t="shared" si="292"/>
        <v>0</v>
      </c>
      <c r="W651" s="1">
        <f t="shared" si="306"/>
        <v>0</v>
      </c>
      <c r="X651" s="1">
        <f t="shared" si="306"/>
        <v>0</v>
      </c>
      <c r="Y651" s="1">
        <f t="shared" si="306"/>
        <v>0</v>
      </c>
      <c r="Z651" s="1">
        <f t="shared" si="306"/>
        <v>0</v>
      </c>
      <c r="AA651" s="1">
        <f t="shared" si="306"/>
        <v>0</v>
      </c>
      <c r="AB651" s="1">
        <f t="shared" si="306"/>
        <v>0</v>
      </c>
      <c r="AC651" s="1">
        <f t="shared" si="306"/>
        <v>0</v>
      </c>
      <c r="AD651" s="1">
        <f t="shared" si="306"/>
        <v>0</v>
      </c>
      <c r="AE651" s="1">
        <f t="shared" si="306"/>
        <v>0</v>
      </c>
      <c r="AF651" s="1">
        <f t="shared" si="306"/>
        <v>0</v>
      </c>
      <c r="AG651" s="1">
        <f t="shared" si="306"/>
        <v>0</v>
      </c>
      <c r="AH651" s="1">
        <f t="shared" si="306"/>
        <v>0</v>
      </c>
      <c r="AI651" s="44">
        <f t="shared" si="293"/>
        <v>0</v>
      </c>
      <c r="AJ651" s="44">
        <f t="shared" si="283"/>
        <v>0</v>
      </c>
      <c r="AK651" s="44">
        <f t="shared" si="301"/>
        <v>0</v>
      </c>
      <c r="AL651" s="4">
        <f t="shared" si="284"/>
        <v>573</v>
      </c>
      <c r="AM651" s="82">
        <f t="shared" si="294"/>
        <v>0</v>
      </c>
      <c r="AN651" s="82">
        <f t="shared" si="285"/>
        <v>0</v>
      </c>
      <c r="AO651" s="48">
        <f>0</f>
        <v>0</v>
      </c>
      <c r="AP651" s="91">
        <f t="shared" si="295"/>
        <v>0</v>
      </c>
      <c r="AQ651" s="91">
        <f t="shared" si="296"/>
        <v>0</v>
      </c>
      <c r="AV651" s="84"/>
    </row>
    <row r="652" spans="1:48">
      <c r="A652" s="190">
        <f t="shared" si="286"/>
        <v>113.55424366872005</v>
      </c>
      <c r="B652" s="82">
        <f t="shared" si="287"/>
        <v>48</v>
      </c>
      <c r="C652" s="83">
        <f t="shared" si="288"/>
        <v>574</v>
      </c>
      <c r="D652" s="14">
        <f t="shared" si="275"/>
        <v>4.8675505653430484E-3</v>
      </c>
      <c r="E652" s="16">
        <f t="shared" si="276"/>
        <v>0</v>
      </c>
      <c r="F652" s="127"/>
      <c r="G652" s="88">
        <f t="shared" si="277"/>
        <v>0</v>
      </c>
      <c r="H652" s="89">
        <f t="shared" si="289"/>
        <v>4.1666666666666666E-3</v>
      </c>
      <c r="I652" s="219"/>
      <c r="J652" s="219"/>
      <c r="K652" s="6">
        <f t="shared" si="297"/>
        <v>0</v>
      </c>
      <c r="M652" s="6">
        <f t="shared" si="278"/>
        <v>0</v>
      </c>
      <c r="N652" s="6">
        <f t="shared" si="290"/>
        <v>0</v>
      </c>
      <c r="O652" s="90">
        <f t="shared" si="279"/>
        <v>0</v>
      </c>
      <c r="P652" s="91">
        <f t="shared" si="280"/>
        <v>0</v>
      </c>
      <c r="Q652" s="6">
        <f t="shared" si="281"/>
        <v>0</v>
      </c>
      <c r="R652" s="87">
        <f t="shared" si="300"/>
        <v>0</v>
      </c>
      <c r="S652" s="6">
        <f t="shared" si="282"/>
        <v>0</v>
      </c>
      <c r="T652" s="83">
        <f t="shared" si="291"/>
        <v>0</v>
      </c>
      <c r="U652" s="91">
        <f t="shared" si="298"/>
        <v>0</v>
      </c>
      <c r="V652" s="91">
        <f t="shared" si="292"/>
        <v>0</v>
      </c>
      <c r="W652" s="1">
        <f t="shared" si="306"/>
        <v>0</v>
      </c>
      <c r="X652" s="1">
        <f t="shared" si="306"/>
        <v>0</v>
      </c>
      <c r="Y652" s="1">
        <f t="shared" si="306"/>
        <v>0</v>
      </c>
      <c r="Z652" s="1">
        <f t="shared" si="306"/>
        <v>0</v>
      </c>
      <c r="AA652" s="1">
        <f t="shared" si="306"/>
        <v>0</v>
      </c>
      <c r="AB652" s="1">
        <f t="shared" si="306"/>
        <v>0</v>
      </c>
      <c r="AC652" s="1">
        <f t="shared" si="306"/>
        <v>0</v>
      </c>
      <c r="AD652" s="1">
        <f t="shared" si="306"/>
        <v>0</v>
      </c>
      <c r="AE652" s="1">
        <f t="shared" si="306"/>
        <v>0</v>
      </c>
      <c r="AF652" s="1">
        <f t="shared" si="306"/>
        <v>0</v>
      </c>
      <c r="AG652" s="1">
        <f t="shared" si="306"/>
        <v>0</v>
      </c>
      <c r="AH652" s="1">
        <f t="shared" si="306"/>
        <v>0</v>
      </c>
      <c r="AI652" s="44">
        <f t="shared" si="293"/>
        <v>0</v>
      </c>
      <c r="AJ652" s="44">
        <f t="shared" si="283"/>
        <v>0</v>
      </c>
      <c r="AK652" s="44">
        <f t="shared" si="301"/>
        <v>0</v>
      </c>
      <c r="AL652" s="4">
        <f t="shared" si="284"/>
        <v>574</v>
      </c>
      <c r="AM652" s="82">
        <f t="shared" si="294"/>
        <v>0</v>
      </c>
      <c r="AN652" s="82">
        <f t="shared" si="285"/>
        <v>0</v>
      </c>
      <c r="AO652" s="48">
        <f>0</f>
        <v>0</v>
      </c>
      <c r="AP652" s="91">
        <f t="shared" si="295"/>
        <v>0</v>
      </c>
      <c r="AQ652" s="91">
        <f t="shared" si="296"/>
        <v>0</v>
      </c>
      <c r="AV652" s="84"/>
    </row>
    <row r="653" spans="1:48">
      <c r="A653" s="190">
        <f t="shared" si="286"/>
        <v>113.63757700205338</v>
      </c>
      <c r="B653" s="82">
        <f t="shared" si="287"/>
        <v>48</v>
      </c>
      <c r="C653" s="83">
        <f t="shared" si="288"/>
        <v>575</v>
      </c>
      <c r="D653" s="14">
        <f t="shared" si="275"/>
        <v>4.8675505653430484E-3</v>
      </c>
      <c r="E653" s="16">
        <f t="shared" si="276"/>
        <v>0</v>
      </c>
      <c r="F653" s="127"/>
      <c r="G653" s="88">
        <f t="shared" si="277"/>
        <v>0</v>
      </c>
      <c r="H653" s="89">
        <f t="shared" si="289"/>
        <v>4.1666666666666666E-3</v>
      </c>
      <c r="I653" s="219"/>
      <c r="J653" s="219"/>
      <c r="K653" s="6">
        <f t="shared" si="297"/>
        <v>0</v>
      </c>
      <c r="M653" s="6">
        <f t="shared" si="278"/>
        <v>0</v>
      </c>
      <c r="N653" s="6">
        <f t="shared" si="290"/>
        <v>0</v>
      </c>
      <c r="O653" s="90">
        <f t="shared" si="279"/>
        <v>0</v>
      </c>
      <c r="P653" s="91">
        <f t="shared" si="280"/>
        <v>0</v>
      </c>
      <c r="Q653" s="6">
        <f t="shared" si="281"/>
        <v>0</v>
      </c>
      <c r="R653" s="87">
        <f t="shared" si="300"/>
        <v>0</v>
      </c>
      <c r="S653" s="6">
        <f t="shared" si="282"/>
        <v>0</v>
      </c>
      <c r="T653" s="83">
        <f t="shared" si="291"/>
        <v>0</v>
      </c>
      <c r="U653" s="91">
        <f t="shared" si="298"/>
        <v>0</v>
      </c>
      <c r="V653" s="91">
        <f t="shared" si="292"/>
        <v>0</v>
      </c>
      <c r="W653" s="1">
        <f t="shared" si="306"/>
        <v>0</v>
      </c>
      <c r="X653" s="1">
        <f t="shared" si="306"/>
        <v>0</v>
      </c>
      <c r="Y653" s="1">
        <f t="shared" si="306"/>
        <v>0</v>
      </c>
      <c r="Z653" s="1">
        <f t="shared" si="306"/>
        <v>0</v>
      </c>
      <c r="AA653" s="1">
        <f t="shared" si="306"/>
        <v>0</v>
      </c>
      <c r="AB653" s="1">
        <f t="shared" si="306"/>
        <v>0</v>
      </c>
      <c r="AC653" s="1">
        <f t="shared" si="306"/>
        <v>0</v>
      </c>
      <c r="AD653" s="1">
        <f t="shared" si="306"/>
        <v>0</v>
      </c>
      <c r="AE653" s="1">
        <f t="shared" si="306"/>
        <v>0</v>
      </c>
      <c r="AF653" s="1">
        <f t="shared" si="306"/>
        <v>0</v>
      </c>
      <c r="AG653" s="1">
        <f t="shared" si="306"/>
        <v>0</v>
      </c>
      <c r="AH653" s="1">
        <f t="shared" si="306"/>
        <v>0</v>
      </c>
      <c r="AI653" s="44">
        <f t="shared" si="293"/>
        <v>0</v>
      </c>
      <c r="AJ653" s="44">
        <f t="shared" si="283"/>
        <v>0</v>
      </c>
      <c r="AK653" s="44">
        <f t="shared" si="301"/>
        <v>0</v>
      </c>
      <c r="AL653" s="4">
        <f t="shared" si="284"/>
        <v>575</v>
      </c>
      <c r="AM653" s="82">
        <f t="shared" si="294"/>
        <v>0</v>
      </c>
      <c r="AN653" s="82">
        <f t="shared" si="285"/>
        <v>0</v>
      </c>
      <c r="AO653" s="48">
        <f>0</f>
        <v>0</v>
      </c>
      <c r="AP653" s="91">
        <f t="shared" si="295"/>
        <v>0</v>
      </c>
      <c r="AQ653" s="91">
        <f t="shared" si="296"/>
        <v>0</v>
      </c>
      <c r="AV653" s="84"/>
    </row>
    <row r="654" spans="1:48">
      <c r="A654" s="190">
        <f t="shared" si="286"/>
        <v>113.72091033538672</v>
      </c>
      <c r="B654" s="82">
        <f t="shared" si="287"/>
        <v>48</v>
      </c>
      <c r="C654" s="83">
        <f t="shared" si="288"/>
        <v>576</v>
      </c>
      <c r="D654" s="14">
        <f t="shared" si="275"/>
        <v>4.8675505653430484E-3</v>
      </c>
      <c r="E654" s="16">
        <f t="shared" si="276"/>
        <v>0</v>
      </c>
      <c r="F654" s="127"/>
      <c r="G654" s="88">
        <f t="shared" si="277"/>
        <v>0</v>
      </c>
      <c r="H654" s="89">
        <f t="shared" si="289"/>
        <v>4.1666666666666666E-3</v>
      </c>
      <c r="I654" s="219"/>
      <c r="J654" s="219"/>
      <c r="K654" s="6">
        <f t="shared" si="297"/>
        <v>0</v>
      </c>
      <c r="M654" s="6">
        <f t="shared" si="278"/>
        <v>0</v>
      </c>
      <c r="N654" s="6">
        <f t="shared" si="290"/>
        <v>0</v>
      </c>
      <c r="O654" s="90">
        <f t="shared" si="279"/>
        <v>0</v>
      </c>
      <c r="P654" s="91">
        <f t="shared" si="280"/>
        <v>0</v>
      </c>
      <c r="Q654" s="6">
        <f t="shared" si="281"/>
        <v>0</v>
      </c>
      <c r="R654" s="87">
        <f t="shared" si="300"/>
        <v>0</v>
      </c>
      <c r="S654" s="6">
        <f t="shared" si="282"/>
        <v>0</v>
      </c>
      <c r="T654" s="83">
        <f t="shared" si="291"/>
        <v>0</v>
      </c>
      <c r="U654" s="91">
        <f t="shared" si="298"/>
        <v>0</v>
      </c>
      <c r="V654" s="91">
        <f t="shared" si="292"/>
        <v>0</v>
      </c>
      <c r="W654" s="1">
        <f t="shared" si="306"/>
        <v>0</v>
      </c>
      <c r="X654" s="1">
        <f t="shared" si="306"/>
        <v>0</v>
      </c>
      <c r="Y654" s="1">
        <f t="shared" si="306"/>
        <v>0</v>
      </c>
      <c r="Z654" s="1">
        <f t="shared" si="306"/>
        <v>0</v>
      </c>
      <c r="AA654" s="1">
        <f t="shared" si="306"/>
        <v>0</v>
      </c>
      <c r="AB654" s="1">
        <f t="shared" si="306"/>
        <v>0</v>
      </c>
      <c r="AC654" s="1">
        <f t="shared" si="306"/>
        <v>0</v>
      </c>
      <c r="AD654" s="1">
        <f t="shared" si="306"/>
        <v>0</v>
      </c>
      <c r="AE654" s="1">
        <f t="shared" si="306"/>
        <v>0</v>
      </c>
      <c r="AF654" s="1">
        <f t="shared" si="306"/>
        <v>0</v>
      </c>
      <c r="AG654" s="1">
        <f t="shared" si="306"/>
        <v>0</v>
      </c>
      <c r="AH654" s="1">
        <f t="shared" si="306"/>
        <v>0</v>
      </c>
      <c r="AI654" s="44">
        <f t="shared" si="293"/>
        <v>0</v>
      </c>
      <c r="AJ654" s="44">
        <f t="shared" si="283"/>
        <v>0</v>
      </c>
      <c r="AK654" s="44">
        <f t="shared" si="301"/>
        <v>0</v>
      </c>
      <c r="AL654" s="4">
        <f t="shared" si="284"/>
        <v>576</v>
      </c>
      <c r="AM654" s="82">
        <f t="shared" si="294"/>
        <v>0</v>
      </c>
      <c r="AN654" s="82">
        <f t="shared" si="285"/>
        <v>0</v>
      </c>
      <c r="AO654" s="48">
        <f>0</f>
        <v>0</v>
      </c>
      <c r="AP654" s="91">
        <f t="shared" si="295"/>
        <v>0</v>
      </c>
      <c r="AQ654" s="91">
        <f t="shared" si="296"/>
        <v>0</v>
      </c>
      <c r="AV654" s="84"/>
    </row>
    <row r="655" spans="1:48">
      <c r="A655" s="190">
        <f t="shared" si="286"/>
        <v>113.80424366872005</v>
      </c>
      <c r="B655" s="82">
        <f t="shared" si="287"/>
        <v>49</v>
      </c>
      <c r="C655" s="83">
        <f t="shared" si="288"/>
        <v>577</v>
      </c>
      <c r="D655" s="14">
        <f t="shared" ref="D655:D678" si="307">Growth_Rate_1_Monthly</f>
        <v>4.8675505653430484E-3</v>
      </c>
      <c r="E655" s="16">
        <f t="shared" ref="E655:E678" si="308">IF(Gtee_Flag="on",1,0)</f>
        <v>0</v>
      </c>
      <c r="F655" s="127"/>
      <c r="G655" s="88">
        <f t="shared" ref="G655:G678" si="309">IF(ISERROR(VLOOKUP(Product_Code,Product_Parameters,B655+5,FALSE)),0,VLOOKUP(Product_Code,Product_Parameters,B655+5,FALSE))</f>
        <v>0</v>
      </c>
      <c r="H655" s="89">
        <f t="shared" si="289"/>
        <v>4.1666666666666666E-3</v>
      </c>
      <c r="I655" s="219"/>
      <c r="J655" s="219"/>
      <c r="K655" s="6">
        <f t="shared" si="297"/>
        <v>0</v>
      </c>
      <c r="M655" s="6">
        <f t="shared" ref="M655:M678" si="310">(K655+L655)*D655</f>
        <v>0</v>
      </c>
      <c r="N655" s="6">
        <f t="shared" si="290"/>
        <v>0</v>
      </c>
      <c r="O655" s="90">
        <f t="shared" ref="O655:O678" si="311">IF(C655&gt;=Regular_Income_Start_Month,
MIN(Regular_Income_Amount/12*(1+Income_Escalation_Rate_Annual)^($B655-1),AJ655),0)</f>
        <v>0</v>
      </c>
      <c r="P655" s="91">
        <f t="shared" ref="P655:P678" si="312">MAX(IF(C655&gt;=Regular_Income_Start_Month,
MIN(IF(Income_Type="Fixed Percent",$C$51,0)/12*(K655+L655+M655+N655),AJ655),0),0)</f>
        <v>0</v>
      </c>
      <c r="Q655" s="6">
        <f t="shared" ref="Q655:Q678" si="313">MAX(IF(C655&gt;=Regular_Income_Start_Month,
MIN(H655*(K655+L655+M655+N655),AJ655),0),0)</f>
        <v>0</v>
      </c>
      <c r="R655" s="87">
        <f t="shared" si="300"/>
        <v>0</v>
      </c>
      <c r="S655" s="6">
        <f t="shared" ref="S655:S678" si="314">-(($K655+I655+M655/2+N655/2+R655/2)*(Ongoing_Commission_Monthly)+(I655)*new_upfront_commission)</f>
        <v>0</v>
      </c>
      <c r="T655" s="83">
        <f t="shared" si="291"/>
        <v>0</v>
      </c>
      <c r="U655" s="91">
        <f t="shared" si="298"/>
        <v>0</v>
      </c>
      <c r="V655" s="91">
        <f t="shared" si="292"/>
        <v>0</v>
      </c>
      <c r="W655" s="1">
        <f t="shared" si="306"/>
        <v>0</v>
      </c>
      <c r="X655" s="1">
        <f t="shared" si="306"/>
        <v>0</v>
      </c>
      <c r="Y655" s="1">
        <f t="shared" si="306"/>
        <v>0</v>
      </c>
      <c r="Z655" s="1">
        <f t="shared" si="306"/>
        <v>0</v>
      </c>
      <c r="AA655" s="1">
        <f t="shared" si="306"/>
        <v>0</v>
      </c>
      <c r="AB655" s="1">
        <f t="shared" si="306"/>
        <v>0</v>
      </c>
      <c r="AC655" s="1">
        <f t="shared" si="306"/>
        <v>0</v>
      </c>
      <c r="AD655" s="1">
        <f t="shared" si="306"/>
        <v>0</v>
      </c>
      <c r="AE655" s="1">
        <f t="shared" si="306"/>
        <v>0</v>
      </c>
      <c r="AF655" s="1">
        <f t="shared" si="306"/>
        <v>0</v>
      </c>
      <c r="AG655" s="1">
        <f t="shared" si="306"/>
        <v>0</v>
      </c>
      <c r="AH655" s="1">
        <f t="shared" si="306"/>
        <v>0</v>
      </c>
      <c r="AI655" s="44">
        <f t="shared" si="293"/>
        <v>0</v>
      </c>
      <c r="AJ655" s="44">
        <f t="shared" ref="AJ655:AJ678" si="315">MAX(0,SUM(K655:N655)-$C$66)</f>
        <v>0</v>
      </c>
      <c r="AK655" s="44">
        <f t="shared" si="301"/>
        <v>0</v>
      </c>
      <c r="AL655" s="4">
        <f t="shared" ref="AL655:AL678" si="316">C655</f>
        <v>577</v>
      </c>
      <c r="AM655" s="82">
        <f t="shared" si="294"/>
        <v>0</v>
      </c>
      <c r="AN655" s="82">
        <f t="shared" ref="AN655:AN678" si="317">IF(AND(B655=Fund_Zero_Year,K656=0,K655&gt;0),-U655,IF(AND(B655+1=Fund_Zero_Year,K656=0,K655&gt;0),-U655,0))</f>
        <v>0</v>
      </c>
      <c r="AO655" s="48">
        <f>0</f>
        <v>0</v>
      </c>
      <c r="AP655" s="91">
        <f t="shared" si="295"/>
        <v>0</v>
      </c>
      <c r="AQ655" s="91">
        <f t="shared" si="296"/>
        <v>0</v>
      </c>
      <c r="AV655" s="84"/>
    </row>
    <row r="656" spans="1:48">
      <c r="A656" s="190">
        <f t="shared" ref="A656:A678" si="318">$C$43+C655/12</f>
        <v>113.88757700205338</v>
      </c>
      <c r="B656" s="82">
        <f t="shared" ref="B656:B678" si="319">INT((C656-1)/12)+1</f>
        <v>49</v>
      </c>
      <c r="C656" s="83">
        <f t="shared" ref="C656:C678" si="320">C655+1</f>
        <v>578</v>
      </c>
      <c r="D656" s="14">
        <f t="shared" si="307"/>
        <v>4.8675505653430484E-3</v>
      </c>
      <c r="E656" s="16">
        <f t="shared" si="308"/>
        <v>0</v>
      </c>
      <c r="F656" s="127"/>
      <c r="G656" s="88">
        <f t="shared" si="309"/>
        <v>0</v>
      </c>
      <c r="H656" s="89">
        <f t="shared" ref="H656:H678" si="321">IF((K655+L655+M655+N655+R655)&gt;=2000000,VLOOKUP("&gt;=2000000",Default_IncomeRate_table,3,FALSE),
IF($A656&lt;71,VLOOKUP("&lt;71",Default_IncomeRate_table,3,FALSE),
IF($A656&gt;=71,VLOOKUP("&gt;=71",Default_IncomeRate_table,3,FALSE),"")))</f>
        <v>4.1666666666666666E-3</v>
      </c>
      <c r="I656" s="219"/>
      <c r="J656" s="219"/>
      <c r="K656" s="6">
        <f t="shared" si="297"/>
        <v>0</v>
      </c>
      <c r="M656" s="6">
        <f t="shared" si="310"/>
        <v>0</v>
      </c>
      <c r="N656" s="6">
        <f t="shared" ref="N656:N678" si="322">-(($K656+(L656)+M656/2)*(External_Fund_Charge_Monthly+Fund_Charge_Monthly+Gtee_Charge_Monthly*$E656))+MIN(J656,0)</f>
        <v>0</v>
      </c>
      <c r="O656" s="90">
        <f t="shared" si="311"/>
        <v>0</v>
      </c>
      <c r="P656" s="91">
        <f t="shared" si="312"/>
        <v>0</v>
      </c>
      <c r="Q656" s="6">
        <f t="shared" si="313"/>
        <v>0</v>
      </c>
      <c r="R656" s="87">
        <f t="shared" si="300"/>
        <v>0</v>
      </c>
      <c r="S656" s="6">
        <f t="shared" si="314"/>
        <v>0</v>
      </c>
      <c r="T656" s="83">
        <f t="shared" ref="T656:T678" si="323">SUM(K656:N656,R656)*$G656</f>
        <v>0</v>
      </c>
      <c r="U656" s="91">
        <f t="shared" si="298"/>
        <v>0</v>
      </c>
      <c r="V656" s="91">
        <f t="shared" ref="V656:V678" si="324">U656*D656</f>
        <v>0</v>
      </c>
      <c r="W656" s="1">
        <f t="shared" si="306"/>
        <v>0</v>
      </c>
      <c r="X656" s="1">
        <f t="shared" si="306"/>
        <v>0</v>
      </c>
      <c r="Y656" s="1">
        <f t="shared" si="306"/>
        <v>0</v>
      </c>
      <c r="Z656" s="1">
        <f t="shared" si="306"/>
        <v>0</v>
      </c>
      <c r="AA656" s="1">
        <f t="shared" si="306"/>
        <v>0</v>
      </c>
      <c r="AB656" s="1">
        <f t="shared" si="306"/>
        <v>0</v>
      </c>
      <c r="AC656" s="1">
        <f t="shared" si="306"/>
        <v>0</v>
      </c>
      <c r="AD656" s="1">
        <f t="shared" si="306"/>
        <v>0</v>
      </c>
      <c r="AE656" s="1">
        <f t="shared" si="306"/>
        <v>0</v>
      </c>
      <c r="AF656" s="1">
        <f t="shared" si="306"/>
        <v>0</v>
      </c>
      <c r="AG656" s="1">
        <f t="shared" si="306"/>
        <v>0</v>
      </c>
      <c r="AH656" s="1">
        <f t="shared" si="306"/>
        <v>0</v>
      </c>
      <c r="AI656" s="44">
        <f t="shared" ref="AI656:AI678" si="325">SUM(K656:N656,R656)</f>
        <v>0</v>
      </c>
      <c r="AJ656" s="44">
        <f t="shared" si="315"/>
        <v>0</v>
      </c>
      <c r="AK656" s="44">
        <f t="shared" si="301"/>
        <v>0</v>
      </c>
      <c r="AL656" s="4">
        <f t="shared" si="316"/>
        <v>578</v>
      </c>
      <c r="AM656" s="82">
        <f t="shared" ref="AM656:AM678" si="326">I656</f>
        <v>0</v>
      </c>
      <c r="AN656" s="82">
        <f t="shared" si="317"/>
        <v>0</v>
      </c>
      <c r="AO656" s="48">
        <f>0</f>
        <v>0</v>
      </c>
      <c r="AP656" s="91">
        <f t="shared" ref="AP656:AP678" si="327">$R656+AN656+AM656</f>
        <v>0</v>
      </c>
      <c r="AQ656" s="91">
        <f t="shared" ref="AQ656:AQ678" si="328">$R656+AO656+AM656</f>
        <v>0</v>
      </c>
      <c r="AV656" s="84"/>
    </row>
    <row r="657" spans="1:48">
      <c r="A657" s="190">
        <f t="shared" si="318"/>
        <v>113.97091033538672</v>
      </c>
      <c r="B657" s="82">
        <f t="shared" si="319"/>
        <v>49</v>
      </c>
      <c r="C657" s="83">
        <f t="shared" si="320"/>
        <v>579</v>
      </c>
      <c r="D657" s="14">
        <f t="shared" si="307"/>
        <v>4.8675505653430484E-3</v>
      </c>
      <c r="E657" s="16">
        <f t="shared" si="308"/>
        <v>0</v>
      </c>
      <c r="F657" s="127"/>
      <c r="G657" s="88">
        <f t="shared" si="309"/>
        <v>0</v>
      </c>
      <c r="H657" s="89">
        <f t="shared" si="321"/>
        <v>4.1666666666666666E-3</v>
      </c>
      <c r="I657" s="219"/>
      <c r="J657" s="219"/>
      <c r="K657" s="6">
        <f t="shared" ref="K657:K678" si="329">SUM(K656:M656,N656,R656)</f>
        <v>0</v>
      </c>
      <c r="M657" s="6">
        <f t="shared" si="310"/>
        <v>0</v>
      </c>
      <c r="N657" s="6">
        <f t="shared" si="322"/>
        <v>0</v>
      </c>
      <c r="O657" s="90">
        <f t="shared" si="311"/>
        <v>0</v>
      </c>
      <c r="P657" s="91">
        <f t="shared" si="312"/>
        <v>0</v>
      </c>
      <c r="Q657" s="6">
        <f t="shared" si="313"/>
        <v>0</v>
      </c>
      <c r="R657" s="87">
        <f t="shared" si="300"/>
        <v>0</v>
      </c>
      <c r="S657" s="6">
        <f t="shared" si="314"/>
        <v>0</v>
      </c>
      <c r="T657" s="83">
        <f t="shared" si="323"/>
        <v>0</v>
      </c>
      <c r="U657" s="91">
        <f t="shared" ref="U657:U678" si="330">IF(K657=0,0,SUM(U656,R656,V656))</f>
        <v>0</v>
      </c>
      <c r="V657" s="91">
        <f t="shared" si="324"/>
        <v>0</v>
      </c>
      <c r="W657" s="1">
        <f t="shared" si="306"/>
        <v>0</v>
      </c>
      <c r="X657" s="1">
        <f t="shared" si="306"/>
        <v>0</v>
      </c>
      <c r="Y657" s="1">
        <f t="shared" si="306"/>
        <v>0</v>
      </c>
      <c r="Z657" s="1">
        <f t="shared" si="306"/>
        <v>0</v>
      </c>
      <c r="AA657" s="1">
        <f t="shared" si="306"/>
        <v>0</v>
      </c>
      <c r="AB657" s="1">
        <f t="shared" si="306"/>
        <v>0</v>
      </c>
      <c r="AC657" s="1">
        <f t="shared" si="306"/>
        <v>0</v>
      </c>
      <c r="AD657" s="1">
        <f t="shared" si="306"/>
        <v>0</v>
      </c>
      <c r="AE657" s="1">
        <f t="shared" si="306"/>
        <v>0</v>
      </c>
      <c r="AF657" s="1">
        <f t="shared" si="306"/>
        <v>0</v>
      </c>
      <c r="AG657" s="1">
        <f t="shared" si="306"/>
        <v>0</v>
      </c>
      <c r="AH657" s="1">
        <f t="shared" si="306"/>
        <v>0</v>
      </c>
      <c r="AI657" s="44">
        <f t="shared" si="325"/>
        <v>0</v>
      </c>
      <c r="AJ657" s="44">
        <f t="shared" si="315"/>
        <v>0</v>
      </c>
      <c r="AK657" s="44">
        <f t="shared" si="301"/>
        <v>0</v>
      </c>
      <c r="AL657" s="4">
        <f t="shared" si="316"/>
        <v>579</v>
      </c>
      <c r="AM657" s="82">
        <f t="shared" si="326"/>
        <v>0</v>
      </c>
      <c r="AN657" s="82">
        <f t="shared" si="317"/>
        <v>0</v>
      </c>
      <c r="AO657" s="48">
        <f>0</f>
        <v>0</v>
      </c>
      <c r="AP657" s="91">
        <f t="shared" si="327"/>
        <v>0</v>
      </c>
      <c r="AQ657" s="91">
        <f t="shared" si="328"/>
        <v>0</v>
      </c>
      <c r="AV657" s="84"/>
    </row>
    <row r="658" spans="1:48">
      <c r="A658" s="190">
        <f t="shared" si="318"/>
        <v>114.05424366872005</v>
      </c>
      <c r="B658" s="82">
        <f t="shared" si="319"/>
        <v>49</v>
      </c>
      <c r="C658" s="83">
        <f t="shared" si="320"/>
        <v>580</v>
      </c>
      <c r="D658" s="14">
        <f t="shared" si="307"/>
        <v>4.8675505653430484E-3</v>
      </c>
      <c r="E658" s="16">
        <f t="shared" si="308"/>
        <v>0</v>
      </c>
      <c r="F658" s="127"/>
      <c r="G658" s="88">
        <f t="shared" si="309"/>
        <v>0</v>
      </c>
      <c r="H658" s="89">
        <f t="shared" si="321"/>
        <v>4.1666666666666666E-3</v>
      </c>
      <c r="I658" s="219"/>
      <c r="J658" s="219"/>
      <c r="K658" s="6">
        <f t="shared" si="329"/>
        <v>0</v>
      </c>
      <c r="M658" s="6">
        <f t="shared" si="310"/>
        <v>0</v>
      </c>
      <c r="N658" s="6">
        <f t="shared" si="322"/>
        <v>0</v>
      </c>
      <c r="O658" s="90">
        <f t="shared" si="311"/>
        <v>0</v>
      </c>
      <c r="P658" s="91">
        <f t="shared" si="312"/>
        <v>0</v>
      </c>
      <c r="Q658" s="6">
        <f t="shared" si="313"/>
        <v>0</v>
      </c>
      <c r="R658" s="87">
        <f t="shared" si="300"/>
        <v>0</v>
      </c>
      <c r="S658" s="6">
        <f t="shared" si="314"/>
        <v>0</v>
      </c>
      <c r="T658" s="83">
        <f t="shared" si="323"/>
        <v>0</v>
      </c>
      <c r="U658" s="91">
        <f t="shared" si="330"/>
        <v>0</v>
      </c>
      <c r="V658" s="91">
        <f t="shared" si="324"/>
        <v>0</v>
      </c>
      <c r="W658" s="1">
        <f t="shared" si="306"/>
        <v>0</v>
      </c>
      <c r="X658" s="1">
        <f t="shared" si="306"/>
        <v>0</v>
      </c>
      <c r="Y658" s="1">
        <f t="shared" si="306"/>
        <v>0</v>
      </c>
      <c r="Z658" s="1">
        <f t="shared" si="306"/>
        <v>0</v>
      </c>
      <c r="AA658" s="1">
        <f t="shared" si="306"/>
        <v>0</v>
      </c>
      <c r="AB658" s="1">
        <f t="shared" si="306"/>
        <v>0</v>
      </c>
      <c r="AC658" s="1">
        <f t="shared" si="306"/>
        <v>0</v>
      </c>
      <c r="AD658" s="1">
        <f t="shared" si="306"/>
        <v>0</v>
      </c>
      <c r="AE658" s="1">
        <f t="shared" si="306"/>
        <v>0</v>
      </c>
      <c r="AF658" s="1">
        <f t="shared" si="306"/>
        <v>0</v>
      </c>
      <c r="AG658" s="1">
        <f t="shared" si="306"/>
        <v>0</v>
      </c>
      <c r="AH658" s="1">
        <f t="shared" si="306"/>
        <v>0</v>
      </c>
      <c r="AI658" s="44">
        <f t="shared" si="325"/>
        <v>0</v>
      </c>
      <c r="AJ658" s="44">
        <f t="shared" si="315"/>
        <v>0</v>
      </c>
      <c r="AK658" s="44">
        <f t="shared" si="301"/>
        <v>0</v>
      </c>
      <c r="AL658" s="4">
        <f t="shared" si="316"/>
        <v>580</v>
      </c>
      <c r="AM658" s="82">
        <f t="shared" si="326"/>
        <v>0</v>
      </c>
      <c r="AN658" s="82">
        <f t="shared" si="317"/>
        <v>0</v>
      </c>
      <c r="AO658" s="48">
        <f>0</f>
        <v>0</v>
      </c>
      <c r="AP658" s="91">
        <f t="shared" si="327"/>
        <v>0</v>
      </c>
      <c r="AQ658" s="91">
        <f t="shared" si="328"/>
        <v>0</v>
      </c>
      <c r="AV658" s="84"/>
    </row>
    <row r="659" spans="1:48">
      <c r="A659" s="190">
        <f t="shared" si="318"/>
        <v>114.13757700205338</v>
      </c>
      <c r="B659" s="82">
        <f t="shared" si="319"/>
        <v>49</v>
      </c>
      <c r="C659" s="83">
        <f t="shared" si="320"/>
        <v>581</v>
      </c>
      <c r="D659" s="14">
        <f t="shared" si="307"/>
        <v>4.8675505653430484E-3</v>
      </c>
      <c r="E659" s="16">
        <f t="shared" si="308"/>
        <v>0</v>
      </c>
      <c r="F659" s="127"/>
      <c r="G659" s="88">
        <f t="shared" si="309"/>
        <v>0</v>
      </c>
      <c r="H659" s="89">
        <f t="shared" si="321"/>
        <v>4.1666666666666666E-3</v>
      </c>
      <c r="I659" s="219"/>
      <c r="J659" s="219"/>
      <c r="K659" s="6">
        <f t="shared" si="329"/>
        <v>0</v>
      </c>
      <c r="M659" s="6">
        <f t="shared" si="310"/>
        <v>0</v>
      </c>
      <c r="N659" s="6">
        <f t="shared" si="322"/>
        <v>0</v>
      </c>
      <c r="O659" s="90">
        <f t="shared" si="311"/>
        <v>0</v>
      </c>
      <c r="P659" s="91">
        <f t="shared" si="312"/>
        <v>0</v>
      </c>
      <c r="Q659" s="6">
        <f t="shared" si="313"/>
        <v>0</v>
      </c>
      <c r="R659" s="87">
        <f t="shared" si="300"/>
        <v>0</v>
      </c>
      <c r="S659" s="6">
        <f t="shared" si="314"/>
        <v>0</v>
      </c>
      <c r="T659" s="83">
        <f t="shared" si="323"/>
        <v>0</v>
      </c>
      <c r="U659" s="91">
        <f t="shared" si="330"/>
        <v>0</v>
      </c>
      <c r="V659" s="91">
        <f t="shared" si="324"/>
        <v>0</v>
      </c>
      <c r="W659" s="1">
        <f t="shared" ref="W659:AH668" si="331">IF($B659&lt;=W$78,1,0)</f>
        <v>0</v>
      </c>
      <c r="X659" s="1">
        <f t="shared" si="331"/>
        <v>0</v>
      </c>
      <c r="Y659" s="1">
        <f t="shared" si="331"/>
        <v>0</v>
      </c>
      <c r="Z659" s="1">
        <f t="shared" si="331"/>
        <v>0</v>
      </c>
      <c r="AA659" s="1">
        <f t="shared" si="331"/>
        <v>0</v>
      </c>
      <c r="AB659" s="1">
        <f t="shared" si="331"/>
        <v>0</v>
      </c>
      <c r="AC659" s="1">
        <f t="shared" si="331"/>
        <v>0</v>
      </c>
      <c r="AD659" s="1">
        <f t="shared" si="331"/>
        <v>0</v>
      </c>
      <c r="AE659" s="1">
        <f t="shared" si="331"/>
        <v>0</v>
      </c>
      <c r="AF659" s="1">
        <f t="shared" si="331"/>
        <v>0</v>
      </c>
      <c r="AG659" s="1">
        <f t="shared" si="331"/>
        <v>0</v>
      </c>
      <c r="AH659" s="1">
        <f t="shared" si="331"/>
        <v>0</v>
      </c>
      <c r="AI659" s="44">
        <f t="shared" si="325"/>
        <v>0</v>
      </c>
      <c r="AJ659" s="44">
        <f t="shared" si="315"/>
        <v>0</v>
      </c>
      <c r="AK659" s="44">
        <f t="shared" si="301"/>
        <v>0</v>
      </c>
      <c r="AL659" s="4">
        <f t="shared" si="316"/>
        <v>581</v>
      </c>
      <c r="AM659" s="82">
        <f t="shared" si="326"/>
        <v>0</v>
      </c>
      <c r="AN659" s="82">
        <f t="shared" si="317"/>
        <v>0</v>
      </c>
      <c r="AO659" s="48">
        <f>0</f>
        <v>0</v>
      </c>
      <c r="AP659" s="91">
        <f t="shared" si="327"/>
        <v>0</v>
      </c>
      <c r="AQ659" s="91">
        <f t="shared" si="328"/>
        <v>0</v>
      </c>
      <c r="AV659" s="84"/>
    </row>
    <row r="660" spans="1:48">
      <c r="A660" s="190">
        <f t="shared" si="318"/>
        <v>114.22091033538672</v>
      </c>
      <c r="B660" s="82">
        <f t="shared" si="319"/>
        <v>49</v>
      </c>
      <c r="C660" s="83">
        <f t="shared" si="320"/>
        <v>582</v>
      </c>
      <c r="D660" s="14">
        <f t="shared" si="307"/>
        <v>4.8675505653430484E-3</v>
      </c>
      <c r="E660" s="16">
        <f t="shared" si="308"/>
        <v>0</v>
      </c>
      <c r="F660" s="127"/>
      <c r="G660" s="88">
        <f t="shared" si="309"/>
        <v>0</v>
      </c>
      <c r="H660" s="89">
        <f t="shared" si="321"/>
        <v>4.1666666666666666E-3</v>
      </c>
      <c r="I660" s="219"/>
      <c r="J660" s="219"/>
      <c r="K660" s="6">
        <f t="shared" si="329"/>
        <v>0</v>
      </c>
      <c r="M660" s="6">
        <f t="shared" si="310"/>
        <v>0</v>
      </c>
      <c r="N660" s="6">
        <f t="shared" si="322"/>
        <v>0</v>
      </c>
      <c r="O660" s="90">
        <f t="shared" si="311"/>
        <v>0</v>
      </c>
      <c r="P660" s="91">
        <f t="shared" si="312"/>
        <v>0</v>
      </c>
      <c r="Q660" s="6">
        <f t="shared" si="313"/>
        <v>0</v>
      </c>
      <c r="R660" s="87">
        <f t="shared" si="300"/>
        <v>0</v>
      </c>
      <c r="S660" s="6">
        <f t="shared" si="314"/>
        <v>0</v>
      </c>
      <c r="T660" s="83">
        <f t="shared" si="323"/>
        <v>0</v>
      </c>
      <c r="U660" s="91">
        <f t="shared" si="330"/>
        <v>0</v>
      </c>
      <c r="V660" s="91">
        <f t="shared" si="324"/>
        <v>0</v>
      </c>
      <c r="W660" s="1">
        <f t="shared" si="331"/>
        <v>0</v>
      </c>
      <c r="X660" s="1">
        <f t="shared" si="331"/>
        <v>0</v>
      </c>
      <c r="Y660" s="1">
        <f t="shared" si="331"/>
        <v>0</v>
      </c>
      <c r="Z660" s="1">
        <f t="shared" si="331"/>
        <v>0</v>
      </c>
      <c r="AA660" s="1">
        <f t="shared" si="331"/>
        <v>0</v>
      </c>
      <c r="AB660" s="1">
        <f t="shared" si="331"/>
        <v>0</v>
      </c>
      <c r="AC660" s="1">
        <f t="shared" si="331"/>
        <v>0</v>
      </c>
      <c r="AD660" s="1">
        <f t="shared" si="331"/>
        <v>0</v>
      </c>
      <c r="AE660" s="1">
        <f t="shared" si="331"/>
        <v>0</v>
      </c>
      <c r="AF660" s="1">
        <f t="shared" si="331"/>
        <v>0</v>
      </c>
      <c r="AG660" s="1">
        <f t="shared" si="331"/>
        <v>0</v>
      </c>
      <c r="AH660" s="1">
        <f t="shared" si="331"/>
        <v>0</v>
      </c>
      <c r="AI660" s="44">
        <f t="shared" si="325"/>
        <v>0</v>
      </c>
      <c r="AJ660" s="44">
        <f t="shared" si="315"/>
        <v>0</v>
      </c>
      <c r="AK660" s="44">
        <f t="shared" si="301"/>
        <v>0</v>
      </c>
      <c r="AL660" s="4">
        <f t="shared" si="316"/>
        <v>582</v>
      </c>
      <c r="AM660" s="82">
        <f t="shared" si="326"/>
        <v>0</v>
      </c>
      <c r="AN660" s="82">
        <f t="shared" si="317"/>
        <v>0</v>
      </c>
      <c r="AO660" s="48">
        <f>0</f>
        <v>0</v>
      </c>
      <c r="AP660" s="91">
        <f t="shared" si="327"/>
        <v>0</v>
      </c>
      <c r="AQ660" s="91">
        <f t="shared" si="328"/>
        <v>0</v>
      </c>
      <c r="AV660" s="84"/>
    </row>
    <row r="661" spans="1:48">
      <c r="A661" s="190">
        <f t="shared" si="318"/>
        <v>114.30424366872005</v>
      </c>
      <c r="B661" s="82">
        <f t="shared" si="319"/>
        <v>49</v>
      </c>
      <c r="C661" s="83">
        <f t="shared" si="320"/>
        <v>583</v>
      </c>
      <c r="D661" s="14">
        <f t="shared" si="307"/>
        <v>4.8675505653430484E-3</v>
      </c>
      <c r="E661" s="16">
        <f t="shared" si="308"/>
        <v>0</v>
      </c>
      <c r="F661" s="127"/>
      <c r="G661" s="88">
        <f t="shared" si="309"/>
        <v>0</v>
      </c>
      <c r="H661" s="89">
        <f t="shared" si="321"/>
        <v>4.1666666666666666E-3</v>
      </c>
      <c r="I661" s="219"/>
      <c r="J661" s="219"/>
      <c r="K661" s="6">
        <f t="shared" si="329"/>
        <v>0</v>
      </c>
      <c r="M661" s="6">
        <f t="shared" si="310"/>
        <v>0</v>
      </c>
      <c r="N661" s="6">
        <f t="shared" si="322"/>
        <v>0</v>
      </c>
      <c r="O661" s="90">
        <f t="shared" si="311"/>
        <v>0</v>
      </c>
      <c r="P661" s="91">
        <f t="shared" si="312"/>
        <v>0</v>
      </c>
      <c r="Q661" s="6">
        <f t="shared" si="313"/>
        <v>0</v>
      </c>
      <c r="R661" s="87">
        <f t="shared" si="300"/>
        <v>0</v>
      </c>
      <c r="S661" s="6">
        <f t="shared" si="314"/>
        <v>0</v>
      </c>
      <c r="T661" s="83">
        <f t="shared" si="323"/>
        <v>0</v>
      </c>
      <c r="U661" s="91">
        <f t="shared" si="330"/>
        <v>0</v>
      </c>
      <c r="V661" s="91">
        <f t="shared" si="324"/>
        <v>0</v>
      </c>
      <c r="W661" s="1">
        <f t="shared" si="331"/>
        <v>0</v>
      </c>
      <c r="X661" s="1">
        <f t="shared" si="331"/>
        <v>0</v>
      </c>
      <c r="Y661" s="1">
        <f t="shared" si="331"/>
        <v>0</v>
      </c>
      <c r="Z661" s="1">
        <f t="shared" si="331"/>
        <v>0</v>
      </c>
      <c r="AA661" s="1">
        <f t="shared" si="331"/>
        <v>0</v>
      </c>
      <c r="AB661" s="1">
        <f t="shared" si="331"/>
        <v>0</v>
      </c>
      <c r="AC661" s="1">
        <f t="shared" si="331"/>
        <v>0</v>
      </c>
      <c r="AD661" s="1">
        <f t="shared" si="331"/>
        <v>0</v>
      </c>
      <c r="AE661" s="1">
        <f t="shared" si="331"/>
        <v>0</v>
      </c>
      <c r="AF661" s="1">
        <f t="shared" si="331"/>
        <v>0</v>
      </c>
      <c r="AG661" s="1">
        <f t="shared" si="331"/>
        <v>0</v>
      </c>
      <c r="AH661" s="1">
        <f t="shared" si="331"/>
        <v>0</v>
      </c>
      <c r="AI661" s="44">
        <f t="shared" si="325"/>
        <v>0</v>
      </c>
      <c r="AJ661" s="44">
        <f t="shared" si="315"/>
        <v>0</v>
      </c>
      <c r="AK661" s="44">
        <f t="shared" si="301"/>
        <v>0</v>
      </c>
      <c r="AL661" s="4">
        <f t="shared" si="316"/>
        <v>583</v>
      </c>
      <c r="AM661" s="82">
        <f t="shared" si="326"/>
        <v>0</v>
      </c>
      <c r="AN661" s="82">
        <f t="shared" si="317"/>
        <v>0</v>
      </c>
      <c r="AO661" s="48">
        <f>0</f>
        <v>0</v>
      </c>
      <c r="AP661" s="91">
        <f t="shared" si="327"/>
        <v>0</v>
      </c>
      <c r="AQ661" s="91">
        <f t="shared" si="328"/>
        <v>0</v>
      </c>
      <c r="AV661" s="84"/>
    </row>
    <row r="662" spans="1:48">
      <c r="A662" s="190">
        <f t="shared" si="318"/>
        <v>114.38757700205338</v>
      </c>
      <c r="B662" s="82">
        <f t="shared" si="319"/>
        <v>49</v>
      </c>
      <c r="C662" s="83">
        <f t="shared" si="320"/>
        <v>584</v>
      </c>
      <c r="D662" s="14">
        <f t="shared" si="307"/>
        <v>4.8675505653430484E-3</v>
      </c>
      <c r="E662" s="16">
        <f t="shared" si="308"/>
        <v>0</v>
      </c>
      <c r="F662" s="127"/>
      <c r="G662" s="88">
        <f t="shared" si="309"/>
        <v>0</v>
      </c>
      <c r="H662" s="89">
        <f t="shared" si="321"/>
        <v>4.1666666666666666E-3</v>
      </c>
      <c r="I662" s="219"/>
      <c r="J662" s="219"/>
      <c r="K662" s="6">
        <f t="shared" si="329"/>
        <v>0</v>
      </c>
      <c r="M662" s="6">
        <f t="shared" si="310"/>
        <v>0</v>
      </c>
      <c r="N662" s="6">
        <f t="shared" si="322"/>
        <v>0</v>
      </c>
      <c r="O662" s="90">
        <f t="shared" si="311"/>
        <v>0</v>
      </c>
      <c r="P662" s="91">
        <f t="shared" si="312"/>
        <v>0</v>
      </c>
      <c r="Q662" s="6">
        <f t="shared" si="313"/>
        <v>0</v>
      </c>
      <c r="R662" s="87">
        <f t="shared" si="300"/>
        <v>0</v>
      </c>
      <c r="S662" s="6">
        <f t="shared" si="314"/>
        <v>0</v>
      </c>
      <c r="T662" s="83">
        <f t="shared" si="323"/>
        <v>0</v>
      </c>
      <c r="U662" s="91">
        <f t="shared" si="330"/>
        <v>0</v>
      </c>
      <c r="V662" s="91">
        <f t="shared" si="324"/>
        <v>0</v>
      </c>
      <c r="W662" s="1">
        <f t="shared" si="331"/>
        <v>0</v>
      </c>
      <c r="X662" s="1">
        <f t="shared" si="331"/>
        <v>0</v>
      </c>
      <c r="Y662" s="1">
        <f t="shared" si="331"/>
        <v>0</v>
      </c>
      <c r="Z662" s="1">
        <f t="shared" si="331"/>
        <v>0</v>
      </c>
      <c r="AA662" s="1">
        <f t="shared" si="331"/>
        <v>0</v>
      </c>
      <c r="AB662" s="1">
        <f t="shared" si="331"/>
        <v>0</v>
      </c>
      <c r="AC662" s="1">
        <f t="shared" si="331"/>
        <v>0</v>
      </c>
      <c r="AD662" s="1">
        <f t="shared" si="331"/>
        <v>0</v>
      </c>
      <c r="AE662" s="1">
        <f t="shared" si="331"/>
        <v>0</v>
      </c>
      <c r="AF662" s="1">
        <f t="shared" si="331"/>
        <v>0</v>
      </c>
      <c r="AG662" s="1">
        <f t="shared" si="331"/>
        <v>0</v>
      </c>
      <c r="AH662" s="1">
        <f t="shared" si="331"/>
        <v>0</v>
      </c>
      <c r="AI662" s="44">
        <f t="shared" si="325"/>
        <v>0</v>
      </c>
      <c r="AJ662" s="44">
        <f t="shared" si="315"/>
        <v>0</v>
      </c>
      <c r="AK662" s="44">
        <f t="shared" si="301"/>
        <v>0</v>
      </c>
      <c r="AL662" s="4">
        <f t="shared" si="316"/>
        <v>584</v>
      </c>
      <c r="AM662" s="82">
        <f t="shared" si="326"/>
        <v>0</v>
      </c>
      <c r="AN662" s="82">
        <f t="shared" si="317"/>
        <v>0</v>
      </c>
      <c r="AO662" s="48">
        <f>0</f>
        <v>0</v>
      </c>
      <c r="AP662" s="91">
        <f t="shared" si="327"/>
        <v>0</v>
      </c>
      <c r="AQ662" s="91">
        <f t="shared" si="328"/>
        <v>0</v>
      </c>
      <c r="AV662" s="84"/>
    </row>
    <row r="663" spans="1:48">
      <c r="A663" s="190">
        <f t="shared" si="318"/>
        <v>114.47091033538672</v>
      </c>
      <c r="B663" s="82">
        <f t="shared" si="319"/>
        <v>49</v>
      </c>
      <c r="C663" s="83">
        <f t="shared" si="320"/>
        <v>585</v>
      </c>
      <c r="D663" s="14">
        <f t="shared" si="307"/>
        <v>4.8675505653430484E-3</v>
      </c>
      <c r="E663" s="16">
        <f t="shared" si="308"/>
        <v>0</v>
      </c>
      <c r="F663" s="127"/>
      <c r="G663" s="88">
        <f t="shared" si="309"/>
        <v>0</v>
      </c>
      <c r="H663" s="89">
        <f t="shared" si="321"/>
        <v>4.1666666666666666E-3</v>
      </c>
      <c r="I663" s="219"/>
      <c r="J663" s="219"/>
      <c r="K663" s="6">
        <f t="shared" si="329"/>
        <v>0</v>
      </c>
      <c r="M663" s="6">
        <f t="shared" si="310"/>
        <v>0</v>
      </c>
      <c r="N663" s="6">
        <f t="shared" si="322"/>
        <v>0</v>
      </c>
      <c r="O663" s="90">
        <f t="shared" si="311"/>
        <v>0</v>
      </c>
      <c r="P663" s="91">
        <f t="shared" si="312"/>
        <v>0</v>
      </c>
      <c r="Q663" s="6">
        <f t="shared" si="313"/>
        <v>0</v>
      </c>
      <c r="R663" s="87">
        <f t="shared" si="300"/>
        <v>0</v>
      </c>
      <c r="S663" s="6">
        <f t="shared" si="314"/>
        <v>0</v>
      </c>
      <c r="T663" s="83">
        <f t="shared" si="323"/>
        <v>0</v>
      </c>
      <c r="U663" s="91">
        <f t="shared" si="330"/>
        <v>0</v>
      </c>
      <c r="V663" s="91">
        <f t="shared" si="324"/>
        <v>0</v>
      </c>
      <c r="W663" s="1">
        <f t="shared" si="331"/>
        <v>0</v>
      </c>
      <c r="X663" s="1">
        <f t="shared" si="331"/>
        <v>0</v>
      </c>
      <c r="Y663" s="1">
        <f t="shared" si="331"/>
        <v>0</v>
      </c>
      <c r="Z663" s="1">
        <f t="shared" si="331"/>
        <v>0</v>
      </c>
      <c r="AA663" s="1">
        <f t="shared" si="331"/>
        <v>0</v>
      </c>
      <c r="AB663" s="1">
        <f t="shared" si="331"/>
        <v>0</v>
      </c>
      <c r="AC663" s="1">
        <f t="shared" si="331"/>
        <v>0</v>
      </c>
      <c r="AD663" s="1">
        <f t="shared" si="331"/>
        <v>0</v>
      </c>
      <c r="AE663" s="1">
        <f t="shared" si="331"/>
        <v>0</v>
      </c>
      <c r="AF663" s="1">
        <f t="shared" si="331"/>
        <v>0</v>
      </c>
      <c r="AG663" s="1">
        <f t="shared" si="331"/>
        <v>0</v>
      </c>
      <c r="AH663" s="1">
        <f t="shared" si="331"/>
        <v>0</v>
      </c>
      <c r="AI663" s="44">
        <f t="shared" si="325"/>
        <v>0</v>
      </c>
      <c r="AJ663" s="44">
        <f t="shared" si="315"/>
        <v>0</v>
      </c>
      <c r="AK663" s="44">
        <f t="shared" si="301"/>
        <v>0</v>
      </c>
      <c r="AL663" s="4">
        <f t="shared" si="316"/>
        <v>585</v>
      </c>
      <c r="AM663" s="82">
        <f t="shared" si="326"/>
        <v>0</v>
      </c>
      <c r="AN663" s="82">
        <f t="shared" si="317"/>
        <v>0</v>
      </c>
      <c r="AO663" s="48">
        <f>0</f>
        <v>0</v>
      </c>
      <c r="AP663" s="91">
        <f t="shared" si="327"/>
        <v>0</v>
      </c>
      <c r="AQ663" s="91">
        <f t="shared" si="328"/>
        <v>0</v>
      </c>
      <c r="AV663" s="84"/>
    </row>
    <row r="664" spans="1:48">
      <c r="A664" s="190">
        <f t="shared" si="318"/>
        <v>114.55424366872005</v>
      </c>
      <c r="B664" s="82">
        <f t="shared" si="319"/>
        <v>49</v>
      </c>
      <c r="C664" s="83">
        <f t="shared" si="320"/>
        <v>586</v>
      </c>
      <c r="D664" s="14">
        <f t="shared" si="307"/>
        <v>4.8675505653430484E-3</v>
      </c>
      <c r="E664" s="16">
        <f t="shared" si="308"/>
        <v>0</v>
      </c>
      <c r="F664" s="127"/>
      <c r="G664" s="88">
        <f t="shared" si="309"/>
        <v>0</v>
      </c>
      <c r="H664" s="89">
        <f t="shared" si="321"/>
        <v>4.1666666666666666E-3</v>
      </c>
      <c r="I664" s="219"/>
      <c r="J664" s="219"/>
      <c r="K664" s="6">
        <f t="shared" si="329"/>
        <v>0</v>
      </c>
      <c r="M664" s="6">
        <f t="shared" si="310"/>
        <v>0</v>
      </c>
      <c r="N664" s="6">
        <f t="shared" si="322"/>
        <v>0</v>
      </c>
      <c r="O664" s="90">
        <f t="shared" si="311"/>
        <v>0</v>
      </c>
      <c r="P664" s="91">
        <f t="shared" si="312"/>
        <v>0</v>
      </c>
      <c r="Q664" s="6">
        <f t="shared" si="313"/>
        <v>0</v>
      </c>
      <c r="R664" s="87">
        <f t="shared" si="300"/>
        <v>0</v>
      </c>
      <c r="S664" s="6">
        <f t="shared" si="314"/>
        <v>0</v>
      </c>
      <c r="T664" s="83">
        <f t="shared" si="323"/>
        <v>0</v>
      </c>
      <c r="U664" s="91">
        <f t="shared" si="330"/>
        <v>0</v>
      </c>
      <c r="V664" s="91">
        <f t="shared" si="324"/>
        <v>0</v>
      </c>
      <c r="W664" s="1">
        <f t="shared" si="331"/>
        <v>0</v>
      </c>
      <c r="X664" s="1">
        <f t="shared" si="331"/>
        <v>0</v>
      </c>
      <c r="Y664" s="1">
        <f t="shared" si="331"/>
        <v>0</v>
      </c>
      <c r="Z664" s="1">
        <f t="shared" si="331"/>
        <v>0</v>
      </c>
      <c r="AA664" s="1">
        <f t="shared" si="331"/>
        <v>0</v>
      </c>
      <c r="AB664" s="1">
        <f t="shared" si="331"/>
        <v>0</v>
      </c>
      <c r="AC664" s="1">
        <f t="shared" si="331"/>
        <v>0</v>
      </c>
      <c r="AD664" s="1">
        <f t="shared" si="331"/>
        <v>0</v>
      </c>
      <c r="AE664" s="1">
        <f t="shared" si="331"/>
        <v>0</v>
      </c>
      <c r="AF664" s="1">
        <f t="shared" si="331"/>
        <v>0</v>
      </c>
      <c r="AG664" s="1">
        <f t="shared" si="331"/>
        <v>0</v>
      </c>
      <c r="AH664" s="1">
        <f t="shared" si="331"/>
        <v>0</v>
      </c>
      <c r="AI664" s="44">
        <f t="shared" si="325"/>
        <v>0</v>
      </c>
      <c r="AJ664" s="44">
        <f t="shared" si="315"/>
        <v>0</v>
      </c>
      <c r="AK664" s="44">
        <f t="shared" si="301"/>
        <v>0</v>
      </c>
      <c r="AL664" s="4">
        <f t="shared" si="316"/>
        <v>586</v>
      </c>
      <c r="AM664" s="82">
        <f t="shared" si="326"/>
        <v>0</v>
      </c>
      <c r="AN664" s="82">
        <f t="shared" si="317"/>
        <v>0</v>
      </c>
      <c r="AO664" s="48">
        <f>0</f>
        <v>0</v>
      </c>
      <c r="AP664" s="91">
        <f t="shared" si="327"/>
        <v>0</v>
      </c>
      <c r="AQ664" s="91">
        <f t="shared" si="328"/>
        <v>0</v>
      </c>
      <c r="AV664" s="84"/>
    </row>
    <row r="665" spans="1:48">
      <c r="A665" s="190">
        <f t="shared" si="318"/>
        <v>114.63757700205338</v>
      </c>
      <c r="B665" s="82">
        <f t="shared" si="319"/>
        <v>49</v>
      </c>
      <c r="C665" s="83">
        <f t="shared" si="320"/>
        <v>587</v>
      </c>
      <c r="D665" s="14">
        <f t="shared" si="307"/>
        <v>4.8675505653430484E-3</v>
      </c>
      <c r="E665" s="16">
        <f t="shared" si="308"/>
        <v>0</v>
      </c>
      <c r="F665" s="127"/>
      <c r="G665" s="88">
        <f t="shared" si="309"/>
        <v>0</v>
      </c>
      <c r="H665" s="89">
        <f t="shared" si="321"/>
        <v>4.1666666666666666E-3</v>
      </c>
      <c r="I665" s="219"/>
      <c r="J665" s="219"/>
      <c r="K665" s="6">
        <f t="shared" si="329"/>
        <v>0</v>
      </c>
      <c r="M665" s="6">
        <f t="shared" si="310"/>
        <v>0</v>
      </c>
      <c r="N665" s="6">
        <f t="shared" si="322"/>
        <v>0</v>
      </c>
      <c r="O665" s="90">
        <f t="shared" si="311"/>
        <v>0</v>
      </c>
      <c r="P665" s="91">
        <f t="shared" si="312"/>
        <v>0</v>
      </c>
      <c r="Q665" s="6">
        <f t="shared" si="313"/>
        <v>0</v>
      </c>
      <c r="R665" s="87">
        <f t="shared" si="300"/>
        <v>0</v>
      </c>
      <c r="S665" s="6">
        <f t="shared" si="314"/>
        <v>0</v>
      </c>
      <c r="T665" s="83">
        <f t="shared" si="323"/>
        <v>0</v>
      </c>
      <c r="U665" s="91">
        <f t="shared" si="330"/>
        <v>0</v>
      </c>
      <c r="V665" s="91">
        <f t="shared" si="324"/>
        <v>0</v>
      </c>
      <c r="W665" s="1">
        <f t="shared" si="331"/>
        <v>0</v>
      </c>
      <c r="X665" s="1">
        <f t="shared" si="331"/>
        <v>0</v>
      </c>
      <c r="Y665" s="1">
        <f t="shared" si="331"/>
        <v>0</v>
      </c>
      <c r="Z665" s="1">
        <f t="shared" si="331"/>
        <v>0</v>
      </c>
      <c r="AA665" s="1">
        <f t="shared" si="331"/>
        <v>0</v>
      </c>
      <c r="AB665" s="1">
        <f t="shared" si="331"/>
        <v>0</v>
      </c>
      <c r="AC665" s="1">
        <f t="shared" si="331"/>
        <v>0</v>
      </c>
      <c r="AD665" s="1">
        <f t="shared" si="331"/>
        <v>0</v>
      </c>
      <c r="AE665" s="1">
        <f t="shared" si="331"/>
        <v>0</v>
      </c>
      <c r="AF665" s="1">
        <f t="shared" si="331"/>
        <v>0</v>
      </c>
      <c r="AG665" s="1">
        <f t="shared" si="331"/>
        <v>0</v>
      </c>
      <c r="AH665" s="1">
        <f t="shared" si="331"/>
        <v>0</v>
      </c>
      <c r="AI665" s="44">
        <f t="shared" si="325"/>
        <v>0</v>
      </c>
      <c r="AJ665" s="44">
        <f t="shared" si="315"/>
        <v>0</v>
      </c>
      <c r="AK665" s="44">
        <f t="shared" si="301"/>
        <v>0</v>
      </c>
      <c r="AL665" s="4">
        <f t="shared" si="316"/>
        <v>587</v>
      </c>
      <c r="AM665" s="82">
        <f t="shared" si="326"/>
        <v>0</v>
      </c>
      <c r="AN665" s="82">
        <f t="shared" si="317"/>
        <v>0</v>
      </c>
      <c r="AO665" s="48">
        <f>0</f>
        <v>0</v>
      </c>
      <c r="AP665" s="91">
        <f t="shared" si="327"/>
        <v>0</v>
      </c>
      <c r="AQ665" s="91">
        <f t="shared" si="328"/>
        <v>0</v>
      </c>
      <c r="AV665" s="84"/>
    </row>
    <row r="666" spans="1:48">
      <c r="A666" s="190">
        <f t="shared" si="318"/>
        <v>114.72091033538672</v>
      </c>
      <c r="B666" s="82">
        <f t="shared" si="319"/>
        <v>49</v>
      </c>
      <c r="C666" s="83">
        <f t="shared" si="320"/>
        <v>588</v>
      </c>
      <c r="D666" s="14">
        <f t="shared" si="307"/>
        <v>4.8675505653430484E-3</v>
      </c>
      <c r="E666" s="16">
        <f t="shared" si="308"/>
        <v>0</v>
      </c>
      <c r="F666" s="127"/>
      <c r="G666" s="88">
        <f t="shared" si="309"/>
        <v>0</v>
      </c>
      <c r="H666" s="89">
        <f t="shared" si="321"/>
        <v>4.1666666666666666E-3</v>
      </c>
      <c r="I666" s="219"/>
      <c r="J666" s="219"/>
      <c r="K666" s="6">
        <f t="shared" si="329"/>
        <v>0</v>
      </c>
      <c r="M666" s="6">
        <f t="shared" si="310"/>
        <v>0</v>
      </c>
      <c r="N666" s="6">
        <f t="shared" si="322"/>
        <v>0</v>
      </c>
      <c r="O666" s="90">
        <f t="shared" si="311"/>
        <v>0</v>
      </c>
      <c r="P666" s="91">
        <f t="shared" si="312"/>
        <v>0</v>
      </c>
      <c r="Q666" s="6">
        <f t="shared" si="313"/>
        <v>0</v>
      </c>
      <c r="R666" s="87">
        <f t="shared" si="300"/>
        <v>0</v>
      </c>
      <c r="S666" s="6">
        <f t="shared" si="314"/>
        <v>0</v>
      </c>
      <c r="T666" s="83">
        <f t="shared" si="323"/>
        <v>0</v>
      </c>
      <c r="U666" s="91">
        <f t="shared" si="330"/>
        <v>0</v>
      </c>
      <c r="V666" s="91">
        <f t="shared" si="324"/>
        <v>0</v>
      </c>
      <c r="W666" s="1">
        <f t="shared" si="331"/>
        <v>0</v>
      </c>
      <c r="X666" s="1">
        <f t="shared" si="331"/>
        <v>0</v>
      </c>
      <c r="Y666" s="1">
        <f t="shared" si="331"/>
        <v>0</v>
      </c>
      <c r="Z666" s="1">
        <f t="shared" si="331"/>
        <v>0</v>
      </c>
      <c r="AA666" s="1">
        <f t="shared" si="331"/>
        <v>0</v>
      </c>
      <c r="AB666" s="1">
        <f t="shared" si="331"/>
        <v>0</v>
      </c>
      <c r="AC666" s="1">
        <f t="shared" si="331"/>
        <v>0</v>
      </c>
      <c r="AD666" s="1">
        <f t="shared" si="331"/>
        <v>0</v>
      </c>
      <c r="AE666" s="1">
        <f t="shared" si="331"/>
        <v>0</v>
      </c>
      <c r="AF666" s="1">
        <f t="shared" si="331"/>
        <v>0</v>
      </c>
      <c r="AG666" s="1">
        <f t="shared" si="331"/>
        <v>0</v>
      </c>
      <c r="AH666" s="1">
        <f t="shared" si="331"/>
        <v>0</v>
      </c>
      <c r="AI666" s="44">
        <f t="shared" si="325"/>
        <v>0</v>
      </c>
      <c r="AJ666" s="44">
        <f t="shared" si="315"/>
        <v>0</v>
      </c>
      <c r="AK666" s="44">
        <f t="shared" si="301"/>
        <v>0</v>
      </c>
      <c r="AL666" s="4">
        <f t="shared" si="316"/>
        <v>588</v>
      </c>
      <c r="AM666" s="82">
        <f t="shared" si="326"/>
        <v>0</v>
      </c>
      <c r="AN666" s="82">
        <f t="shared" si="317"/>
        <v>0</v>
      </c>
      <c r="AO666" s="48">
        <f>0</f>
        <v>0</v>
      </c>
      <c r="AP666" s="91">
        <f t="shared" si="327"/>
        <v>0</v>
      </c>
      <c r="AQ666" s="91">
        <f t="shared" si="328"/>
        <v>0</v>
      </c>
      <c r="AV666" s="84"/>
    </row>
    <row r="667" spans="1:48">
      <c r="A667" s="190">
        <f t="shared" si="318"/>
        <v>114.80424366872005</v>
      </c>
      <c r="B667" s="82">
        <f t="shared" si="319"/>
        <v>50</v>
      </c>
      <c r="C667" s="83">
        <f t="shared" si="320"/>
        <v>589</v>
      </c>
      <c r="D667" s="14">
        <f t="shared" si="307"/>
        <v>4.8675505653430484E-3</v>
      </c>
      <c r="E667" s="16">
        <f t="shared" si="308"/>
        <v>0</v>
      </c>
      <c r="F667" s="127"/>
      <c r="G667" s="88">
        <f t="shared" si="309"/>
        <v>0</v>
      </c>
      <c r="H667" s="89">
        <f t="shared" si="321"/>
        <v>4.1666666666666666E-3</v>
      </c>
      <c r="I667" s="219"/>
      <c r="J667" s="219"/>
      <c r="K667" s="6">
        <f t="shared" si="329"/>
        <v>0</v>
      </c>
      <c r="M667" s="6">
        <f t="shared" si="310"/>
        <v>0</v>
      </c>
      <c r="N667" s="6">
        <f t="shared" si="322"/>
        <v>0</v>
      </c>
      <c r="O667" s="90">
        <f t="shared" si="311"/>
        <v>0</v>
      </c>
      <c r="P667" s="91">
        <f t="shared" si="312"/>
        <v>0</v>
      </c>
      <c r="Q667" s="6">
        <f t="shared" si="313"/>
        <v>0</v>
      </c>
      <c r="R667" s="87">
        <f t="shared" si="300"/>
        <v>0</v>
      </c>
      <c r="S667" s="6">
        <f t="shared" si="314"/>
        <v>0</v>
      </c>
      <c r="T667" s="83">
        <f t="shared" si="323"/>
        <v>0</v>
      </c>
      <c r="U667" s="91">
        <f t="shared" si="330"/>
        <v>0</v>
      </c>
      <c r="V667" s="91">
        <f t="shared" si="324"/>
        <v>0</v>
      </c>
      <c r="W667" s="1">
        <f t="shared" si="331"/>
        <v>0</v>
      </c>
      <c r="X667" s="1">
        <f t="shared" si="331"/>
        <v>0</v>
      </c>
      <c r="Y667" s="1">
        <f t="shared" si="331"/>
        <v>0</v>
      </c>
      <c r="Z667" s="1">
        <f t="shared" si="331"/>
        <v>0</v>
      </c>
      <c r="AA667" s="1">
        <f t="shared" si="331"/>
        <v>0</v>
      </c>
      <c r="AB667" s="1">
        <f t="shared" si="331"/>
        <v>0</v>
      </c>
      <c r="AC667" s="1">
        <f t="shared" si="331"/>
        <v>0</v>
      </c>
      <c r="AD667" s="1">
        <f t="shared" si="331"/>
        <v>0</v>
      </c>
      <c r="AE667" s="1">
        <f t="shared" si="331"/>
        <v>0</v>
      </c>
      <c r="AF667" s="1">
        <f t="shared" si="331"/>
        <v>0</v>
      </c>
      <c r="AG667" s="1">
        <f t="shared" si="331"/>
        <v>0</v>
      </c>
      <c r="AH667" s="1">
        <f t="shared" si="331"/>
        <v>0</v>
      </c>
      <c r="AI667" s="44">
        <f t="shared" si="325"/>
        <v>0</v>
      </c>
      <c r="AJ667" s="44">
        <f t="shared" si="315"/>
        <v>0</v>
      </c>
      <c r="AK667" s="44">
        <f t="shared" si="301"/>
        <v>0</v>
      </c>
      <c r="AL667" s="4">
        <f t="shared" si="316"/>
        <v>589</v>
      </c>
      <c r="AM667" s="82">
        <f t="shared" si="326"/>
        <v>0</v>
      </c>
      <c r="AN667" s="82">
        <f t="shared" si="317"/>
        <v>0</v>
      </c>
      <c r="AO667" s="48">
        <f>0</f>
        <v>0</v>
      </c>
      <c r="AP667" s="91">
        <f t="shared" si="327"/>
        <v>0</v>
      </c>
      <c r="AQ667" s="91">
        <f t="shared" si="328"/>
        <v>0</v>
      </c>
      <c r="AV667" s="84"/>
    </row>
    <row r="668" spans="1:48">
      <c r="A668" s="190">
        <f t="shared" si="318"/>
        <v>114.88757700205338</v>
      </c>
      <c r="B668" s="82">
        <f t="shared" si="319"/>
        <v>50</v>
      </c>
      <c r="C668" s="83">
        <f t="shared" si="320"/>
        <v>590</v>
      </c>
      <c r="D668" s="14">
        <f t="shared" si="307"/>
        <v>4.8675505653430484E-3</v>
      </c>
      <c r="E668" s="16">
        <f t="shared" si="308"/>
        <v>0</v>
      </c>
      <c r="F668" s="127"/>
      <c r="G668" s="88">
        <f t="shared" si="309"/>
        <v>0</v>
      </c>
      <c r="H668" s="89">
        <f t="shared" si="321"/>
        <v>4.1666666666666666E-3</v>
      </c>
      <c r="I668" s="219"/>
      <c r="J668" s="219"/>
      <c r="K668" s="6">
        <f t="shared" si="329"/>
        <v>0</v>
      </c>
      <c r="M668" s="6">
        <f t="shared" si="310"/>
        <v>0</v>
      </c>
      <c r="N668" s="6">
        <f t="shared" si="322"/>
        <v>0</v>
      </c>
      <c r="O668" s="90">
        <f t="shared" si="311"/>
        <v>0</v>
      </c>
      <c r="P668" s="91">
        <f t="shared" si="312"/>
        <v>0</v>
      </c>
      <c r="Q668" s="6">
        <f t="shared" si="313"/>
        <v>0</v>
      </c>
      <c r="R668" s="87">
        <f t="shared" ref="R668:R678" si="332">-MIN(MAX(O668,P668,Q668,-R656*1.02),AJ668)</f>
        <v>0</v>
      </c>
      <c r="S668" s="6">
        <f t="shared" si="314"/>
        <v>0</v>
      </c>
      <c r="T668" s="83">
        <f t="shared" si="323"/>
        <v>0</v>
      </c>
      <c r="U668" s="91">
        <f t="shared" si="330"/>
        <v>0</v>
      </c>
      <c r="V668" s="91">
        <f t="shared" si="324"/>
        <v>0</v>
      </c>
      <c r="W668" s="1">
        <f t="shared" si="331"/>
        <v>0</v>
      </c>
      <c r="X668" s="1">
        <f t="shared" si="331"/>
        <v>0</v>
      </c>
      <c r="Y668" s="1">
        <f t="shared" si="331"/>
        <v>0</v>
      </c>
      <c r="Z668" s="1">
        <f t="shared" si="331"/>
        <v>0</v>
      </c>
      <c r="AA668" s="1">
        <f t="shared" si="331"/>
        <v>0</v>
      </c>
      <c r="AB668" s="1">
        <f t="shared" si="331"/>
        <v>0</v>
      </c>
      <c r="AC668" s="1">
        <f t="shared" si="331"/>
        <v>0</v>
      </c>
      <c r="AD668" s="1">
        <f t="shared" si="331"/>
        <v>0</v>
      </c>
      <c r="AE668" s="1">
        <f t="shared" si="331"/>
        <v>0</v>
      </c>
      <c r="AF668" s="1">
        <f t="shared" si="331"/>
        <v>0</v>
      </c>
      <c r="AG668" s="1">
        <f t="shared" si="331"/>
        <v>0</v>
      </c>
      <c r="AH668" s="1">
        <f t="shared" si="331"/>
        <v>0</v>
      </c>
      <c r="AI668" s="44">
        <f t="shared" si="325"/>
        <v>0</v>
      </c>
      <c r="AJ668" s="44">
        <f t="shared" si="315"/>
        <v>0</v>
      </c>
      <c r="AK668" s="44">
        <f t="shared" ref="AK668:AK678" si="333">IF(R668=0,0,IF(R668&gt;R656,"Y","N"))</f>
        <v>0</v>
      </c>
      <c r="AL668" s="4">
        <f t="shared" si="316"/>
        <v>590</v>
      </c>
      <c r="AM668" s="82">
        <f t="shared" si="326"/>
        <v>0</v>
      </c>
      <c r="AN668" s="82">
        <f t="shared" si="317"/>
        <v>0</v>
      </c>
      <c r="AO668" s="48">
        <f>0</f>
        <v>0</v>
      </c>
      <c r="AP668" s="91">
        <f t="shared" si="327"/>
        <v>0</v>
      </c>
      <c r="AQ668" s="91">
        <f t="shared" si="328"/>
        <v>0</v>
      </c>
      <c r="AV668" s="84"/>
    </row>
    <row r="669" spans="1:48">
      <c r="A669" s="190">
        <f t="shared" si="318"/>
        <v>114.97091033538672</v>
      </c>
      <c r="B669" s="82">
        <f t="shared" si="319"/>
        <v>50</v>
      </c>
      <c r="C669" s="83">
        <f t="shared" si="320"/>
        <v>591</v>
      </c>
      <c r="D669" s="14">
        <f t="shared" si="307"/>
        <v>4.8675505653430484E-3</v>
      </c>
      <c r="E669" s="16">
        <f t="shared" si="308"/>
        <v>0</v>
      </c>
      <c r="F669" s="127"/>
      <c r="G669" s="88">
        <f t="shared" si="309"/>
        <v>0</v>
      </c>
      <c r="H669" s="89">
        <f t="shared" si="321"/>
        <v>4.1666666666666666E-3</v>
      </c>
      <c r="I669" s="219"/>
      <c r="J669" s="219"/>
      <c r="K669" s="6">
        <f t="shared" si="329"/>
        <v>0</v>
      </c>
      <c r="M669" s="6">
        <f t="shared" si="310"/>
        <v>0</v>
      </c>
      <c r="N669" s="6">
        <f t="shared" si="322"/>
        <v>0</v>
      </c>
      <c r="O669" s="90">
        <f t="shared" si="311"/>
        <v>0</v>
      </c>
      <c r="P669" s="91">
        <f t="shared" si="312"/>
        <v>0</v>
      </c>
      <c r="Q669" s="6">
        <f t="shared" si="313"/>
        <v>0</v>
      </c>
      <c r="R669" s="87">
        <f t="shared" si="332"/>
        <v>0</v>
      </c>
      <c r="S669" s="6">
        <f t="shared" si="314"/>
        <v>0</v>
      </c>
      <c r="T669" s="83">
        <f t="shared" si="323"/>
        <v>0</v>
      </c>
      <c r="U669" s="91">
        <f t="shared" si="330"/>
        <v>0</v>
      </c>
      <c r="V669" s="91">
        <f t="shared" si="324"/>
        <v>0</v>
      </c>
      <c r="W669" s="1">
        <f t="shared" ref="W669:AH678" si="334">IF($B669&lt;=W$78,1,0)</f>
        <v>0</v>
      </c>
      <c r="X669" s="1">
        <f t="shared" si="334"/>
        <v>0</v>
      </c>
      <c r="Y669" s="1">
        <f t="shared" si="334"/>
        <v>0</v>
      </c>
      <c r="Z669" s="1">
        <f t="shared" si="334"/>
        <v>0</v>
      </c>
      <c r="AA669" s="1">
        <f t="shared" si="334"/>
        <v>0</v>
      </c>
      <c r="AB669" s="1">
        <f t="shared" si="334"/>
        <v>0</v>
      </c>
      <c r="AC669" s="1">
        <f t="shared" si="334"/>
        <v>0</v>
      </c>
      <c r="AD669" s="1">
        <f t="shared" si="334"/>
        <v>0</v>
      </c>
      <c r="AE669" s="1">
        <f t="shared" si="334"/>
        <v>0</v>
      </c>
      <c r="AF669" s="1">
        <f t="shared" si="334"/>
        <v>0</v>
      </c>
      <c r="AG669" s="1">
        <f t="shared" si="334"/>
        <v>0</v>
      </c>
      <c r="AH669" s="1">
        <f t="shared" si="334"/>
        <v>0</v>
      </c>
      <c r="AI669" s="44">
        <f t="shared" si="325"/>
        <v>0</v>
      </c>
      <c r="AJ669" s="44">
        <f t="shared" si="315"/>
        <v>0</v>
      </c>
      <c r="AK669" s="44">
        <f t="shared" si="333"/>
        <v>0</v>
      </c>
      <c r="AL669" s="4">
        <f t="shared" si="316"/>
        <v>591</v>
      </c>
      <c r="AM669" s="82">
        <f t="shared" si="326"/>
        <v>0</v>
      </c>
      <c r="AN669" s="82">
        <f t="shared" si="317"/>
        <v>0</v>
      </c>
      <c r="AO669" s="48">
        <f>0</f>
        <v>0</v>
      </c>
      <c r="AP669" s="91">
        <f t="shared" si="327"/>
        <v>0</v>
      </c>
      <c r="AQ669" s="91">
        <f t="shared" si="328"/>
        <v>0</v>
      </c>
      <c r="AV669" s="84"/>
    </row>
    <row r="670" spans="1:48">
      <c r="A670" s="190">
        <f t="shared" si="318"/>
        <v>115.05424366872005</v>
      </c>
      <c r="B670" s="82">
        <f t="shared" si="319"/>
        <v>50</v>
      </c>
      <c r="C670" s="83">
        <f t="shared" si="320"/>
        <v>592</v>
      </c>
      <c r="D670" s="14">
        <f t="shared" si="307"/>
        <v>4.8675505653430484E-3</v>
      </c>
      <c r="E670" s="16">
        <f t="shared" si="308"/>
        <v>0</v>
      </c>
      <c r="F670" s="127"/>
      <c r="G670" s="88">
        <f t="shared" si="309"/>
        <v>0</v>
      </c>
      <c r="H670" s="89">
        <f t="shared" si="321"/>
        <v>4.1666666666666666E-3</v>
      </c>
      <c r="I670" s="219"/>
      <c r="J670" s="219"/>
      <c r="K670" s="6">
        <f t="shared" si="329"/>
        <v>0</v>
      </c>
      <c r="M670" s="6">
        <f t="shared" si="310"/>
        <v>0</v>
      </c>
      <c r="N670" s="6">
        <f t="shared" si="322"/>
        <v>0</v>
      </c>
      <c r="O670" s="90">
        <f t="shared" si="311"/>
        <v>0</v>
      </c>
      <c r="P670" s="91">
        <f t="shared" si="312"/>
        <v>0</v>
      </c>
      <c r="Q670" s="6">
        <f t="shared" si="313"/>
        <v>0</v>
      </c>
      <c r="R670" s="87">
        <f t="shared" si="332"/>
        <v>0</v>
      </c>
      <c r="S670" s="6">
        <f t="shared" si="314"/>
        <v>0</v>
      </c>
      <c r="T670" s="83">
        <f t="shared" si="323"/>
        <v>0</v>
      </c>
      <c r="U670" s="91">
        <f t="shared" si="330"/>
        <v>0</v>
      </c>
      <c r="V670" s="91">
        <f t="shared" si="324"/>
        <v>0</v>
      </c>
      <c r="W670" s="1">
        <f t="shared" si="334"/>
        <v>0</v>
      </c>
      <c r="X670" s="1">
        <f t="shared" si="334"/>
        <v>0</v>
      </c>
      <c r="Y670" s="1">
        <f t="shared" si="334"/>
        <v>0</v>
      </c>
      <c r="Z670" s="1">
        <f t="shared" si="334"/>
        <v>0</v>
      </c>
      <c r="AA670" s="1">
        <f t="shared" si="334"/>
        <v>0</v>
      </c>
      <c r="AB670" s="1">
        <f t="shared" si="334"/>
        <v>0</v>
      </c>
      <c r="AC670" s="1">
        <f t="shared" si="334"/>
        <v>0</v>
      </c>
      <c r="AD670" s="1">
        <f t="shared" si="334"/>
        <v>0</v>
      </c>
      <c r="AE670" s="1">
        <f t="shared" si="334"/>
        <v>0</v>
      </c>
      <c r="AF670" s="1">
        <f t="shared" si="334"/>
        <v>0</v>
      </c>
      <c r="AG670" s="1">
        <f t="shared" si="334"/>
        <v>0</v>
      </c>
      <c r="AH670" s="1">
        <f t="shared" si="334"/>
        <v>0</v>
      </c>
      <c r="AI670" s="44">
        <f t="shared" si="325"/>
        <v>0</v>
      </c>
      <c r="AJ670" s="44">
        <f t="shared" si="315"/>
        <v>0</v>
      </c>
      <c r="AK670" s="44">
        <f t="shared" si="333"/>
        <v>0</v>
      </c>
      <c r="AL670" s="4">
        <f t="shared" si="316"/>
        <v>592</v>
      </c>
      <c r="AM670" s="82">
        <f t="shared" si="326"/>
        <v>0</v>
      </c>
      <c r="AN670" s="82">
        <f t="shared" si="317"/>
        <v>0</v>
      </c>
      <c r="AO670" s="48">
        <f>0</f>
        <v>0</v>
      </c>
      <c r="AP670" s="91">
        <f t="shared" si="327"/>
        <v>0</v>
      </c>
      <c r="AQ670" s="91">
        <f t="shared" si="328"/>
        <v>0</v>
      </c>
      <c r="AV670" s="84"/>
    </row>
    <row r="671" spans="1:48">
      <c r="A671" s="190">
        <f t="shared" si="318"/>
        <v>115.13757700205338</v>
      </c>
      <c r="B671" s="82">
        <f t="shared" si="319"/>
        <v>50</v>
      </c>
      <c r="C671" s="83">
        <f t="shared" si="320"/>
        <v>593</v>
      </c>
      <c r="D671" s="14">
        <f t="shared" si="307"/>
        <v>4.8675505653430484E-3</v>
      </c>
      <c r="E671" s="16">
        <f t="shared" si="308"/>
        <v>0</v>
      </c>
      <c r="F671" s="127"/>
      <c r="G671" s="88">
        <f t="shared" si="309"/>
        <v>0</v>
      </c>
      <c r="H671" s="89">
        <f t="shared" si="321"/>
        <v>4.1666666666666666E-3</v>
      </c>
      <c r="I671" s="219"/>
      <c r="J671" s="219"/>
      <c r="K671" s="6">
        <f t="shared" si="329"/>
        <v>0</v>
      </c>
      <c r="M671" s="6">
        <f t="shared" si="310"/>
        <v>0</v>
      </c>
      <c r="N671" s="6">
        <f t="shared" si="322"/>
        <v>0</v>
      </c>
      <c r="O671" s="90">
        <f t="shared" si="311"/>
        <v>0</v>
      </c>
      <c r="P671" s="91">
        <f t="shared" si="312"/>
        <v>0</v>
      </c>
      <c r="Q671" s="6">
        <f t="shared" si="313"/>
        <v>0</v>
      </c>
      <c r="R671" s="87">
        <f t="shared" si="332"/>
        <v>0</v>
      </c>
      <c r="S671" s="6">
        <f t="shared" si="314"/>
        <v>0</v>
      </c>
      <c r="T671" s="83">
        <f t="shared" si="323"/>
        <v>0</v>
      </c>
      <c r="U671" s="91">
        <f t="shared" si="330"/>
        <v>0</v>
      </c>
      <c r="V671" s="91">
        <f t="shared" si="324"/>
        <v>0</v>
      </c>
      <c r="W671" s="1">
        <f t="shared" si="334"/>
        <v>0</v>
      </c>
      <c r="X671" s="1">
        <f t="shared" si="334"/>
        <v>0</v>
      </c>
      <c r="Y671" s="1">
        <f t="shared" si="334"/>
        <v>0</v>
      </c>
      <c r="Z671" s="1">
        <f t="shared" si="334"/>
        <v>0</v>
      </c>
      <c r="AA671" s="1">
        <f t="shared" si="334"/>
        <v>0</v>
      </c>
      <c r="AB671" s="1">
        <f t="shared" si="334"/>
        <v>0</v>
      </c>
      <c r="AC671" s="1">
        <f t="shared" si="334"/>
        <v>0</v>
      </c>
      <c r="AD671" s="1">
        <f t="shared" si="334"/>
        <v>0</v>
      </c>
      <c r="AE671" s="1">
        <f t="shared" si="334"/>
        <v>0</v>
      </c>
      <c r="AF671" s="1">
        <f t="shared" si="334"/>
        <v>0</v>
      </c>
      <c r="AG671" s="1">
        <f t="shared" si="334"/>
        <v>0</v>
      </c>
      <c r="AH671" s="1">
        <f t="shared" si="334"/>
        <v>0</v>
      </c>
      <c r="AI671" s="44">
        <f t="shared" si="325"/>
        <v>0</v>
      </c>
      <c r="AJ671" s="44">
        <f t="shared" si="315"/>
        <v>0</v>
      </c>
      <c r="AK671" s="44">
        <f t="shared" si="333"/>
        <v>0</v>
      </c>
      <c r="AL671" s="4">
        <f t="shared" si="316"/>
        <v>593</v>
      </c>
      <c r="AM671" s="82">
        <f t="shared" si="326"/>
        <v>0</v>
      </c>
      <c r="AN671" s="82">
        <f t="shared" si="317"/>
        <v>0</v>
      </c>
      <c r="AO671" s="48">
        <f>0</f>
        <v>0</v>
      </c>
      <c r="AP671" s="91">
        <f t="shared" si="327"/>
        <v>0</v>
      </c>
      <c r="AQ671" s="91">
        <f t="shared" si="328"/>
        <v>0</v>
      </c>
      <c r="AV671" s="84"/>
    </row>
    <row r="672" spans="1:48">
      <c r="A672" s="190">
        <f t="shared" si="318"/>
        <v>115.22091033538672</v>
      </c>
      <c r="B672" s="82">
        <f t="shared" si="319"/>
        <v>50</v>
      </c>
      <c r="C672" s="83">
        <f t="shared" si="320"/>
        <v>594</v>
      </c>
      <c r="D672" s="14">
        <f t="shared" si="307"/>
        <v>4.8675505653430484E-3</v>
      </c>
      <c r="E672" s="16">
        <f t="shared" si="308"/>
        <v>0</v>
      </c>
      <c r="F672" s="127"/>
      <c r="G672" s="88">
        <f t="shared" si="309"/>
        <v>0</v>
      </c>
      <c r="H672" s="89">
        <f t="shared" si="321"/>
        <v>4.1666666666666666E-3</v>
      </c>
      <c r="I672" s="219"/>
      <c r="J672" s="219"/>
      <c r="K672" s="6">
        <f t="shared" si="329"/>
        <v>0</v>
      </c>
      <c r="M672" s="6">
        <f t="shared" si="310"/>
        <v>0</v>
      </c>
      <c r="N672" s="6">
        <f t="shared" si="322"/>
        <v>0</v>
      </c>
      <c r="O672" s="90">
        <f t="shared" si="311"/>
        <v>0</v>
      </c>
      <c r="P672" s="91">
        <f t="shared" si="312"/>
        <v>0</v>
      </c>
      <c r="Q672" s="6">
        <f t="shared" si="313"/>
        <v>0</v>
      </c>
      <c r="R672" s="87">
        <f t="shared" si="332"/>
        <v>0</v>
      </c>
      <c r="S672" s="6">
        <f t="shared" si="314"/>
        <v>0</v>
      </c>
      <c r="T672" s="83">
        <f t="shared" si="323"/>
        <v>0</v>
      </c>
      <c r="U672" s="91">
        <f t="shared" si="330"/>
        <v>0</v>
      </c>
      <c r="V672" s="91">
        <f t="shared" si="324"/>
        <v>0</v>
      </c>
      <c r="W672" s="1">
        <f t="shared" si="334"/>
        <v>0</v>
      </c>
      <c r="X672" s="1">
        <f t="shared" si="334"/>
        <v>0</v>
      </c>
      <c r="Y672" s="1">
        <f t="shared" si="334"/>
        <v>0</v>
      </c>
      <c r="Z672" s="1">
        <f t="shared" si="334"/>
        <v>0</v>
      </c>
      <c r="AA672" s="1">
        <f t="shared" si="334"/>
        <v>0</v>
      </c>
      <c r="AB672" s="1">
        <f t="shared" si="334"/>
        <v>0</v>
      </c>
      <c r="AC672" s="1">
        <f t="shared" si="334"/>
        <v>0</v>
      </c>
      <c r="AD672" s="1">
        <f t="shared" si="334"/>
        <v>0</v>
      </c>
      <c r="AE672" s="1">
        <f t="shared" si="334"/>
        <v>0</v>
      </c>
      <c r="AF672" s="1">
        <f t="shared" si="334"/>
        <v>0</v>
      </c>
      <c r="AG672" s="1">
        <f t="shared" si="334"/>
        <v>0</v>
      </c>
      <c r="AH672" s="1">
        <f t="shared" si="334"/>
        <v>0</v>
      </c>
      <c r="AI672" s="44">
        <f t="shared" si="325"/>
        <v>0</v>
      </c>
      <c r="AJ672" s="44">
        <f t="shared" si="315"/>
        <v>0</v>
      </c>
      <c r="AK672" s="44">
        <f t="shared" si="333"/>
        <v>0</v>
      </c>
      <c r="AL672" s="4">
        <f t="shared" si="316"/>
        <v>594</v>
      </c>
      <c r="AM672" s="82">
        <f t="shared" si="326"/>
        <v>0</v>
      </c>
      <c r="AN672" s="82">
        <f t="shared" si="317"/>
        <v>0</v>
      </c>
      <c r="AO672" s="48">
        <f>0</f>
        <v>0</v>
      </c>
      <c r="AP672" s="91">
        <f t="shared" si="327"/>
        <v>0</v>
      </c>
      <c r="AQ672" s="91">
        <f t="shared" si="328"/>
        <v>0</v>
      </c>
      <c r="AV672" s="84"/>
    </row>
    <row r="673" spans="1:48">
      <c r="A673" s="190">
        <f t="shared" si="318"/>
        <v>115.30424366872005</v>
      </c>
      <c r="B673" s="82">
        <f t="shared" si="319"/>
        <v>50</v>
      </c>
      <c r="C673" s="83">
        <f t="shared" si="320"/>
        <v>595</v>
      </c>
      <c r="D673" s="14">
        <f t="shared" si="307"/>
        <v>4.8675505653430484E-3</v>
      </c>
      <c r="E673" s="16">
        <f t="shared" si="308"/>
        <v>0</v>
      </c>
      <c r="F673" s="127"/>
      <c r="G673" s="88">
        <f t="shared" si="309"/>
        <v>0</v>
      </c>
      <c r="H673" s="89">
        <f t="shared" si="321"/>
        <v>4.1666666666666666E-3</v>
      </c>
      <c r="I673" s="219"/>
      <c r="J673" s="219"/>
      <c r="K673" s="6">
        <f t="shared" si="329"/>
        <v>0</v>
      </c>
      <c r="M673" s="6">
        <f t="shared" si="310"/>
        <v>0</v>
      </c>
      <c r="N673" s="6">
        <f t="shared" si="322"/>
        <v>0</v>
      </c>
      <c r="O673" s="90">
        <f t="shared" si="311"/>
        <v>0</v>
      </c>
      <c r="P673" s="91">
        <f t="shared" si="312"/>
        <v>0</v>
      </c>
      <c r="Q673" s="6">
        <f t="shared" si="313"/>
        <v>0</v>
      </c>
      <c r="R673" s="87">
        <f t="shared" si="332"/>
        <v>0</v>
      </c>
      <c r="S673" s="6">
        <f t="shared" si="314"/>
        <v>0</v>
      </c>
      <c r="T673" s="83">
        <f t="shared" si="323"/>
        <v>0</v>
      </c>
      <c r="U673" s="91">
        <f t="shared" si="330"/>
        <v>0</v>
      </c>
      <c r="V673" s="91">
        <f t="shared" si="324"/>
        <v>0</v>
      </c>
      <c r="W673" s="1">
        <f t="shared" si="334"/>
        <v>0</v>
      </c>
      <c r="X673" s="1">
        <f t="shared" si="334"/>
        <v>0</v>
      </c>
      <c r="Y673" s="1">
        <f t="shared" si="334"/>
        <v>0</v>
      </c>
      <c r="Z673" s="1">
        <f t="shared" si="334"/>
        <v>0</v>
      </c>
      <c r="AA673" s="1">
        <f t="shared" si="334"/>
        <v>0</v>
      </c>
      <c r="AB673" s="1">
        <f t="shared" si="334"/>
        <v>0</v>
      </c>
      <c r="AC673" s="1">
        <f t="shared" si="334"/>
        <v>0</v>
      </c>
      <c r="AD673" s="1">
        <f t="shared" si="334"/>
        <v>0</v>
      </c>
      <c r="AE673" s="1">
        <f t="shared" si="334"/>
        <v>0</v>
      </c>
      <c r="AF673" s="1">
        <f t="shared" si="334"/>
        <v>0</v>
      </c>
      <c r="AG673" s="1">
        <f t="shared" si="334"/>
        <v>0</v>
      </c>
      <c r="AH673" s="1">
        <f t="shared" si="334"/>
        <v>0</v>
      </c>
      <c r="AI673" s="44">
        <f t="shared" si="325"/>
        <v>0</v>
      </c>
      <c r="AJ673" s="44">
        <f t="shared" si="315"/>
        <v>0</v>
      </c>
      <c r="AK673" s="44">
        <f t="shared" si="333"/>
        <v>0</v>
      </c>
      <c r="AL673" s="4">
        <f t="shared" si="316"/>
        <v>595</v>
      </c>
      <c r="AM673" s="82">
        <f t="shared" si="326"/>
        <v>0</v>
      </c>
      <c r="AN673" s="82">
        <f t="shared" si="317"/>
        <v>0</v>
      </c>
      <c r="AO673" s="48">
        <f>0</f>
        <v>0</v>
      </c>
      <c r="AP673" s="91">
        <f t="shared" si="327"/>
        <v>0</v>
      </c>
      <c r="AQ673" s="91">
        <f t="shared" si="328"/>
        <v>0</v>
      </c>
      <c r="AV673" s="84"/>
    </row>
    <row r="674" spans="1:48">
      <c r="A674" s="190">
        <f t="shared" si="318"/>
        <v>115.38757700205338</v>
      </c>
      <c r="B674" s="82">
        <f t="shared" si="319"/>
        <v>50</v>
      </c>
      <c r="C674" s="83">
        <f t="shared" si="320"/>
        <v>596</v>
      </c>
      <c r="D674" s="14">
        <f t="shared" si="307"/>
        <v>4.8675505653430484E-3</v>
      </c>
      <c r="E674" s="16">
        <f t="shared" si="308"/>
        <v>0</v>
      </c>
      <c r="F674" s="127"/>
      <c r="G674" s="88">
        <f t="shared" si="309"/>
        <v>0</v>
      </c>
      <c r="H674" s="89">
        <f t="shared" si="321"/>
        <v>4.1666666666666666E-3</v>
      </c>
      <c r="I674" s="219"/>
      <c r="J674" s="219"/>
      <c r="K674" s="6">
        <f t="shared" si="329"/>
        <v>0</v>
      </c>
      <c r="M674" s="6">
        <f t="shared" si="310"/>
        <v>0</v>
      </c>
      <c r="N674" s="6">
        <f t="shared" si="322"/>
        <v>0</v>
      </c>
      <c r="O674" s="90">
        <f t="shared" si="311"/>
        <v>0</v>
      </c>
      <c r="P674" s="91">
        <f t="shared" si="312"/>
        <v>0</v>
      </c>
      <c r="Q674" s="6">
        <f t="shared" si="313"/>
        <v>0</v>
      </c>
      <c r="R674" s="87">
        <f t="shared" si="332"/>
        <v>0</v>
      </c>
      <c r="S674" s="6">
        <f t="shared" si="314"/>
        <v>0</v>
      </c>
      <c r="T674" s="83">
        <f t="shared" si="323"/>
        <v>0</v>
      </c>
      <c r="U674" s="91">
        <f t="shared" si="330"/>
        <v>0</v>
      </c>
      <c r="V674" s="91">
        <f t="shared" si="324"/>
        <v>0</v>
      </c>
      <c r="W674" s="1">
        <f t="shared" si="334"/>
        <v>0</v>
      </c>
      <c r="X674" s="1">
        <f t="shared" si="334"/>
        <v>0</v>
      </c>
      <c r="Y674" s="1">
        <f t="shared" si="334"/>
        <v>0</v>
      </c>
      <c r="Z674" s="1">
        <f t="shared" si="334"/>
        <v>0</v>
      </c>
      <c r="AA674" s="1">
        <f t="shared" si="334"/>
        <v>0</v>
      </c>
      <c r="AB674" s="1">
        <f t="shared" si="334"/>
        <v>0</v>
      </c>
      <c r="AC674" s="1">
        <f t="shared" si="334"/>
        <v>0</v>
      </c>
      <c r="AD674" s="1">
        <f t="shared" si="334"/>
        <v>0</v>
      </c>
      <c r="AE674" s="1">
        <f t="shared" si="334"/>
        <v>0</v>
      </c>
      <c r="AF674" s="1">
        <f t="shared" si="334"/>
        <v>0</v>
      </c>
      <c r="AG674" s="1">
        <f t="shared" si="334"/>
        <v>0</v>
      </c>
      <c r="AH674" s="1">
        <f t="shared" si="334"/>
        <v>0</v>
      </c>
      <c r="AI674" s="44">
        <f t="shared" si="325"/>
        <v>0</v>
      </c>
      <c r="AJ674" s="44">
        <f t="shared" si="315"/>
        <v>0</v>
      </c>
      <c r="AK674" s="44">
        <f t="shared" si="333"/>
        <v>0</v>
      </c>
      <c r="AL674" s="4">
        <f t="shared" si="316"/>
        <v>596</v>
      </c>
      <c r="AM674" s="82">
        <f t="shared" si="326"/>
        <v>0</v>
      </c>
      <c r="AN674" s="82">
        <f t="shared" si="317"/>
        <v>0</v>
      </c>
      <c r="AO674" s="48">
        <f>0</f>
        <v>0</v>
      </c>
      <c r="AP674" s="91">
        <f t="shared" si="327"/>
        <v>0</v>
      </c>
      <c r="AQ674" s="91">
        <f t="shared" si="328"/>
        <v>0</v>
      </c>
      <c r="AV674" s="84"/>
    </row>
    <row r="675" spans="1:48">
      <c r="A675" s="190">
        <f t="shared" si="318"/>
        <v>115.47091033538672</v>
      </c>
      <c r="B675" s="82">
        <f t="shared" si="319"/>
        <v>50</v>
      </c>
      <c r="C675" s="83">
        <f t="shared" si="320"/>
        <v>597</v>
      </c>
      <c r="D675" s="14">
        <f t="shared" si="307"/>
        <v>4.8675505653430484E-3</v>
      </c>
      <c r="E675" s="16">
        <f t="shared" si="308"/>
        <v>0</v>
      </c>
      <c r="F675" s="127"/>
      <c r="G675" s="88">
        <f t="shared" si="309"/>
        <v>0</v>
      </c>
      <c r="H675" s="89">
        <f t="shared" si="321"/>
        <v>4.1666666666666666E-3</v>
      </c>
      <c r="I675" s="219"/>
      <c r="J675" s="219"/>
      <c r="K675" s="6">
        <f t="shared" si="329"/>
        <v>0</v>
      </c>
      <c r="M675" s="6">
        <f t="shared" si="310"/>
        <v>0</v>
      </c>
      <c r="N675" s="6">
        <f t="shared" si="322"/>
        <v>0</v>
      </c>
      <c r="O675" s="90">
        <f t="shared" si="311"/>
        <v>0</v>
      </c>
      <c r="P675" s="91">
        <f t="shared" si="312"/>
        <v>0</v>
      </c>
      <c r="Q675" s="6">
        <f t="shared" si="313"/>
        <v>0</v>
      </c>
      <c r="R675" s="87">
        <f t="shared" si="332"/>
        <v>0</v>
      </c>
      <c r="S675" s="6">
        <f t="shared" si="314"/>
        <v>0</v>
      </c>
      <c r="T675" s="83">
        <f t="shared" si="323"/>
        <v>0</v>
      </c>
      <c r="U675" s="91">
        <f t="shared" si="330"/>
        <v>0</v>
      </c>
      <c r="V675" s="91">
        <f t="shared" si="324"/>
        <v>0</v>
      </c>
      <c r="W675" s="1">
        <f t="shared" si="334"/>
        <v>0</v>
      </c>
      <c r="X675" s="1">
        <f t="shared" si="334"/>
        <v>0</v>
      </c>
      <c r="Y675" s="1">
        <f t="shared" si="334"/>
        <v>0</v>
      </c>
      <c r="Z675" s="1">
        <f t="shared" si="334"/>
        <v>0</v>
      </c>
      <c r="AA675" s="1">
        <f t="shared" si="334"/>
        <v>0</v>
      </c>
      <c r="AB675" s="1">
        <f t="shared" si="334"/>
        <v>0</v>
      </c>
      <c r="AC675" s="1">
        <f t="shared" si="334"/>
        <v>0</v>
      </c>
      <c r="AD675" s="1">
        <f t="shared" si="334"/>
        <v>0</v>
      </c>
      <c r="AE675" s="1">
        <f t="shared" si="334"/>
        <v>0</v>
      </c>
      <c r="AF675" s="1">
        <f t="shared" si="334"/>
        <v>0</v>
      </c>
      <c r="AG675" s="1">
        <f t="shared" si="334"/>
        <v>0</v>
      </c>
      <c r="AH675" s="1">
        <f t="shared" si="334"/>
        <v>0</v>
      </c>
      <c r="AI675" s="44">
        <f t="shared" si="325"/>
        <v>0</v>
      </c>
      <c r="AJ675" s="44">
        <f t="shared" si="315"/>
        <v>0</v>
      </c>
      <c r="AK675" s="44">
        <f t="shared" si="333"/>
        <v>0</v>
      </c>
      <c r="AL675" s="4">
        <f t="shared" si="316"/>
        <v>597</v>
      </c>
      <c r="AM675" s="82">
        <f t="shared" si="326"/>
        <v>0</v>
      </c>
      <c r="AN675" s="82">
        <f t="shared" si="317"/>
        <v>0</v>
      </c>
      <c r="AO675" s="48">
        <f>0</f>
        <v>0</v>
      </c>
      <c r="AP675" s="91">
        <f t="shared" si="327"/>
        <v>0</v>
      </c>
      <c r="AQ675" s="91">
        <f t="shared" si="328"/>
        <v>0</v>
      </c>
      <c r="AV675" s="84"/>
    </row>
    <row r="676" spans="1:48">
      <c r="A676" s="190">
        <f t="shared" si="318"/>
        <v>115.55424366872005</v>
      </c>
      <c r="B676" s="82">
        <f t="shared" si="319"/>
        <v>50</v>
      </c>
      <c r="C676" s="83">
        <f t="shared" si="320"/>
        <v>598</v>
      </c>
      <c r="D676" s="14">
        <f t="shared" si="307"/>
        <v>4.8675505653430484E-3</v>
      </c>
      <c r="E676" s="16">
        <f t="shared" si="308"/>
        <v>0</v>
      </c>
      <c r="F676" s="127"/>
      <c r="G676" s="88">
        <f t="shared" si="309"/>
        <v>0</v>
      </c>
      <c r="H676" s="89">
        <f t="shared" si="321"/>
        <v>4.1666666666666666E-3</v>
      </c>
      <c r="I676" s="219"/>
      <c r="J676" s="219"/>
      <c r="K676" s="6">
        <f t="shared" si="329"/>
        <v>0</v>
      </c>
      <c r="M676" s="6">
        <f t="shared" si="310"/>
        <v>0</v>
      </c>
      <c r="N676" s="6">
        <f t="shared" si="322"/>
        <v>0</v>
      </c>
      <c r="O676" s="90">
        <f t="shared" si="311"/>
        <v>0</v>
      </c>
      <c r="P676" s="91">
        <f t="shared" si="312"/>
        <v>0</v>
      </c>
      <c r="Q676" s="6">
        <f t="shared" si="313"/>
        <v>0</v>
      </c>
      <c r="R676" s="87">
        <f t="shared" si="332"/>
        <v>0</v>
      </c>
      <c r="S676" s="6">
        <f t="shared" si="314"/>
        <v>0</v>
      </c>
      <c r="T676" s="83">
        <f t="shared" si="323"/>
        <v>0</v>
      </c>
      <c r="U676" s="91">
        <f t="shared" si="330"/>
        <v>0</v>
      </c>
      <c r="V676" s="91">
        <f t="shared" si="324"/>
        <v>0</v>
      </c>
      <c r="W676" s="1">
        <f t="shared" si="334"/>
        <v>0</v>
      </c>
      <c r="X676" s="1">
        <f t="shared" si="334"/>
        <v>0</v>
      </c>
      <c r="Y676" s="1">
        <f t="shared" si="334"/>
        <v>0</v>
      </c>
      <c r="Z676" s="1">
        <f t="shared" si="334"/>
        <v>0</v>
      </c>
      <c r="AA676" s="1">
        <f t="shared" si="334"/>
        <v>0</v>
      </c>
      <c r="AB676" s="1">
        <f t="shared" si="334"/>
        <v>0</v>
      </c>
      <c r="AC676" s="1">
        <f t="shared" si="334"/>
        <v>0</v>
      </c>
      <c r="AD676" s="1">
        <f t="shared" si="334"/>
        <v>0</v>
      </c>
      <c r="AE676" s="1">
        <f t="shared" si="334"/>
        <v>0</v>
      </c>
      <c r="AF676" s="1">
        <f t="shared" si="334"/>
        <v>0</v>
      </c>
      <c r="AG676" s="1">
        <f t="shared" si="334"/>
        <v>0</v>
      </c>
      <c r="AH676" s="1">
        <f t="shared" si="334"/>
        <v>0</v>
      </c>
      <c r="AI676" s="44">
        <f t="shared" si="325"/>
        <v>0</v>
      </c>
      <c r="AJ676" s="44">
        <f t="shared" si="315"/>
        <v>0</v>
      </c>
      <c r="AK676" s="44">
        <f t="shared" si="333"/>
        <v>0</v>
      </c>
      <c r="AL676" s="4">
        <f t="shared" si="316"/>
        <v>598</v>
      </c>
      <c r="AM676" s="82">
        <f t="shared" si="326"/>
        <v>0</v>
      </c>
      <c r="AN676" s="82">
        <f t="shared" si="317"/>
        <v>0</v>
      </c>
      <c r="AO676" s="48">
        <f>0</f>
        <v>0</v>
      </c>
      <c r="AP676" s="91">
        <f t="shared" si="327"/>
        <v>0</v>
      </c>
      <c r="AQ676" s="91">
        <f t="shared" si="328"/>
        <v>0</v>
      </c>
      <c r="AV676" s="84"/>
    </row>
    <row r="677" spans="1:48">
      <c r="A677" s="190">
        <f t="shared" si="318"/>
        <v>115.63757700205338</v>
      </c>
      <c r="B677" s="82">
        <f t="shared" si="319"/>
        <v>50</v>
      </c>
      <c r="C677" s="83">
        <f t="shared" si="320"/>
        <v>599</v>
      </c>
      <c r="D677" s="14">
        <f t="shared" si="307"/>
        <v>4.8675505653430484E-3</v>
      </c>
      <c r="E677" s="16">
        <f t="shared" si="308"/>
        <v>0</v>
      </c>
      <c r="F677" s="127"/>
      <c r="G677" s="88">
        <f t="shared" si="309"/>
        <v>0</v>
      </c>
      <c r="H677" s="89">
        <f t="shared" si="321"/>
        <v>4.1666666666666666E-3</v>
      </c>
      <c r="I677" s="219"/>
      <c r="J677" s="219"/>
      <c r="K677" s="6">
        <f t="shared" si="329"/>
        <v>0</v>
      </c>
      <c r="M677" s="6">
        <f t="shared" si="310"/>
        <v>0</v>
      </c>
      <c r="N677" s="6">
        <f t="shared" si="322"/>
        <v>0</v>
      </c>
      <c r="O677" s="90">
        <f t="shared" si="311"/>
        <v>0</v>
      </c>
      <c r="P677" s="91">
        <f t="shared" si="312"/>
        <v>0</v>
      </c>
      <c r="Q677" s="6">
        <f t="shared" si="313"/>
        <v>0</v>
      </c>
      <c r="R677" s="87">
        <f t="shared" si="332"/>
        <v>0</v>
      </c>
      <c r="S677" s="6">
        <f t="shared" si="314"/>
        <v>0</v>
      </c>
      <c r="T677" s="83">
        <f t="shared" si="323"/>
        <v>0</v>
      </c>
      <c r="U677" s="91">
        <f t="shared" si="330"/>
        <v>0</v>
      </c>
      <c r="V677" s="91">
        <f t="shared" si="324"/>
        <v>0</v>
      </c>
      <c r="W677" s="1">
        <f t="shared" si="334"/>
        <v>0</v>
      </c>
      <c r="X677" s="1">
        <f t="shared" si="334"/>
        <v>0</v>
      </c>
      <c r="Y677" s="1">
        <f t="shared" si="334"/>
        <v>0</v>
      </c>
      <c r="Z677" s="1">
        <f t="shared" si="334"/>
        <v>0</v>
      </c>
      <c r="AA677" s="1">
        <f t="shared" si="334"/>
        <v>0</v>
      </c>
      <c r="AB677" s="1">
        <f t="shared" si="334"/>
        <v>0</v>
      </c>
      <c r="AC677" s="1">
        <f t="shared" si="334"/>
        <v>0</v>
      </c>
      <c r="AD677" s="1">
        <f t="shared" si="334"/>
        <v>0</v>
      </c>
      <c r="AE677" s="1">
        <f t="shared" si="334"/>
        <v>0</v>
      </c>
      <c r="AF677" s="1">
        <f t="shared" si="334"/>
        <v>0</v>
      </c>
      <c r="AG677" s="1">
        <f t="shared" si="334"/>
        <v>0</v>
      </c>
      <c r="AH677" s="1">
        <f t="shared" si="334"/>
        <v>0</v>
      </c>
      <c r="AI677" s="44">
        <f t="shared" si="325"/>
        <v>0</v>
      </c>
      <c r="AJ677" s="44">
        <f t="shared" si="315"/>
        <v>0</v>
      </c>
      <c r="AK677" s="44">
        <f t="shared" si="333"/>
        <v>0</v>
      </c>
      <c r="AL677" s="4">
        <f t="shared" si="316"/>
        <v>599</v>
      </c>
      <c r="AM677" s="82">
        <f t="shared" si="326"/>
        <v>0</v>
      </c>
      <c r="AN677" s="82">
        <f t="shared" si="317"/>
        <v>0</v>
      </c>
      <c r="AO677" s="48">
        <f>0</f>
        <v>0</v>
      </c>
      <c r="AP677" s="91">
        <f t="shared" si="327"/>
        <v>0</v>
      </c>
      <c r="AQ677" s="91">
        <f t="shared" si="328"/>
        <v>0</v>
      </c>
      <c r="AV677" s="84"/>
    </row>
    <row r="678" spans="1:48">
      <c r="A678" s="190">
        <f t="shared" si="318"/>
        <v>115.72091033538672</v>
      </c>
      <c r="B678" s="82">
        <f t="shared" si="319"/>
        <v>50</v>
      </c>
      <c r="C678" s="83">
        <f t="shared" si="320"/>
        <v>600</v>
      </c>
      <c r="D678" s="14">
        <f t="shared" si="307"/>
        <v>4.8675505653430484E-3</v>
      </c>
      <c r="E678" s="16">
        <f t="shared" si="308"/>
        <v>0</v>
      </c>
      <c r="F678" s="127"/>
      <c r="G678" s="88">
        <f t="shared" si="309"/>
        <v>0</v>
      </c>
      <c r="H678" s="89">
        <f t="shared" si="321"/>
        <v>4.1666666666666666E-3</v>
      </c>
      <c r="I678" s="219"/>
      <c r="J678" s="219"/>
      <c r="K678" s="6">
        <f t="shared" si="329"/>
        <v>0</v>
      </c>
      <c r="M678" s="6">
        <f t="shared" si="310"/>
        <v>0</v>
      </c>
      <c r="N678" s="6">
        <f t="shared" si="322"/>
        <v>0</v>
      </c>
      <c r="O678" s="90">
        <f t="shared" si="311"/>
        <v>0</v>
      </c>
      <c r="P678" s="91">
        <f t="shared" si="312"/>
        <v>0</v>
      </c>
      <c r="Q678" s="6">
        <f t="shared" si="313"/>
        <v>0</v>
      </c>
      <c r="R678" s="87">
        <f t="shared" si="332"/>
        <v>0</v>
      </c>
      <c r="S678" s="6">
        <f t="shared" si="314"/>
        <v>0</v>
      </c>
      <c r="T678" s="83">
        <f t="shared" si="323"/>
        <v>0</v>
      </c>
      <c r="U678" s="91">
        <f t="shared" si="330"/>
        <v>0</v>
      </c>
      <c r="V678" s="91">
        <f t="shared" si="324"/>
        <v>0</v>
      </c>
      <c r="W678" s="1">
        <f t="shared" si="334"/>
        <v>0</v>
      </c>
      <c r="X678" s="1">
        <f t="shared" si="334"/>
        <v>0</v>
      </c>
      <c r="Y678" s="1">
        <f t="shared" si="334"/>
        <v>0</v>
      </c>
      <c r="Z678" s="1">
        <f t="shared" si="334"/>
        <v>0</v>
      </c>
      <c r="AA678" s="1">
        <f t="shared" si="334"/>
        <v>0</v>
      </c>
      <c r="AB678" s="1">
        <f t="shared" si="334"/>
        <v>0</v>
      </c>
      <c r="AC678" s="1">
        <f t="shared" si="334"/>
        <v>0</v>
      </c>
      <c r="AD678" s="1">
        <f t="shared" si="334"/>
        <v>0</v>
      </c>
      <c r="AE678" s="1">
        <f t="shared" si="334"/>
        <v>0</v>
      </c>
      <c r="AF678" s="1">
        <f t="shared" si="334"/>
        <v>0</v>
      </c>
      <c r="AG678" s="1">
        <f t="shared" si="334"/>
        <v>0</v>
      </c>
      <c r="AH678" s="1">
        <f t="shared" si="334"/>
        <v>0</v>
      </c>
      <c r="AI678" s="44">
        <f t="shared" si="325"/>
        <v>0</v>
      </c>
      <c r="AJ678" s="44">
        <f t="shared" si="315"/>
        <v>0</v>
      </c>
      <c r="AK678" s="44">
        <f t="shared" si="333"/>
        <v>0</v>
      </c>
      <c r="AL678" s="4">
        <f t="shared" si="316"/>
        <v>600</v>
      </c>
      <c r="AM678" s="82">
        <f t="shared" si="326"/>
        <v>0</v>
      </c>
      <c r="AN678" s="82">
        <f t="shared" si="317"/>
        <v>0</v>
      </c>
      <c r="AO678" s="48">
        <f>0</f>
        <v>0</v>
      </c>
      <c r="AP678" s="91">
        <f t="shared" si="327"/>
        <v>0</v>
      </c>
      <c r="AQ678" s="91">
        <f t="shared" si="328"/>
        <v>0</v>
      </c>
      <c r="AV678" s="84"/>
    </row>
    <row r="685" spans="1:48" ht="14.25" thickBot="1"/>
    <row r="686" spans="1:48" ht="14.25" thickBot="1">
      <c r="B686" s="1" t="s">
        <v>176</v>
      </c>
      <c r="C686" s="74">
        <f>IFERROR(INDEX(B690:B1289,MATCH(0,K691:K1290,0)),"")</f>
        <v>25</v>
      </c>
      <c r="AM686" s="1" t="s">
        <v>170</v>
      </c>
      <c r="AN686" s="35" t="s">
        <v>171</v>
      </c>
      <c r="AO686" s="36">
        <f>IRR(AP691:AP1290,0)</f>
        <v>2.6458967738276495E-3</v>
      </c>
      <c r="AP686" s="37">
        <f>IRR(AQ691:AQ1292,0)</f>
        <v>1.507032129756336E-3</v>
      </c>
      <c r="AQ686" s="38" t="s">
        <v>172</v>
      </c>
    </row>
    <row r="687" spans="1:48" ht="14.25" thickBot="1">
      <c r="AN687" s="39" t="s">
        <v>174</v>
      </c>
      <c r="AO687" s="40">
        <f>(1+AO686)^12-1</f>
        <v>3.2216911581073759E-2</v>
      </c>
      <c r="AP687" s="41">
        <f>(1+AP686)^12-1</f>
        <v>1.8235036733697418E-2</v>
      </c>
      <c r="AQ687" s="42">
        <f>AO687-AP687</f>
        <v>1.3981874847376341E-2</v>
      </c>
      <c r="AS687" s="95"/>
    </row>
    <row r="688" spans="1:48">
      <c r="C688" s="73"/>
      <c r="AO688" s="47"/>
      <c r="AP688" s="47"/>
      <c r="AQ688" s="72"/>
    </row>
    <row r="689" spans="1:43">
      <c r="B689" s="2" t="s">
        <v>183</v>
      </c>
      <c r="G689" s="20"/>
    </row>
    <row r="690" spans="1:43" s="3" customFormat="1">
      <c r="A690" s="3" t="s">
        <v>184</v>
      </c>
      <c r="B690" s="3" t="s">
        <v>185</v>
      </c>
      <c r="C690" s="3" t="s">
        <v>186</v>
      </c>
      <c r="D690" s="3" t="s">
        <v>187</v>
      </c>
      <c r="E690" s="3" t="s">
        <v>188</v>
      </c>
      <c r="G690" s="3" t="s">
        <v>189</v>
      </c>
      <c r="H690" s="3" t="s">
        <v>190</v>
      </c>
      <c r="I690" s="3" t="s">
        <v>191</v>
      </c>
      <c r="J690" s="3" t="s">
        <v>192</v>
      </c>
      <c r="K690" s="3" t="s">
        <v>193</v>
      </c>
      <c r="L690" s="3" t="s">
        <v>194</v>
      </c>
      <c r="M690" s="3" t="s">
        <v>195</v>
      </c>
      <c r="N690" s="3" t="s">
        <v>196</v>
      </c>
      <c r="O690" s="3" t="s">
        <v>197</v>
      </c>
      <c r="P690" s="3" t="s">
        <v>198</v>
      </c>
      <c r="Q690" s="3" t="s">
        <v>199</v>
      </c>
      <c r="R690" s="3" t="s">
        <v>200</v>
      </c>
      <c r="S690" s="3" t="s">
        <v>57</v>
      </c>
      <c r="T690" s="3" t="s">
        <v>58</v>
      </c>
      <c r="U690" s="3" t="s">
        <v>201</v>
      </c>
      <c r="V690" s="3" t="s">
        <v>202</v>
      </c>
      <c r="W690" s="3">
        <f>$B$5</f>
        <v>1</v>
      </c>
      <c r="X690" s="3">
        <f>$B$6</f>
        <v>2</v>
      </c>
      <c r="Y690" s="3">
        <f>$B$7</f>
        <v>3</v>
      </c>
      <c r="Z690" s="3">
        <f>$B$8</f>
        <v>4</v>
      </c>
      <c r="AA690" s="3">
        <f>$B$9</f>
        <v>5</v>
      </c>
      <c r="AB690" s="3">
        <f>$B$10</f>
        <v>10</v>
      </c>
      <c r="AC690" s="3">
        <f>$B$11</f>
        <v>15</v>
      </c>
      <c r="AD690" s="3">
        <v>20</v>
      </c>
      <c r="AE690" s="3">
        <v>25</v>
      </c>
      <c r="AF690" s="3">
        <v>30</v>
      </c>
      <c r="AG690" s="3">
        <v>35</v>
      </c>
      <c r="AH690" s="3">
        <v>40</v>
      </c>
      <c r="AI690" s="3" t="s">
        <v>203</v>
      </c>
      <c r="AK690" s="3" t="s">
        <v>204</v>
      </c>
      <c r="AL690" s="3" t="s">
        <v>205</v>
      </c>
      <c r="AM690" s="3" t="s">
        <v>206</v>
      </c>
      <c r="AN690" s="3" t="s">
        <v>207</v>
      </c>
      <c r="AO690" s="3" t="s">
        <v>208</v>
      </c>
      <c r="AP690" s="3" t="s">
        <v>209</v>
      </c>
      <c r="AQ690" s="3" t="s">
        <v>210</v>
      </c>
    </row>
    <row r="691" spans="1:43">
      <c r="A691" s="189">
        <f>$C$43</f>
        <v>65.804243668720048</v>
      </c>
      <c r="B691" s="49">
        <v>1</v>
      </c>
      <c r="C691" s="188">
        <v>1</v>
      </c>
      <c r="D691" s="14">
        <f t="shared" ref="D691:D754" si="335">Growth_Rate_2_Monthly</f>
        <v>2.6283369587845051E-3</v>
      </c>
      <c r="E691" s="16">
        <f t="shared" ref="E691:E754" si="336">IF(Gtee_Flag="on",1,0)</f>
        <v>0</v>
      </c>
      <c r="F691" s="127"/>
      <c r="G691" s="88">
        <f t="shared" ref="G691:G754" si="337">IF(B691&lt;=8,VLOOKUP(Product_Code,Product_Parameters,B691+5,FALSE),0)</f>
        <v>0.05</v>
      </c>
      <c r="H691" s="89">
        <f>IF(SinglePrem&gt;=2000000,VLOOKUP("&gt;=2000000",Default_IncomeRate_table,3,FALSE),
IF($A691&lt;71,VLOOKUP("&lt;71",Default_IncomeRate_table,3,FALSE),
IF($A691&gt;=71,VLOOKUP("&gt;=71",Default_IncomeRate_table,3,FALSE),"")))</f>
        <v>3.3333333333333335E-3</v>
      </c>
      <c r="I691" s="6">
        <f>SinglePrem</f>
        <v>100000</v>
      </c>
      <c r="J691" s="6">
        <f>I691*(new_allocation_rate-1)</f>
        <v>0</v>
      </c>
      <c r="L691" s="6">
        <f>I691+J691</f>
        <v>100000</v>
      </c>
      <c r="M691" s="6">
        <f t="shared" ref="M691:M754" si="338">(K691+L691)*D691</f>
        <v>262.8336958784505</v>
      </c>
      <c r="N691" s="6">
        <f t="shared" ref="N691:N754" si="339">-(($K691+(L691)+M691/2)*(External_Fund_Charge_Monthly+Fund_Charge_Monthly+Gtee_Charge_Monthly*$E691))</f>
        <v>-113.13782371257908</v>
      </c>
      <c r="O691" s="90">
        <f t="shared" ref="O691:O754" si="340">IF(C691&gt;=Regular_Income_Start_Month,
MIN(Regular_Income_Amount/12*(1+Income_Escalation_Rate_Annual)^($B691-1),AJ691),0)</f>
        <v>333.33333333333331</v>
      </c>
      <c r="P691" s="91">
        <f t="shared" ref="P691:P754" si="341">MAX(IF(C691&gt;=Regular_Income_Start_Month,
MIN(IF(Income_Type="Fixed Percent",$C$51,0)/12*(K691+L691+M691+N691),AJ691),0),0)</f>
        <v>0</v>
      </c>
      <c r="Q691" s="6">
        <f t="shared" ref="Q691:Q754" si="342">MAX(IF(C691&gt;=Regular_Income_Start_Month,
MIN(H691*(K691+L691+M691+N691),AJ691),0),0)</f>
        <v>333.83231957388625</v>
      </c>
      <c r="R691" s="86">
        <f>-MAX(O691:Q691)</f>
        <v>-333.83231957388625</v>
      </c>
      <c r="S691" s="6">
        <f t="shared" ref="S691:S754" si="343">-(($K691+I691+M691/2+N691/2+R691/2)*(Ongoing_Commission_Monthly)+(I691)*new_upfront_commission)</f>
        <v>-4020.8380401656937</v>
      </c>
      <c r="T691" s="83">
        <f>SUM(K691:N691,R691)*$G691</f>
        <v>4990.7931776295991</v>
      </c>
      <c r="V691" s="34">
        <f>L691*D691</f>
        <v>262.8336958784505</v>
      </c>
      <c r="W691" s="1">
        <f t="shared" ref="W691:AH700" si="344">IF($B691&lt;=W$78,1,0)</f>
        <v>1</v>
      </c>
      <c r="X691" s="1">
        <f t="shared" si="344"/>
        <v>1</v>
      </c>
      <c r="Y691" s="1">
        <f t="shared" si="344"/>
        <v>1</v>
      </c>
      <c r="Z691" s="1">
        <f t="shared" si="344"/>
        <v>1</v>
      </c>
      <c r="AA691" s="1">
        <f t="shared" si="344"/>
        <v>1</v>
      </c>
      <c r="AB691" s="1">
        <f t="shared" si="344"/>
        <v>1</v>
      </c>
      <c r="AC691" s="1">
        <f t="shared" si="344"/>
        <v>1</v>
      </c>
      <c r="AD691" s="1">
        <f t="shared" si="344"/>
        <v>1</v>
      </c>
      <c r="AE691" s="1">
        <f t="shared" si="344"/>
        <v>1</v>
      </c>
      <c r="AF691" s="1">
        <f t="shared" si="344"/>
        <v>1</v>
      </c>
      <c r="AG691" s="1">
        <f t="shared" si="344"/>
        <v>1</v>
      </c>
      <c r="AH691" s="1">
        <f t="shared" si="344"/>
        <v>1</v>
      </c>
      <c r="AI691" s="44">
        <f>SUM(K691:N691,R691)</f>
        <v>99815.863552591982</v>
      </c>
      <c r="AJ691" s="44">
        <f t="shared" ref="AJ691:AJ754" si="345">MAX(0,SUM(K691:N691)-$C$66)</f>
        <v>100149.69587216587</v>
      </c>
      <c r="AK691" s="44"/>
      <c r="AL691" s="4">
        <f t="shared" ref="AL691:AL754" si="346">C691</f>
        <v>1</v>
      </c>
      <c r="AM691" s="34">
        <f>K691+I691</f>
        <v>100000</v>
      </c>
      <c r="AN691" s="82">
        <f t="shared" ref="AN691:AN754" si="347">IF(AND(B691=Fund_Zero_Year_2,K692=0,K691&gt;0),-U691,IF(AND(B691+1=Fund_Zero_Year_2,K692=0,K691&gt;0),-U691,0))</f>
        <v>0</v>
      </c>
      <c r="AO691" s="48">
        <v>0</v>
      </c>
      <c r="AP691" s="91">
        <f>$R691+AN691+AM691</f>
        <v>99666.167680426108</v>
      </c>
      <c r="AQ691" s="91">
        <f>$R691+AO691+AM691</f>
        <v>99666.167680426108</v>
      </c>
    </row>
    <row r="692" spans="1:43">
      <c r="A692" s="190">
        <f t="shared" ref="A692:A755" si="348">$C$43+C691/12</f>
        <v>65.887577002053376</v>
      </c>
      <c r="B692" s="82">
        <f t="shared" ref="B692:B755" si="349">INT((C692-1)/12)+1</f>
        <v>1</v>
      </c>
      <c r="C692" s="83">
        <f t="shared" ref="C692:C755" si="350">C691+1</f>
        <v>2</v>
      </c>
      <c r="D692" s="14">
        <f t="shared" si="335"/>
        <v>2.6283369587845051E-3</v>
      </c>
      <c r="E692" s="16">
        <f t="shared" si="336"/>
        <v>0</v>
      </c>
      <c r="F692" s="127"/>
      <c r="G692" s="88">
        <f t="shared" si="337"/>
        <v>0.05</v>
      </c>
      <c r="H692" s="89">
        <f t="shared" ref="H692:H755" si="351">IF((K691+L691+M691+N691+R691)&gt;=2000000,VLOOKUP("&gt;=2000000",Default_IncomeRate_table,3,FALSE),
IF($A692&lt;71,VLOOKUP("&lt;71",Default_IncomeRate_table,3,FALSE),
IF($A692&gt;=71,VLOOKUP("&gt;=71",Default_IncomeRate_table,3,FALSE),"")))</f>
        <v>3.3333333333333335E-3</v>
      </c>
      <c r="I692" s="219"/>
      <c r="J692" s="219"/>
      <c r="K692" s="6">
        <f>SUM(K691:M691,N691,R691)</f>
        <v>99815.863552591982</v>
      </c>
      <c r="M692" s="6">
        <f t="shared" si="338"/>
        <v>262.34972324826873</v>
      </c>
      <c r="N692" s="6">
        <f t="shared" si="339"/>
        <v>-112.92949574331999</v>
      </c>
      <c r="O692" s="90">
        <f t="shared" si="340"/>
        <v>333.33333333333331</v>
      </c>
      <c r="P692" s="91">
        <f t="shared" si="341"/>
        <v>0</v>
      </c>
      <c r="Q692" s="6">
        <f t="shared" si="342"/>
        <v>333.21761260032309</v>
      </c>
      <c r="R692" s="86">
        <f t="shared" ref="R692:R702" si="352">-MAX(O692:Q692)</f>
        <v>-333.33333333333331</v>
      </c>
      <c r="S692" s="6">
        <f t="shared" si="343"/>
        <v>-20.799657670745791</v>
      </c>
      <c r="T692" s="83">
        <f t="shared" ref="T692:T755" si="353">SUM(K692:N692,R692)*$G692</f>
        <v>4981.5975223381802</v>
      </c>
      <c r="U692" s="34">
        <f>SUM(I691,R691,V691)</f>
        <v>99929.001376304557</v>
      </c>
      <c r="V692" s="91">
        <f t="shared" ref="V692:V755" si="354">U692*D692</f>
        <v>262.64708757176896</v>
      </c>
      <c r="W692" s="1">
        <f t="shared" si="344"/>
        <v>1</v>
      </c>
      <c r="X692" s="1">
        <f t="shared" si="344"/>
        <v>1</v>
      </c>
      <c r="Y692" s="1">
        <f t="shared" si="344"/>
        <v>1</v>
      </c>
      <c r="Z692" s="1">
        <f t="shared" si="344"/>
        <v>1</v>
      </c>
      <c r="AA692" s="1">
        <f t="shared" si="344"/>
        <v>1</v>
      </c>
      <c r="AB692" s="1">
        <f t="shared" si="344"/>
        <v>1</v>
      </c>
      <c r="AC692" s="1">
        <f t="shared" si="344"/>
        <v>1</v>
      </c>
      <c r="AD692" s="1">
        <f t="shared" si="344"/>
        <v>1</v>
      </c>
      <c r="AE692" s="1">
        <f t="shared" si="344"/>
        <v>1</v>
      </c>
      <c r="AF692" s="1">
        <f t="shared" si="344"/>
        <v>1</v>
      </c>
      <c r="AG692" s="1">
        <f t="shared" si="344"/>
        <v>1</v>
      </c>
      <c r="AH692" s="1">
        <f t="shared" si="344"/>
        <v>1</v>
      </c>
      <c r="AI692" s="44">
        <f t="shared" ref="AI692:AI755" si="355">SUM(K692:N692,R692)</f>
        <v>99631.9504467636</v>
      </c>
      <c r="AJ692" s="44">
        <f t="shared" si="345"/>
        <v>99965.283780096928</v>
      </c>
      <c r="AK692" s="44"/>
      <c r="AL692" s="4">
        <f t="shared" si="346"/>
        <v>2</v>
      </c>
      <c r="AM692" s="82">
        <f t="shared" ref="AM692:AM755" si="356">I692</f>
        <v>0</v>
      </c>
      <c r="AN692" s="82">
        <f t="shared" si="347"/>
        <v>0</v>
      </c>
      <c r="AO692" s="48">
        <v>0</v>
      </c>
      <c r="AP692" s="91">
        <f t="shared" ref="AP692:AP755" si="357">$R692+AN692+AM692</f>
        <v>-333.33333333333331</v>
      </c>
      <c r="AQ692" s="91">
        <f t="shared" ref="AQ692:AQ755" si="358">$R692+AO692+AM692</f>
        <v>-333.33333333333331</v>
      </c>
    </row>
    <row r="693" spans="1:43">
      <c r="A693" s="190">
        <f t="shared" si="348"/>
        <v>65.970910335386719</v>
      </c>
      <c r="B693" s="82">
        <f t="shared" si="349"/>
        <v>1</v>
      </c>
      <c r="C693" s="83">
        <f t="shared" si="350"/>
        <v>3</v>
      </c>
      <c r="D693" s="14">
        <f t="shared" si="335"/>
        <v>2.6283369587845051E-3</v>
      </c>
      <c r="E693" s="16">
        <f t="shared" si="336"/>
        <v>0</v>
      </c>
      <c r="F693" s="127"/>
      <c r="G693" s="88">
        <f t="shared" si="337"/>
        <v>0.05</v>
      </c>
      <c r="H693" s="89">
        <f t="shared" si="351"/>
        <v>3.3333333333333335E-3</v>
      </c>
      <c r="I693" s="219"/>
      <c r="J693" s="219"/>
      <c r="K693" s="6">
        <f t="shared" ref="K693" si="359">SUM(K692:M692,N692,R692)</f>
        <v>99631.9504467636</v>
      </c>
      <c r="M693" s="6">
        <f t="shared" si="338"/>
        <v>261.86633763501516</v>
      </c>
      <c r="N693" s="6">
        <f t="shared" si="339"/>
        <v>-112.72142045786353</v>
      </c>
      <c r="O693" s="90">
        <f t="shared" si="340"/>
        <v>333.33333333333331</v>
      </c>
      <c r="P693" s="91">
        <f t="shared" si="341"/>
        <v>0</v>
      </c>
      <c r="Q693" s="6">
        <f t="shared" si="342"/>
        <v>332.60365121313589</v>
      </c>
      <c r="R693" s="86">
        <f t="shared" si="352"/>
        <v>-333.33333333333331</v>
      </c>
      <c r="S693" s="6">
        <f t="shared" si="343"/>
        <v>-20.761269756173892</v>
      </c>
      <c r="T693" s="83">
        <f t="shared" si="353"/>
        <v>4972.3881015303714</v>
      </c>
      <c r="U693" s="91">
        <f t="shared" ref="U693:U756" si="360">IF(K693=0,0,SUM(U692,R692,V692))</f>
        <v>99858.315130542993</v>
      </c>
      <c r="V693" s="91">
        <f t="shared" si="354"/>
        <v>262.46130029955611</v>
      </c>
      <c r="W693" s="1">
        <f t="shared" si="344"/>
        <v>1</v>
      </c>
      <c r="X693" s="1">
        <f t="shared" si="344"/>
        <v>1</v>
      </c>
      <c r="Y693" s="1">
        <f t="shared" si="344"/>
        <v>1</v>
      </c>
      <c r="Z693" s="1">
        <f t="shared" si="344"/>
        <v>1</v>
      </c>
      <c r="AA693" s="1">
        <f t="shared" si="344"/>
        <v>1</v>
      </c>
      <c r="AB693" s="1">
        <f t="shared" si="344"/>
        <v>1</v>
      </c>
      <c r="AC693" s="1">
        <f t="shared" si="344"/>
        <v>1</v>
      </c>
      <c r="AD693" s="1">
        <f t="shared" si="344"/>
        <v>1</v>
      </c>
      <c r="AE693" s="1">
        <f t="shared" si="344"/>
        <v>1</v>
      </c>
      <c r="AF693" s="1">
        <f t="shared" si="344"/>
        <v>1</v>
      </c>
      <c r="AG693" s="1">
        <f t="shared" si="344"/>
        <v>1</v>
      </c>
      <c r="AH693" s="1">
        <f t="shared" si="344"/>
        <v>1</v>
      </c>
      <c r="AI693" s="44">
        <f t="shared" si="355"/>
        <v>99447.762030607424</v>
      </c>
      <c r="AJ693" s="44">
        <f t="shared" si="345"/>
        <v>99781.095363940753</v>
      </c>
      <c r="AK693" s="44"/>
      <c r="AL693" s="4">
        <f t="shared" si="346"/>
        <v>3</v>
      </c>
      <c r="AM693" s="82">
        <f t="shared" si="356"/>
        <v>0</v>
      </c>
      <c r="AN693" s="82">
        <f t="shared" si="347"/>
        <v>0</v>
      </c>
      <c r="AO693" s="48">
        <v>0</v>
      </c>
      <c r="AP693" s="91">
        <f t="shared" si="357"/>
        <v>-333.33333333333331</v>
      </c>
      <c r="AQ693" s="91">
        <f t="shared" si="358"/>
        <v>-333.33333333333331</v>
      </c>
    </row>
    <row r="694" spans="1:43">
      <c r="A694" s="190">
        <f t="shared" si="348"/>
        <v>66.054243668720048</v>
      </c>
      <c r="B694" s="82">
        <f t="shared" si="349"/>
        <v>1</v>
      </c>
      <c r="C694" s="83">
        <f t="shared" si="350"/>
        <v>4</v>
      </c>
      <c r="D694" s="14">
        <f t="shared" si="335"/>
        <v>2.6283369587845051E-3</v>
      </c>
      <c r="E694" s="16">
        <f t="shared" si="336"/>
        <v>0</v>
      </c>
      <c r="F694" s="127"/>
      <c r="G694" s="88">
        <f t="shared" si="337"/>
        <v>0.05</v>
      </c>
      <c r="H694" s="89">
        <f t="shared" si="351"/>
        <v>3.3333333333333335E-3</v>
      </c>
      <c r="I694" s="219"/>
      <c r="J694" s="219"/>
      <c r="K694" s="6">
        <f>SUM(K693:M693,N693,R693)</f>
        <v>99447.762030607424</v>
      </c>
      <c r="M694" s="6">
        <f t="shared" si="338"/>
        <v>261.38222841345191</v>
      </c>
      <c r="N694" s="6">
        <f t="shared" si="339"/>
        <v>-112.51303369229377</v>
      </c>
      <c r="O694" s="90">
        <f t="shared" si="340"/>
        <v>333.33333333333331</v>
      </c>
      <c r="P694" s="91">
        <f t="shared" si="341"/>
        <v>0</v>
      </c>
      <c r="Q694" s="6">
        <f t="shared" si="342"/>
        <v>331.98877075109533</v>
      </c>
      <c r="R694" s="86">
        <f t="shared" si="352"/>
        <v>-333.33333333333331</v>
      </c>
      <c r="S694" s="6">
        <f t="shared" si="343"/>
        <v>-20.722824376478471</v>
      </c>
      <c r="T694" s="83">
        <f t="shared" si="353"/>
        <v>4963.1648945997631</v>
      </c>
      <c r="U694" s="91">
        <f t="shared" si="360"/>
        <v>99787.443097509225</v>
      </c>
      <c r="V694" s="91">
        <f t="shared" si="354"/>
        <v>262.27502471578924</v>
      </c>
      <c r="W694" s="1">
        <f t="shared" si="344"/>
        <v>1</v>
      </c>
      <c r="X694" s="1">
        <f t="shared" si="344"/>
        <v>1</v>
      </c>
      <c r="Y694" s="1">
        <f t="shared" si="344"/>
        <v>1</v>
      </c>
      <c r="Z694" s="1">
        <f t="shared" si="344"/>
        <v>1</v>
      </c>
      <c r="AA694" s="1">
        <f t="shared" si="344"/>
        <v>1</v>
      </c>
      <c r="AB694" s="1">
        <f t="shared" si="344"/>
        <v>1</v>
      </c>
      <c r="AC694" s="1">
        <f t="shared" si="344"/>
        <v>1</v>
      </c>
      <c r="AD694" s="1">
        <f t="shared" si="344"/>
        <v>1</v>
      </c>
      <c r="AE694" s="1">
        <f t="shared" si="344"/>
        <v>1</v>
      </c>
      <c r="AF694" s="1">
        <f t="shared" si="344"/>
        <v>1</v>
      </c>
      <c r="AG694" s="1">
        <f t="shared" si="344"/>
        <v>1</v>
      </c>
      <c r="AH694" s="1">
        <f t="shared" si="344"/>
        <v>1</v>
      </c>
      <c r="AI694" s="44">
        <f t="shared" si="355"/>
        <v>99263.297891995258</v>
      </c>
      <c r="AJ694" s="44">
        <f t="shared" si="345"/>
        <v>99596.631225328587</v>
      </c>
      <c r="AK694" s="44"/>
      <c r="AL694" s="4">
        <f t="shared" si="346"/>
        <v>4</v>
      </c>
      <c r="AM694" s="82">
        <f t="shared" si="356"/>
        <v>0</v>
      </c>
      <c r="AN694" s="82">
        <f t="shared" si="347"/>
        <v>0</v>
      </c>
      <c r="AO694" s="48">
        <v>0</v>
      </c>
      <c r="AP694" s="91">
        <f t="shared" si="357"/>
        <v>-333.33333333333331</v>
      </c>
      <c r="AQ694" s="91">
        <f t="shared" si="358"/>
        <v>-333.33333333333331</v>
      </c>
    </row>
    <row r="695" spans="1:43">
      <c r="A695" s="190">
        <f t="shared" si="348"/>
        <v>66.137577002053376</v>
      </c>
      <c r="B695" s="82">
        <f t="shared" si="349"/>
        <v>1</v>
      </c>
      <c r="C695" s="83">
        <f t="shared" si="350"/>
        <v>5</v>
      </c>
      <c r="D695" s="14">
        <f t="shared" si="335"/>
        <v>2.6283369587845051E-3</v>
      </c>
      <c r="E695" s="16">
        <f t="shared" si="336"/>
        <v>0</v>
      </c>
      <c r="F695" s="127"/>
      <c r="G695" s="88">
        <f t="shared" si="337"/>
        <v>0.05</v>
      </c>
      <c r="H695" s="89">
        <f t="shared" si="351"/>
        <v>3.3333333333333335E-3</v>
      </c>
      <c r="I695" s="219"/>
      <c r="J695" s="219"/>
      <c r="K695" s="6">
        <f t="shared" ref="K695:K758" si="361">SUM(K694:M694,N694,R694)</f>
        <v>99263.297891995258</v>
      </c>
      <c r="M695" s="6">
        <f t="shared" si="338"/>
        <v>260.89739450036717</v>
      </c>
      <c r="N695" s="6">
        <f t="shared" si="339"/>
        <v>-112.30433498033781</v>
      </c>
      <c r="O695" s="90">
        <f t="shared" si="340"/>
        <v>333.33333333333331</v>
      </c>
      <c r="P695" s="91">
        <f t="shared" si="341"/>
        <v>0</v>
      </c>
      <c r="Q695" s="6">
        <f t="shared" si="342"/>
        <v>331.37296983838434</v>
      </c>
      <c r="R695" s="86">
        <f t="shared" si="352"/>
        <v>-333.33333333333331</v>
      </c>
      <c r="S695" s="6">
        <f t="shared" si="343"/>
        <v>-20.684321445636602</v>
      </c>
      <c r="T695" s="83">
        <f t="shared" si="353"/>
        <v>4953.9278809090983</v>
      </c>
      <c r="U695" s="91">
        <f t="shared" si="360"/>
        <v>99716.384788891693</v>
      </c>
      <c r="V695" s="91">
        <f t="shared" si="354"/>
        <v>262.08825953702109</v>
      </c>
      <c r="W695" s="1">
        <f t="shared" si="344"/>
        <v>1</v>
      </c>
      <c r="X695" s="1">
        <f t="shared" si="344"/>
        <v>1</v>
      </c>
      <c r="Y695" s="1">
        <f t="shared" si="344"/>
        <v>1</v>
      </c>
      <c r="Z695" s="1">
        <f t="shared" si="344"/>
        <v>1</v>
      </c>
      <c r="AA695" s="1">
        <f t="shared" si="344"/>
        <v>1</v>
      </c>
      <c r="AB695" s="1">
        <f t="shared" si="344"/>
        <v>1</v>
      </c>
      <c r="AC695" s="1">
        <f t="shared" si="344"/>
        <v>1</v>
      </c>
      <c r="AD695" s="1">
        <f t="shared" si="344"/>
        <v>1</v>
      </c>
      <c r="AE695" s="1">
        <f t="shared" si="344"/>
        <v>1</v>
      </c>
      <c r="AF695" s="1">
        <f t="shared" si="344"/>
        <v>1</v>
      </c>
      <c r="AG695" s="1">
        <f t="shared" si="344"/>
        <v>1</v>
      </c>
      <c r="AH695" s="1">
        <f t="shared" si="344"/>
        <v>1</v>
      </c>
      <c r="AI695" s="44">
        <f t="shared" si="355"/>
        <v>99078.557618181963</v>
      </c>
      <c r="AJ695" s="44">
        <f t="shared" si="345"/>
        <v>99411.890951515292</v>
      </c>
      <c r="AK695" s="44"/>
      <c r="AL695" s="4">
        <f t="shared" si="346"/>
        <v>5</v>
      </c>
      <c r="AM695" s="82">
        <f t="shared" si="356"/>
        <v>0</v>
      </c>
      <c r="AN695" s="82">
        <f t="shared" si="347"/>
        <v>0</v>
      </c>
      <c r="AO695" s="48">
        <v>0</v>
      </c>
      <c r="AP695" s="91">
        <f t="shared" si="357"/>
        <v>-333.33333333333331</v>
      </c>
      <c r="AQ695" s="91">
        <f t="shared" si="358"/>
        <v>-333.33333333333331</v>
      </c>
    </row>
    <row r="696" spans="1:43">
      <c r="A696" s="190">
        <f t="shared" si="348"/>
        <v>66.220910335386719</v>
      </c>
      <c r="B696" s="82">
        <f t="shared" si="349"/>
        <v>1</v>
      </c>
      <c r="C696" s="83">
        <f t="shared" si="350"/>
        <v>6</v>
      </c>
      <c r="D696" s="14">
        <f t="shared" si="335"/>
        <v>2.6283369587845051E-3</v>
      </c>
      <c r="E696" s="16">
        <f t="shared" si="336"/>
        <v>0</v>
      </c>
      <c r="F696" s="127"/>
      <c r="G696" s="88">
        <f t="shared" si="337"/>
        <v>0.05</v>
      </c>
      <c r="H696" s="89">
        <f t="shared" si="351"/>
        <v>3.3333333333333335E-3</v>
      </c>
      <c r="I696" s="219"/>
      <c r="J696" s="219"/>
      <c r="K696" s="6">
        <f t="shared" si="361"/>
        <v>99078.557618181963</v>
      </c>
      <c r="M696" s="6">
        <f t="shared" si="338"/>
        <v>260.41183481092776</v>
      </c>
      <c r="N696" s="6">
        <f t="shared" si="339"/>
        <v>-112.09532385502479</v>
      </c>
      <c r="O696" s="90">
        <f t="shared" si="340"/>
        <v>333.33333333333331</v>
      </c>
      <c r="P696" s="91">
        <f t="shared" si="341"/>
        <v>0</v>
      </c>
      <c r="Q696" s="6">
        <f t="shared" si="342"/>
        <v>330.75624709712628</v>
      </c>
      <c r="R696" s="86">
        <f t="shared" si="352"/>
        <v>-333.33333333333331</v>
      </c>
      <c r="S696" s="6">
        <f t="shared" si="343"/>
        <v>-20.645760877496603</v>
      </c>
      <c r="T696" s="83">
        <f t="shared" si="353"/>
        <v>4944.6770397902274</v>
      </c>
      <c r="U696" s="91">
        <f t="shared" si="360"/>
        <v>99645.139715095385</v>
      </c>
      <c r="V696" s="91">
        <f t="shared" si="354"/>
        <v>261.9010034764309</v>
      </c>
      <c r="W696" s="1">
        <f t="shared" si="344"/>
        <v>1</v>
      </c>
      <c r="X696" s="1">
        <f t="shared" si="344"/>
        <v>1</v>
      </c>
      <c r="Y696" s="1">
        <f t="shared" si="344"/>
        <v>1</v>
      </c>
      <c r="Z696" s="1">
        <f t="shared" si="344"/>
        <v>1</v>
      </c>
      <c r="AA696" s="1">
        <f t="shared" si="344"/>
        <v>1</v>
      </c>
      <c r="AB696" s="1">
        <f t="shared" si="344"/>
        <v>1</v>
      </c>
      <c r="AC696" s="1">
        <f t="shared" si="344"/>
        <v>1</v>
      </c>
      <c r="AD696" s="1">
        <f t="shared" si="344"/>
        <v>1</v>
      </c>
      <c r="AE696" s="1">
        <f t="shared" si="344"/>
        <v>1</v>
      </c>
      <c r="AF696" s="1">
        <f t="shared" si="344"/>
        <v>1</v>
      </c>
      <c r="AG696" s="1">
        <f t="shared" si="344"/>
        <v>1</v>
      </c>
      <c r="AH696" s="1">
        <f t="shared" si="344"/>
        <v>1</v>
      </c>
      <c r="AI696" s="44">
        <f t="shared" si="355"/>
        <v>98893.54079580454</v>
      </c>
      <c r="AJ696" s="44">
        <f t="shared" si="345"/>
        <v>99226.874129137868</v>
      </c>
      <c r="AK696" s="44"/>
      <c r="AL696" s="4">
        <f t="shared" si="346"/>
        <v>6</v>
      </c>
      <c r="AM696" s="82">
        <f t="shared" si="356"/>
        <v>0</v>
      </c>
      <c r="AN696" s="82">
        <f t="shared" si="347"/>
        <v>0</v>
      </c>
      <c r="AO696" s="48">
        <v>0</v>
      </c>
      <c r="AP696" s="91">
        <f t="shared" si="357"/>
        <v>-333.33333333333331</v>
      </c>
      <c r="AQ696" s="91">
        <f t="shared" si="358"/>
        <v>-333.33333333333331</v>
      </c>
    </row>
    <row r="697" spans="1:43">
      <c r="A697" s="190">
        <f t="shared" si="348"/>
        <v>66.304243668720048</v>
      </c>
      <c r="B697" s="82">
        <f t="shared" si="349"/>
        <v>1</v>
      </c>
      <c r="C697" s="83">
        <f t="shared" si="350"/>
        <v>7</v>
      </c>
      <c r="D697" s="14">
        <f t="shared" si="335"/>
        <v>2.6283369587845051E-3</v>
      </c>
      <c r="E697" s="16">
        <f t="shared" si="336"/>
        <v>0</v>
      </c>
      <c r="F697" s="127"/>
      <c r="G697" s="88">
        <f t="shared" si="337"/>
        <v>0.05</v>
      </c>
      <c r="H697" s="89">
        <f t="shared" si="351"/>
        <v>3.3333333333333335E-3</v>
      </c>
      <c r="I697" s="219"/>
      <c r="J697" s="219"/>
      <c r="K697" s="6">
        <f t="shared" si="361"/>
        <v>98893.54079580454</v>
      </c>
      <c r="M697" s="6">
        <f t="shared" si="338"/>
        <v>259.92554825867632</v>
      </c>
      <c r="N697" s="6">
        <f t="shared" si="339"/>
        <v>-111.88599984868482</v>
      </c>
      <c r="O697" s="90">
        <f t="shared" si="340"/>
        <v>333.33333333333331</v>
      </c>
      <c r="P697" s="91">
        <f t="shared" si="341"/>
        <v>0</v>
      </c>
      <c r="Q697" s="6">
        <f t="shared" si="342"/>
        <v>330.13860114738179</v>
      </c>
      <c r="R697" s="86">
        <f t="shared" si="352"/>
        <v>-333.33333333333331</v>
      </c>
      <c r="S697" s="6">
        <f t="shared" si="343"/>
        <v>-20.607142585777815</v>
      </c>
      <c r="T697" s="83">
        <f t="shared" si="353"/>
        <v>4935.4123505440602</v>
      </c>
      <c r="U697" s="91">
        <f t="shared" si="360"/>
        <v>99573.707385238493</v>
      </c>
      <c r="V697" s="91">
        <f t="shared" si="354"/>
        <v>261.71325524381598</v>
      </c>
      <c r="W697" s="1">
        <f t="shared" si="344"/>
        <v>1</v>
      </c>
      <c r="X697" s="1">
        <f t="shared" si="344"/>
        <v>1</v>
      </c>
      <c r="Y697" s="1">
        <f t="shared" si="344"/>
        <v>1</v>
      </c>
      <c r="Z697" s="1">
        <f t="shared" si="344"/>
        <v>1</v>
      </c>
      <c r="AA697" s="1">
        <f t="shared" si="344"/>
        <v>1</v>
      </c>
      <c r="AB697" s="1">
        <f t="shared" si="344"/>
        <v>1</v>
      </c>
      <c r="AC697" s="1">
        <f t="shared" si="344"/>
        <v>1</v>
      </c>
      <c r="AD697" s="1">
        <f t="shared" si="344"/>
        <v>1</v>
      </c>
      <c r="AE697" s="1">
        <f t="shared" si="344"/>
        <v>1</v>
      </c>
      <c r="AF697" s="1">
        <f t="shared" si="344"/>
        <v>1</v>
      </c>
      <c r="AG697" s="1">
        <f t="shared" si="344"/>
        <v>1</v>
      </c>
      <c r="AH697" s="1">
        <f t="shared" si="344"/>
        <v>1</v>
      </c>
      <c r="AI697" s="44">
        <f t="shared" si="355"/>
        <v>98708.247010881198</v>
      </c>
      <c r="AJ697" s="44">
        <f t="shared" si="345"/>
        <v>99041.580344214526</v>
      </c>
      <c r="AK697" s="44"/>
      <c r="AL697" s="4">
        <f t="shared" si="346"/>
        <v>7</v>
      </c>
      <c r="AM697" s="82">
        <f t="shared" si="356"/>
        <v>0</v>
      </c>
      <c r="AN697" s="82">
        <f t="shared" si="347"/>
        <v>0</v>
      </c>
      <c r="AO697" s="48">
        <v>0</v>
      </c>
      <c r="AP697" s="91">
        <f t="shared" si="357"/>
        <v>-333.33333333333331</v>
      </c>
      <c r="AQ697" s="91">
        <f t="shared" si="358"/>
        <v>-333.33333333333331</v>
      </c>
    </row>
    <row r="698" spans="1:43">
      <c r="A698" s="190">
        <f t="shared" si="348"/>
        <v>66.387577002053376</v>
      </c>
      <c r="B698" s="82">
        <f t="shared" si="349"/>
        <v>1</v>
      </c>
      <c r="C698" s="83">
        <f t="shared" si="350"/>
        <v>8</v>
      </c>
      <c r="D698" s="14">
        <f t="shared" si="335"/>
        <v>2.6283369587845051E-3</v>
      </c>
      <c r="E698" s="16">
        <f t="shared" si="336"/>
        <v>0</v>
      </c>
      <c r="F698" s="127"/>
      <c r="G698" s="88">
        <f t="shared" si="337"/>
        <v>0.05</v>
      </c>
      <c r="H698" s="89">
        <f t="shared" si="351"/>
        <v>3.3333333333333335E-3</v>
      </c>
      <c r="I698" s="219"/>
      <c r="J698" s="219"/>
      <c r="K698" s="6">
        <f t="shared" si="361"/>
        <v>98708.247010881198</v>
      </c>
      <c r="M698" s="6">
        <f t="shared" si="338"/>
        <v>259.43853375552919</v>
      </c>
      <c r="N698" s="6">
        <f t="shared" si="339"/>
        <v>-111.67636249294789</v>
      </c>
      <c r="O698" s="90">
        <f t="shared" si="340"/>
        <v>333.33333333333331</v>
      </c>
      <c r="P698" s="91">
        <f t="shared" si="341"/>
        <v>0</v>
      </c>
      <c r="Q698" s="6">
        <f t="shared" si="342"/>
        <v>329.52003060714594</v>
      </c>
      <c r="R698" s="86">
        <f t="shared" si="352"/>
        <v>-333.33333333333331</v>
      </c>
      <c r="S698" s="6">
        <f t="shared" si="343"/>
        <v>-20.568466484070424</v>
      </c>
      <c r="T698" s="83">
        <f t="shared" si="353"/>
        <v>4926.1337924405234</v>
      </c>
      <c r="U698" s="91">
        <f t="shared" si="360"/>
        <v>99502.087307148977</v>
      </c>
      <c r="V698" s="91">
        <f t="shared" si="354"/>
        <v>261.52501354558223</v>
      </c>
      <c r="W698" s="1">
        <f t="shared" si="344"/>
        <v>1</v>
      </c>
      <c r="X698" s="1">
        <f t="shared" si="344"/>
        <v>1</v>
      </c>
      <c r="Y698" s="1">
        <f t="shared" si="344"/>
        <v>1</v>
      </c>
      <c r="Z698" s="1">
        <f t="shared" si="344"/>
        <v>1</v>
      </c>
      <c r="AA698" s="1">
        <f t="shared" si="344"/>
        <v>1</v>
      </c>
      <c r="AB698" s="1">
        <f t="shared" si="344"/>
        <v>1</v>
      </c>
      <c r="AC698" s="1">
        <f t="shared" si="344"/>
        <v>1</v>
      </c>
      <c r="AD698" s="1">
        <f t="shared" si="344"/>
        <v>1</v>
      </c>
      <c r="AE698" s="1">
        <f t="shared" si="344"/>
        <v>1</v>
      </c>
      <c r="AF698" s="1">
        <f t="shared" si="344"/>
        <v>1</v>
      </c>
      <c r="AG698" s="1">
        <f t="shared" si="344"/>
        <v>1</v>
      </c>
      <c r="AH698" s="1">
        <f t="shared" si="344"/>
        <v>1</v>
      </c>
      <c r="AI698" s="44">
        <f t="shared" si="355"/>
        <v>98522.675848810453</v>
      </c>
      <c r="AJ698" s="44">
        <f t="shared" si="345"/>
        <v>98856.009182143782</v>
      </c>
      <c r="AK698" s="44"/>
      <c r="AL698" s="4">
        <f t="shared" si="346"/>
        <v>8</v>
      </c>
      <c r="AM698" s="82">
        <f t="shared" si="356"/>
        <v>0</v>
      </c>
      <c r="AN698" s="82">
        <f t="shared" si="347"/>
        <v>0</v>
      </c>
      <c r="AO698" s="48">
        <v>0</v>
      </c>
      <c r="AP698" s="91">
        <f t="shared" si="357"/>
        <v>-333.33333333333331</v>
      </c>
      <c r="AQ698" s="91">
        <f t="shared" si="358"/>
        <v>-333.33333333333331</v>
      </c>
    </row>
    <row r="699" spans="1:43">
      <c r="A699" s="190">
        <f t="shared" si="348"/>
        <v>66.470910335386719</v>
      </c>
      <c r="B699" s="82">
        <f t="shared" si="349"/>
        <v>1</v>
      </c>
      <c r="C699" s="83">
        <f t="shared" si="350"/>
        <v>9</v>
      </c>
      <c r="D699" s="14">
        <f t="shared" si="335"/>
        <v>2.6283369587845051E-3</v>
      </c>
      <c r="E699" s="16">
        <f t="shared" si="336"/>
        <v>0</v>
      </c>
      <c r="F699" s="127"/>
      <c r="G699" s="88">
        <f t="shared" si="337"/>
        <v>0.05</v>
      </c>
      <c r="H699" s="89">
        <f t="shared" si="351"/>
        <v>3.3333333333333335E-3</v>
      </c>
      <c r="I699" s="219"/>
      <c r="J699" s="219"/>
      <c r="K699" s="6">
        <f t="shared" si="361"/>
        <v>98522.675848810453</v>
      </c>
      <c r="M699" s="6">
        <f t="shared" si="338"/>
        <v>258.95079021177406</v>
      </c>
      <c r="N699" s="6">
        <f t="shared" si="339"/>
        <v>-111.46641131874289</v>
      </c>
      <c r="O699" s="90">
        <f t="shared" si="340"/>
        <v>333.33333333333331</v>
      </c>
      <c r="P699" s="91">
        <f t="shared" si="341"/>
        <v>0</v>
      </c>
      <c r="Q699" s="6">
        <f t="shared" si="342"/>
        <v>328.90053409234497</v>
      </c>
      <c r="R699" s="86">
        <f t="shared" si="352"/>
        <v>-333.33333333333331</v>
      </c>
      <c r="S699" s="6">
        <f t="shared" si="343"/>
        <v>-20.529732485835257</v>
      </c>
      <c r="T699" s="83">
        <f t="shared" si="353"/>
        <v>4916.8413447185085</v>
      </c>
      <c r="U699" s="91">
        <f t="shared" si="360"/>
        <v>99430.278987361235</v>
      </c>
      <c r="V699" s="91">
        <f t="shared" si="354"/>
        <v>261.33627708473591</v>
      </c>
      <c r="W699" s="1">
        <f t="shared" si="344"/>
        <v>1</v>
      </c>
      <c r="X699" s="1">
        <f t="shared" si="344"/>
        <v>1</v>
      </c>
      <c r="Y699" s="1">
        <f t="shared" si="344"/>
        <v>1</v>
      </c>
      <c r="Z699" s="1">
        <f t="shared" si="344"/>
        <v>1</v>
      </c>
      <c r="AA699" s="1">
        <f t="shared" si="344"/>
        <v>1</v>
      </c>
      <c r="AB699" s="1">
        <f t="shared" si="344"/>
        <v>1</v>
      </c>
      <c r="AC699" s="1">
        <f t="shared" si="344"/>
        <v>1</v>
      </c>
      <c r="AD699" s="1">
        <f t="shared" si="344"/>
        <v>1</v>
      </c>
      <c r="AE699" s="1">
        <f t="shared" si="344"/>
        <v>1</v>
      </c>
      <c r="AF699" s="1">
        <f t="shared" si="344"/>
        <v>1</v>
      </c>
      <c r="AG699" s="1">
        <f t="shared" si="344"/>
        <v>1</v>
      </c>
      <c r="AH699" s="1">
        <f t="shared" si="344"/>
        <v>1</v>
      </c>
      <c r="AI699" s="44">
        <f t="shared" si="355"/>
        <v>98336.826894370155</v>
      </c>
      <c r="AJ699" s="44">
        <f t="shared" si="345"/>
        <v>98670.160227703484</v>
      </c>
      <c r="AK699" s="44"/>
      <c r="AL699" s="4">
        <f t="shared" si="346"/>
        <v>9</v>
      </c>
      <c r="AM699" s="82">
        <f t="shared" si="356"/>
        <v>0</v>
      </c>
      <c r="AN699" s="82">
        <f t="shared" si="347"/>
        <v>0</v>
      </c>
      <c r="AO699" s="48">
        <v>0</v>
      </c>
      <c r="AP699" s="91">
        <f t="shared" si="357"/>
        <v>-333.33333333333331</v>
      </c>
      <c r="AQ699" s="91">
        <f t="shared" si="358"/>
        <v>-333.33333333333331</v>
      </c>
    </row>
    <row r="700" spans="1:43">
      <c r="A700" s="190">
        <f t="shared" si="348"/>
        <v>66.554243668720048</v>
      </c>
      <c r="B700" s="82">
        <f t="shared" si="349"/>
        <v>1</v>
      </c>
      <c r="C700" s="83">
        <f t="shared" si="350"/>
        <v>10</v>
      </c>
      <c r="D700" s="14">
        <f t="shared" si="335"/>
        <v>2.6283369587845051E-3</v>
      </c>
      <c r="E700" s="16">
        <f t="shared" si="336"/>
        <v>0</v>
      </c>
      <c r="F700" s="127"/>
      <c r="G700" s="88">
        <f t="shared" si="337"/>
        <v>0.05</v>
      </c>
      <c r="H700" s="89">
        <f t="shared" si="351"/>
        <v>3.3333333333333335E-3</v>
      </c>
      <c r="I700" s="219"/>
      <c r="J700" s="219"/>
      <c r="K700" s="6">
        <f t="shared" si="361"/>
        <v>98336.826894370155</v>
      </c>
      <c r="M700" s="6">
        <f t="shared" si="338"/>
        <v>258.46231653606719</v>
      </c>
      <c r="N700" s="6">
        <f t="shared" si="339"/>
        <v>-111.25614585629656</v>
      </c>
      <c r="O700" s="90">
        <f t="shared" si="340"/>
        <v>333.33333333333331</v>
      </c>
      <c r="P700" s="91">
        <f t="shared" si="341"/>
        <v>0</v>
      </c>
      <c r="Q700" s="6">
        <f t="shared" si="342"/>
        <v>328.28011021683312</v>
      </c>
      <c r="R700" s="86">
        <f t="shared" si="352"/>
        <v>-333.33333333333331</v>
      </c>
      <c r="S700" s="6">
        <f t="shared" si="343"/>
        <v>-20.490940504403614</v>
      </c>
      <c r="T700" s="83">
        <f t="shared" si="353"/>
        <v>4907.5349865858298</v>
      </c>
      <c r="U700" s="91">
        <f t="shared" si="360"/>
        <v>99358.281931112637</v>
      </c>
      <c r="V700" s="91">
        <f t="shared" si="354"/>
        <v>261.14704456087401</v>
      </c>
      <c r="W700" s="1">
        <f t="shared" si="344"/>
        <v>1</v>
      </c>
      <c r="X700" s="1">
        <f t="shared" si="344"/>
        <v>1</v>
      </c>
      <c r="Y700" s="1">
        <f t="shared" si="344"/>
        <v>1</v>
      </c>
      <c r="Z700" s="1">
        <f t="shared" si="344"/>
        <v>1</v>
      </c>
      <c r="AA700" s="1">
        <f t="shared" si="344"/>
        <v>1</v>
      </c>
      <c r="AB700" s="1">
        <f t="shared" si="344"/>
        <v>1</v>
      </c>
      <c r="AC700" s="1">
        <f t="shared" si="344"/>
        <v>1</v>
      </c>
      <c r="AD700" s="1">
        <f t="shared" si="344"/>
        <v>1</v>
      </c>
      <c r="AE700" s="1">
        <f t="shared" si="344"/>
        <v>1</v>
      </c>
      <c r="AF700" s="1">
        <f t="shared" si="344"/>
        <v>1</v>
      </c>
      <c r="AG700" s="1">
        <f t="shared" si="344"/>
        <v>1</v>
      </c>
      <c r="AH700" s="1">
        <f t="shared" si="344"/>
        <v>1</v>
      </c>
      <c r="AI700" s="44">
        <f t="shared" si="355"/>
        <v>98150.699731716595</v>
      </c>
      <c r="AJ700" s="44">
        <f t="shared" si="345"/>
        <v>98484.033065049924</v>
      </c>
      <c r="AK700" s="44"/>
      <c r="AL700" s="4">
        <f t="shared" si="346"/>
        <v>10</v>
      </c>
      <c r="AM700" s="82">
        <f t="shared" si="356"/>
        <v>0</v>
      </c>
      <c r="AN700" s="82">
        <f t="shared" si="347"/>
        <v>0</v>
      </c>
      <c r="AO700" s="48">
        <v>0</v>
      </c>
      <c r="AP700" s="91">
        <f t="shared" si="357"/>
        <v>-333.33333333333331</v>
      </c>
      <c r="AQ700" s="91">
        <f t="shared" si="358"/>
        <v>-333.33333333333331</v>
      </c>
    </row>
    <row r="701" spans="1:43">
      <c r="A701" s="190">
        <f t="shared" si="348"/>
        <v>66.637577002053376</v>
      </c>
      <c r="B701" s="82">
        <f t="shared" si="349"/>
        <v>1</v>
      </c>
      <c r="C701" s="83">
        <f t="shared" si="350"/>
        <v>11</v>
      </c>
      <c r="D701" s="14">
        <f t="shared" si="335"/>
        <v>2.6283369587845051E-3</v>
      </c>
      <c r="E701" s="16">
        <f t="shared" si="336"/>
        <v>0</v>
      </c>
      <c r="F701" s="127"/>
      <c r="G701" s="88">
        <f t="shared" si="337"/>
        <v>0.05</v>
      </c>
      <c r="H701" s="89">
        <f t="shared" si="351"/>
        <v>3.3333333333333335E-3</v>
      </c>
      <c r="I701" s="219"/>
      <c r="J701" s="219"/>
      <c r="K701" s="6">
        <f t="shared" si="361"/>
        <v>98150.699731716595</v>
      </c>
      <c r="M701" s="6">
        <f t="shared" si="338"/>
        <v>257.97311163543117</v>
      </c>
      <c r="N701" s="6">
        <f t="shared" si="339"/>
        <v>-111.04556563513235</v>
      </c>
      <c r="O701" s="90">
        <f t="shared" si="340"/>
        <v>333.33333333333331</v>
      </c>
      <c r="P701" s="91">
        <f t="shared" si="341"/>
        <v>0</v>
      </c>
      <c r="Q701" s="6">
        <f t="shared" si="342"/>
        <v>327.65875759238969</v>
      </c>
      <c r="R701" s="86">
        <f t="shared" si="352"/>
        <v>-333.33333333333331</v>
      </c>
      <c r="S701" s="6">
        <f t="shared" si="343"/>
        <v>-20.452090452977032</v>
      </c>
      <c r="T701" s="83">
        <f t="shared" si="353"/>
        <v>4898.2146972191795</v>
      </c>
      <c r="U701" s="91">
        <f t="shared" si="360"/>
        <v>99286.09564234018</v>
      </c>
      <c r="V701" s="91">
        <f t="shared" si="354"/>
        <v>260.95731467017589</v>
      </c>
      <c r="W701" s="1">
        <f t="shared" ref="W701:AH710" si="362">IF($B701&lt;=W$78,1,0)</f>
        <v>1</v>
      </c>
      <c r="X701" s="1">
        <f t="shared" si="362"/>
        <v>1</v>
      </c>
      <c r="Y701" s="1">
        <f t="shared" si="362"/>
        <v>1</v>
      </c>
      <c r="Z701" s="1">
        <f t="shared" si="362"/>
        <v>1</v>
      </c>
      <c r="AA701" s="1">
        <f t="shared" si="362"/>
        <v>1</v>
      </c>
      <c r="AB701" s="1">
        <f t="shared" si="362"/>
        <v>1</v>
      </c>
      <c r="AC701" s="1">
        <f t="shared" si="362"/>
        <v>1</v>
      </c>
      <c r="AD701" s="1">
        <f t="shared" si="362"/>
        <v>1</v>
      </c>
      <c r="AE701" s="1">
        <f t="shared" si="362"/>
        <v>1</v>
      </c>
      <c r="AF701" s="1">
        <f t="shared" si="362"/>
        <v>1</v>
      </c>
      <c r="AG701" s="1">
        <f t="shared" si="362"/>
        <v>1</v>
      </c>
      <c r="AH701" s="1">
        <f t="shared" si="362"/>
        <v>1</v>
      </c>
      <c r="AI701" s="44">
        <f t="shared" si="355"/>
        <v>97964.293944383578</v>
      </c>
      <c r="AJ701" s="44">
        <f t="shared" si="345"/>
        <v>98297.627277716907</v>
      </c>
      <c r="AK701" s="44"/>
      <c r="AL701" s="4">
        <f t="shared" si="346"/>
        <v>11</v>
      </c>
      <c r="AM701" s="82">
        <f t="shared" si="356"/>
        <v>0</v>
      </c>
      <c r="AN701" s="82">
        <f t="shared" si="347"/>
        <v>0</v>
      </c>
      <c r="AO701" s="48">
        <v>0</v>
      </c>
      <c r="AP701" s="91">
        <f t="shared" si="357"/>
        <v>-333.33333333333331</v>
      </c>
      <c r="AQ701" s="91">
        <f t="shared" si="358"/>
        <v>-333.33333333333331</v>
      </c>
    </row>
    <row r="702" spans="1:43">
      <c r="A702" s="190">
        <f t="shared" si="348"/>
        <v>66.720910335386719</v>
      </c>
      <c r="B702" s="82">
        <f t="shared" si="349"/>
        <v>1</v>
      </c>
      <c r="C702" s="83">
        <f t="shared" si="350"/>
        <v>12</v>
      </c>
      <c r="D702" s="14">
        <f t="shared" si="335"/>
        <v>2.6283369587845051E-3</v>
      </c>
      <c r="E702" s="16">
        <f t="shared" si="336"/>
        <v>0</v>
      </c>
      <c r="F702" s="127"/>
      <c r="G702" s="88">
        <f t="shared" si="337"/>
        <v>0.05</v>
      </c>
      <c r="H702" s="89">
        <f t="shared" si="351"/>
        <v>3.3333333333333335E-3</v>
      </c>
      <c r="I702" s="219"/>
      <c r="J702" s="219"/>
      <c r="K702" s="6">
        <f t="shared" si="361"/>
        <v>97964.293944383578</v>
      </c>
      <c r="M702" s="6">
        <f t="shared" si="338"/>
        <v>257.48317441525245</v>
      </c>
      <c r="N702" s="6">
        <f t="shared" si="339"/>
        <v>-110.83467018406947</v>
      </c>
      <c r="O702" s="90">
        <f t="shared" si="340"/>
        <v>333.33333333333331</v>
      </c>
      <c r="P702" s="91">
        <f t="shared" si="341"/>
        <v>0</v>
      </c>
      <c r="Q702" s="6">
        <f t="shared" si="342"/>
        <v>327.03647482871588</v>
      </c>
      <c r="R702" s="86">
        <f t="shared" si="352"/>
        <v>-333.33333333333331</v>
      </c>
      <c r="S702" s="6">
        <f t="shared" si="343"/>
        <v>-20.413182244627134</v>
      </c>
      <c r="T702" s="83">
        <f t="shared" si="353"/>
        <v>4888.8804557640715</v>
      </c>
      <c r="U702" s="91">
        <f t="shared" si="360"/>
        <v>99213.719623677025</v>
      </c>
      <c r="V702" s="91">
        <f t="shared" si="354"/>
        <v>260.76708610539384</v>
      </c>
      <c r="W702" s="1">
        <f t="shared" si="362"/>
        <v>1</v>
      </c>
      <c r="X702" s="1">
        <f t="shared" si="362"/>
        <v>1</v>
      </c>
      <c r="Y702" s="1">
        <f t="shared" si="362"/>
        <v>1</v>
      </c>
      <c r="Z702" s="1">
        <f t="shared" si="362"/>
        <v>1</v>
      </c>
      <c r="AA702" s="1">
        <f t="shared" si="362"/>
        <v>1</v>
      </c>
      <c r="AB702" s="1">
        <f t="shared" si="362"/>
        <v>1</v>
      </c>
      <c r="AC702" s="1">
        <f t="shared" si="362"/>
        <v>1</v>
      </c>
      <c r="AD702" s="1">
        <f t="shared" si="362"/>
        <v>1</v>
      </c>
      <c r="AE702" s="1">
        <f t="shared" si="362"/>
        <v>1</v>
      </c>
      <c r="AF702" s="1">
        <f t="shared" si="362"/>
        <v>1</v>
      </c>
      <c r="AG702" s="1">
        <f t="shared" si="362"/>
        <v>1</v>
      </c>
      <c r="AH702" s="1">
        <f t="shared" si="362"/>
        <v>1</v>
      </c>
      <c r="AI702" s="44">
        <f t="shared" si="355"/>
        <v>97777.609115281433</v>
      </c>
      <c r="AJ702" s="44">
        <f t="shared" si="345"/>
        <v>98110.942448614762</v>
      </c>
      <c r="AK702" s="44"/>
      <c r="AL702" s="4">
        <f t="shared" si="346"/>
        <v>12</v>
      </c>
      <c r="AM702" s="82">
        <f t="shared" si="356"/>
        <v>0</v>
      </c>
      <c r="AN702" s="82">
        <f t="shared" si="347"/>
        <v>0</v>
      </c>
      <c r="AO702" s="48">
        <v>0</v>
      </c>
      <c r="AP702" s="91">
        <f t="shared" si="357"/>
        <v>-333.33333333333331</v>
      </c>
      <c r="AQ702" s="91">
        <f t="shared" si="358"/>
        <v>-333.33333333333331</v>
      </c>
    </row>
    <row r="703" spans="1:43">
      <c r="A703" s="190">
        <f t="shared" si="348"/>
        <v>66.804243668720048</v>
      </c>
      <c r="B703" s="82">
        <f t="shared" si="349"/>
        <v>2</v>
      </c>
      <c r="C703" s="83">
        <f t="shared" si="350"/>
        <v>13</v>
      </c>
      <c r="D703" s="14">
        <f t="shared" si="335"/>
        <v>2.6283369587845051E-3</v>
      </c>
      <c r="E703" s="16">
        <f t="shared" si="336"/>
        <v>0</v>
      </c>
      <c r="F703" s="127"/>
      <c r="G703" s="88">
        <f t="shared" si="337"/>
        <v>0.04</v>
      </c>
      <c r="H703" s="89">
        <f t="shared" si="351"/>
        <v>3.3333333333333335E-3</v>
      </c>
      <c r="I703" s="219"/>
      <c r="J703" s="219"/>
      <c r="K703" s="6">
        <f t="shared" si="361"/>
        <v>97777.609115281433</v>
      </c>
      <c r="M703" s="6">
        <f t="shared" si="338"/>
        <v>256.99250377927893</v>
      </c>
      <c r="N703" s="6">
        <f t="shared" si="339"/>
        <v>-110.62345903122176</v>
      </c>
      <c r="O703" s="90">
        <f t="shared" si="340"/>
        <v>340</v>
      </c>
      <c r="P703" s="91">
        <f t="shared" si="341"/>
        <v>0</v>
      </c>
      <c r="Q703" s="6">
        <f t="shared" si="342"/>
        <v>326.4132605334317</v>
      </c>
      <c r="R703" s="87">
        <f>-MIN(MAX(O703,P703,Q703,-R691*1.02),AJ703)</f>
        <v>-340.50896596536398</v>
      </c>
      <c r="S703" s="6">
        <f t="shared" si="343"/>
        <v>-20.373467472725864</v>
      </c>
      <c r="T703" s="83">
        <f t="shared" si="353"/>
        <v>3903.3387677625656</v>
      </c>
      <c r="U703" s="91">
        <f t="shared" si="360"/>
        <v>99141.153376449089</v>
      </c>
      <c r="V703" s="91">
        <f t="shared" si="354"/>
        <v>260.57635755584437</v>
      </c>
      <c r="W703" s="1">
        <f t="shared" si="362"/>
        <v>0</v>
      </c>
      <c r="X703" s="1">
        <f t="shared" si="362"/>
        <v>1</v>
      </c>
      <c r="Y703" s="1">
        <f t="shared" si="362"/>
        <v>1</v>
      </c>
      <c r="Z703" s="1">
        <f t="shared" si="362"/>
        <v>1</v>
      </c>
      <c r="AA703" s="1">
        <f t="shared" si="362"/>
        <v>1</v>
      </c>
      <c r="AB703" s="1">
        <f t="shared" si="362"/>
        <v>1</v>
      </c>
      <c r="AC703" s="1">
        <f t="shared" si="362"/>
        <v>1</v>
      </c>
      <c r="AD703" s="1">
        <f t="shared" si="362"/>
        <v>1</v>
      </c>
      <c r="AE703" s="1">
        <f t="shared" si="362"/>
        <v>1</v>
      </c>
      <c r="AF703" s="1">
        <f t="shared" si="362"/>
        <v>1</v>
      </c>
      <c r="AG703" s="1">
        <f t="shared" si="362"/>
        <v>1</v>
      </c>
      <c r="AH703" s="1">
        <f t="shared" si="362"/>
        <v>1</v>
      </c>
      <c r="AI703" s="44">
        <f t="shared" si="355"/>
        <v>97583.469194064135</v>
      </c>
      <c r="AJ703" s="44">
        <f t="shared" si="345"/>
        <v>97923.978160029495</v>
      </c>
      <c r="AK703" s="44" t="str">
        <f>IF(R703=0,0,IF(R703&gt;R691,"Y","N"))</f>
        <v>N</v>
      </c>
      <c r="AL703" s="4">
        <f t="shared" si="346"/>
        <v>13</v>
      </c>
      <c r="AM703" s="82">
        <f t="shared" si="356"/>
        <v>0</v>
      </c>
      <c r="AN703" s="82">
        <f t="shared" si="347"/>
        <v>0</v>
      </c>
      <c r="AO703" s="48">
        <v>0</v>
      </c>
      <c r="AP703" s="91">
        <f t="shared" si="357"/>
        <v>-340.50896596536398</v>
      </c>
      <c r="AQ703" s="91">
        <f t="shared" si="358"/>
        <v>-340.50896596536398</v>
      </c>
    </row>
    <row r="704" spans="1:43">
      <c r="A704" s="190">
        <f t="shared" si="348"/>
        <v>66.887577002053376</v>
      </c>
      <c r="B704" s="82">
        <f t="shared" si="349"/>
        <v>2</v>
      </c>
      <c r="C704" s="83">
        <f t="shared" si="350"/>
        <v>14</v>
      </c>
      <c r="D704" s="14">
        <f t="shared" si="335"/>
        <v>2.6283369587845051E-3</v>
      </c>
      <c r="E704" s="16">
        <f t="shared" si="336"/>
        <v>0</v>
      </c>
      <c r="F704" s="127"/>
      <c r="G704" s="88">
        <f t="shared" si="337"/>
        <v>0.04</v>
      </c>
      <c r="H704" s="89">
        <f t="shared" si="351"/>
        <v>3.3333333333333335E-3</v>
      </c>
      <c r="I704" s="219"/>
      <c r="J704" s="219"/>
      <c r="K704" s="6">
        <f t="shared" si="361"/>
        <v>97583.469194064135</v>
      </c>
      <c r="M704" s="6">
        <f t="shared" si="338"/>
        <v>256.48223864916798</v>
      </c>
      <c r="N704" s="6">
        <f t="shared" si="339"/>
        <v>-110.40381334939919</v>
      </c>
      <c r="O704" s="90">
        <f t="shared" si="340"/>
        <v>340</v>
      </c>
      <c r="P704" s="91">
        <f t="shared" si="341"/>
        <v>0</v>
      </c>
      <c r="Q704" s="6">
        <f t="shared" si="342"/>
        <v>325.76515873121303</v>
      </c>
      <c r="R704" s="87">
        <f t="shared" ref="R704:R767" si="363">-MIN(MAX(O704,P704,Q704,-R692*1.02),AJ704)</f>
        <v>-340</v>
      </c>
      <c r="S704" s="6">
        <f t="shared" si="343"/>
        <v>-20.332998008015117</v>
      </c>
      <c r="T704" s="83">
        <f t="shared" si="353"/>
        <v>3895.5819047745563</v>
      </c>
      <c r="U704" s="91">
        <f t="shared" si="360"/>
        <v>99061.220768039566</v>
      </c>
      <c r="V704" s="91">
        <f t="shared" si="354"/>
        <v>260.36626772694956</v>
      </c>
      <c r="W704" s="1">
        <f t="shared" si="362"/>
        <v>0</v>
      </c>
      <c r="X704" s="1">
        <f t="shared" si="362"/>
        <v>1</v>
      </c>
      <c r="Y704" s="1">
        <f t="shared" si="362"/>
        <v>1</v>
      </c>
      <c r="Z704" s="1">
        <f t="shared" si="362"/>
        <v>1</v>
      </c>
      <c r="AA704" s="1">
        <f t="shared" si="362"/>
        <v>1</v>
      </c>
      <c r="AB704" s="1">
        <f t="shared" si="362"/>
        <v>1</v>
      </c>
      <c r="AC704" s="1">
        <f t="shared" si="362"/>
        <v>1</v>
      </c>
      <c r="AD704" s="1">
        <f t="shared" si="362"/>
        <v>1</v>
      </c>
      <c r="AE704" s="1">
        <f t="shared" si="362"/>
        <v>1</v>
      </c>
      <c r="AF704" s="1">
        <f t="shared" si="362"/>
        <v>1</v>
      </c>
      <c r="AG704" s="1">
        <f t="shared" si="362"/>
        <v>1</v>
      </c>
      <c r="AH704" s="1">
        <f t="shared" si="362"/>
        <v>1</v>
      </c>
      <c r="AI704" s="44">
        <f t="shared" si="355"/>
        <v>97389.547619363904</v>
      </c>
      <c r="AJ704" s="44">
        <f t="shared" si="345"/>
        <v>97729.547619363904</v>
      </c>
      <c r="AK704" s="44" t="str">
        <f t="shared" ref="AK704:AK767" si="364">IF(R704=0,0,IF(R704&gt;R692,"Y","N"))</f>
        <v>N</v>
      </c>
      <c r="AL704" s="4">
        <f t="shared" si="346"/>
        <v>14</v>
      </c>
      <c r="AM704" s="82">
        <f t="shared" si="356"/>
        <v>0</v>
      </c>
      <c r="AN704" s="82">
        <f t="shared" si="347"/>
        <v>0</v>
      </c>
      <c r="AO704" s="48">
        <v>0</v>
      </c>
      <c r="AP704" s="91">
        <f t="shared" si="357"/>
        <v>-340</v>
      </c>
      <c r="AQ704" s="91">
        <f t="shared" si="358"/>
        <v>-340</v>
      </c>
    </row>
    <row r="705" spans="1:43">
      <c r="A705" s="190">
        <f t="shared" si="348"/>
        <v>66.970910335386719</v>
      </c>
      <c r="B705" s="82">
        <f t="shared" si="349"/>
        <v>2</v>
      </c>
      <c r="C705" s="83">
        <f t="shared" si="350"/>
        <v>15</v>
      </c>
      <c r="D705" s="14">
        <f t="shared" si="335"/>
        <v>2.6283369587845051E-3</v>
      </c>
      <c r="E705" s="16">
        <f t="shared" si="336"/>
        <v>0</v>
      </c>
      <c r="F705" s="127"/>
      <c r="G705" s="88">
        <f t="shared" si="337"/>
        <v>0.04</v>
      </c>
      <c r="H705" s="89">
        <f t="shared" si="351"/>
        <v>3.3333333333333335E-3</v>
      </c>
      <c r="I705" s="219"/>
      <c r="J705" s="219"/>
      <c r="K705" s="6">
        <f t="shared" si="361"/>
        <v>97389.547619363904</v>
      </c>
      <c r="M705" s="6">
        <f t="shared" si="338"/>
        <v>255.97254740727766</v>
      </c>
      <c r="N705" s="6">
        <f t="shared" si="339"/>
        <v>-110.1844147000742</v>
      </c>
      <c r="O705" s="90">
        <f t="shared" si="340"/>
        <v>340</v>
      </c>
      <c r="P705" s="91">
        <f t="shared" si="341"/>
        <v>0</v>
      </c>
      <c r="Q705" s="6">
        <f t="shared" si="342"/>
        <v>325.11778584023705</v>
      </c>
      <c r="R705" s="87">
        <f t="shared" si="363"/>
        <v>-340</v>
      </c>
      <c r="S705" s="6">
        <f t="shared" si="343"/>
        <v>-20.292521040320455</v>
      </c>
      <c r="T705" s="83">
        <f t="shared" si="353"/>
        <v>3887.8134300828442</v>
      </c>
      <c r="U705" s="91">
        <f t="shared" si="360"/>
        <v>98981.587035766512</v>
      </c>
      <c r="V705" s="91">
        <f t="shared" si="354"/>
        <v>260.15696344525037</v>
      </c>
      <c r="W705" s="1">
        <f t="shared" si="362"/>
        <v>0</v>
      </c>
      <c r="X705" s="1">
        <f t="shared" si="362"/>
        <v>1</v>
      </c>
      <c r="Y705" s="1">
        <f t="shared" si="362"/>
        <v>1</v>
      </c>
      <c r="Z705" s="1">
        <f t="shared" si="362"/>
        <v>1</v>
      </c>
      <c r="AA705" s="1">
        <f t="shared" si="362"/>
        <v>1</v>
      </c>
      <c r="AB705" s="1">
        <f t="shared" si="362"/>
        <v>1</v>
      </c>
      <c r="AC705" s="1">
        <f t="shared" si="362"/>
        <v>1</v>
      </c>
      <c r="AD705" s="1">
        <f t="shared" si="362"/>
        <v>1</v>
      </c>
      <c r="AE705" s="1">
        <f t="shared" si="362"/>
        <v>1</v>
      </c>
      <c r="AF705" s="1">
        <f t="shared" si="362"/>
        <v>1</v>
      </c>
      <c r="AG705" s="1">
        <f t="shared" si="362"/>
        <v>1</v>
      </c>
      <c r="AH705" s="1">
        <f t="shared" si="362"/>
        <v>1</v>
      </c>
      <c r="AI705" s="44">
        <f t="shared" si="355"/>
        <v>97195.3357520711</v>
      </c>
      <c r="AJ705" s="44">
        <f t="shared" si="345"/>
        <v>97535.3357520711</v>
      </c>
      <c r="AK705" s="44" t="str">
        <f t="shared" si="364"/>
        <v>N</v>
      </c>
      <c r="AL705" s="4">
        <f t="shared" si="346"/>
        <v>15</v>
      </c>
      <c r="AM705" s="82">
        <f t="shared" si="356"/>
        <v>0</v>
      </c>
      <c r="AN705" s="82">
        <f t="shared" si="347"/>
        <v>0</v>
      </c>
      <c r="AO705" s="48">
        <v>0</v>
      </c>
      <c r="AP705" s="91">
        <f t="shared" si="357"/>
        <v>-340</v>
      </c>
      <c r="AQ705" s="91">
        <f t="shared" si="358"/>
        <v>-340</v>
      </c>
    </row>
    <row r="706" spans="1:43">
      <c r="A706" s="190">
        <f t="shared" si="348"/>
        <v>67.054243668720048</v>
      </c>
      <c r="B706" s="82">
        <f t="shared" si="349"/>
        <v>2</v>
      </c>
      <c r="C706" s="83">
        <f t="shared" si="350"/>
        <v>16</v>
      </c>
      <c r="D706" s="14">
        <f t="shared" si="335"/>
        <v>2.6283369587845051E-3</v>
      </c>
      <c r="E706" s="16">
        <f t="shared" si="336"/>
        <v>0</v>
      </c>
      <c r="F706" s="127"/>
      <c r="G706" s="88">
        <f t="shared" si="337"/>
        <v>0.04</v>
      </c>
      <c r="H706" s="89">
        <f t="shared" si="351"/>
        <v>3.3333333333333335E-3</v>
      </c>
      <c r="I706" s="219"/>
      <c r="J706" s="219"/>
      <c r="K706" s="6">
        <f t="shared" si="361"/>
        <v>97195.3357520711</v>
      </c>
      <c r="M706" s="6">
        <f t="shared" si="338"/>
        <v>255.46209317863745</v>
      </c>
      <c r="N706" s="6">
        <f t="shared" si="339"/>
        <v>-109.96468762002755</v>
      </c>
      <c r="O706" s="90">
        <f t="shared" si="340"/>
        <v>340</v>
      </c>
      <c r="P706" s="91">
        <f t="shared" si="341"/>
        <v>0</v>
      </c>
      <c r="Q706" s="6">
        <f t="shared" si="342"/>
        <v>324.46944385876571</v>
      </c>
      <c r="R706" s="87">
        <f t="shared" si="363"/>
        <v>-340</v>
      </c>
      <c r="S706" s="6">
        <f t="shared" si="343"/>
        <v>-20.251983480275975</v>
      </c>
      <c r="T706" s="83">
        <f t="shared" si="353"/>
        <v>3880.0333263051884</v>
      </c>
      <c r="U706" s="91">
        <f t="shared" si="360"/>
        <v>98901.743999211758</v>
      </c>
      <c r="V706" s="91">
        <f t="shared" si="354"/>
        <v>259.9471090413719</v>
      </c>
      <c r="W706" s="1">
        <f t="shared" si="362"/>
        <v>0</v>
      </c>
      <c r="X706" s="1">
        <f t="shared" si="362"/>
        <v>1</v>
      </c>
      <c r="Y706" s="1">
        <f t="shared" si="362"/>
        <v>1</v>
      </c>
      <c r="Z706" s="1">
        <f t="shared" si="362"/>
        <v>1</v>
      </c>
      <c r="AA706" s="1">
        <f t="shared" si="362"/>
        <v>1</v>
      </c>
      <c r="AB706" s="1">
        <f t="shared" si="362"/>
        <v>1</v>
      </c>
      <c r="AC706" s="1">
        <f t="shared" si="362"/>
        <v>1</v>
      </c>
      <c r="AD706" s="1">
        <f t="shared" si="362"/>
        <v>1</v>
      </c>
      <c r="AE706" s="1">
        <f t="shared" si="362"/>
        <v>1</v>
      </c>
      <c r="AF706" s="1">
        <f t="shared" si="362"/>
        <v>1</v>
      </c>
      <c r="AG706" s="1">
        <f t="shared" si="362"/>
        <v>1</v>
      </c>
      <c r="AH706" s="1">
        <f t="shared" si="362"/>
        <v>1</v>
      </c>
      <c r="AI706" s="44">
        <f t="shared" si="355"/>
        <v>97000.833157629706</v>
      </c>
      <c r="AJ706" s="44">
        <f t="shared" si="345"/>
        <v>97340.833157629706</v>
      </c>
      <c r="AK706" s="44" t="str">
        <f t="shared" si="364"/>
        <v>N</v>
      </c>
      <c r="AL706" s="4">
        <f t="shared" si="346"/>
        <v>16</v>
      </c>
      <c r="AM706" s="82">
        <f t="shared" si="356"/>
        <v>0</v>
      </c>
      <c r="AN706" s="82">
        <f t="shared" si="347"/>
        <v>0</v>
      </c>
      <c r="AO706" s="48">
        <v>0</v>
      </c>
      <c r="AP706" s="91">
        <f t="shared" si="357"/>
        <v>-340</v>
      </c>
      <c r="AQ706" s="91">
        <f t="shared" si="358"/>
        <v>-340</v>
      </c>
    </row>
    <row r="707" spans="1:43">
      <c r="A707" s="190">
        <f t="shared" si="348"/>
        <v>67.137577002053376</v>
      </c>
      <c r="B707" s="82">
        <f t="shared" si="349"/>
        <v>2</v>
      </c>
      <c r="C707" s="83">
        <f t="shared" si="350"/>
        <v>17</v>
      </c>
      <c r="D707" s="14">
        <f t="shared" si="335"/>
        <v>2.6283369587845051E-3</v>
      </c>
      <c r="E707" s="16">
        <f t="shared" si="336"/>
        <v>0</v>
      </c>
      <c r="F707" s="127"/>
      <c r="G707" s="88">
        <f t="shared" si="337"/>
        <v>0.04</v>
      </c>
      <c r="H707" s="89">
        <f t="shared" si="351"/>
        <v>3.3333333333333335E-3</v>
      </c>
      <c r="I707" s="219"/>
      <c r="J707" s="219"/>
      <c r="K707" s="6">
        <f t="shared" si="361"/>
        <v>97000.833157629706</v>
      </c>
      <c r="M707" s="6">
        <f t="shared" si="338"/>
        <v>254.95087482108764</v>
      </c>
      <c r="N707" s="6">
        <f t="shared" si="339"/>
        <v>-109.74463161761204</v>
      </c>
      <c r="O707" s="90">
        <f t="shared" si="340"/>
        <v>340</v>
      </c>
      <c r="P707" s="91">
        <f t="shared" si="341"/>
        <v>0</v>
      </c>
      <c r="Q707" s="6">
        <f t="shared" si="342"/>
        <v>323.82013133611065</v>
      </c>
      <c r="R707" s="87">
        <f t="shared" si="363"/>
        <v>-340</v>
      </c>
      <c r="S707" s="6">
        <f t="shared" si="343"/>
        <v>-20.211385237177428</v>
      </c>
      <c r="T707" s="83">
        <f t="shared" si="353"/>
        <v>3872.2415760333279</v>
      </c>
      <c r="U707" s="91">
        <f t="shared" si="360"/>
        <v>98821.69110825313</v>
      </c>
      <c r="V707" s="91">
        <f t="shared" si="354"/>
        <v>259.73670306940778</v>
      </c>
      <c r="W707" s="1">
        <f t="shared" si="362"/>
        <v>0</v>
      </c>
      <c r="X707" s="1">
        <f t="shared" si="362"/>
        <v>1</v>
      </c>
      <c r="Y707" s="1">
        <f t="shared" si="362"/>
        <v>1</v>
      </c>
      <c r="Z707" s="1">
        <f t="shared" si="362"/>
        <v>1</v>
      </c>
      <c r="AA707" s="1">
        <f t="shared" si="362"/>
        <v>1</v>
      </c>
      <c r="AB707" s="1">
        <f t="shared" si="362"/>
        <v>1</v>
      </c>
      <c r="AC707" s="1">
        <f t="shared" si="362"/>
        <v>1</v>
      </c>
      <c r="AD707" s="1">
        <f t="shared" si="362"/>
        <v>1</v>
      </c>
      <c r="AE707" s="1">
        <f t="shared" si="362"/>
        <v>1</v>
      </c>
      <c r="AF707" s="1">
        <f t="shared" si="362"/>
        <v>1</v>
      </c>
      <c r="AG707" s="1">
        <f t="shared" si="362"/>
        <v>1</v>
      </c>
      <c r="AH707" s="1">
        <f t="shared" si="362"/>
        <v>1</v>
      </c>
      <c r="AI707" s="44">
        <f t="shared" si="355"/>
        <v>96806.039400833193</v>
      </c>
      <c r="AJ707" s="44">
        <f t="shared" si="345"/>
        <v>97146.039400833193</v>
      </c>
      <c r="AK707" s="44" t="str">
        <f t="shared" si="364"/>
        <v>N</v>
      </c>
      <c r="AL707" s="4">
        <f t="shared" si="346"/>
        <v>17</v>
      </c>
      <c r="AM707" s="82">
        <f t="shared" si="356"/>
        <v>0</v>
      </c>
      <c r="AN707" s="82">
        <f t="shared" si="347"/>
        <v>0</v>
      </c>
      <c r="AO707" s="48">
        <v>0</v>
      </c>
      <c r="AP707" s="91">
        <f t="shared" si="357"/>
        <v>-340</v>
      </c>
      <c r="AQ707" s="91">
        <f t="shared" si="358"/>
        <v>-340</v>
      </c>
    </row>
    <row r="708" spans="1:43">
      <c r="A708" s="190">
        <f t="shared" si="348"/>
        <v>67.220910335386719</v>
      </c>
      <c r="B708" s="82">
        <f t="shared" si="349"/>
        <v>2</v>
      </c>
      <c r="C708" s="83">
        <f t="shared" si="350"/>
        <v>18</v>
      </c>
      <c r="D708" s="14">
        <f t="shared" si="335"/>
        <v>2.6283369587845051E-3</v>
      </c>
      <c r="E708" s="16">
        <f t="shared" si="336"/>
        <v>0</v>
      </c>
      <c r="F708" s="127"/>
      <c r="G708" s="88">
        <f t="shared" si="337"/>
        <v>0.04</v>
      </c>
      <c r="H708" s="89">
        <f t="shared" si="351"/>
        <v>3.3333333333333335E-3</v>
      </c>
      <c r="I708" s="219"/>
      <c r="J708" s="219"/>
      <c r="K708" s="6">
        <f t="shared" si="361"/>
        <v>96806.039400833193</v>
      </c>
      <c r="M708" s="6">
        <f t="shared" si="338"/>
        <v>254.43889119075888</v>
      </c>
      <c r="N708" s="6">
        <f t="shared" si="339"/>
        <v>-109.52424620044449</v>
      </c>
      <c r="O708" s="90">
        <f t="shared" si="340"/>
        <v>340</v>
      </c>
      <c r="P708" s="91">
        <f t="shared" si="341"/>
        <v>0</v>
      </c>
      <c r="Q708" s="6">
        <f t="shared" si="342"/>
        <v>323.16984681941176</v>
      </c>
      <c r="R708" s="87">
        <f t="shared" si="363"/>
        <v>-340</v>
      </c>
      <c r="S708" s="6">
        <f t="shared" si="343"/>
        <v>-20.170726220184793</v>
      </c>
      <c r="T708" s="83">
        <f t="shared" si="353"/>
        <v>3864.4381618329408</v>
      </c>
      <c r="U708" s="91">
        <f t="shared" si="360"/>
        <v>98741.427811322545</v>
      </c>
      <c r="V708" s="91">
        <f t="shared" si="354"/>
        <v>259.52574407965125</v>
      </c>
      <c r="W708" s="1">
        <f t="shared" si="362"/>
        <v>0</v>
      </c>
      <c r="X708" s="1">
        <f t="shared" si="362"/>
        <v>1</v>
      </c>
      <c r="Y708" s="1">
        <f t="shared" si="362"/>
        <v>1</v>
      </c>
      <c r="Z708" s="1">
        <f t="shared" si="362"/>
        <v>1</v>
      </c>
      <c r="AA708" s="1">
        <f t="shared" si="362"/>
        <v>1</v>
      </c>
      <c r="AB708" s="1">
        <f t="shared" si="362"/>
        <v>1</v>
      </c>
      <c r="AC708" s="1">
        <f t="shared" si="362"/>
        <v>1</v>
      </c>
      <c r="AD708" s="1">
        <f t="shared" si="362"/>
        <v>1</v>
      </c>
      <c r="AE708" s="1">
        <f t="shared" si="362"/>
        <v>1</v>
      </c>
      <c r="AF708" s="1">
        <f t="shared" si="362"/>
        <v>1</v>
      </c>
      <c r="AG708" s="1">
        <f t="shared" si="362"/>
        <v>1</v>
      </c>
      <c r="AH708" s="1">
        <f t="shared" si="362"/>
        <v>1</v>
      </c>
      <c r="AI708" s="44">
        <f t="shared" si="355"/>
        <v>96610.954045823513</v>
      </c>
      <c r="AJ708" s="44">
        <f t="shared" si="345"/>
        <v>96950.954045823513</v>
      </c>
      <c r="AK708" s="44" t="str">
        <f t="shared" si="364"/>
        <v>N</v>
      </c>
      <c r="AL708" s="4">
        <f t="shared" si="346"/>
        <v>18</v>
      </c>
      <c r="AM708" s="82">
        <f t="shared" si="356"/>
        <v>0</v>
      </c>
      <c r="AN708" s="82">
        <f t="shared" si="347"/>
        <v>0</v>
      </c>
      <c r="AO708" s="48">
        <v>0</v>
      </c>
      <c r="AP708" s="91">
        <f t="shared" si="357"/>
        <v>-340</v>
      </c>
      <c r="AQ708" s="91">
        <f t="shared" si="358"/>
        <v>-340</v>
      </c>
    </row>
    <row r="709" spans="1:43">
      <c r="A709" s="190">
        <f t="shared" si="348"/>
        <v>67.304243668720048</v>
      </c>
      <c r="B709" s="82">
        <f t="shared" si="349"/>
        <v>2</v>
      </c>
      <c r="C709" s="83">
        <f t="shared" si="350"/>
        <v>19</v>
      </c>
      <c r="D709" s="14">
        <f t="shared" si="335"/>
        <v>2.6283369587845051E-3</v>
      </c>
      <c r="E709" s="16">
        <f t="shared" si="336"/>
        <v>0</v>
      </c>
      <c r="F709" s="127"/>
      <c r="G709" s="88">
        <f t="shared" si="337"/>
        <v>0.04</v>
      </c>
      <c r="H709" s="89">
        <f t="shared" si="351"/>
        <v>3.3333333333333335E-3</v>
      </c>
      <c r="I709" s="219"/>
      <c r="J709" s="219"/>
      <c r="K709" s="6">
        <f t="shared" si="361"/>
        <v>96610.954045823513</v>
      </c>
      <c r="M709" s="6">
        <f t="shared" si="338"/>
        <v>253.92614114206935</v>
      </c>
      <c r="N709" s="6">
        <f t="shared" si="339"/>
        <v>-109.30353087540459</v>
      </c>
      <c r="O709" s="90">
        <f t="shared" si="340"/>
        <v>340</v>
      </c>
      <c r="P709" s="91">
        <f t="shared" si="341"/>
        <v>0</v>
      </c>
      <c r="Q709" s="6">
        <f t="shared" si="342"/>
        <v>322.51858885363396</v>
      </c>
      <c r="R709" s="87">
        <f t="shared" si="363"/>
        <v>-340</v>
      </c>
      <c r="S709" s="6">
        <f t="shared" si="343"/>
        <v>-20.130006338322058</v>
      </c>
      <c r="T709" s="83">
        <f t="shared" si="353"/>
        <v>3856.6230662436074</v>
      </c>
      <c r="U709" s="91">
        <f t="shared" si="360"/>
        <v>98660.9535554022</v>
      </c>
      <c r="V709" s="91">
        <f t="shared" si="354"/>
        <v>259.3142306185851</v>
      </c>
      <c r="W709" s="1">
        <f t="shared" si="362"/>
        <v>0</v>
      </c>
      <c r="X709" s="1">
        <f t="shared" si="362"/>
        <v>1</v>
      </c>
      <c r="Y709" s="1">
        <f t="shared" si="362"/>
        <v>1</v>
      </c>
      <c r="Z709" s="1">
        <f t="shared" si="362"/>
        <v>1</v>
      </c>
      <c r="AA709" s="1">
        <f t="shared" si="362"/>
        <v>1</v>
      </c>
      <c r="AB709" s="1">
        <f t="shared" si="362"/>
        <v>1</v>
      </c>
      <c r="AC709" s="1">
        <f t="shared" si="362"/>
        <v>1</v>
      </c>
      <c r="AD709" s="1">
        <f t="shared" si="362"/>
        <v>1</v>
      </c>
      <c r="AE709" s="1">
        <f t="shared" si="362"/>
        <v>1</v>
      </c>
      <c r="AF709" s="1">
        <f t="shared" si="362"/>
        <v>1</v>
      </c>
      <c r="AG709" s="1">
        <f t="shared" si="362"/>
        <v>1</v>
      </c>
      <c r="AH709" s="1">
        <f t="shared" si="362"/>
        <v>1</v>
      </c>
      <c r="AI709" s="44">
        <f t="shared" si="355"/>
        <v>96415.576656090183</v>
      </c>
      <c r="AJ709" s="44">
        <f t="shared" si="345"/>
        <v>96755.576656090183</v>
      </c>
      <c r="AK709" s="44" t="str">
        <f t="shared" si="364"/>
        <v>N</v>
      </c>
      <c r="AL709" s="4">
        <f t="shared" si="346"/>
        <v>19</v>
      </c>
      <c r="AM709" s="82">
        <f t="shared" si="356"/>
        <v>0</v>
      </c>
      <c r="AN709" s="82">
        <f t="shared" si="347"/>
        <v>0</v>
      </c>
      <c r="AO709" s="48">
        <v>0</v>
      </c>
      <c r="AP709" s="91">
        <f t="shared" si="357"/>
        <v>-340</v>
      </c>
      <c r="AQ709" s="91">
        <f t="shared" si="358"/>
        <v>-340</v>
      </c>
    </row>
    <row r="710" spans="1:43">
      <c r="A710" s="190">
        <f t="shared" si="348"/>
        <v>67.387577002053376</v>
      </c>
      <c r="B710" s="82">
        <f t="shared" si="349"/>
        <v>2</v>
      </c>
      <c r="C710" s="83">
        <f t="shared" si="350"/>
        <v>20</v>
      </c>
      <c r="D710" s="14">
        <f t="shared" si="335"/>
        <v>2.6283369587845051E-3</v>
      </c>
      <c r="E710" s="16">
        <f t="shared" si="336"/>
        <v>0</v>
      </c>
      <c r="F710" s="127"/>
      <c r="G710" s="88">
        <f t="shared" si="337"/>
        <v>0.04</v>
      </c>
      <c r="H710" s="89">
        <f t="shared" si="351"/>
        <v>3.3333333333333335E-3</v>
      </c>
      <c r="I710" s="219"/>
      <c r="J710" s="219"/>
      <c r="K710" s="6">
        <f t="shared" si="361"/>
        <v>96415.576656090183</v>
      </c>
      <c r="M710" s="6">
        <f t="shared" si="338"/>
        <v>253.41262352772239</v>
      </c>
      <c r="N710" s="6">
        <f t="shared" si="339"/>
        <v>-109.08248514863385</v>
      </c>
      <c r="O710" s="90">
        <f t="shared" si="340"/>
        <v>340</v>
      </c>
      <c r="P710" s="91">
        <f t="shared" si="341"/>
        <v>0</v>
      </c>
      <c r="Q710" s="6">
        <f t="shared" si="342"/>
        <v>321.86635598156425</v>
      </c>
      <c r="R710" s="87">
        <f t="shared" si="363"/>
        <v>-340</v>
      </c>
      <c r="S710" s="6">
        <f t="shared" si="343"/>
        <v>-20.089225500477028</v>
      </c>
      <c r="T710" s="83">
        <f t="shared" si="353"/>
        <v>3848.7962717787705</v>
      </c>
      <c r="U710" s="91">
        <f t="shared" si="360"/>
        <v>98580.267786020791</v>
      </c>
      <c r="V710" s="91">
        <f t="shared" si="354"/>
        <v>259.10216122887203</v>
      </c>
      <c r="W710" s="1">
        <f t="shared" si="362"/>
        <v>0</v>
      </c>
      <c r="X710" s="1">
        <f t="shared" si="362"/>
        <v>1</v>
      </c>
      <c r="Y710" s="1">
        <f t="shared" si="362"/>
        <v>1</v>
      </c>
      <c r="Z710" s="1">
        <f t="shared" si="362"/>
        <v>1</v>
      </c>
      <c r="AA710" s="1">
        <f t="shared" si="362"/>
        <v>1</v>
      </c>
      <c r="AB710" s="1">
        <f t="shared" si="362"/>
        <v>1</v>
      </c>
      <c r="AC710" s="1">
        <f t="shared" si="362"/>
        <v>1</v>
      </c>
      <c r="AD710" s="1">
        <f t="shared" si="362"/>
        <v>1</v>
      </c>
      <c r="AE710" s="1">
        <f t="shared" si="362"/>
        <v>1</v>
      </c>
      <c r="AF710" s="1">
        <f t="shared" si="362"/>
        <v>1</v>
      </c>
      <c r="AG710" s="1">
        <f t="shared" si="362"/>
        <v>1</v>
      </c>
      <c r="AH710" s="1">
        <f t="shared" si="362"/>
        <v>1</v>
      </c>
      <c r="AI710" s="44">
        <f t="shared" si="355"/>
        <v>96219.906794469265</v>
      </c>
      <c r="AJ710" s="44">
        <f t="shared" si="345"/>
        <v>96559.906794469265</v>
      </c>
      <c r="AK710" s="44" t="str">
        <f t="shared" si="364"/>
        <v>N</v>
      </c>
      <c r="AL710" s="4">
        <f t="shared" si="346"/>
        <v>20</v>
      </c>
      <c r="AM710" s="82">
        <f t="shared" si="356"/>
        <v>0</v>
      </c>
      <c r="AN710" s="82">
        <f t="shared" si="347"/>
        <v>0</v>
      </c>
      <c r="AO710" s="48">
        <v>0</v>
      </c>
      <c r="AP710" s="91">
        <f t="shared" si="357"/>
        <v>-340</v>
      </c>
      <c r="AQ710" s="91">
        <f t="shared" si="358"/>
        <v>-340</v>
      </c>
    </row>
    <row r="711" spans="1:43">
      <c r="A711" s="190">
        <f t="shared" si="348"/>
        <v>67.470910335386719</v>
      </c>
      <c r="B711" s="82">
        <f t="shared" si="349"/>
        <v>2</v>
      </c>
      <c r="C711" s="83">
        <f t="shared" si="350"/>
        <v>21</v>
      </c>
      <c r="D711" s="14">
        <f t="shared" si="335"/>
        <v>2.6283369587845051E-3</v>
      </c>
      <c r="E711" s="16">
        <f t="shared" si="336"/>
        <v>0</v>
      </c>
      <c r="F711" s="127"/>
      <c r="G711" s="88">
        <f t="shared" si="337"/>
        <v>0.04</v>
      </c>
      <c r="H711" s="89">
        <f t="shared" si="351"/>
        <v>3.3333333333333335E-3</v>
      </c>
      <c r="I711" s="219"/>
      <c r="J711" s="219"/>
      <c r="K711" s="6">
        <f t="shared" si="361"/>
        <v>96219.906794469265</v>
      </c>
      <c r="M711" s="6">
        <f t="shared" si="338"/>
        <v>252.8983371987039</v>
      </c>
      <c r="N711" s="6">
        <f t="shared" si="339"/>
        <v>-108.86110852553455</v>
      </c>
      <c r="O711" s="90">
        <f t="shared" si="340"/>
        <v>340</v>
      </c>
      <c r="P711" s="91">
        <f t="shared" si="341"/>
        <v>0</v>
      </c>
      <c r="Q711" s="6">
        <f t="shared" si="342"/>
        <v>321.21314674380812</v>
      </c>
      <c r="R711" s="87">
        <f t="shared" si="363"/>
        <v>-340</v>
      </c>
      <c r="S711" s="6">
        <f t="shared" si="343"/>
        <v>-20.048383615401104</v>
      </c>
      <c r="T711" s="83">
        <f t="shared" si="353"/>
        <v>3840.9577609256971</v>
      </c>
      <c r="U711" s="91">
        <f t="shared" si="360"/>
        <v>98499.369947249666</v>
      </c>
      <c r="V711" s="91">
        <f t="shared" si="354"/>
        <v>258.88953444934407</v>
      </c>
      <c r="W711" s="1">
        <f t="shared" ref="W711:AH720" si="365">IF($B711&lt;=W$78,1,0)</f>
        <v>0</v>
      </c>
      <c r="X711" s="1">
        <f t="shared" si="365"/>
        <v>1</v>
      </c>
      <c r="Y711" s="1">
        <f t="shared" si="365"/>
        <v>1</v>
      </c>
      <c r="Z711" s="1">
        <f t="shared" si="365"/>
        <v>1</v>
      </c>
      <c r="AA711" s="1">
        <f t="shared" si="365"/>
        <v>1</v>
      </c>
      <c r="AB711" s="1">
        <f t="shared" si="365"/>
        <v>1</v>
      </c>
      <c r="AC711" s="1">
        <f t="shared" si="365"/>
        <v>1</v>
      </c>
      <c r="AD711" s="1">
        <f t="shared" si="365"/>
        <v>1</v>
      </c>
      <c r="AE711" s="1">
        <f t="shared" si="365"/>
        <v>1</v>
      </c>
      <c r="AF711" s="1">
        <f t="shared" si="365"/>
        <v>1</v>
      </c>
      <c r="AG711" s="1">
        <f t="shared" si="365"/>
        <v>1</v>
      </c>
      <c r="AH711" s="1">
        <f t="shared" si="365"/>
        <v>1</v>
      </c>
      <c r="AI711" s="44">
        <f t="shared" si="355"/>
        <v>96023.944023142423</v>
      </c>
      <c r="AJ711" s="44">
        <f t="shared" si="345"/>
        <v>96363.944023142423</v>
      </c>
      <c r="AK711" s="44" t="str">
        <f t="shared" si="364"/>
        <v>N</v>
      </c>
      <c r="AL711" s="4">
        <f t="shared" si="346"/>
        <v>21</v>
      </c>
      <c r="AM711" s="82">
        <f t="shared" si="356"/>
        <v>0</v>
      </c>
      <c r="AN711" s="82">
        <f t="shared" si="347"/>
        <v>0</v>
      </c>
      <c r="AO711" s="48">
        <v>0</v>
      </c>
      <c r="AP711" s="91">
        <f t="shared" si="357"/>
        <v>-340</v>
      </c>
      <c r="AQ711" s="91">
        <f t="shared" si="358"/>
        <v>-340</v>
      </c>
    </row>
    <row r="712" spans="1:43">
      <c r="A712" s="190">
        <f t="shared" si="348"/>
        <v>67.554243668720048</v>
      </c>
      <c r="B712" s="82">
        <f t="shared" si="349"/>
        <v>2</v>
      </c>
      <c r="C712" s="83">
        <f t="shared" si="350"/>
        <v>22</v>
      </c>
      <c r="D712" s="14">
        <f t="shared" si="335"/>
        <v>2.6283369587845051E-3</v>
      </c>
      <c r="E712" s="16">
        <f t="shared" si="336"/>
        <v>0</v>
      </c>
      <c r="F712" s="127"/>
      <c r="G712" s="88">
        <f t="shared" si="337"/>
        <v>0.04</v>
      </c>
      <c r="H712" s="89">
        <f t="shared" si="351"/>
        <v>3.3333333333333335E-3</v>
      </c>
      <c r="I712" s="219"/>
      <c r="J712" s="219"/>
      <c r="K712" s="6">
        <f t="shared" si="361"/>
        <v>96023.944023142423</v>
      </c>
      <c r="M712" s="6">
        <f t="shared" si="338"/>
        <v>252.38328100427972</v>
      </c>
      <c r="N712" s="6">
        <f t="shared" si="339"/>
        <v>-108.63940051076848</v>
      </c>
      <c r="O712" s="90">
        <f t="shared" si="340"/>
        <v>340</v>
      </c>
      <c r="P712" s="91">
        <f t="shared" si="341"/>
        <v>0</v>
      </c>
      <c r="Q712" s="6">
        <f t="shared" si="342"/>
        <v>320.55895967878644</v>
      </c>
      <c r="R712" s="87">
        <f t="shared" si="363"/>
        <v>-340</v>
      </c>
      <c r="S712" s="6">
        <f t="shared" si="343"/>
        <v>-20.007480591709104</v>
      </c>
      <c r="T712" s="83">
        <f t="shared" si="353"/>
        <v>3833.1075161454373</v>
      </c>
      <c r="U712" s="91">
        <f t="shared" si="360"/>
        <v>98418.259481699017</v>
      </c>
      <c r="V712" s="91">
        <f t="shared" si="354"/>
        <v>258.6763488149931</v>
      </c>
      <c r="W712" s="1">
        <f t="shared" si="365"/>
        <v>0</v>
      </c>
      <c r="X712" s="1">
        <f t="shared" si="365"/>
        <v>1</v>
      </c>
      <c r="Y712" s="1">
        <f t="shared" si="365"/>
        <v>1</v>
      </c>
      <c r="Z712" s="1">
        <f t="shared" si="365"/>
        <v>1</v>
      </c>
      <c r="AA712" s="1">
        <f t="shared" si="365"/>
        <v>1</v>
      </c>
      <c r="AB712" s="1">
        <f t="shared" si="365"/>
        <v>1</v>
      </c>
      <c r="AC712" s="1">
        <f t="shared" si="365"/>
        <v>1</v>
      </c>
      <c r="AD712" s="1">
        <f t="shared" si="365"/>
        <v>1</v>
      </c>
      <c r="AE712" s="1">
        <f t="shared" si="365"/>
        <v>1</v>
      </c>
      <c r="AF712" s="1">
        <f t="shared" si="365"/>
        <v>1</v>
      </c>
      <c r="AG712" s="1">
        <f t="shared" si="365"/>
        <v>1</v>
      </c>
      <c r="AH712" s="1">
        <f t="shared" si="365"/>
        <v>1</v>
      </c>
      <c r="AI712" s="44">
        <f t="shared" si="355"/>
        <v>95827.687903635931</v>
      </c>
      <c r="AJ712" s="44">
        <f t="shared" si="345"/>
        <v>96167.687903635931</v>
      </c>
      <c r="AK712" s="44" t="str">
        <f t="shared" si="364"/>
        <v>N</v>
      </c>
      <c r="AL712" s="4">
        <f t="shared" si="346"/>
        <v>22</v>
      </c>
      <c r="AM712" s="82">
        <f t="shared" si="356"/>
        <v>0</v>
      </c>
      <c r="AN712" s="82">
        <f t="shared" si="347"/>
        <v>0</v>
      </c>
      <c r="AO712" s="48">
        <v>0</v>
      </c>
      <c r="AP712" s="91">
        <f t="shared" si="357"/>
        <v>-340</v>
      </c>
      <c r="AQ712" s="91">
        <f t="shared" si="358"/>
        <v>-340</v>
      </c>
    </row>
    <row r="713" spans="1:43">
      <c r="A713" s="190">
        <f t="shared" si="348"/>
        <v>67.637577002053376</v>
      </c>
      <c r="B713" s="82">
        <f t="shared" si="349"/>
        <v>2</v>
      </c>
      <c r="C713" s="83">
        <f t="shared" si="350"/>
        <v>23</v>
      </c>
      <c r="D713" s="14">
        <f t="shared" si="335"/>
        <v>2.6283369587845051E-3</v>
      </c>
      <c r="E713" s="16">
        <f t="shared" si="336"/>
        <v>0</v>
      </c>
      <c r="F713" s="127"/>
      <c r="G713" s="88">
        <f t="shared" si="337"/>
        <v>0.04</v>
      </c>
      <c r="H713" s="89">
        <f t="shared" si="351"/>
        <v>3.3333333333333335E-3</v>
      </c>
      <c r="I713" s="219"/>
      <c r="J713" s="219"/>
      <c r="K713" s="6">
        <f t="shared" si="361"/>
        <v>95827.687903635931</v>
      </c>
      <c r="M713" s="6">
        <f t="shared" si="338"/>
        <v>251.86745379199317</v>
      </c>
      <c r="N713" s="6">
        <f t="shared" si="339"/>
        <v>-108.41736060825609</v>
      </c>
      <c r="O713" s="90">
        <f t="shared" si="340"/>
        <v>340</v>
      </c>
      <c r="P713" s="91">
        <f t="shared" si="341"/>
        <v>0</v>
      </c>
      <c r="Q713" s="6">
        <f t="shared" si="342"/>
        <v>319.90379332273221</v>
      </c>
      <c r="R713" s="87">
        <f t="shared" si="363"/>
        <v>-340</v>
      </c>
      <c r="S713" s="6">
        <f t="shared" si="343"/>
        <v>-19.966516337879046</v>
      </c>
      <c r="T713" s="83">
        <f t="shared" si="353"/>
        <v>3825.2455198727862</v>
      </c>
      <c r="U713" s="91">
        <f t="shared" si="360"/>
        <v>98336.935830514005</v>
      </c>
      <c r="V713" s="91">
        <f t="shared" si="354"/>
        <v>258.46260285696019</v>
      </c>
      <c r="W713" s="1">
        <f t="shared" si="365"/>
        <v>0</v>
      </c>
      <c r="X713" s="1">
        <f t="shared" si="365"/>
        <v>1</v>
      </c>
      <c r="Y713" s="1">
        <f t="shared" si="365"/>
        <v>1</v>
      </c>
      <c r="Z713" s="1">
        <f t="shared" si="365"/>
        <v>1</v>
      </c>
      <c r="AA713" s="1">
        <f t="shared" si="365"/>
        <v>1</v>
      </c>
      <c r="AB713" s="1">
        <f t="shared" si="365"/>
        <v>1</v>
      </c>
      <c r="AC713" s="1">
        <f t="shared" si="365"/>
        <v>1</v>
      </c>
      <c r="AD713" s="1">
        <f t="shared" si="365"/>
        <v>1</v>
      </c>
      <c r="AE713" s="1">
        <f t="shared" si="365"/>
        <v>1</v>
      </c>
      <c r="AF713" s="1">
        <f t="shared" si="365"/>
        <v>1</v>
      </c>
      <c r="AG713" s="1">
        <f t="shared" si="365"/>
        <v>1</v>
      </c>
      <c r="AH713" s="1">
        <f t="shared" si="365"/>
        <v>1</v>
      </c>
      <c r="AI713" s="44">
        <f t="shared" si="355"/>
        <v>95631.137996819656</v>
      </c>
      <c r="AJ713" s="44">
        <f t="shared" si="345"/>
        <v>95971.137996819656</v>
      </c>
      <c r="AK713" s="44" t="str">
        <f t="shared" si="364"/>
        <v>N</v>
      </c>
      <c r="AL713" s="4">
        <f t="shared" si="346"/>
        <v>23</v>
      </c>
      <c r="AM713" s="82">
        <f t="shared" si="356"/>
        <v>0</v>
      </c>
      <c r="AN713" s="82">
        <f t="shared" si="347"/>
        <v>0</v>
      </c>
      <c r="AO713" s="48">
        <v>0</v>
      </c>
      <c r="AP713" s="91">
        <f t="shared" si="357"/>
        <v>-340</v>
      </c>
      <c r="AQ713" s="91">
        <f t="shared" si="358"/>
        <v>-340</v>
      </c>
    </row>
    <row r="714" spans="1:43">
      <c r="A714" s="190">
        <f t="shared" si="348"/>
        <v>67.720910335386719</v>
      </c>
      <c r="B714" s="82">
        <f t="shared" si="349"/>
        <v>2</v>
      </c>
      <c r="C714" s="83">
        <f t="shared" si="350"/>
        <v>24</v>
      </c>
      <c r="D714" s="14">
        <f t="shared" si="335"/>
        <v>2.6283369587845051E-3</v>
      </c>
      <c r="E714" s="16">
        <f t="shared" si="336"/>
        <v>0</v>
      </c>
      <c r="F714" s="127"/>
      <c r="G714" s="88">
        <f t="shared" si="337"/>
        <v>0.04</v>
      </c>
      <c r="H714" s="89">
        <f t="shared" si="351"/>
        <v>3.3333333333333335E-3</v>
      </c>
      <c r="I714" s="219"/>
      <c r="J714" s="219"/>
      <c r="K714" s="6">
        <f t="shared" si="361"/>
        <v>95631.137996819656</v>
      </c>
      <c r="M714" s="6">
        <f t="shared" si="338"/>
        <v>251.3508544076623</v>
      </c>
      <c r="N714" s="6">
        <f t="shared" si="339"/>
        <v>-108.19498832117506</v>
      </c>
      <c r="O714" s="90">
        <f t="shared" si="340"/>
        <v>340</v>
      </c>
      <c r="P714" s="91">
        <f t="shared" si="341"/>
        <v>0</v>
      </c>
      <c r="Q714" s="6">
        <f t="shared" si="342"/>
        <v>319.24764620968716</v>
      </c>
      <c r="R714" s="87">
        <f t="shared" si="363"/>
        <v>-340</v>
      </c>
      <c r="S714" s="6">
        <f t="shared" si="343"/>
        <v>-19.925490762251947</v>
      </c>
      <c r="T714" s="83">
        <f t="shared" si="353"/>
        <v>3817.3717545162458</v>
      </c>
      <c r="U714" s="91">
        <f t="shared" si="360"/>
        <v>98255.398433370967</v>
      </c>
      <c r="V714" s="91">
        <f t="shared" si="354"/>
        <v>258.24829510252607</v>
      </c>
      <c r="W714" s="1">
        <f t="shared" si="365"/>
        <v>0</v>
      </c>
      <c r="X714" s="1">
        <f t="shared" si="365"/>
        <v>1</v>
      </c>
      <c r="Y714" s="1">
        <f t="shared" si="365"/>
        <v>1</v>
      </c>
      <c r="Z714" s="1">
        <f t="shared" si="365"/>
        <v>1</v>
      </c>
      <c r="AA714" s="1">
        <f t="shared" si="365"/>
        <v>1</v>
      </c>
      <c r="AB714" s="1">
        <f t="shared" si="365"/>
        <v>1</v>
      </c>
      <c r="AC714" s="1">
        <f t="shared" si="365"/>
        <v>1</v>
      </c>
      <c r="AD714" s="1">
        <f t="shared" si="365"/>
        <v>1</v>
      </c>
      <c r="AE714" s="1">
        <f t="shared" si="365"/>
        <v>1</v>
      </c>
      <c r="AF714" s="1">
        <f t="shared" si="365"/>
        <v>1</v>
      </c>
      <c r="AG714" s="1">
        <f t="shared" si="365"/>
        <v>1</v>
      </c>
      <c r="AH714" s="1">
        <f t="shared" si="365"/>
        <v>1</v>
      </c>
      <c r="AI714" s="44">
        <f t="shared" si="355"/>
        <v>95434.293862906139</v>
      </c>
      <c r="AJ714" s="44">
        <f t="shared" si="345"/>
        <v>95774.293862906139</v>
      </c>
      <c r="AK714" s="44" t="str">
        <f t="shared" si="364"/>
        <v>N</v>
      </c>
      <c r="AL714" s="4">
        <f t="shared" si="346"/>
        <v>24</v>
      </c>
      <c r="AM714" s="82">
        <f t="shared" si="356"/>
        <v>0</v>
      </c>
      <c r="AN714" s="82">
        <f t="shared" si="347"/>
        <v>0</v>
      </c>
      <c r="AO714" s="48">
        <v>0</v>
      </c>
      <c r="AP714" s="91">
        <f t="shared" si="357"/>
        <v>-340</v>
      </c>
      <c r="AQ714" s="91">
        <f t="shared" si="358"/>
        <v>-340</v>
      </c>
    </row>
    <row r="715" spans="1:43">
      <c r="A715" s="190">
        <f t="shared" si="348"/>
        <v>67.804243668720048</v>
      </c>
      <c r="B715" s="82">
        <f t="shared" si="349"/>
        <v>3</v>
      </c>
      <c r="C715" s="83">
        <f t="shared" si="350"/>
        <v>25</v>
      </c>
      <c r="D715" s="14">
        <f t="shared" si="335"/>
        <v>2.6283369587845051E-3</v>
      </c>
      <c r="E715" s="16">
        <f t="shared" si="336"/>
        <v>0</v>
      </c>
      <c r="F715" s="127"/>
      <c r="G715" s="88">
        <f t="shared" si="337"/>
        <v>0.03</v>
      </c>
      <c r="H715" s="89">
        <f t="shared" si="351"/>
        <v>3.3333333333333335E-3</v>
      </c>
      <c r="I715" s="219"/>
      <c r="J715" s="219"/>
      <c r="K715" s="6">
        <f t="shared" si="361"/>
        <v>95434.293862906139</v>
      </c>
      <c r="M715" s="6">
        <f t="shared" si="338"/>
        <v>250.83348169537749</v>
      </c>
      <c r="N715" s="6">
        <f t="shared" si="339"/>
        <v>-107.97228315195943</v>
      </c>
      <c r="O715" s="90">
        <f t="shared" si="340"/>
        <v>346.79999999999995</v>
      </c>
      <c r="P715" s="91">
        <f t="shared" si="341"/>
        <v>0</v>
      </c>
      <c r="Q715" s="6">
        <f t="shared" si="342"/>
        <v>318.59051687149849</v>
      </c>
      <c r="R715" s="87">
        <f t="shared" si="363"/>
        <v>-347.31914528467127</v>
      </c>
      <c r="S715" s="6">
        <f t="shared" si="343"/>
        <v>-19.883640487070664</v>
      </c>
      <c r="T715" s="83">
        <f t="shared" si="353"/>
        <v>2856.8950774849463</v>
      </c>
      <c r="U715" s="91">
        <f t="shared" si="360"/>
        <v>98173.646728473497</v>
      </c>
      <c r="V715" s="91">
        <f t="shared" si="354"/>
        <v>258.03342407510041</v>
      </c>
      <c r="W715" s="1">
        <f t="shared" si="365"/>
        <v>0</v>
      </c>
      <c r="X715" s="1">
        <f t="shared" si="365"/>
        <v>0</v>
      </c>
      <c r="Y715" s="1">
        <f t="shared" si="365"/>
        <v>1</v>
      </c>
      <c r="Z715" s="1">
        <f t="shared" si="365"/>
        <v>1</v>
      </c>
      <c r="AA715" s="1">
        <f t="shared" si="365"/>
        <v>1</v>
      </c>
      <c r="AB715" s="1">
        <f t="shared" si="365"/>
        <v>1</v>
      </c>
      <c r="AC715" s="1">
        <f t="shared" si="365"/>
        <v>1</v>
      </c>
      <c r="AD715" s="1">
        <f t="shared" si="365"/>
        <v>1</v>
      </c>
      <c r="AE715" s="1">
        <f t="shared" si="365"/>
        <v>1</v>
      </c>
      <c r="AF715" s="1">
        <f t="shared" si="365"/>
        <v>1</v>
      </c>
      <c r="AG715" s="1">
        <f t="shared" si="365"/>
        <v>1</v>
      </c>
      <c r="AH715" s="1">
        <f t="shared" si="365"/>
        <v>1</v>
      </c>
      <c r="AI715" s="44">
        <f t="shared" si="355"/>
        <v>95229.835916164884</v>
      </c>
      <c r="AJ715" s="44">
        <f t="shared" si="345"/>
        <v>95577.15506144955</v>
      </c>
      <c r="AK715" s="44" t="str">
        <f t="shared" si="364"/>
        <v>N</v>
      </c>
      <c r="AL715" s="4">
        <f t="shared" si="346"/>
        <v>25</v>
      </c>
      <c r="AM715" s="82">
        <f t="shared" si="356"/>
        <v>0</v>
      </c>
      <c r="AN715" s="82">
        <f t="shared" si="347"/>
        <v>0</v>
      </c>
      <c r="AO715" s="48">
        <v>0</v>
      </c>
      <c r="AP715" s="91">
        <f t="shared" si="357"/>
        <v>-347.31914528467127</v>
      </c>
      <c r="AQ715" s="91">
        <f t="shared" si="358"/>
        <v>-347.31914528467127</v>
      </c>
    </row>
    <row r="716" spans="1:43">
      <c r="A716" s="190">
        <f t="shared" si="348"/>
        <v>67.887577002053376</v>
      </c>
      <c r="B716" s="82">
        <f t="shared" si="349"/>
        <v>3</v>
      </c>
      <c r="C716" s="83">
        <f t="shared" si="350"/>
        <v>26</v>
      </c>
      <c r="D716" s="14">
        <f t="shared" si="335"/>
        <v>2.6283369587845051E-3</v>
      </c>
      <c r="E716" s="16">
        <f t="shared" si="336"/>
        <v>0</v>
      </c>
      <c r="F716" s="127"/>
      <c r="G716" s="88">
        <f t="shared" si="337"/>
        <v>0.03</v>
      </c>
      <c r="H716" s="89">
        <f t="shared" si="351"/>
        <v>3.3333333333333335E-3</v>
      </c>
      <c r="I716" s="219"/>
      <c r="J716" s="219"/>
      <c r="K716" s="6">
        <f t="shared" si="361"/>
        <v>95229.835916164884</v>
      </c>
      <c r="M716" s="6">
        <f t="shared" si="338"/>
        <v>250.29609731744026</v>
      </c>
      <c r="N716" s="6">
        <f t="shared" si="339"/>
        <v>-107.74096388060894</v>
      </c>
      <c r="O716" s="90">
        <f t="shared" si="340"/>
        <v>346.79999999999995</v>
      </c>
      <c r="P716" s="91">
        <f t="shared" si="341"/>
        <v>0</v>
      </c>
      <c r="Q716" s="6">
        <f t="shared" si="342"/>
        <v>317.90797016533907</v>
      </c>
      <c r="R716" s="87">
        <f t="shared" si="363"/>
        <v>-346.8</v>
      </c>
      <c r="S716" s="6">
        <f t="shared" si="343"/>
        <v>-19.84101841749095</v>
      </c>
      <c r="T716" s="83">
        <f t="shared" si="353"/>
        <v>2850.7677314880511</v>
      </c>
      <c r="U716" s="91">
        <f t="shared" si="360"/>
        <v>98084.361007263928</v>
      </c>
      <c r="V716" s="91">
        <f t="shared" si="354"/>
        <v>257.79875111415356</v>
      </c>
      <c r="W716" s="1">
        <f t="shared" si="365"/>
        <v>0</v>
      </c>
      <c r="X716" s="1">
        <f t="shared" si="365"/>
        <v>0</v>
      </c>
      <c r="Y716" s="1">
        <f t="shared" si="365"/>
        <v>1</v>
      </c>
      <c r="Z716" s="1">
        <f t="shared" si="365"/>
        <v>1</v>
      </c>
      <c r="AA716" s="1">
        <f t="shared" si="365"/>
        <v>1</v>
      </c>
      <c r="AB716" s="1">
        <f t="shared" si="365"/>
        <v>1</v>
      </c>
      <c r="AC716" s="1">
        <f t="shared" si="365"/>
        <v>1</v>
      </c>
      <c r="AD716" s="1">
        <f t="shared" si="365"/>
        <v>1</v>
      </c>
      <c r="AE716" s="1">
        <f t="shared" si="365"/>
        <v>1</v>
      </c>
      <c r="AF716" s="1">
        <f t="shared" si="365"/>
        <v>1</v>
      </c>
      <c r="AG716" s="1">
        <f t="shared" si="365"/>
        <v>1</v>
      </c>
      <c r="AH716" s="1">
        <f t="shared" si="365"/>
        <v>1</v>
      </c>
      <c r="AI716" s="44">
        <f t="shared" si="355"/>
        <v>95025.591049601702</v>
      </c>
      <c r="AJ716" s="44">
        <f t="shared" si="345"/>
        <v>95372.391049601705</v>
      </c>
      <c r="AK716" s="44" t="str">
        <f t="shared" si="364"/>
        <v>N</v>
      </c>
      <c r="AL716" s="4">
        <f t="shared" si="346"/>
        <v>26</v>
      </c>
      <c r="AM716" s="82">
        <f t="shared" si="356"/>
        <v>0</v>
      </c>
      <c r="AN716" s="82">
        <f t="shared" si="347"/>
        <v>0</v>
      </c>
      <c r="AO716" s="48">
        <v>0</v>
      </c>
      <c r="AP716" s="91">
        <f t="shared" si="357"/>
        <v>-346.8</v>
      </c>
      <c r="AQ716" s="91">
        <f t="shared" si="358"/>
        <v>-346.8</v>
      </c>
    </row>
    <row r="717" spans="1:43">
      <c r="A717" s="190">
        <f t="shared" si="348"/>
        <v>67.970910335386719</v>
      </c>
      <c r="B717" s="82">
        <f t="shared" si="349"/>
        <v>3</v>
      </c>
      <c r="C717" s="83">
        <f t="shared" si="350"/>
        <v>27</v>
      </c>
      <c r="D717" s="14">
        <f t="shared" si="335"/>
        <v>2.6283369587845051E-3</v>
      </c>
      <c r="E717" s="16">
        <f t="shared" si="336"/>
        <v>0</v>
      </c>
      <c r="F717" s="127"/>
      <c r="G717" s="88">
        <f t="shared" si="337"/>
        <v>0.03</v>
      </c>
      <c r="H717" s="89">
        <f t="shared" si="351"/>
        <v>3.3333333333333335E-3</v>
      </c>
      <c r="I717" s="219"/>
      <c r="J717" s="219"/>
      <c r="K717" s="6">
        <f t="shared" si="361"/>
        <v>95025.591049601702</v>
      </c>
      <c r="M717" s="6">
        <f t="shared" si="338"/>
        <v>249.75927298601022</v>
      </c>
      <c r="N717" s="6">
        <f t="shared" si="339"/>
        <v>-107.50988568353469</v>
      </c>
      <c r="O717" s="90">
        <f t="shared" si="340"/>
        <v>346.79999999999995</v>
      </c>
      <c r="P717" s="91">
        <f t="shared" si="341"/>
        <v>0</v>
      </c>
      <c r="Q717" s="6">
        <f t="shared" si="342"/>
        <v>317.2261347896806</v>
      </c>
      <c r="R717" s="87">
        <f t="shared" si="363"/>
        <v>-346.8</v>
      </c>
      <c r="S717" s="6">
        <f t="shared" si="343"/>
        <v>-19.798386684129365</v>
      </c>
      <c r="T717" s="83">
        <f t="shared" si="353"/>
        <v>2844.6312131071249</v>
      </c>
      <c r="U717" s="91">
        <f t="shared" si="360"/>
        <v>97995.359758378079</v>
      </c>
      <c r="V717" s="91">
        <f t="shared" si="354"/>
        <v>257.5648258423289</v>
      </c>
      <c r="W717" s="1">
        <f t="shared" si="365"/>
        <v>0</v>
      </c>
      <c r="X717" s="1">
        <f t="shared" si="365"/>
        <v>0</v>
      </c>
      <c r="Y717" s="1">
        <f t="shared" si="365"/>
        <v>1</v>
      </c>
      <c r="Z717" s="1">
        <f t="shared" si="365"/>
        <v>1</v>
      </c>
      <c r="AA717" s="1">
        <f t="shared" si="365"/>
        <v>1</v>
      </c>
      <c r="AB717" s="1">
        <f t="shared" si="365"/>
        <v>1</v>
      </c>
      <c r="AC717" s="1">
        <f t="shared" si="365"/>
        <v>1</v>
      </c>
      <c r="AD717" s="1">
        <f t="shared" si="365"/>
        <v>1</v>
      </c>
      <c r="AE717" s="1">
        <f t="shared" si="365"/>
        <v>1</v>
      </c>
      <c r="AF717" s="1">
        <f t="shared" si="365"/>
        <v>1</v>
      </c>
      <c r="AG717" s="1">
        <f t="shared" si="365"/>
        <v>1</v>
      </c>
      <c r="AH717" s="1">
        <f t="shared" si="365"/>
        <v>1</v>
      </c>
      <c r="AI717" s="44">
        <f t="shared" si="355"/>
        <v>94821.040436904164</v>
      </c>
      <c r="AJ717" s="44">
        <f t="shared" si="345"/>
        <v>95167.840436904167</v>
      </c>
      <c r="AK717" s="44" t="str">
        <f t="shared" si="364"/>
        <v>N</v>
      </c>
      <c r="AL717" s="4">
        <f t="shared" si="346"/>
        <v>27</v>
      </c>
      <c r="AM717" s="82">
        <f t="shared" si="356"/>
        <v>0</v>
      </c>
      <c r="AN717" s="82">
        <f t="shared" si="347"/>
        <v>0</v>
      </c>
      <c r="AO717" s="48">
        <v>0</v>
      </c>
      <c r="AP717" s="91">
        <f t="shared" si="357"/>
        <v>-346.8</v>
      </c>
      <c r="AQ717" s="91">
        <f t="shared" si="358"/>
        <v>-346.8</v>
      </c>
    </row>
    <row r="718" spans="1:43">
      <c r="A718" s="190">
        <f t="shared" si="348"/>
        <v>68.054243668720048</v>
      </c>
      <c r="B718" s="82">
        <f t="shared" si="349"/>
        <v>3</v>
      </c>
      <c r="C718" s="83">
        <f t="shared" si="350"/>
        <v>28</v>
      </c>
      <c r="D718" s="14">
        <f t="shared" si="335"/>
        <v>2.6283369587845051E-3</v>
      </c>
      <c r="E718" s="16">
        <f t="shared" si="336"/>
        <v>0</v>
      </c>
      <c r="F718" s="127"/>
      <c r="G718" s="88">
        <f t="shared" si="337"/>
        <v>0.03</v>
      </c>
      <c r="H718" s="89">
        <f t="shared" si="351"/>
        <v>3.3333333333333335E-3</v>
      </c>
      <c r="I718" s="219"/>
      <c r="J718" s="219"/>
      <c r="K718" s="6">
        <f t="shared" si="361"/>
        <v>94821.040436904164</v>
      </c>
      <c r="M718" s="6">
        <f t="shared" si="338"/>
        <v>249.22164505071527</v>
      </c>
      <c r="N718" s="6">
        <f t="shared" si="339"/>
        <v>-107.27846157193795</v>
      </c>
      <c r="O718" s="90">
        <f t="shared" si="340"/>
        <v>346.79999999999995</v>
      </c>
      <c r="P718" s="91">
        <f t="shared" si="341"/>
        <v>0</v>
      </c>
      <c r="Q718" s="6">
        <f t="shared" si="342"/>
        <v>316.54327873460977</v>
      </c>
      <c r="R718" s="87">
        <f t="shared" si="363"/>
        <v>-346.8</v>
      </c>
      <c r="S718" s="6">
        <f t="shared" si="343"/>
        <v>-19.755691132822708</v>
      </c>
      <c r="T718" s="83">
        <f t="shared" si="353"/>
        <v>2838.4855086114876</v>
      </c>
      <c r="U718" s="91">
        <f t="shared" si="360"/>
        <v>97906.124584220408</v>
      </c>
      <c r="V718" s="91">
        <f t="shared" si="354"/>
        <v>257.33028573606674</v>
      </c>
      <c r="W718" s="1">
        <f t="shared" si="365"/>
        <v>0</v>
      </c>
      <c r="X718" s="1">
        <f t="shared" si="365"/>
        <v>0</v>
      </c>
      <c r="Y718" s="1">
        <f t="shared" si="365"/>
        <v>1</v>
      </c>
      <c r="Z718" s="1">
        <f t="shared" si="365"/>
        <v>1</v>
      </c>
      <c r="AA718" s="1">
        <f t="shared" si="365"/>
        <v>1</v>
      </c>
      <c r="AB718" s="1">
        <f t="shared" si="365"/>
        <v>1</v>
      </c>
      <c r="AC718" s="1">
        <f t="shared" si="365"/>
        <v>1</v>
      </c>
      <c r="AD718" s="1">
        <f t="shared" si="365"/>
        <v>1</v>
      </c>
      <c r="AE718" s="1">
        <f t="shared" si="365"/>
        <v>1</v>
      </c>
      <c r="AF718" s="1">
        <f t="shared" si="365"/>
        <v>1</v>
      </c>
      <c r="AG718" s="1">
        <f t="shared" si="365"/>
        <v>1</v>
      </c>
      <c r="AH718" s="1">
        <f t="shared" si="365"/>
        <v>1</v>
      </c>
      <c r="AI718" s="44">
        <f t="shared" si="355"/>
        <v>94616.18362038293</v>
      </c>
      <c r="AJ718" s="44">
        <f t="shared" si="345"/>
        <v>94962.983620382933</v>
      </c>
      <c r="AK718" s="44" t="str">
        <f t="shared" si="364"/>
        <v>N</v>
      </c>
      <c r="AL718" s="4">
        <f t="shared" si="346"/>
        <v>28</v>
      </c>
      <c r="AM718" s="82">
        <f t="shared" si="356"/>
        <v>0</v>
      </c>
      <c r="AN718" s="82">
        <f t="shared" si="347"/>
        <v>0</v>
      </c>
      <c r="AO718" s="48">
        <v>0</v>
      </c>
      <c r="AP718" s="91">
        <f t="shared" si="357"/>
        <v>-346.8</v>
      </c>
      <c r="AQ718" s="91">
        <f t="shared" si="358"/>
        <v>-346.8</v>
      </c>
    </row>
    <row r="719" spans="1:43">
      <c r="A719" s="190">
        <f t="shared" si="348"/>
        <v>68.137577002053376</v>
      </c>
      <c r="B719" s="82">
        <f t="shared" si="349"/>
        <v>3</v>
      </c>
      <c r="C719" s="83">
        <f t="shared" si="350"/>
        <v>29</v>
      </c>
      <c r="D719" s="14">
        <f t="shared" si="335"/>
        <v>2.6283369587845051E-3</v>
      </c>
      <c r="E719" s="16">
        <f t="shared" si="336"/>
        <v>0</v>
      </c>
      <c r="F719" s="127"/>
      <c r="G719" s="88">
        <f t="shared" si="337"/>
        <v>0.03</v>
      </c>
      <c r="H719" s="89">
        <f t="shared" si="351"/>
        <v>3.3333333333333335E-3</v>
      </c>
      <c r="I719" s="219"/>
      <c r="J719" s="219"/>
      <c r="K719" s="6">
        <f t="shared" si="361"/>
        <v>94616.18362038293</v>
      </c>
      <c r="M719" s="6">
        <f t="shared" si="338"/>
        <v>248.68321230859357</v>
      </c>
      <c r="N719" s="6">
        <f t="shared" si="339"/>
        <v>-107.04669102799896</v>
      </c>
      <c r="O719" s="90">
        <f t="shared" si="340"/>
        <v>346.79999999999995</v>
      </c>
      <c r="P719" s="91">
        <f t="shared" si="341"/>
        <v>0</v>
      </c>
      <c r="Q719" s="6">
        <f t="shared" si="342"/>
        <v>315.8594004722118</v>
      </c>
      <c r="R719" s="87">
        <f t="shared" si="363"/>
        <v>-346.8</v>
      </c>
      <c r="S719" s="6">
        <f t="shared" si="343"/>
        <v>-19.712931668038145</v>
      </c>
      <c r="T719" s="83">
        <f t="shared" si="353"/>
        <v>2832.3306042499057</v>
      </c>
      <c r="U719" s="91">
        <f t="shared" si="360"/>
        <v>97816.654869956474</v>
      </c>
      <c r="V719" s="91">
        <f t="shared" si="354"/>
        <v>257.09512917937496</v>
      </c>
      <c r="W719" s="1">
        <f t="shared" si="365"/>
        <v>0</v>
      </c>
      <c r="X719" s="1">
        <f t="shared" si="365"/>
        <v>0</v>
      </c>
      <c r="Y719" s="1">
        <f t="shared" si="365"/>
        <v>1</v>
      </c>
      <c r="Z719" s="1">
        <f t="shared" si="365"/>
        <v>1</v>
      </c>
      <c r="AA719" s="1">
        <f t="shared" si="365"/>
        <v>1</v>
      </c>
      <c r="AB719" s="1">
        <f t="shared" si="365"/>
        <v>1</v>
      </c>
      <c r="AC719" s="1">
        <f t="shared" si="365"/>
        <v>1</v>
      </c>
      <c r="AD719" s="1">
        <f t="shared" si="365"/>
        <v>1</v>
      </c>
      <c r="AE719" s="1">
        <f t="shared" si="365"/>
        <v>1</v>
      </c>
      <c r="AF719" s="1">
        <f t="shared" si="365"/>
        <v>1</v>
      </c>
      <c r="AG719" s="1">
        <f t="shared" si="365"/>
        <v>1</v>
      </c>
      <c r="AH719" s="1">
        <f t="shared" si="365"/>
        <v>1</v>
      </c>
      <c r="AI719" s="44">
        <f t="shared" si="355"/>
        <v>94411.020141663525</v>
      </c>
      <c r="AJ719" s="44">
        <f t="shared" si="345"/>
        <v>94757.820141663527</v>
      </c>
      <c r="AK719" s="44" t="str">
        <f t="shared" si="364"/>
        <v>N</v>
      </c>
      <c r="AL719" s="4">
        <f t="shared" si="346"/>
        <v>29</v>
      </c>
      <c r="AM719" s="82">
        <f t="shared" si="356"/>
        <v>0</v>
      </c>
      <c r="AN719" s="82">
        <f t="shared" si="347"/>
        <v>0</v>
      </c>
      <c r="AO719" s="48">
        <v>0</v>
      </c>
      <c r="AP719" s="91">
        <f t="shared" si="357"/>
        <v>-346.8</v>
      </c>
      <c r="AQ719" s="91">
        <f t="shared" si="358"/>
        <v>-346.8</v>
      </c>
    </row>
    <row r="720" spans="1:43">
      <c r="A720" s="190">
        <f t="shared" si="348"/>
        <v>68.220910335386719</v>
      </c>
      <c r="B720" s="82">
        <f t="shared" si="349"/>
        <v>3</v>
      </c>
      <c r="C720" s="83">
        <f t="shared" si="350"/>
        <v>30</v>
      </c>
      <c r="D720" s="14">
        <f t="shared" si="335"/>
        <v>2.6283369587845051E-3</v>
      </c>
      <c r="E720" s="16">
        <f t="shared" si="336"/>
        <v>0</v>
      </c>
      <c r="F720" s="127"/>
      <c r="G720" s="88">
        <f t="shared" si="337"/>
        <v>0.03</v>
      </c>
      <c r="H720" s="89">
        <f t="shared" si="351"/>
        <v>3.3333333333333335E-3</v>
      </c>
      <c r="I720" s="219"/>
      <c r="J720" s="219"/>
      <c r="K720" s="6">
        <f t="shared" si="361"/>
        <v>94411.020141663525</v>
      </c>
      <c r="M720" s="6">
        <f t="shared" si="338"/>
        <v>248.14397355488256</v>
      </c>
      <c r="N720" s="6">
        <f t="shared" si="339"/>
        <v>-106.81457353312281</v>
      </c>
      <c r="O720" s="90">
        <f t="shared" si="340"/>
        <v>346.79999999999995</v>
      </c>
      <c r="P720" s="91">
        <f t="shared" si="341"/>
        <v>0</v>
      </c>
      <c r="Q720" s="6">
        <f t="shared" si="342"/>
        <v>315.17449847228431</v>
      </c>
      <c r="R720" s="87">
        <f t="shared" si="363"/>
        <v>-346.8</v>
      </c>
      <c r="S720" s="6">
        <f t="shared" si="343"/>
        <v>-19.670108194099839</v>
      </c>
      <c r="T720" s="83">
        <f t="shared" si="353"/>
        <v>2826.1664862505581</v>
      </c>
      <c r="U720" s="91">
        <f t="shared" si="360"/>
        <v>97726.949999135846</v>
      </c>
      <c r="V720" s="91">
        <f t="shared" si="354"/>
        <v>256.85935455201411</v>
      </c>
      <c r="W720" s="1">
        <f t="shared" si="365"/>
        <v>0</v>
      </c>
      <c r="X720" s="1">
        <f t="shared" si="365"/>
        <v>0</v>
      </c>
      <c r="Y720" s="1">
        <f t="shared" si="365"/>
        <v>1</v>
      </c>
      <c r="Z720" s="1">
        <f t="shared" si="365"/>
        <v>1</v>
      </c>
      <c r="AA720" s="1">
        <f t="shared" si="365"/>
        <v>1</v>
      </c>
      <c r="AB720" s="1">
        <f t="shared" si="365"/>
        <v>1</v>
      </c>
      <c r="AC720" s="1">
        <f t="shared" si="365"/>
        <v>1</v>
      </c>
      <c r="AD720" s="1">
        <f t="shared" si="365"/>
        <v>1</v>
      </c>
      <c r="AE720" s="1">
        <f t="shared" si="365"/>
        <v>1</v>
      </c>
      <c r="AF720" s="1">
        <f t="shared" si="365"/>
        <v>1</v>
      </c>
      <c r="AG720" s="1">
        <f t="shared" si="365"/>
        <v>1</v>
      </c>
      <c r="AH720" s="1">
        <f t="shared" si="365"/>
        <v>1</v>
      </c>
      <c r="AI720" s="44">
        <f t="shared" si="355"/>
        <v>94205.549541685279</v>
      </c>
      <c r="AJ720" s="44">
        <f t="shared" si="345"/>
        <v>94552.349541685282</v>
      </c>
      <c r="AK720" s="44" t="str">
        <f t="shared" si="364"/>
        <v>N</v>
      </c>
      <c r="AL720" s="4">
        <f t="shared" si="346"/>
        <v>30</v>
      </c>
      <c r="AM720" s="82">
        <f t="shared" si="356"/>
        <v>0</v>
      </c>
      <c r="AN720" s="82">
        <f t="shared" si="347"/>
        <v>0</v>
      </c>
      <c r="AO720" s="48">
        <v>0</v>
      </c>
      <c r="AP720" s="91">
        <f t="shared" si="357"/>
        <v>-346.8</v>
      </c>
      <c r="AQ720" s="91">
        <f t="shared" si="358"/>
        <v>-346.8</v>
      </c>
    </row>
    <row r="721" spans="1:43">
      <c r="A721" s="190">
        <f t="shared" si="348"/>
        <v>68.304243668720048</v>
      </c>
      <c r="B721" s="82">
        <f t="shared" si="349"/>
        <v>3</v>
      </c>
      <c r="C721" s="83">
        <f t="shared" si="350"/>
        <v>31</v>
      </c>
      <c r="D721" s="14">
        <f t="shared" si="335"/>
        <v>2.6283369587845051E-3</v>
      </c>
      <c r="E721" s="16">
        <f t="shared" si="336"/>
        <v>0</v>
      </c>
      <c r="F721" s="127"/>
      <c r="G721" s="88">
        <f t="shared" si="337"/>
        <v>0.03</v>
      </c>
      <c r="H721" s="89">
        <f t="shared" si="351"/>
        <v>3.3333333333333335E-3</v>
      </c>
      <c r="I721" s="219"/>
      <c r="J721" s="219"/>
      <c r="K721" s="6">
        <f t="shared" si="361"/>
        <v>94205.549541685279</v>
      </c>
      <c r="M721" s="6">
        <f t="shared" si="338"/>
        <v>247.60392758301612</v>
      </c>
      <c r="N721" s="6">
        <f t="shared" si="339"/>
        <v>-106.58210856793825</v>
      </c>
      <c r="O721" s="90">
        <f t="shared" si="340"/>
        <v>346.79999999999995</v>
      </c>
      <c r="P721" s="91">
        <f t="shared" si="341"/>
        <v>0</v>
      </c>
      <c r="Q721" s="6">
        <f t="shared" si="342"/>
        <v>314.48857120233453</v>
      </c>
      <c r="R721" s="87">
        <f t="shared" si="363"/>
        <v>-346.8</v>
      </c>
      <c r="S721" s="6">
        <f t="shared" si="343"/>
        <v>-19.627220615188733</v>
      </c>
      <c r="T721" s="83">
        <f t="shared" si="353"/>
        <v>2819.9931408210105</v>
      </c>
      <c r="U721" s="91">
        <f t="shared" si="360"/>
        <v>97637.009353687856</v>
      </c>
      <c r="V721" s="91">
        <f t="shared" si="354"/>
        <v>256.62296022948624</v>
      </c>
      <c r="W721" s="1">
        <f t="shared" ref="W721:AH730" si="366">IF($B721&lt;=W$78,1,0)</f>
        <v>0</v>
      </c>
      <c r="X721" s="1">
        <f t="shared" si="366"/>
        <v>0</v>
      </c>
      <c r="Y721" s="1">
        <f t="shared" si="366"/>
        <v>1</v>
      </c>
      <c r="Z721" s="1">
        <f t="shared" si="366"/>
        <v>1</v>
      </c>
      <c r="AA721" s="1">
        <f t="shared" si="366"/>
        <v>1</v>
      </c>
      <c r="AB721" s="1">
        <f t="shared" si="366"/>
        <v>1</v>
      </c>
      <c r="AC721" s="1">
        <f t="shared" si="366"/>
        <v>1</v>
      </c>
      <c r="AD721" s="1">
        <f t="shared" si="366"/>
        <v>1</v>
      </c>
      <c r="AE721" s="1">
        <f t="shared" si="366"/>
        <v>1</v>
      </c>
      <c r="AF721" s="1">
        <f t="shared" si="366"/>
        <v>1</v>
      </c>
      <c r="AG721" s="1">
        <f t="shared" si="366"/>
        <v>1</v>
      </c>
      <c r="AH721" s="1">
        <f t="shared" si="366"/>
        <v>1</v>
      </c>
      <c r="AI721" s="44">
        <f t="shared" si="355"/>
        <v>93999.771360700353</v>
      </c>
      <c r="AJ721" s="44">
        <f t="shared" si="345"/>
        <v>94346.571360700356</v>
      </c>
      <c r="AK721" s="44" t="str">
        <f t="shared" si="364"/>
        <v>N</v>
      </c>
      <c r="AL721" s="4">
        <f t="shared" si="346"/>
        <v>31</v>
      </c>
      <c r="AM721" s="82">
        <f t="shared" si="356"/>
        <v>0</v>
      </c>
      <c r="AN721" s="82">
        <f t="shared" si="347"/>
        <v>0</v>
      </c>
      <c r="AO721" s="48">
        <v>0</v>
      </c>
      <c r="AP721" s="91">
        <f t="shared" si="357"/>
        <v>-346.8</v>
      </c>
      <c r="AQ721" s="91">
        <f t="shared" si="358"/>
        <v>-346.8</v>
      </c>
    </row>
    <row r="722" spans="1:43">
      <c r="A722" s="190">
        <f t="shared" si="348"/>
        <v>68.387577002053376</v>
      </c>
      <c r="B722" s="82">
        <f t="shared" si="349"/>
        <v>3</v>
      </c>
      <c r="C722" s="83">
        <f t="shared" si="350"/>
        <v>32</v>
      </c>
      <c r="D722" s="14">
        <f t="shared" si="335"/>
        <v>2.6283369587845051E-3</v>
      </c>
      <c r="E722" s="16">
        <f t="shared" si="336"/>
        <v>0</v>
      </c>
      <c r="F722" s="127"/>
      <c r="G722" s="88">
        <f t="shared" si="337"/>
        <v>0.03</v>
      </c>
      <c r="H722" s="89">
        <f t="shared" si="351"/>
        <v>3.3333333333333335E-3</v>
      </c>
      <c r="I722" s="219"/>
      <c r="J722" s="219"/>
      <c r="K722" s="6">
        <f t="shared" si="361"/>
        <v>93999.771360700353</v>
      </c>
      <c r="M722" s="6">
        <f t="shared" si="338"/>
        <v>247.063073184622</v>
      </c>
      <c r="N722" s="6">
        <f t="shared" si="339"/>
        <v>-106.34929561229657</v>
      </c>
      <c r="O722" s="90">
        <f t="shared" si="340"/>
        <v>346.79999999999995</v>
      </c>
      <c r="P722" s="91">
        <f t="shared" si="341"/>
        <v>0</v>
      </c>
      <c r="Q722" s="6">
        <f t="shared" si="342"/>
        <v>313.80161712757564</v>
      </c>
      <c r="R722" s="87">
        <f t="shared" si="363"/>
        <v>-346.8</v>
      </c>
      <c r="S722" s="6">
        <f t="shared" si="343"/>
        <v>-19.584268835342321</v>
      </c>
      <c r="T722" s="83">
        <f t="shared" si="353"/>
        <v>2813.81055414818</v>
      </c>
      <c r="U722" s="91">
        <f t="shared" si="360"/>
        <v>97546.832313917344</v>
      </c>
      <c r="V722" s="91">
        <f t="shared" si="354"/>
        <v>256.38594458302362</v>
      </c>
      <c r="W722" s="1">
        <f t="shared" si="366"/>
        <v>0</v>
      </c>
      <c r="X722" s="1">
        <f t="shared" si="366"/>
        <v>0</v>
      </c>
      <c r="Y722" s="1">
        <f t="shared" si="366"/>
        <v>1</v>
      </c>
      <c r="Z722" s="1">
        <f t="shared" si="366"/>
        <v>1</v>
      </c>
      <c r="AA722" s="1">
        <f t="shared" si="366"/>
        <v>1</v>
      </c>
      <c r="AB722" s="1">
        <f t="shared" si="366"/>
        <v>1</v>
      </c>
      <c r="AC722" s="1">
        <f t="shared" si="366"/>
        <v>1</v>
      </c>
      <c r="AD722" s="1">
        <f t="shared" si="366"/>
        <v>1</v>
      </c>
      <c r="AE722" s="1">
        <f t="shared" si="366"/>
        <v>1</v>
      </c>
      <c r="AF722" s="1">
        <f t="shared" si="366"/>
        <v>1</v>
      </c>
      <c r="AG722" s="1">
        <f t="shared" si="366"/>
        <v>1</v>
      </c>
      <c r="AH722" s="1">
        <f t="shared" si="366"/>
        <v>1</v>
      </c>
      <c r="AI722" s="44">
        <f t="shared" si="355"/>
        <v>93793.685138272675</v>
      </c>
      <c r="AJ722" s="44">
        <f t="shared" si="345"/>
        <v>94140.485138272677</v>
      </c>
      <c r="AK722" s="44" t="str">
        <f t="shared" si="364"/>
        <v>N</v>
      </c>
      <c r="AL722" s="4">
        <f t="shared" si="346"/>
        <v>32</v>
      </c>
      <c r="AM722" s="82">
        <f t="shared" si="356"/>
        <v>0</v>
      </c>
      <c r="AN722" s="82">
        <f t="shared" si="347"/>
        <v>0</v>
      </c>
      <c r="AO722" s="48">
        <v>0</v>
      </c>
      <c r="AP722" s="91">
        <f t="shared" si="357"/>
        <v>-346.8</v>
      </c>
      <c r="AQ722" s="91">
        <f t="shared" si="358"/>
        <v>-346.8</v>
      </c>
    </row>
    <row r="723" spans="1:43">
      <c r="A723" s="190">
        <f t="shared" si="348"/>
        <v>68.470910335386719</v>
      </c>
      <c r="B723" s="82">
        <f t="shared" si="349"/>
        <v>3</v>
      </c>
      <c r="C723" s="83">
        <f t="shared" si="350"/>
        <v>33</v>
      </c>
      <c r="D723" s="14">
        <f t="shared" si="335"/>
        <v>2.6283369587845051E-3</v>
      </c>
      <c r="E723" s="16">
        <f t="shared" si="336"/>
        <v>0</v>
      </c>
      <c r="F723" s="127"/>
      <c r="G723" s="88">
        <f t="shared" si="337"/>
        <v>0.03</v>
      </c>
      <c r="H723" s="89">
        <f t="shared" si="351"/>
        <v>3.3333333333333335E-3</v>
      </c>
      <c r="I723" s="219"/>
      <c r="J723" s="219"/>
      <c r="K723" s="6">
        <f t="shared" si="361"/>
        <v>93793.685138272675</v>
      </c>
      <c r="M723" s="6">
        <f t="shared" si="338"/>
        <v>246.52140914951903</v>
      </c>
      <c r="N723" s="6">
        <f t="shared" si="339"/>
        <v>-106.11613414527042</v>
      </c>
      <c r="O723" s="90">
        <f t="shared" si="340"/>
        <v>346.79999999999995</v>
      </c>
      <c r="P723" s="91">
        <f t="shared" si="341"/>
        <v>0</v>
      </c>
      <c r="Q723" s="6">
        <f t="shared" si="342"/>
        <v>313.11363471092307</v>
      </c>
      <c r="R723" s="87">
        <f t="shared" si="363"/>
        <v>-346.8</v>
      </c>
      <c r="S723" s="6">
        <f t="shared" si="343"/>
        <v>-19.541252758454458</v>
      </c>
      <c r="T723" s="83">
        <f t="shared" si="353"/>
        <v>2807.6187123983073</v>
      </c>
      <c r="U723" s="91">
        <f t="shared" si="360"/>
        <v>97456.418258500358</v>
      </c>
      <c r="V723" s="91">
        <f t="shared" si="354"/>
        <v>256.14830597957757</v>
      </c>
      <c r="W723" s="1">
        <f t="shared" si="366"/>
        <v>0</v>
      </c>
      <c r="X723" s="1">
        <f t="shared" si="366"/>
        <v>0</v>
      </c>
      <c r="Y723" s="1">
        <f t="shared" si="366"/>
        <v>1</v>
      </c>
      <c r="Z723" s="1">
        <f t="shared" si="366"/>
        <v>1</v>
      </c>
      <c r="AA723" s="1">
        <f t="shared" si="366"/>
        <v>1</v>
      </c>
      <c r="AB723" s="1">
        <f t="shared" si="366"/>
        <v>1</v>
      </c>
      <c r="AC723" s="1">
        <f t="shared" si="366"/>
        <v>1</v>
      </c>
      <c r="AD723" s="1">
        <f t="shared" si="366"/>
        <v>1</v>
      </c>
      <c r="AE723" s="1">
        <f t="shared" si="366"/>
        <v>1</v>
      </c>
      <c r="AF723" s="1">
        <f t="shared" si="366"/>
        <v>1</v>
      </c>
      <c r="AG723" s="1">
        <f t="shared" si="366"/>
        <v>1</v>
      </c>
      <c r="AH723" s="1">
        <f t="shared" si="366"/>
        <v>1</v>
      </c>
      <c r="AI723" s="44">
        <f t="shared" si="355"/>
        <v>93587.290413276918</v>
      </c>
      <c r="AJ723" s="44">
        <f t="shared" si="345"/>
        <v>93934.090413276921</v>
      </c>
      <c r="AK723" s="44" t="str">
        <f t="shared" si="364"/>
        <v>N</v>
      </c>
      <c r="AL723" s="4">
        <f t="shared" si="346"/>
        <v>33</v>
      </c>
      <c r="AM723" s="82">
        <f t="shared" si="356"/>
        <v>0</v>
      </c>
      <c r="AN723" s="82">
        <f t="shared" si="347"/>
        <v>0</v>
      </c>
      <c r="AO723" s="48">
        <v>0</v>
      </c>
      <c r="AP723" s="91">
        <f t="shared" si="357"/>
        <v>-346.8</v>
      </c>
      <c r="AQ723" s="91">
        <f t="shared" si="358"/>
        <v>-346.8</v>
      </c>
    </row>
    <row r="724" spans="1:43">
      <c r="A724" s="190">
        <f t="shared" si="348"/>
        <v>68.554243668720048</v>
      </c>
      <c r="B724" s="82">
        <f t="shared" si="349"/>
        <v>3</v>
      </c>
      <c r="C724" s="83">
        <f t="shared" si="350"/>
        <v>34</v>
      </c>
      <c r="D724" s="14">
        <f t="shared" si="335"/>
        <v>2.6283369587845051E-3</v>
      </c>
      <c r="E724" s="16">
        <f t="shared" si="336"/>
        <v>0</v>
      </c>
      <c r="F724" s="127"/>
      <c r="G724" s="88">
        <f t="shared" si="337"/>
        <v>0.03</v>
      </c>
      <c r="H724" s="89">
        <f t="shared" si="351"/>
        <v>3.3333333333333335E-3</v>
      </c>
      <c r="I724" s="219"/>
      <c r="J724" s="219"/>
      <c r="K724" s="6">
        <f t="shared" si="361"/>
        <v>93587.290413276918</v>
      </c>
      <c r="M724" s="6">
        <f t="shared" si="338"/>
        <v>245.97893426571451</v>
      </c>
      <c r="N724" s="6">
        <f t="shared" si="339"/>
        <v>-105.88262364515265</v>
      </c>
      <c r="O724" s="90">
        <f t="shared" si="340"/>
        <v>346.79999999999995</v>
      </c>
      <c r="P724" s="91">
        <f t="shared" si="341"/>
        <v>0</v>
      </c>
      <c r="Q724" s="6">
        <f t="shared" si="342"/>
        <v>312.4246224129916</v>
      </c>
      <c r="R724" s="87">
        <f t="shared" si="363"/>
        <v>-346.8</v>
      </c>
      <c r="S724" s="6">
        <f t="shared" si="343"/>
        <v>-19.498172288275125</v>
      </c>
      <c r="T724" s="83">
        <f t="shared" si="353"/>
        <v>2801.4176017169243</v>
      </c>
      <c r="U724" s="91">
        <f t="shared" si="360"/>
        <v>97365.766564479927</v>
      </c>
      <c r="V724" s="91">
        <f t="shared" si="354"/>
        <v>255.91004278180722</v>
      </c>
      <c r="W724" s="1">
        <f t="shared" si="366"/>
        <v>0</v>
      </c>
      <c r="X724" s="1">
        <f t="shared" si="366"/>
        <v>0</v>
      </c>
      <c r="Y724" s="1">
        <f t="shared" si="366"/>
        <v>1</v>
      </c>
      <c r="Z724" s="1">
        <f t="shared" si="366"/>
        <v>1</v>
      </c>
      <c r="AA724" s="1">
        <f t="shared" si="366"/>
        <v>1</v>
      </c>
      <c r="AB724" s="1">
        <f t="shared" si="366"/>
        <v>1</v>
      </c>
      <c r="AC724" s="1">
        <f t="shared" si="366"/>
        <v>1</v>
      </c>
      <c r="AD724" s="1">
        <f t="shared" si="366"/>
        <v>1</v>
      </c>
      <c r="AE724" s="1">
        <f t="shared" si="366"/>
        <v>1</v>
      </c>
      <c r="AF724" s="1">
        <f t="shared" si="366"/>
        <v>1</v>
      </c>
      <c r="AG724" s="1">
        <f t="shared" si="366"/>
        <v>1</v>
      </c>
      <c r="AH724" s="1">
        <f t="shared" si="366"/>
        <v>1</v>
      </c>
      <c r="AI724" s="44">
        <f t="shared" si="355"/>
        <v>93380.586723897475</v>
      </c>
      <c r="AJ724" s="44">
        <f t="shared" si="345"/>
        <v>93727.386723897478</v>
      </c>
      <c r="AK724" s="44" t="str">
        <f t="shared" si="364"/>
        <v>N</v>
      </c>
      <c r="AL724" s="4">
        <f t="shared" si="346"/>
        <v>34</v>
      </c>
      <c r="AM724" s="82">
        <f t="shared" si="356"/>
        <v>0</v>
      </c>
      <c r="AN724" s="82">
        <f t="shared" si="347"/>
        <v>0</v>
      </c>
      <c r="AO724" s="48">
        <v>0</v>
      </c>
      <c r="AP724" s="91">
        <f t="shared" si="357"/>
        <v>-346.8</v>
      </c>
      <c r="AQ724" s="91">
        <f t="shared" si="358"/>
        <v>-346.8</v>
      </c>
    </row>
    <row r="725" spans="1:43">
      <c r="A725" s="190">
        <f t="shared" si="348"/>
        <v>68.637577002053376</v>
      </c>
      <c r="B725" s="82">
        <f t="shared" si="349"/>
        <v>3</v>
      </c>
      <c r="C725" s="83">
        <f t="shared" si="350"/>
        <v>35</v>
      </c>
      <c r="D725" s="14">
        <f t="shared" si="335"/>
        <v>2.6283369587845051E-3</v>
      </c>
      <c r="E725" s="16">
        <f t="shared" si="336"/>
        <v>0</v>
      </c>
      <c r="F725" s="127"/>
      <c r="G725" s="88">
        <f t="shared" si="337"/>
        <v>0.03</v>
      </c>
      <c r="H725" s="89">
        <f t="shared" si="351"/>
        <v>3.3333333333333335E-3</v>
      </c>
      <c r="I725" s="219"/>
      <c r="J725" s="219"/>
      <c r="K725" s="6">
        <f t="shared" si="361"/>
        <v>93380.586723897475</v>
      </c>
      <c r="M725" s="6">
        <f t="shared" si="338"/>
        <v>245.43564731940143</v>
      </c>
      <c r="N725" s="6">
        <f t="shared" si="339"/>
        <v>-105.64876358945514</v>
      </c>
      <c r="O725" s="90">
        <f t="shared" si="340"/>
        <v>346.79999999999995</v>
      </c>
      <c r="P725" s="91">
        <f t="shared" si="341"/>
        <v>0</v>
      </c>
      <c r="Q725" s="6">
        <f t="shared" si="342"/>
        <v>311.73457869209142</v>
      </c>
      <c r="R725" s="87">
        <f t="shared" si="363"/>
        <v>-346.8</v>
      </c>
      <c r="S725" s="6">
        <f t="shared" si="343"/>
        <v>-19.455027328410228</v>
      </c>
      <c r="T725" s="83">
        <f t="shared" si="353"/>
        <v>2795.2072082288223</v>
      </c>
      <c r="U725" s="91">
        <f t="shared" si="360"/>
        <v>97274.876607261729</v>
      </c>
      <c r="V725" s="91">
        <f t="shared" si="354"/>
        <v>255.67115334806829</v>
      </c>
      <c r="W725" s="1">
        <f t="shared" si="366"/>
        <v>0</v>
      </c>
      <c r="X725" s="1">
        <f t="shared" si="366"/>
        <v>0</v>
      </c>
      <c r="Y725" s="1">
        <f t="shared" si="366"/>
        <v>1</v>
      </c>
      <c r="Z725" s="1">
        <f t="shared" si="366"/>
        <v>1</v>
      </c>
      <c r="AA725" s="1">
        <f t="shared" si="366"/>
        <v>1</v>
      </c>
      <c r="AB725" s="1">
        <f t="shared" si="366"/>
        <v>1</v>
      </c>
      <c r="AC725" s="1">
        <f t="shared" si="366"/>
        <v>1</v>
      </c>
      <c r="AD725" s="1">
        <f t="shared" si="366"/>
        <v>1</v>
      </c>
      <c r="AE725" s="1">
        <f t="shared" si="366"/>
        <v>1</v>
      </c>
      <c r="AF725" s="1">
        <f t="shared" si="366"/>
        <v>1</v>
      </c>
      <c r="AG725" s="1">
        <f t="shared" si="366"/>
        <v>1</v>
      </c>
      <c r="AH725" s="1">
        <f t="shared" si="366"/>
        <v>1</v>
      </c>
      <c r="AI725" s="44">
        <f t="shared" si="355"/>
        <v>93173.573607627419</v>
      </c>
      <c r="AJ725" s="44">
        <f t="shared" si="345"/>
        <v>93520.373607627422</v>
      </c>
      <c r="AK725" s="44" t="str">
        <f t="shared" si="364"/>
        <v>N</v>
      </c>
      <c r="AL725" s="4">
        <f t="shared" si="346"/>
        <v>35</v>
      </c>
      <c r="AM725" s="82">
        <f t="shared" si="356"/>
        <v>0</v>
      </c>
      <c r="AN725" s="82">
        <f t="shared" si="347"/>
        <v>0</v>
      </c>
      <c r="AO725" s="48">
        <v>0</v>
      </c>
      <c r="AP725" s="91">
        <f t="shared" si="357"/>
        <v>-346.8</v>
      </c>
      <c r="AQ725" s="91">
        <f t="shared" si="358"/>
        <v>-346.8</v>
      </c>
    </row>
    <row r="726" spans="1:43">
      <c r="A726" s="190">
        <f t="shared" si="348"/>
        <v>68.720910335386719</v>
      </c>
      <c r="B726" s="82">
        <f t="shared" si="349"/>
        <v>3</v>
      </c>
      <c r="C726" s="83">
        <f t="shared" si="350"/>
        <v>36</v>
      </c>
      <c r="D726" s="14">
        <f t="shared" si="335"/>
        <v>2.6283369587845051E-3</v>
      </c>
      <c r="E726" s="16">
        <f t="shared" si="336"/>
        <v>0</v>
      </c>
      <c r="F726" s="127"/>
      <c r="G726" s="88">
        <f t="shared" si="337"/>
        <v>0.03</v>
      </c>
      <c r="H726" s="89">
        <f t="shared" si="351"/>
        <v>3.3333333333333335E-3</v>
      </c>
      <c r="I726" s="219"/>
      <c r="J726" s="219"/>
      <c r="K726" s="6">
        <f t="shared" si="361"/>
        <v>93173.573607627419</v>
      </c>
      <c r="M726" s="6">
        <f t="shared" si="338"/>
        <v>244.89154709495568</v>
      </c>
      <c r="N726" s="6">
        <f t="shared" si="339"/>
        <v>-105.4145534549076</v>
      </c>
      <c r="O726" s="90">
        <f t="shared" si="340"/>
        <v>346.79999999999995</v>
      </c>
      <c r="P726" s="91">
        <f t="shared" si="341"/>
        <v>0</v>
      </c>
      <c r="Q726" s="6">
        <f t="shared" si="342"/>
        <v>311.04350200422493</v>
      </c>
      <c r="R726" s="87">
        <f t="shared" si="363"/>
        <v>-346.8</v>
      </c>
      <c r="S726" s="6">
        <f t="shared" si="343"/>
        <v>-19.411817782321364</v>
      </c>
      <c r="T726" s="83">
        <f t="shared" si="353"/>
        <v>2788.9875180380241</v>
      </c>
      <c r="U726" s="91">
        <f t="shared" si="360"/>
        <v>97183.747760609796</v>
      </c>
      <c r="V726" s="91">
        <f t="shared" si="354"/>
        <v>255.4316360324016</v>
      </c>
      <c r="W726" s="1">
        <f t="shared" si="366"/>
        <v>0</v>
      </c>
      <c r="X726" s="1">
        <f t="shared" si="366"/>
        <v>0</v>
      </c>
      <c r="Y726" s="1">
        <f t="shared" si="366"/>
        <v>1</v>
      </c>
      <c r="Z726" s="1">
        <f t="shared" si="366"/>
        <v>1</v>
      </c>
      <c r="AA726" s="1">
        <f t="shared" si="366"/>
        <v>1</v>
      </c>
      <c r="AB726" s="1">
        <f t="shared" si="366"/>
        <v>1</v>
      </c>
      <c r="AC726" s="1">
        <f t="shared" si="366"/>
        <v>1</v>
      </c>
      <c r="AD726" s="1">
        <f t="shared" si="366"/>
        <v>1</v>
      </c>
      <c r="AE726" s="1">
        <f t="shared" si="366"/>
        <v>1</v>
      </c>
      <c r="AF726" s="1">
        <f t="shared" si="366"/>
        <v>1</v>
      </c>
      <c r="AG726" s="1">
        <f t="shared" si="366"/>
        <v>1</v>
      </c>
      <c r="AH726" s="1">
        <f t="shared" si="366"/>
        <v>1</v>
      </c>
      <c r="AI726" s="44">
        <f t="shared" si="355"/>
        <v>92966.250601267471</v>
      </c>
      <c r="AJ726" s="44">
        <f t="shared" si="345"/>
        <v>93313.050601267474</v>
      </c>
      <c r="AK726" s="44" t="str">
        <f t="shared" si="364"/>
        <v>N</v>
      </c>
      <c r="AL726" s="4">
        <f t="shared" si="346"/>
        <v>36</v>
      </c>
      <c r="AM726" s="82">
        <f t="shared" si="356"/>
        <v>0</v>
      </c>
      <c r="AN726" s="82">
        <f t="shared" si="347"/>
        <v>0</v>
      </c>
      <c r="AO726" s="48">
        <v>0</v>
      </c>
      <c r="AP726" s="91">
        <f t="shared" si="357"/>
        <v>-346.8</v>
      </c>
      <c r="AQ726" s="91">
        <f t="shared" si="358"/>
        <v>-346.8</v>
      </c>
    </row>
    <row r="727" spans="1:43">
      <c r="A727" s="190">
        <f t="shared" si="348"/>
        <v>68.804243668720048</v>
      </c>
      <c r="B727" s="82">
        <f t="shared" si="349"/>
        <v>4</v>
      </c>
      <c r="C727" s="83">
        <f t="shared" si="350"/>
        <v>37</v>
      </c>
      <c r="D727" s="14">
        <f t="shared" si="335"/>
        <v>2.6283369587845051E-3</v>
      </c>
      <c r="E727" s="16">
        <f t="shared" si="336"/>
        <v>0</v>
      </c>
      <c r="F727" s="127"/>
      <c r="G727" s="88">
        <f t="shared" si="337"/>
        <v>0.02</v>
      </c>
      <c r="H727" s="89">
        <f t="shared" si="351"/>
        <v>3.3333333333333335E-3</v>
      </c>
      <c r="I727" s="219"/>
      <c r="J727" s="219"/>
      <c r="K727" s="6">
        <f t="shared" si="361"/>
        <v>92966.250601267471</v>
      </c>
      <c r="M727" s="6">
        <f t="shared" si="338"/>
        <v>244.34663237493351</v>
      </c>
      <c r="N727" s="6">
        <f t="shared" si="339"/>
        <v>-105.17999271745649</v>
      </c>
      <c r="O727" s="90">
        <f t="shared" si="340"/>
        <v>353.73599999999993</v>
      </c>
      <c r="P727" s="91">
        <f t="shared" si="341"/>
        <v>0</v>
      </c>
      <c r="Q727" s="6">
        <f t="shared" si="342"/>
        <v>310.35139080308318</v>
      </c>
      <c r="R727" s="87">
        <f t="shared" si="363"/>
        <v>-354.26552819036471</v>
      </c>
      <c r="S727" s="6">
        <f t="shared" si="343"/>
        <v>-19.367765001645477</v>
      </c>
      <c r="T727" s="83">
        <f t="shared" si="353"/>
        <v>1855.0230342546915</v>
      </c>
      <c r="U727" s="91">
        <f t="shared" si="360"/>
        <v>97092.379396642194</v>
      </c>
      <c r="V727" s="91">
        <f t="shared" si="354"/>
        <v>255.19148918452188</v>
      </c>
      <c r="W727" s="1">
        <f t="shared" si="366"/>
        <v>0</v>
      </c>
      <c r="X727" s="1">
        <f t="shared" si="366"/>
        <v>0</v>
      </c>
      <c r="Y727" s="1">
        <f t="shared" si="366"/>
        <v>0</v>
      </c>
      <c r="Z727" s="1">
        <f t="shared" si="366"/>
        <v>1</v>
      </c>
      <c r="AA727" s="1">
        <f t="shared" si="366"/>
        <v>1</v>
      </c>
      <c r="AB727" s="1">
        <f t="shared" si="366"/>
        <v>1</v>
      </c>
      <c r="AC727" s="1">
        <f t="shared" si="366"/>
        <v>1</v>
      </c>
      <c r="AD727" s="1">
        <f t="shared" si="366"/>
        <v>1</v>
      </c>
      <c r="AE727" s="1">
        <f t="shared" si="366"/>
        <v>1</v>
      </c>
      <c r="AF727" s="1">
        <f t="shared" si="366"/>
        <v>1</v>
      </c>
      <c r="AG727" s="1">
        <f t="shared" si="366"/>
        <v>1</v>
      </c>
      <c r="AH727" s="1">
        <f t="shared" si="366"/>
        <v>1</v>
      </c>
      <c r="AI727" s="44">
        <f t="shared" si="355"/>
        <v>92751.151712734572</v>
      </c>
      <c r="AJ727" s="44">
        <f t="shared" si="345"/>
        <v>93105.417240924944</v>
      </c>
      <c r="AK727" s="44" t="str">
        <f t="shared" si="364"/>
        <v>N</v>
      </c>
      <c r="AL727" s="4">
        <f t="shared" si="346"/>
        <v>37</v>
      </c>
      <c r="AM727" s="82">
        <f t="shared" si="356"/>
        <v>0</v>
      </c>
      <c r="AN727" s="82">
        <f t="shared" si="347"/>
        <v>0</v>
      </c>
      <c r="AO727" s="48">
        <v>0</v>
      </c>
      <c r="AP727" s="91">
        <f t="shared" si="357"/>
        <v>-354.26552819036471</v>
      </c>
      <c r="AQ727" s="91">
        <f t="shared" si="358"/>
        <v>-354.26552819036471</v>
      </c>
    </row>
    <row r="728" spans="1:43">
      <c r="A728" s="190">
        <f t="shared" si="348"/>
        <v>68.887577002053376</v>
      </c>
      <c r="B728" s="82">
        <f t="shared" si="349"/>
        <v>4</v>
      </c>
      <c r="C728" s="83">
        <f t="shared" si="350"/>
        <v>38</v>
      </c>
      <c r="D728" s="14">
        <f t="shared" si="335"/>
        <v>2.6283369587845051E-3</v>
      </c>
      <c r="E728" s="16">
        <f t="shared" si="336"/>
        <v>0</v>
      </c>
      <c r="F728" s="127"/>
      <c r="G728" s="88">
        <f t="shared" si="337"/>
        <v>0.02</v>
      </c>
      <c r="H728" s="89">
        <f t="shared" si="351"/>
        <v>3.3333333333333335E-3</v>
      </c>
      <c r="I728" s="219"/>
      <c r="J728" s="219"/>
      <c r="K728" s="6">
        <f t="shared" si="361"/>
        <v>92751.151712734572</v>
      </c>
      <c r="M728" s="6">
        <f t="shared" si="338"/>
        <v>243.78128001640903</v>
      </c>
      <c r="N728" s="6">
        <f t="shared" si="339"/>
        <v>-104.93663451614042</v>
      </c>
      <c r="O728" s="90">
        <f t="shared" si="340"/>
        <v>353.73599999999993</v>
      </c>
      <c r="P728" s="91">
        <f t="shared" si="341"/>
        <v>0</v>
      </c>
      <c r="Q728" s="6">
        <f t="shared" si="342"/>
        <v>309.63332119411615</v>
      </c>
      <c r="R728" s="87">
        <f t="shared" si="363"/>
        <v>-353.73599999999999</v>
      </c>
      <c r="S728" s="6">
        <f t="shared" si="343"/>
        <v>-19.322922946586058</v>
      </c>
      <c r="T728" s="83">
        <f t="shared" si="353"/>
        <v>1850.7252071646967</v>
      </c>
      <c r="U728" s="91">
        <f t="shared" si="360"/>
        <v>96993.305357636345</v>
      </c>
      <c r="V728" s="91">
        <f t="shared" si="354"/>
        <v>254.93108922614675</v>
      </c>
      <c r="W728" s="1">
        <f t="shared" si="366"/>
        <v>0</v>
      </c>
      <c r="X728" s="1">
        <f t="shared" si="366"/>
        <v>0</v>
      </c>
      <c r="Y728" s="1">
        <f t="shared" si="366"/>
        <v>0</v>
      </c>
      <c r="Z728" s="1">
        <f t="shared" si="366"/>
        <v>1</v>
      </c>
      <c r="AA728" s="1">
        <f t="shared" si="366"/>
        <v>1</v>
      </c>
      <c r="AB728" s="1">
        <f t="shared" si="366"/>
        <v>1</v>
      </c>
      <c r="AC728" s="1">
        <f t="shared" si="366"/>
        <v>1</v>
      </c>
      <c r="AD728" s="1">
        <f t="shared" si="366"/>
        <v>1</v>
      </c>
      <c r="AE728" s="1">
        <f t="shared" si="366"/>
        <v>1</v>
      </c>
      <c r="AF728" s="1">
        <f t="shared" si="366"/>
        <v>1</v>
      </c>
      <c r="AG728" s="1">
        <f t="shared" si="366"/>
        <v>1</v>
      </c>
      <c r="AH728" s="1">
        <f t="shared" si="366"/>
        <v>1</v>
      </c>
      <c r="AI728" s="44">
        <f t="shared" si="355"/>
        <v>92536.260358234838</v>
      </c>
      <c r="AJ728" s="44">
        <f t="shared" si="345"/>
        <v>92889.996358234843</v>
      </c>
      <c r="AK728" s="44" t="str">
        <f t="shared" si="364"/>
        <v>N</v>
      </c>
      <c r="AL728" s="4">
        <f t="shared" si="346"/>
        <v>38</v>
      </c>
      <c r="AM728" s="82">
        <f t="shared" si="356"/>
        <v>0</v>
      </c>
      <c r="AN728" s="82">
        <f t="shared" si="347"/>
        <v>0</v>
      </c>
      <c r="AO728" s="48">
        <v>0</v>
      </c>
      <c r="AP728" s="91">
        <f t="shared" si="357"/>
        <v>-353.73599999999999</v>
      </c>
      <c r="AQ728" s="91">
        <f t="shared" si="358"/>
        <v>-353.73599999999999</v>
      </c>
    </row>
    <row r="729" spans="1:43">
      <c r="A729" s="190">
        <f t="shared" si="348"/>
        <v>68.970910335386719</v>
      </c>
      <c r="B729" s="82">
        <f t="shared" si="349"/>
        <v>4</v>
      </c>
      <c r="C729" s="83">
        <f t="shared" si="350"/>
        <v>39</v>
      </c>
      <c r="D729" s="14">
        <f t="shared" si="335"/>
        <v>2.6283369587845051E-3</v>
      </c>
      <c r="E729" s="16">
        <f t="shared" si="336"/>
        <v>0</v>
      </c>
      <c r="F729" s="127"/>
      <c r="G729" s="88">
        <f t="shared" si="337"/>
        <v>0.02</v>
      </c>
      <c r="H729" s="89">
        <f t="shared" si="351"/>
        <v>3.3333333333333335E-3</v>
      </c>
      <c r="I729" s="219"/>
      <c r="J729" s="219"/>
      <c r="K729" s="6">
        <f t="shared" si="361"/>
        <v>92536.260358234838</v>
      </c>
      <c r="M729" s="6">
        <f t="shared" si="338"/>
        <v>243.21647312725412</v>
      </c>
      <c r="N729" s="6">
        <f t="shared" si="339"/>
        <v>-104.69351111431293</v>
      </c>
      <c r="O729" s="90">
        <f t="shared" si="340"/>
        <v>353.73599999999993</v>
      </c>
      <c r="P729" s="91">
        <f t="shared" si="341"/>
        <v>0</v>
      </c>
      <c r="Q729" s="6">
        <f t="shared" si="342"/>
        <v>308.91594440082594</v>
      </c>
      <c r="R729" s="87">
        <f t="shared" si="363"/>
        <v>-353.73599999999999</v>
      </c>
      <c r="S729" s="6">
        <f t="shared" si="343"/>
        <v>-19.278068987312086</v>
      </c>
      <c r="T729" s="83">
        <f t="shared" si="353"/>
        <v>1846.4209464049554</v>
      </c>
      <c r="U729" s="91">
        <f t="shared" si="360"/>
        <v>96894.500446862483</v>
      </c>
      <c r="V729" s="91">
        <f t="shared" si="354"/>
        <v>254.67139662745041</v>
      </c>
      <c r="W729" s="1">
        <f t="shared" si="366"/>
        <v>0</v>
      </c>
      <c r="X729" s="1">
        <f t="shared" si="366"/>
        <v>0</v>
      </c>
      <c r="Y729" s="1">
        <f t="shared" si="366"/>
        <v>0</v>
      </c>
      <c r="Z729" s="1">
        <f t="shared" si="366"/>
        <v>1</v>
      </c>
      <c r="AA729" s="1">
        <f t="shared" si="366"/>
        <v>1</v>
      </c>
      <c r="AB729" s="1">
        <f t="shared" si="366"/>
        <v>1</v>
      </c>
      <c r="AC729" s="1">
        <f t="shared" si="366"/>
        <v>1</v>
      </c>
      <c r="AD729" s="1">
        <f t="shared" si="366"/>
        <v>1</v>
      </c>
      <c r="AE729" s="1">
        <f t="shared" si="366"/>
        <v>1</v>
      </c>
      <c r="AF729" s="1">
        <f t="shared" si="366"/>
        <v>1</v>
      </c>
      <c r="AG729" s="1">
        <f t="shared" si="366"/>
        <v>1</v>
      </c>
      <c r="AH729" s="1">
        <f t="shared" si="366"/>
        <v>1</v>
      </c>
      <c r="AI729" s="44">
        <f t="shared" si="355"/>
        <v>92321.047320247773</v>
      </c>
      <c r="AJ729" s="44">
        <f t="shared" si="345"/>
        <v>92674.783320247778</v>
      </c>
      <c r="AK729" s="44" t="str">
        <f t="shared" si="364"/>
        <v>N</v>
      </c>
      <c r="AL729" s="4">
        <f t="shared" si="346"/>
        <v>39</v>
      </c>
      <c r="AM729" s="82">
        <f t="shared" si="356"/>
        <v>0</v>
      </c>
      <c r="AN729" s="82">
        <f t="shared" si="347"/>
        <v>0</v>
      </c>
      <c r="AO729" s="48">
        <v>0</v>
      </c>
      <c r="AP729" s="91">
        <f t="shared" si="357"/>
        <v>-353.73599999999999</v>
      </c>
      <c r="AQ729" s="91">
        <f t="shared" si="358"/>
        <v>-353.73599999999999</v>
      </c>
    </row>
    <row r="730" spans="1:43">
      <c r="A730" s="190">
        <f t="shared" si="348"/>
        <v>69.054243668720048</v>
      </c>
      <c r="B730" s="82">
        <f t="shared" si="349"/>
        <v>4</v>
      </c>
      <c r="C730" s="83">
        <f t="shared" si="350"/>
        <v>40</v>
      </c>
      <c r="D730" s="14">
        <f t="shared" si="335"/>
        <v>2.6283369587845051E-3</v>
      </c>
      <c r="E730" s="16">
        <f t="shared" si="336"/>
        <v>0</v>
      </c>
      <c r="F730" s="127"/>
      <c r="G730" s="88">
        <f t="shared" si="337"/>
        <v>0.02</v>
      </c>
      <c r="H730" s="89">
        <f t="shared" si="351"/>
        <v>3.3333333333333335E-3</v>
      </c>
      <c r="I730" s="219"/>
      <c r="J730" s="219"/>
      <c r="K730" s="6">
        <f t="shared" si="361"/>
        <v>92321.047320247773</v>
      </c>
      <c r="M730" s="6">
        <f t="shared" si="338"/>
        <v>242.65082074550043</v>
      </c>
      <c r="N730" s="6">
        <f t="shared" si="339"/>
        <v>-104.45002376678863</v>
      </c>
      <c r="O730" s="90">
        <f t="shared" si="340"/>
        <v>353.73599999999993</v>
      </c>
      <c r="P730" s="91">
        <f t="shared" si="341"/>
        <v>0</v>
      </c>
      <c r="Q730" s="6">
        <f t="shared" si="342"/>
        <v>308.19749372408836</v>
      </c>
      <c r="R730" s="87">
        <f t="shared" si="363"/>
        <v>-353.73599999999999</v>
      </c>
      <c r="S730" s="6">
        <f t="shared" si="343"/>
        <v>-19.233147883512579</v>
      </c>
      <c r="T730" s="83">
        <f t="shared" si="353"/>
        <v>1842.11024234453</v>
      </c>
      <c r="U730" s="91">
        <f t="shared" si="360"/>
        <v>96795.435843489933</v>
      </c>
      <c r="V730" s="91">
        <f t="shared" si="354"/>
        <v>254.41102146909901</v>
      </c>
      <c r="W730" s="1">
        <f t="shared" si="366"/>
        <v>0</v>
      </c>
      <c r="X730" s="1">
        <f t="shared" si="366"/>
        <v>0</v>
      </c>
      <c r="Y730" s="1">
        <f t="shared" si="366"/>
        <v>0</v>
      </c>
      <c r="Z730" s="1">
        <f t="shared" si="366"/>
        <v>1</v>
      </c>
      <c r="AA730" s="1">
        <f t="shared" si="366"/>
        <v>1</v>
      </c>
      <c r="AB730" s="1">
        <f t="shared" si="366"/>
        <v>1</v>
      </c>
      <c r="AC730" s="1">
        <f t="shared" si="366"/>
        <v>1</v>
      </c>
      <c r="AD730" s="1">
        <f t="shared" si="366"/>
        <v>1</v>
      </c>
      <c r="AE730" s="1">
        <f t="shared" si="366"/>
        <v>1</v>
      </c>
      <c r="AF730" s="1">
        <f t="shared" si="366"/>
        <v>1</v>
      </c>
      <c r="AG730" s="1">
        <f t="shared" si="366"/>
        <v>1</v>
      </c>
      <c r="AH730" s="1">
        <f t="shared" si="366"/>
        <v>1</v>
      </c>
      <c r="AI730" s="44">
        <f t="shared" si="355"/>
        <v>92105.512117226492</v>
      </c>
      <c r="AJ730" s="44">
        <f t="shared" si="345"/>
        <v>92459.248117226496</v>
      </c>
      <c r="AK730" s="44" t="str">
        <f t="shared" si="364"/>
        <v>N</v>
      </c>
      <c r="AL730" s="4">
        <f t="shared" si="346"/>
        <v>40</v>
      </c>
      <c r="AM730" s="82">
        <f t="shared" si="356"/>
        <v>0</v>
      </c>
      <c r="AN730" s="82">
        <f t="shared" si="347"/>
        <v>0</v>
      </c>
      <c r="AO730" s="48">
        <v>0</v>
      </c>
      <c r="AP730" s="91">
        <f t="shared" si="357"/>
        <v>-353.73599999999999</v>
      </c>
      <c r="AQ730" s="91">
        <f t="shared" si="358"/>
        <v>-353.73599999999999</v>
      </c>
    </row>
    <row r="731" spans="1:43">
      <c r="A731" s="190">
        <f t="shared" si="348"/>
        <v>69.137577002053376</v>
      </c>
      <c r="B731" s="82">
        <f t="shared" si="349"/>
        <v>4</v>
      </c>
      <c r="C731" s="83">
        <f t="shared" si="350"/>
        <v>41</v>
      </c>
      <c r="D731" s="14">
        <f t="shared" si="335"/>
        <v>2.6283369587845051E-3</v>
      </c>
      <c r="E731" s="16">
        <f t="shared" si="336"/>
        <v>0</v>
      </c>
      <c r="F731" s="127"/>
      <c r="G731" s="88">
        <f t="shared" si="337"/>
        <v>0.02</v>
      </c>
      <c r="H731" s="89">
        <f t="shared" si="351"/>
        <v>3.3333333333333335E-3</v>
      </c>
      <c r="I731" s="219"/>
      <c r="J731" s="219"/>
      <c r="K731" s="6">
        <f t="shared" si="361"/>
        <v>92105.512117226492</v>
      </c>
      <c r="M731" s="6">
        <f t="shared" si="338"/>
        <v>242.08432160548045</v>
      </c>
      <c r="N731" s="6">
        <f t="shared" si="339"/>
        <v>-104.20617192875586</v>
      </c>
      <c r="O731" s="90">
        <f t="shared" si="340"/>
        <v>353.73599999999993</v>
      </c>
      <c r="P731" s="91">
        <f t="shared" si="341"/>
        <v>0</v>
      </c>
      <c r="Q731" s="6">
        <f t="shared" si="342"/>
        <v>307.47796755634403</v>
      </c>
      <c r="R731" s="87">
        <f t="shared" si="363"/>
        <v>-353.73599999999999</v>
      </c>
      <c r="S731" s="6">
        <f t="shared" si="343"/>
        <v>-19.188159534674956</v>
      </c>
      <c r="T731" s="83">
        <f t="shared" si="353"/>
        <v>1837.7930853380642</v>
      </c>
      <c r="U731" s="91">
        <f t="shared" si="360"/>
        <v>96696.110864959031</v>
      </c>
      <c r="V731" s="91">
        <f t="shared" si="354"/>
        <v>254.14996195709577</v>
      </c>
      <c r="W731" s="1">
        <f t="shared" ref="W731:AH740" si="367">IF($B731&lt;=W$78,1,0)</f>
        <v>0</v>
      </c>
      <c r="X731" s="1">
        <f t="shared" si="367"/>
        <v>0</v>
      </c>
      <c r="Y731" s="1">
        <f t="shared" si="367"/>
        <v>0</v>
      </c>
      <c r="Z731" s="1">
        <f t="shared" si="367"/>
        <v>1</v>
      </c>
      <c r="AA731" s="1">
        <f t="shared" si="367"/>
        <v>1</v>
      </c>
      <c r="AB731" s="1">
        <f t="shared" si="367"/>
        <v>1</v>
      </c>
      <c r="AC731" s="1">
        <f t="shared" si="367"/>
        <v>1</v>
      </c>
      <c r="AD731" s="1">
        <f t="shared" si="367"/>
        <v>1</v>
      </c>
      <c r="AE731" s="1">
        <f t="shared" si="367"/>
        <v>1</v>
      </c>
      <c r="AF731" s="1">
        <f t="shared" si="367"/>
        <v>1</v>
      </c>
      <c r="AG731" s="1">
        <f t="shared" si="367"/>
        <v>1</v>
      </c>
      <c r="AH731" s="1">
        <f t="shared" si="367"/>
        <v>1</v>
      </c>
      <c r="AI731" s="44">
        <f t="shared" si="355"/>
        <v>91889.654266903206</v>
      </c>
      <c r="AJ731" s="44">
        <f t="shared" si="345"/>
        <v>92243.39026690321</v>
      </c>
      <c r="AK731" s="44" t="str">
        <f t="shared" si="364"/>
        <v>N</v>
      </c>
      <c r="AL731" s="4">
        <f t="shared" si="346"/>
        <v>41</v>
      </c>
      <c r="AM731" s="82">
        <f t="shared" si="356"/>
        <v>0</v>
      </c>
      <c r="AN731" s="82">
        <f t="shared" si="347"/>
        <v>0</v>
      </c>
      <c r="AO731" s="48">
        <v>0</v>
      </c>
      <c r="AP731" s="91">
        <f t="shared" si="357"/>
        <v>-353.73599999999999</v>
      </c>
      <c r="AQ731" s="91">
        <f t="shared" si="358"/>
        <v>-353.73599999999999</v>
      </c>
    </row>
    <row r="732" spans="1:43">
      <c r="A732" s="190">
        <f t="shared" si="348"/>
        <v>69.220910335386719</v>
      </c>
      <c r="B732" s="82">
        <f t="shared" si="349"/>
        <v>4</v>
      </c>
      <c r="C732" s="83">
        <f t="shared" si="350"/>
        <v>42</v>
      </c>
      <c r="D732" s="14">
        <f t="shared" si="335"/>
        <v>2.6283369587845051E-3</v>
      </c>
      <c r="E732" s="16">
        <f t="shared" si="336"/>
        <v>0</v>
      </c>
      <c r="F732" s="127"/>
      <c r="G732" s="88">
        <f t="shared" si="337"/>
        <v>0.02</v>
      </c>
      <c r="H732" s="89">
        <f t="shared" si="351"/>
        <v>3.3333333333333335E-3</v>
      </c>
      <c r="I732" s="219"/>
      <c r="J732" s="219"/>
      <c r="K732" s="6">
        <f t="shared" si="361"/>
        <v>91889.654266903206</v>
      </c>
      <c r="M732" s="6">
        <f t="shared" si="338"/>
        <v>241.51697443963201</v>
      </c>
      <c r="N732" s="6">
        <f t="shared" si="339"/>
        <v>-103.96195505458735</v>
      </c>
      <c r="O732" s="90">
        <f t="shared" si="340"/>
        <v>353.73599999999993</v>
      </c>
      <c r="P732" s="91">
        <f t="shared" si="341"/>
        <v>0</v>
      </c>
      <c r="Q732" s="6">
        <f t="shared" si="342"/>
        <v>306.75736428762747</v>
      </c>
      <c r="R732" s="87">
        <f t="shared" si="363"/>
        <v>-353.73599999999999</v>
      </c>
      <c r="S732" s="6">
        <f t="shared" si="343"/>
        <v>-19.143103840136167</v>
      </c>
      <c r="T732" s="83">
        <f t="shared" si="353"/>
        <v>1833.4694657257648</v>
      </c>
      <c r="U732" s="91">
        <f t="shared" si="360"/>
        <v>96596.524826916124</v>
      </c>
      <c r="V732" s="91">
        <f t="shared" si="354"/>
        <v>253.88821629272866</v>
      </c>
      <c r="W732" s="1">
        <f t="shared" si="367"/>
        <v>0</v>
      </c>
      <c r="X732" s="1">
        <f t="shared" si="367"/>
        <v>0</v>
      </c>
      <c r="Y732" s="1">
        <f t="shared" si="367"/>
        <v>0</v>
      </c>
      <c r="Z732" s="1">
        <f t="shared" si="367"/>
        <v>1</v>
      </c>
      <c r="AA732" s="1">
        <f t="shared" si="367"/>
        <v>1</v>
      </c>
      <c r="AB732" s="1">
        <f t="shared" si="367"/>
        <v>1</v>
      </c>
      <c r="AC732" s="1">
        <f t="shared" si="367"/>
        <v>1</v>
      </c>
      <c r="AD732" s="1">
        <f t="shared" si="367"/>
        <v>1</v>
      </c>
      <c r="AE732" s="1">
        <f t="shared" si="367"/>
        <v>1</v>
      </c>
      <c r="AF732" s="1">
        <f t="shared" si="367"/>
        <v>1</v>
      </c>
      <c r="AG732" s="1">
        <f t="shared" si="367"/>
        <v>1</v>
      </c>
      <c r="AH732" s="1">
        <f t="shared" si="367"/>
        <v>1</v>
      </c>
      <c r="AI732" s="44">
        <f t="shared" si="355"/>
        <v>91673.473286288237</v>
      </c>
      <c r="AJ732" s="44">
        <f t="shared" si="345"/>
        <v>92027.209286288242</v>
      </c>
      <c r="AK732" s="44" t="str">
        <f t="shared" si="364"/>
        <v>N</v>
      </c>
      <c r="AL732" s="4">
        <f t="shared" si="346"/>
        <v>42</v>
      </c>
      <c r="AM732" s="82">
        <f t="shared" si="356"/>
        <v>0</v>
      </c>
      <c r="AN732" s="82">
        <f t="shared" si="347"/>
        <v>0</v>
      </c>
      <c r="AO732" s="48">
        <v>0</v>
      </c>
      <c r="AP732" s="91">
        <f t="shared" si="357"/>
        <v>-353.73599999999999</v>
      </c>
      <c r="AQ732" s="91">
        <f t="shared" si="358"/>
        <v>-353.73599999999999</v>
      </c>
    </row>
    <row r="733" spans="1:43">
      <c r="A733" s="190">
        <f t="shared" si="348"/>
        <v>69.304243668720048</v>
      </c>
      <c r="B733" s="82">
        <f t="shared" si="349"/>
        <v>4</v>
      </c>
      <c r="C733" s="83">
        <f t="shared" si="350"/>
        <v>43</v>
      </c>
      <c r="D733" s="14">
        <f t="shared" si="335"/>
        <v>2.6283369587845051E-3</v>
      </c>
      <c r="E733" s="16">
        <f t="shared" si="336"/>
        <v>0</v>
      </c>
      <c r="F733" s="127"/>
      <c r="G733" s="88">
        <f t="shared" si="337"/>
        <v>0.02</v>
      </c>
      <c r="H733" s="89">
        <f t="shared" si="351"/>
        <v>3.3333333333333335E-3</v>
      </c>
      <c r="I733" s="219"/>
      <c r="J733" s="219"/>
      <c r="K733" s="6">
        <f t="shared" si="361"/>
        <v>91673.473286288237</v>
      </c>
      <c r="M733" s="6">
        <f t="shared" si="338"/>
        <v>240.9487779784954</v>
      </c>
      <c r="N733" s="6">
        <f t="shared" si="339"/>
        <v>-103.71737259783906</v>
      </c>
      <c r="O733" s="90">
        <f t="shared" si="340"/>
        <v>353.73599999999993</v>
      </c>
      <c r="P733" s="91">
        <f t="shared" si="341"/>
        <v>0</v>
      </c>
      <c r="Q733" s="6">
        <f t="shared" si="342"/>
        <v>306.035682305563</v>
      </c>
      <c r="R733" s="87">
        <f t="shared" si="363"/>
        <v>-353.73599999999999</v>
      </c>
      <c r="S733" s="6">
        <f t="shared" si="343"/>
        <v>-19.09798069908247</v>
      </c>
      <c r="T733" s="83">
        <f t="shared" si="353"/>
        <v>1829.1393738333779</v>
      </c>
      <c r="U733" s="91">
        <f t="shared" si="360"/>
        <v>96496.677043208852</v>
      </c>
      <c r="V733" s="91">
        <f t="shared" si="354"/>
        <v>253.62578267255813</v>
      </c>
      <c r="W733" s="1">
        <f t="shared" si="367"/>
        <v>0</v>
      </c>
      <c r="X733" s="1">
        <f t="shared" si="367"/>
        <v>0</v>
      </c>
      <c r="Y733" s="1">
        <f t="shared" si="367"/>
        <v>0</v>
      </c>
      <c r="Z733" s="1">
        <f t="shared" si="367"/>
        <v>1</v>
      </c>
      <c r="AA733" s="1">
        <f t="shared" si="367"/>
        <v>1</v>
      </c>
      <c r="AB733" s="1">
        <f t="shared" si="367"/>
        <v>1</v>
      </c>
      <c r="AC733" s="1">
        <f t="shared" si="367"/>
        <v>1</v>
      </c>
      <c r="AD733" s="1">
        <f t="shared" si="367"/>
        <v>1</v>
      </c>
      <c r="AE733" s="1">
        <f t="shared" si="367"/>
        <v>1</v>
      </c>
      <c r="AF733" s="1">
        <f t="shared" si="367"/>
        <v>1</v>
      </c>
      <c r="AG733" s="1">
        <f t="shared" si="367"/>
        <v>1</v>
      </c>
      <c r="AH733" s="1">
        <f t="shared" si="367"/>
        <v>1</v>
      </c>
      <c r="AI733" s="44">
        <f t="shared" si="355"/>
        <v>91456.968691668895</v>
      </c>
      <c r="AJ733" s="44">
        <f t="shared" si="345"/>
        <v>91810.7046916689</v>
      </c>
      <c r="AK733" s="44" t="str">
        <f t="shared" si="364"/>
        <v>N</v>
      </c>
      <c r="AL733" s="4">
        <f t="shared" si="346"/>
        <v>43</v>
      </c>
      <c r="AM733" s="82">
        <f t="shared" si="356"/>
        <v>0</v>
      </c>
      <c r="AN733" s="82">
        <f t="shared" si="347"/>
        <v>0</v>
      </c>
      <c r="AO733" s="48">
        <v>0</v>
      </c>
      <c r="AP733" s="91">
        <f t="shared" si="357"/>
        <v>-353.73599999999999</v>
      </c>
      <c r="AQ733" s="91">
        <f t="shared" si="358"/>
        <v>-353.73599999999999</v>
      </c>
    </row>
    <row r="734" spans="1:43">
      <c r="A734" s="190">
        <f t="shared" si="348"/>
        <v>69.387577002053376</v>
      </c>
      <c r="B734" s="82">
        <f t="shared" si="349"/>
        <v>4</v>
      </c>
      <c r="C734" s="83">
        <f t="shared" si="350"/>
        <v>44</v>
      </c>
      <c r="D734" s="14">
        <f t="shared" si="335"/>
        <v>2.6283369587845051E-3</v>
      </c>
      <c r="E734" s="16">
        <f t="shared" si="336"/>
        <v>0</v>
      </c>
      <c r="F734" s="127"/>
      <c r="G734" s="88">
        <f t="shared" si="337"/>
        <v>0.02</v>
      </c>
      <c r="H734" s="89">
        <f t="shared" si="351"/>
        <v>3.3333333333333335E-3</v>
      </c>
      <c r="I734" s="219"/>
      <c r="J734" s="219"/>
      <c r="K734" s="6">
        <f t="shared" si="361"/>
        <v>91456.968691668895</v>
      </c>
      <c r="M734" s="6">
        <f t="shared" si="338"/>
        <v>240.37973095071072</v>
      </c>
      <c r="N734" s="6">
        <f t="shared" si="339"/>
        <v>-103.472424011249</v>
      </c>
      <c r="O734" s="90">
        <f t="shared" si="340"/>
        <v>353.73599999999993</v>
      </c>
      <c r="P734" s="91">
        <f t="shared" si="341"/>
        <v>0</v>
      </c>
      <c r="Q734" s="6">
        <f t="shared" si="342"/>
        <v>305.3129199953612</v>
      </c>
      <c r="R734" s="87">
        <f t="shared" si="363"/>
        <v>-353.73599999999999</v>
      </c>
      <c r="S734" s="6">
        <f t="shared" si="343"/>
        <v>-19.052790010549234</v>
      </c>
      <c r="T734" s="83">
        <f t="shared" si="353"/>
        <v>1824.8027999721669</v>
      </c>
      <c r="U734" s="91">
        <f t="shared" si="360"/>
        <v>96396.566825881411</v>
      </c>
      <c r="V734" s="91">
        <f t="shared" si="354"/>
        <v>253.36265928840447</v>
      </c>
      <c r="W734" s="1">
        <f t="shared" si="367"/>
        <v>0</v>
      </c>
      <c r="X734" s="1">
        <f t="shared" si="367"/>
        <v>0</v>
      </c>
      <c r="Y734" s="1">
        <f t="shared" si="367"/>
        <v>0</v>
      </c>
      <c r="Z734" s="1">
        <f t="shared" si="367"/>
        <v>1</v>
      </c>
      <c r="AA734" s="1">
        <f t="shared" si="367"/>
        <v>1</v>
      </c>
      <c r="AB734" s="1">
        <f t="shared" si="367"/>
        <v>1</v>
      </c>
      <c r="AC734" s="1">
        <f t="shared" si="367"/>
        <v>1</v>
      </c>
      <c r="AD734" s="1">
        <f t="shared" si="367"/>
        <v>1</v>
      </c>
      <c r="AE734" s="1">
        <f t="shared" si="367"/>
        <v>1</v>
      </c>
      <c r="AF734" s="1">
        <f t="shared" si="367"/>
        <v>1</v>
      </c>
      <c r="AG734" s="1">
        <f t="shared" si="367"/>
        <v>1</v>
      </c>
      <c r="AH734" s="1">
        <f t="shared" si="367"/>
        <v>1</v>
      </c>
      <c r="AI734" s="44">
        <f t="shared" si="355"/>
        <v>91240.139998608342</v>
      </c>
      <c r="AJ734" s="44">
        <f t="shared" si="345"/>
        <v>91593.875998608346</v>
      </c>
      <c r="AK734" s="44" t="str">
        <f t="shared" si="364"/>
        <v>N</v>
      </c>
      <c r="AL734" s="4">
        <f t="shared" si="346"/>
        <v>44</v>
      </c>
      <c r="AM734" s="82">
        <f t="shared" si="356"/>
        <v>0</v>
      </c>
      <c r="AN734" s="82">
        <f t="shared" si="347"/>
        <v>0</v>
      </c>
      <c r="AO734" s="48">
        <v>0</v>
      </c>
      <c r="AP734" s="91">
        <f t="shared" si="357"/>
        <v>-353.73599999999999</v>
      </c>
      <c r="AQ734" s="91">
        <f t="shared" si="358"/>
        <v>-353.73599999999999</v>
      </c>
    </row>
    <row r="735" spans="1:43">
      <c r="A735" s="190">
        <f t="shared" si="348"/>
        <v>69.470910335386719</v>
      </c>
      <c r="B735" s="82">
        <f t="shared" si="349"/>
        <v>4</v>
      </c>
      <c r="C735" s="83">
        <f t="shared" si="350"/>
        <v>45</v>
      </c>
      <c r="D735" s="14">
        <f t="shared" si="335"/>
        <v>2.6283369587845051E-3</v>
      </c>
      <c r="E735" s="16">
        <f t="shared" si="336"/>
        <v>0</v>
      </c>
      <c r="F735" s="127"/>
      <c r="G735" s="88">
        <f t="shared" si="337"/>
        <v>0.02</v>
      </c>
      <c r="H735" s="89">
        <f t="shared" si="351"/>
        <v>3.3333333333333335E-3</v>
      </c>
      <c r="I735" s="219"/>
      <c r="J735" s="219"/>
      <c r="K735" s="6">
        <f t="shared" si="361"/>
        <v>91240.139998608342</v>
      </c>
      <c r="M735" s="6">
        <f t="shared" si="338"/>
        <v>239.80983208301473</v>
      </c>
      <c r="N735" s="6">
        <f t="shared" si="339"/>
        <v>-103.22710874673585</v>
      </c>
      <c r="O735" s="90">
        <f t="shared" si="340"/>
        <v>353.73599999999993</v>
      </c>
      <c r="P735" s="91">
        <f t="shared" si="341"/>
        <v>0</v>
      </c>
      <c r="Q735" s="6">
        <f t="shared" si="342"/>
        <v>304.58907573981543</v>
      </c>
      <c r="R735" s="87">
        <f t="shared" si="363"/>
        <v>-353.73599999999999</v>
      </c>
      <c r="S735" s="6">
        <f t="shared" si="343"/>
        <v>-19.007531673420651</v>
      </c>
      <c r="T735" s="83">
        <f t="shared" si="353"/>
        <v>1820.4597344388924</v>
      </c>
      <c r="U735" s="91">
        <f t="shared" si="360"/>
        <v>96296.193485169817</v>
      </c>
      <c r="V735" s="91">
        <f t="shared" si="354"/>
        <v>253.09884432733551</v>
      </c>
      <c r="W735" s="1">
        <f t="shared" si="367"/>
        <v>0</v>
      </c>
      <c r="X735" s="1">
        <f t="shared" si="367"/>
        <v>0</v>
      </c>
      <c r="Y735" s="1">
        <f t="shared" si="367"/>
        <v>0</v>
      </c>
      <c r="Z735" s="1">
        <f t="shared" si="367"/>
        <v>1</v>
      </c>
      <c r="AA735" s="1">
        <f t="shared" si="367"/>
        <v>1</v>
      </c>
      <c r="AB735" s="1">
        <f t="shared" si="367"/>
        <v>1</v>
      </c>
      <c r="AC735" s="1">
        <f t="shared" si="367"/>
        <v>1</v>
      </c>
      <c r="AD735" s="1">
        <f t="shared" si="367"/>
        <v>1</v>
      </c>
      <c r="AE735" s="1">
        <f t="shared" si="367"/>
        <v>1</v>
      </c>
      <c r="AF735" s="1">
        <f t="shared" si="367"/>
        <v>1</v>
      </c>
      <c r="AG735" s="1">
        <f t="shared" si="367"/>
        <v>1</v>
      </c>
      <c r="AH735" s="1">
        <f t="shared" si="367"/>
        <v>1</v>
      </c>
      <c r="AI735" s="44">
        <f t="shared" si="355"/>
        <v>91022.986721944617</v>
      </c>
      <c r="AJ735" s="44">
        <f t="shared" si="345"/>
        <v>91376.722721944621</v>
      </c>
      <c r="AK735" s="44" t="str">
        <f t="shared" si="364"/>
        <v>N</v>
      </c>
      <c r="AL735" s="4">
        <f t="shared" si="346"/>
        <v>45</v>
      </c>
      <c r="AM735" s="82">
        <f t="shared" si="356"/>
        <v>0</v>
      </c>
      <c r="AN735" s="82">
        <f t="shared" si="347"/>
        <v>0</v>
      </c>
      <c r="AO735" s="48">
        <v>0</v>
      </c>
      <c r="AP735" s="91">
        <f t="shared" si="357"/>
        <v>-353.73599999999999</v>
      </c>
      <c r="AQ735" s="91">
        <f t="shared" si="358"/>
        <v>-353.73599999999999</v>
      </c>
    </row>
    <row r="736" spans="1:43">
      <c r="A736" s="190">
        <f t="shared" si="348"/>
        <v>69.554243668720048</v>
      </c>
      <c r="B736" s="82">
        <f t="shared" si="349"/>
        <v>4</v>
      </c>
      <c r="C736" s="83">
        <f t="shared" si="350"/>
        <v>46</v>
      </c>
      <c r="D736" s="14">
        <f t="shared" si="335"/>
        <v>2.6283369587845051E-3</v>
      </c>
      <c r="E736" s="16">
        <f t="shared" si="336"/>
        <v>0</v>
      </c>
      <c r="F736" s="127"/>
      <c r="G736" s="88">
        <f t="shared" si="337"/>
        <v>0.02</v>
      </c>
      <c r="H736" s="89">
        <f t="shared" si="351"/>
        <v>3.3333333333333335E-3</v>
      </c>
      <c r="I736" s="219"/>
      <c r="J736" s="219"/>
      <c r="K736" s="6">
        <f t="shared" si="361"/>
        <v>91022.986721944617</v>
      </c>
      <c r="M736" s="6">
        <f t="shared" si="338"/>
        <v>239.23908010023831</v>
      </c>
      <c r="N736" s="6">
        <f t="shared" si="339"/>
        <v>-102.98142625539796</v>
      </c>
      <c r="O736" s="90">
        <f t="shared" si="340"/>
        <v>353.73599999999993</v>
      </c>
      <c r="P736" s="91">
        <f t="shared" si="341"/>
        <v>0</v>
      </c>
      <c r="Q736" s="6">
        <f t="shared" si="342"/>
        <v>303.8641479192982</v>
      </c>
      <c r="R736" s="87">
        <f t="shared" si="363"/>
        <v>-353.73599999999999</v>
      </c>
      <c r="S736" s="6">
        <f t="shared" si="343"/>
        <v>-18.96220558642958</v>
      </c>
      <c r="T736" s="83">
        <f t="shared" si="353"/>
        <v>1816.110167515789</v>
      </c>
      <c r="U736" s="91">
        <f t="shared" si="360"/>
        <v>96195.556329497151</v>
      </c>
      <c r="V736" s="91">
        <f t="shared" si="354"/>
        <v>252.8343359716541</v>
      </c>
      <c r="W736" s="1">
        <f t="shared" si="367"/>
        <v>0</v>
      </c>
      <c r="X736" s="1">
        <f t="shared" si="367"/>
        <v>0</v>
      </c>
      <c r="Y736" s="1">
        <f t="shared" si="367"/>
        <v>0</v>
      </c>
      <c r="Z736" s="1">
        <f t="shared" si="367"/>
        <v>1</v>
      </c>
      <c r="AA736" s="1">
        <f t="shared" si="367"/>
        <v>1</v>
      </c>
      <c r="AB736" s="1">
        <f t="shared" si="367"/>
        <v>1</v>
      </c>
      <c r="AC736" s="1">
        <f t="shared" si="367"/>
        <v>1</v>
      </c>
      <c r="AD736" s="1">
        <f t="shared" si="367"/>
        <v>1</v>
      </c>
      <c r="AE736" s="1">
        <f t="shared" si="367"/>
        <v>1</v>
      </c>
      <c r="AF736" s="1">
        <f t="shared" si="367"/>
        <v>1</v>
      </c>
      <c r="AG736" s="1">
        <f t="shared" si="367"/>
        <v>1</v>
      </c>
      <c r="AH736" s="1">
        <f t="shared" si="367"/>
        <v>1</v>
      </c>
      <c r="AI736" s="44">
        <f t="shared" si="355"/>
        <v>90805.508375789446</v>
      </c>
      <c r="AJ736" s="44">
        <f t="shared" si="345"/>
        <v>91159.244375789451</v>
      </c>
      <c r="AK736" s="44" t="str">
        <f t="shared" si="364"/>
        <v>N</v>
      </c>
      <c r="AL736" s="4">
        <f t="shared" si="346"/>
        <v>46</v>
      </c>
      <c r="AM736" s="82">
        <f t="shared" si="356"/>
        <v>0</v>
      </c>
      <c r="AN736" s="82">
        <f t="shared" si="347"/>
        <v>0</v>
      </c>
      <c r="AO736" s="48">
        <v>0</v>
      </c>
      <c r="AP736" s="91">
        <f t="shared" si="357"/>
        <v>-353.73599999999999</v>
      </c>
      <c r="AQ736" s="91">
        <f t="shared" si="358"/>
        <v>-353.73599999999999</v>
      </c>
    </row>
    <row r="737" spans="1:43">
      <c r="A737" s="190">
        <f t="shared" si="348"/>
        <v>69.637577002053376</v>
      </c>
      <c r="B737" s="82">
        <f t="shared" si="349"/>
        <v>4</v>
      </c>
      <c r="C737" s="83">
        <f t="shared" si="350"/>
        <v>47</v>
      </c>
      <c r="D737" s="14">
        <f t="shared" si="335"/>
        <v>2.6283369587845051E-3</v>
      </c>
      <c r="E737" s="16">
        <f t="shared" si="336"/>
        <v>0</v>
      </c>
      <c r="F737" s="127"/>
      <c r="G737" s="88">
        <f t="shared" si="337"/>
        <v>0.02</v>
      </c>
      <c r="H737" s="89">
        <f t="shared" si="351"/>
        <v>3.3333333333333335E-3</v>
      </c>
      <c r="I737" s="219"/>
      <c r="J737" s="219"/>
      <c r="K737" s="6">
        <f t="shared" si="361"/>
        <v>90805.508375789446</v>
      </c>
      <c r="M737" s="6">
        <f t="shared" si="338"/>
        <v>238.66747372530335</v>
      </c>
      <c r="N737" s="6">
        <f t="shared" si="339"/>
        <v>-102.7353759875119</v>
      </c>
      <c r="O737" s="90">
        <f t="shared" si="340"/>
        <v>353.73599999999993</v>
      </c>
      <c r="P737" s="91">
        <f t="shared" si="341"/>
        <v>0</v>
      </c>
      <c r="Q737" s="6">
        <f t="shared" si="342"/>
        <v>303.1381349117575</v>
      </c>
      <c r="R737" s="87">
        <f t="shared" si="363"/>
        <v>-353.73599999999999</v>
      </c>
      <c r="S737" s="6">
        <f t="shared" si="343"/>
        <v>-18.916811648157271</v>
      </c>
      <c r="T737" s="83">
        <f t="shared" si="353"/>
        <v>1811.7540894705448</v>
      </c>
      <c r="U737" s="91">
        <f t="shared" si="360"/>
        <v>96094.654665468799</v>
      </c>
      <c r="V737" s="91">
        <f t="shared" si="354"/>
        <v>252.56913239888553</v>
      </c>
      <c r="W737" s="1">
        <f t="shared" si="367"/>
        <v>0</v>
      </c>
      <c r="X737" s="1">
        <f t="shared" si="367"/>
        <v>0</v>
      </c>
      <c r="Y737" s="1">
        <f t="shared" si="367"/>
        <v>0</v>
      </c>
      <c r="Z737" s="1">
        <f t="shared" si="367"/>
        <v>1</v>
      </c>
      <c r="AA737" s="1">
        <f t="shared" si="367"/>
        <v>1</v>
      </c>
      <c r="AB737" s="1">
        <f t="shared" si="367"/>
        <v>1</v>
      </c>
      <c r="AC737" s="1">
        <f t="shared" si="367"/>
        <v>1</v>
      </c>
      <c r="AD737" s="1">
        <f t="shared" si="367"/>
        <v>1</v>
      </c>
      <c r="AE737" s="1">
        <f t="shared" si="367"/>
        <v>1</v>
      </c>
      <c r="AF737" s="1">
        <f t="shared" si="367"/>
        <v>1</v>
      </c>
      <c r="AG737" s="1">
        <f t="shared" si="367"/>
        <v>1</v>
      </c>
      <c r="AH737" s="1">
        <f t="shared" si="367"/>
        <v>1</v>
      </c>
      <c r="AI737" s="44">
        <f t="shared" si="355"/>
        <v>90587.704473527236</v>
      </c>
      <c r="AJ737" s="44">
        <f t="shared" si="345"/>
        <v>90941.44047352724</v>
      </c>
      <c r="AK737" s="44" t="str">
        <f t="shared" si="364"/>
        <v>N</v>
      </c>
      <c r="AL737" s="4">
        <f t="shared" si="346"/>
        <v>47</v>
      </c>
      <c r="AM737" s="82">
        <f t="shared" si="356"/>
        <v>0</v>
      </c>
      <c r="AN737" s="82">
        <f t="shared" si="347"/>
        <v>0</v>
      </c>
      <c r="AO737" s="48">
        <v>0</v>
      </c>
      <c r="AP737" s="91">
        <f t="shared" si="357"/>
        <v>-353.73599999999999</v>
      </c>
      <c r="AQ737" s="91">
        <f t="shared" si="358"/>
        <v>-353.73599999999999</v>
      </c>
    </row>
    <row r="738" spans="1:43">
      <c r="A738" s="190">
        <f t="shared" si="348"/>
        <v>69.720910335386719</v>
      </c>
      <c r="B738" s="82">
        <f t="shared" si="349"/>
        <v>4</v>
      </c>
      <c r="C738" s="83">
        <f t="shared" si="350"/>
        <v>48</v>
      </c>
      <c r="D738" s="14">
        <f t="shared" si="335"/>
        <v>2.6283369587845051E-3</v>
      </c>
      <c r="E738" s="16">
        <f t="shared" si="336"/>
        <v>0</v>
      </c>
      <c r="F738" s="127"/>
      <c r="G738" s="88">
        <f t="shared" si="337"/>
        <v>0.02</v>
      </c>
      <c r="H738" s="89">
        <f t="shared" si="351"/>
        <v>3.3333333333333335E-3</v>
      </c>
      <c r="I738" s="219"/>
      <c r="J738" s="219"/>
      <c r="K738" s="6">
        <f t="shared" si="361"/>
        <v>90587.704473527236</v>
      </c>
      <c r="M738" s="6">
        <f t="shared" si="338"/>
        <v>238.09501167922008</v>
      </c>
      <c r="N738" s="6">
        <f t="shared" si="339"/>
        <v>-102.48895739253136</v>
      </c>
      <c r="O738" s="90">
        <f t="shared" si="340"/>
        <v>353.73599999999993</v>
      </c>
      <c r="P738" s="91">
        <f t="shared" si="341"/>
        <v>0</v>
      </c>
      <c r="Q738" s="6">
        <f t="shared" si="342"/>
        <v>302.41103509271312</v>
      </c>
      <c r="R738" s="87">
        <f t="shared" si="363"/>
        <v>-353.73599999999999</v>
      </c>
      <c r="S738" s="6">
        <f t="shared" si="343"/>
        <v>-18.871349757033155</v>
      </c>
      <c r="T738" s="83">
        <f t="shared" si="353"/>
        <v>1807.3914905562785</v>
      </c>
      <c r="U738" s="91">
        <f t="shared" si="360"/>
        <v>95993.487797867681</v>
      </c>
      <c r="V738" s="91">
        <f t="shared" si="354"/>
        <v>252.30323178176505</v>
      </c>
      <c r="W738" s="1">
        <f t="shared" si="367"/>
        <v>0</v>
      </c>
      <c r="X738" s="1">
        <f t="shared" si="367"/>
        <v>0</v>
      </c>
      <c r="Y738" s="1">
        <f t="shared" si="367"/>
        <v>0</v>
      </c>
      <c r="Z738" s="1">
        <f t="shared" si="367"/>
        <v>1</v>
      </c>
      <c r="AA738" s="1">
        <f t="shared" si="367"/>
        <v>1</v>
      </c>
      <c r="AB738" s="1">
        <f t="shared" si="367"/>
        <v>1</v>
      </c>
      <c r="AC738" s="1">
        <f t="shared" si="367"/>
        <v>1</v>
      </c>
      <c r="AD738" s="1">
        <f t="shared" si="367"/>
        <v>1</v>
      </c>
      <c r="AE738" s="1">
        <f t="shared" si="367"/>
        <v>1</v>
      </c>
      <c r="AF738" s="1">
        <f t="shared" si="367"/>
        <v>1</v>
      </c>
      <c r="AG738" s="1">
        <f t="shared" si="367"/>
        <v>1</v>
      </c>
      <c r="AH738" s="1">
        <f t="shared" si="367"/>
        <v>1</v>
      </c>
      <c r="AI738" s="44">
        <f t="shared" si="355"/>
        <v>90369.574527813922</v>
      </c>
      <c r="AJ738" s="44">
        <f t="shared" si="345"/>
        <v>90723.310527813926</v>
      </c>
      <c r="AK738" s="44" t="str">
        <f t="shared" si="364"/>
        <v>N</v>
      </c>
      <c r="AL738" s="4">
        <f t="shared" si="346"/>
        <v>48</v>
      </c>
      <c r="AM738" s="82">
        <f t="shared" si="356"/>
        <v>0</v>
      </c>
      <c r="AN738" s="82">
        <f t="shared" si="347"/>
        <v>0</v>
      </c>
      <c r="AO738" s="48">
        <v>0</v>
      </c>
      <c r="AP738" s="91">
        <f t="shared" si="357"/>
        <v>-353.73599999999999</v>
      </c>
      <c r="AQ738" s="91">
        <f t="shared" si="358"/>
        <v>-353.73599999999999</v>
      </c>
    </row>
    <row r="739" spans="1:43">
      <c r="A739" s="190">
        <f t="shared" si="348"/>
        <v>69.804243668720048</v>
      </c>
      <c r="B739" s="82">
        <f t="shared" si="349"/>
        <v>5</v>
      </c>
      <c r="C739" s="83">
        <f t="shared" si="350"/>
        <v>49</v>
      </c>
      <c r="D739" s="14">
        <f t="shared" si="335"/>
        <v>2.6283369587845051E-3</v>
      </c>
      <c r="E739" s="16">
        <f t="shared" si="336"/>
        <v>0</v>
      </c>
      <c r="F739" s="127"/>
      <c r="G739" s="88">
        <f t="shared" si="337"/>
        <v>0.01</v>
      </c>
      <c r="H739" s="89">
        <f t="shared" si="351"/>
        <v>3.3333333333333335E-3</v>
      </c>
      <c r="I739" s="219"/>
      <c r="J739" s="219"/>
      <c r="K739" s="6">
        <f t="shared" si="361"/>
        <v>90369.574527813922</v>
      </c>
      <c r="M739" s="6">
        <f t="shared" si="338"/>
        <v>237.52169268108412</v>
      </c>
      <c r="N739" s="6">
        <f t="shared" si="339"/>
        <v>-102.2421699190859</v>
      </c>
      <c r="O739" s="90">
        <f t="shared" si="340"/>
        <v>360.81071999999995</v>
      </c>
      <c r="P739" s="91">
        <f t="shared" si="341"/>
        <v>0</v>
      </c>
      <c r="Q739" s="6">
        <f t="shared" si="342"/>
        <v>301.68284683525309</v>
      </c>
      <c r="R739" s="87">
        <f t="shared" si="363"/>
        <v>-361.350838754172</v>
      </c>
      <c r="S739" s="6">
        <f t="shared" si="343"/>
        <v>-18.825025688620865</v>
      </c>
      <c r="T739" s="83">
        <f t="shared" si="353"/>
        <v>901.43503211821746</v>
      </c>
      <c r="U739" s="91">
        <f t="shared" si="360"/>
        <v>95892.055029649448</v>
      </c>
      <c r="V739" s="91">
        <f t="shared" si="354"/>
        <v>252.03663228822523</v>
      </c>
      <c r="W739" s="1">
        <f t="shared" si="367"/>
        <v>0</v>
      </c>
      <c r="X739" s="1">
        <f t="shared" si="367"/>
        <v>0</v>
      </c>
      <c r="Y739" s="1">
        <f t="shared" si="367"/>
        <v>0</v>
      </c>
      <c r="Z739" s="1">
        <f t="shared" si="367"/>
        <v>0</v>
      </c>
      <c r="AA739" s="1">
        <f t="shared" si="367"/>
        <v>1</v>
      </c>
      <c r="AB739" s="1">
        <f t="shared" si="367"/>
        <v>1</v>
      </c>
      <c r="AC739" s="1">
        <f t="shared" si="367"/>
        <v>1</v>
      </c>
      <c r="AD739" s="1">
        <f t="shared" si="367"/>
        <v>1</v>
      </c>
      <c r="AE739" s="1">
        <f t="shared" si="367"/>
        <v>1</v>
      </c>
      <c r="AF739" s="1">
        <f t="shared" si="367"/>
        <v>1</v>
      </c>
      <c r="AG739" s="1">
        <f t="shared" si="367"/>
        <v>1</v>
      </c>
      <c r="AH739" s="1">
        <f t="shared" si="367"/>
        <v>1</v>
      </c>
      <c r="AI739" s="44">
        <f t="shared" si="355"/>
        <v>90143.50321182175</v>
      </c>
      <c r="AJ739" s="44">
        <f t="shared" si="345"/>
        <v>90504.854050575916</v>
      </c>
      <c r="AK739" s="44" t="str">
        <f t="shared" si="364"/>
        <v>N</v>
      </c>
      <c r="AL739" s="4">
        <f t="shared" si="346"/>
        <v>49</v>
      </c>
      <c r="AM739" s="82">
        <f t="shared" si="356"/>
        <v>0</v>
      </c>
      <c r="AN739" s="82">
        <f t="shared" si="347"/>
        <v>0</v>
      </c>
      <c r="AO739" s="48">
        <v>0</v>
      </c>
      <c r="AP739" s="91">
        <f t="shared" si="357"/>
        <v>-361.350838754172</v>
      </c>
      <c r="AQ739" s="91">
        <f t="shared" si="358"/>
        <v>-361.350838754172</v>
      </c>
    </row>
    <row r="740" spans="1:43">
      <c r="A740" s="190">
        <f t="shared" si="348"/>
        <v>69.887577002053376</v>
      </c>
      <c r="B740" s="82">
        <f t="shared" si="349"/>
        <v>5</v>
      </c>
      <c r="C740" s="83">
        <f t="shared" si="350"/>
        <v>50</v>
      </c>
      <c r="D740" s="14">
        <f t="shared" si="335"/>
        <v>2.6283369587845051E-3</v>
      </c>
      <c r="E740" s="16">
        <f t="shared" si="336"/>
        <v>0</v>
      </c>
      <c r="F740" s="127"/>
      <c r="G740" s="88">
        <f t="shared" si="337"/>
        <v>0.01</v>
      </c>
      <c r="H740" s="89">
        <f t="shared" si="351"/>
        <v>3.3333333333333335E-3</v>
      </c>
      <c r="I740" s="219"/>
      <c r="J740" s="219"/>
      <c r="K740" s="6">
        <f t="shared" si="361"/>
        <v>90143.50321182175</v>
      </c>
      <c r="M740" s="6">
        <f t="shared" si="338"/>
        <v>236.92750108594086</v>
      </c>
      <c r="N740" s="6">
        <f t="shared" si="339"/>
        <v>-101.98639775213395</v>
      </c>
      <c r="O740" s="90">
        <f t="shared" si="340"/>
        <v>360.81071999999995</v>
      </c>
      <c r="P740" s="91">
        <f t="shared" si="341"/>
        <v>0</v>
      </c>
      <c r="Q740" s="6">
        <f t="shared" si="342"/>
        <v>300.9281477171852</v>
      </c>
      <c r="R740" s="87">
        <f t="shared" si="363"/>
        <v>-360.81072</v>
      </c>
      <c r="S740" s="6">
        <f t="shared" si="343"/>
        <v>-18.777894479217277</v>
      </c>
      <c r="T740" s="83">
        <f t="shared" si="353"/>
        <v>899.17633595155564</v>
      </c>
      <c r="U740" s="91">
        <f t="shared" si="360"/>
        <v>95782.7408231835</v>
      </c>
      <c r="V740" s="91">
        <f t="shared" si="354"/>
        <v>251.7493177192506</v>
      </c>
      <c r="W740" s="1">
        <f t="shared" si="367"/>
        <v>0</v>
      </c>
      <c r="X740" s="1">
        <f t="shared" si="367"/>
        <v>0</v>
      </c>
      <c r="Y740" s="1">
        <f t="shared" si="367"/>
        <v>0</v>
      </c>
      <c r="Z740" s="1">
        <f t="shared" si="367"/>
        <v>0</v>
      </c>
      <c r="AA740" s="1">
        <f t="shared" si="367"/>
        <v>1</v>
      </c>
      <c r="AB740" s="1">
        <f t="shared" si="367"/>
        <v>1</v>
      </c>
      <c r="AC740" s="1">
        <f t="shared" si="367"/>
        <v>1</v>
      </c>
      <c r="AD740" s="1">
        <f t="shared" si="367"/>
        <v>1</v>
      </c>
      <c r="AE740" s="1">
        <f t="shared" si="367"/>
        <v>1</v>
      </c>
      <c r="AF740" s="1">
        <f t="shared" si="367"/>
        <v>1</v>
      </c>
      <c r="AG740" s="1">
        <f t="shared" si="367"/>
        <v>1</v>
      </c>
      <c r="AH740" s="1">
        <f t="shared" si="367"/>
        <v>1</v>
      </c>
      <c r="AI740" s="44">
        <f t="shared" si="355"/>
        <v>89917.633595155567</v>
      </c>
      <c r="AJ740" s="44">
        <f t="shared" si="345"/>
        <v>90278.444315155561</v>
      </c>
      <c r="AK740" s="44" t="str">
        <f t="shared" si="364"/>
        <v>N</v>
      </c>
      <c r="AL740" s="4">
        <f t="shared" si="346"/>
        <v>50</v>
      </c>
      <c r="AM740" s="82">
        <f t="shared" si="356"/>
        <v>0</v>
      </c>
      <c r="AN740" s="82">
        <f t="shared" si="347"/>
        <v>0</v>
      </c>
      <c r="AO740" s="48">
        <v>0</v>
      </c>
      <c r="AP740" s="91">
        <f t="shared" si="357"/>
        <v>-360.81072</v>
      </c>
      <c r="AQ740" s="91">
        <f t="shared" si="358"/>
        <v>-360.81072</v>
      </c>
    </row>
    <row r="741" spans="1:43">
      <c r="A741" s="190">
        <f t="shared" si="348"/>
        <v>69.970910335386719</v>
      </c>
      <c r="B741" s="82">
        <f t="shared" si="349"/>
        <v>5</v>
      </c>
      <c r="C741" s="83">
        <f t="shared" si="350"/>
        <v>51</v>
      </c>
      <c r="D741" s="14">
        <f t="shared" si="335"/>
        <v>2.6283369587845051E-3</v>
      </c>
      <c r="E741" s="16">
        <f t="shared" si="336"/>
        <v>0</v>
      </c>
      <c r="F741" s="127"/>
      <c r="G741" s="88">
        <f t="shared" si="337"/>
        <v>0.01</v>
      </c>
      <c r="H741" s="89">
        <f t="shared" si="351"/>
        <v>3.3333333333333335E-3</v>
      </c>
      <c r="I741" s="219"/>
      <c r="J741" s="219"/>
      <c r="K741" s="6">
        <f t="shared" si="361"/>
        <v>89917.633595155567</v>
      </c>
      <c r="M741" s="6">
        <f t="shared" si="338"/>
        <v>236.33383962459064</v>
      </c>
      <c r="N741" s="6">
        <f t="shared" si="339"/>
        <v>-101.73085378340988</v>
      </c>
      <c r="O741" s="90">
        <f t="shared" si="340"/>
        <v>360.81071999999995</v>
      </c>
      <c r="P741" s="91">
        <f t="shared" si="341"/>
        <v>0</v>
      </c>
      <c r="Q741" s="6">
        <f t="shared" si="342"/>
        <v>300.17412193665587</v>
      </c>
      <c r="R741" s="87">
        <f t="shared" si="363"/>
        <v>-360.81072</v>
      </c>
      <c r="S741" s="6">
        <f t="shared" si="343"/>
        <v>-18.730749043279392</v>
      </c>
      <c r="T741" s="83">
        <f t="shared" si="353"/>
        <v>896.91425860996765</v>
      </c>
      <c r="U741" s="91">
        <f t="shared" si="360"/>
        <v>95673.679420902758</v>
      </c>
      <c r="V741" s="91">
        <f t="shared" si="354"/>
        <v>251.46266760485923</v>
      </c>
      <c r="W741" s="1">
        <f t="shared" ref="W741:AH750" si="368">IF($B741&lt;=W$78,1,0)</f>
        <v>0</v>
      </c>
      <c r="X741" s="1">
        <f t="shared" si="368"/>
        <v>0</v>
      </c>
      <c r="Y741" s="1">
        <f t="shared" si="368"/>
        <v>0</v>
      </c>
      <c r="Z741" s="1">
        <f t="shared" si="368"/>
        <v>0</v>
      </c>
      <c r="AA741" s="1">
        <f t="shared" si="368"/>
        <v>1</v>
      </c>
      <c r="AB741" s="1">
        <f t="shared" si="368"/>
        <v>1</v>
      </c>
      <c r="AC741" s="1">
        <f t="shared" si="368"/>
        <v>1</v>
      </c>
      <c r="AD741" s="1">
        <f t="shared" si="368"/>
        <v>1</v>
      </c>
      <c r="AE741" s="1">
        <f t="shared" si="368"/>
        <v>1</v>
      </c>
      <c r="AF741" s="1">
        <f t="shared" si="368"/>
        <v>1</v>
      </c>
      <c r="AG741" s="1">
        <f t="shared" si="368"/>
        <v>1</v>
      </c>
      <c r="AH741" s="1">
        <f t="shared" si="368"/>
        <v>1</v>
      </c>
      <c r="AI741" s="44">
        <f t="shared" si="355"/>
        <v>89691.425860996766</v>
      </c>
      <c r="AJ741" s="44">
        <f t="shared" si="345"/>
        <v>90052.23658099676</v>
      </c>
      <c r="AK741" s="44" t="str">
        <f t="shared" si="364"/>
        <v>N</v>
      </c>
      <c r="AL741" s="4">
        <f t="shared" si="346"/>
        <v>51</v>
      </c>
      <c r="AM741" s="82">
        <f t="shared" si="356"/>
        <v>0</v>
      </c>
      <c r="AN741" s="82">
        <f t="shared" si="347"/>
        <v>0</v>
      </c>
      <c r="AO741" s="48">
        <v>0</v>
      </c>
      <c r="AP741" s="91">
        <f t="shared" si="357"/>
        <v>-360.81072</v>
      </c>
      <c r="AQ741" s="91">
        <f t="shared" si="358"/>
        <v>-360.81072</v>
      </c>
    </row>
    <row r="742" spans="1:43">
      <c r="A742" s="190">
        <f t="shared" si="348"/>
        <v>70.054243668720048</v>
      </c>
      <c r="B742" s="82">
        <f t="shared" si="349"/>
        <v>5</v>
      </c>
      <c r="C742" s="83">
        <f t="shared" si="350"/>
        <v>52</v>
      </c>
      <c r="D742" s="14">
        <f t="shared" si="335"/>
        <v>2.6283369587845051E-3</v>
      </c>
      <c r="E742" s="16">
        <f t="shared" si="336"/>
        <v>0</v>
      </c>
      <c r="F742" s="127"/>
      <c r="G742" s="88">
        <f t="shared" si="337"/>
        <v>0.01</v>
      </c>
      <c r="H742" s="89">
        <f t="shared" si="351"/>
        <v>3.3333333333333335E-3</v>
      </c>
      <c r="I742" s="219"/>
      <c r="J742" s="219"/>
      <c r="K742" s="6">
        <f t="shared" si="361"/>
        <v>89691.425860996766</v>
      </c>
      <c r="M742" s="6">
        <f t="shared" si="338"/>
        <v>235.73928947653815</v>
      </c>
      <c r="N742" s="6">
        <f t="shared" si="339"/>
        <v>-101.47492727591307</v>
      </c>
      <c r="O742" s="90">
        <f t="shared" si="340"/>
        <v>360.81071999999995</v>
      </c>
      <c r="P742" s="91">
        <f t="shared" si="341"/>
        <v>0</v>
      </c>
      <c r="Q742" s="6">
        <f t="shared" si="342"/>
        <v>299.41896741065801</v>
      </c>
      <c r="R742" s="87">
        <f t="shared" si="363"/>
        <v>-360.81072</v>
      </c>
      <c r="S742" s="6">
        <f t="shared" si="343"/>
        <v>-18.683533032569997</v>
      </c>
      <c r="T742" s="83">
        <f t="shared" si="353"/>
        <v>894.64879503197403</v>
      </c>
      <c r="U742" s="91">
        <f t="shared" si="360"/>
        <v>95564.331368507628</v>
      </c>
      <c r="V742" s="91">
        <f t="shared" si="354"/>
        <v>251.17526407737802</v>
      </c>
      <c r="W742" s="1">
        <f t="shared" si="368"/>
        <v>0</v>
      </c>
      <c r="X742" s="1">
        <f t="shared" si="368"/>
        <v>0</v>
      </c>
      <c r="Y742" s="1">
        <f t="shared" si="368"/>
        <v>0</v>
      </c>
      <c r="Z742" s="1">
        <f t="shared" si="368"/>
        <v>0</v>
      </c>
      <c r="AA742" s="1">
        <f t="shared" si="368"/>
        <v>1</v>
      </c>
      <c r="AB742" s="1">
        <f t="shared" si="368"/>
        <v>1</v>
      </c>
      <c r="AC742" s="1">
        <f t="shared" si="368"/>
        <v>1</v>
      </c>
      <c r="AD742" s="1">
        <f t="shared" si="368"/>
        <v>1</v>
      </c>
      <c r="AE742" s="1">
        <f t="shared" si="368"/>
        <v>1</v>
      </c>
      <c r="AF742" s="1">
        <f t="shared" si="368"/>
        <v>1</v>
      </c>
      <c r="AG742" s="1">
        <f t="shared" si="368"/>
        <v>1</v>
      </c>
      <c r="AH742" s="1">
        <f t="shared" si="368"/>
        <v>1</v>
      </c>
      <c r="AI742" s="44">
        <f t="shared" si="355"/>
        <v>89464.8795031974</v>
      </c>
      <c r="AJ742" s="44">
        <f t="shared" si="345"/>
        <v>89825.690223197395</v>
      </c>
      <c r="AK742" s="44" t="str">
        <f t="shared" si="364"/>
        <v>N</v>
      </c>
      <c r="AL742" s="4">
        <f t="shared" si="346"/>
        <v>52</v>
      </c>
      <c r="AM742" s="82">
        <f t="shared" si="356"/>
        <v>0</v>
      </c>
      <c r="AN742" s="82">
        <f t="shared" si="347"/>
        <v>0</v>
      </c>
      <c r="AO742" s="48">
        <v>0</v>
      </c>
      <c r="AP742" s="91">
        <f t="shared" si="357"/>
        <v>-360.81072</v>
      </c>
      <c r="AQ742" s="91">
        <f t="shared" si="358"/>
        <v>-360.81072</v>
      </c>
    </row>
    <row r="743" spans="1:43">
      <c r="A743" s="190">
        <f t="shared" si="348"/>
        <v>70.137577002053376</v>
      </c>
      <c r="B743" s="82">
        <f t="shared" si="349"/>
        <v>5</v>
      </c>
      <c r="C743" s="83">
        <f t="shared" si="350"/>
        <v>53</v>
      </c>
      <c r="D743" s="14">
        <f t="shared" si="335"/>
        <v>2.6283369587845051E-3</v>
      </c>
      <c r="E743" s="16">
        <f t="shared" si="336"/>
        <v>0</v>
      </c>
      <c r="F743" s="127"/>
      <c r="G743" s="88">
        <f t="shared" si="337"/>
        <v>0.01</v>
      </c>
      <c r="H743" s="89">
        <f t="shared" si="351"/>
        <v>3.3333333333333335E-3</v>
      </c>
      <c r="I743" s="219"/>
      <c r="J743" s="219"/>
      <c r="K743" s="6">
        <f t="shared" si="361"/>
        <v>89464.8795031974</v>
      </c>
      <c r="M743" s="6">
        <f t="shared" si="338"/>
        <v>235.14384931145605</v>
      </c>
      <c r="N743" s="6">
        <f t="shared" si="339"/>
        <v>-101.21861765699877</v>
      </c>
      <c r="O743" s="90">
        <f t="shared" si="340"/>
        <v>360.81071999999995</v>
      </c>
      <c r="P743" s="91">
        <f t="shared" si="341"/>
        <v>0</v>
      </c>
      <c r="Q743" s="6">
        <f t="shared" si="342"/>
        <v>298.66268244950624</v>
      </c>
      <c r="R743" s="87">
        <f t="shared" si="363"/>
        <v>-360.81072</v>
      </c>
      <c r="S743" s="6">
        <f t="shared" si="343"/>
        <v>-18.636246341441566</v>
      </c>
      <c r="T743" s="83">
        <f t="shared" si="353"/>
        <v>892.3799401485187</v>
      </c>
      <c r="U743" s="91">
        <f t="shared" si="360"/>
        <v>95454.695912585012</v>
      </c>
      <c r="V743" s="91">
        <f t="shared" si="354"/>
        <v>250.88710515658343</v>
      </c>
      <c r="W743" s="1">
        <f t="shared" si="368"/>
        <v>0</v>
      </c>
      <c r="X743" s="1">
        <f t="shared" si="368"/>
        <v>0</v>
      </c>
      <c r="Y743" s="1">
        <f t="shared" si="368"/>
        <v>0</v>
      </c>
      <c r="Z743" s="1">
        <f t="shared" si="368"/>
        <v>0</v>
      </c>
      <c r="AA743" s="1">
        <f t="shared" si="368"/>
        <v>1</v>
      </c>
      <c r="AB743" s="1">
        <f t="shared" si="368"/>
        <v>1</v>
      </c>
      <c r="AC743" s="1">
        <f t="shared" si="368"/>
        <v>1</v>
      </c>
      <c r="AD743" s="1">
        <f t="shared" si="368"/>
        <v>1</v>
      </c>
      <c r="AE743" s="1">
        <f t="shared" si="368"/>
        <v>1</v>
      </c>
      <c r="AF743" s="1">
        <f t="shared" si="368"/>
        <v>1</v>
      </c>
      <c r="AG743" s="1">
        <f t="shared" si="368"/>
        <v>1</v>
      </c>
      <c r="AH743" s="1">
        <f t="shared" si="368"/>
        <v>1</v>
      </c>
      <c r="AI743" s="44">
        <f t="shared" si="355"/>
        <v>89237.994014851865</v>
      </c>
      <c r="AJ743" s="44">
        <f t="shared" si="345"/>
        <v>89598.804734851859</v>
      </c>
      <c r="AK743" s="44" t="str">
        <f t="shared" si="364"/>
        <v>N</v>
      </c>
      <c r="AL743" s="4">
        <f t="shared" si="346"/>
        <v>53</v>
      </c>
      <c r="AM743" s="82">
        <f t="shared" si="356"/>
        <v>0</v>
      </c>
      <c r="AN743" s="82">
        <f t="shared" si="347"/>
        <v>0</v>
      </c>
      <c r="AO743" s="48">
        <v>0</v>
      </c>
      <c r="AP743" s="91">
        <f t="shared" si="357"/>
        <v>-360.81072</v>
      </c>
      <c r="AQ743" s="91">
        <f t="shared" si="358"/>
        <v>-360.81072</v>
      </c>
    </row>
    <row r="744" spans="1:43">
      <c r="A744" s="190">
        <f t="shared" si="348"/>
        <v>70.220910335386719</v>
      </c>
      <c r="B744" s="82">
        <f t="shared" si="349"/>
        <v>5</v>
      </c>
      <c r="C744" s="83">
        <f t="shared" si="350"/>
        <v>54</v>
      </c>
      <c r="D744" s="14">
        <f t="shared" si="335"/>
        <v>2.6283369587845051E-3</v>
      </c>
      <c r="E744" s="16">
        <f t="shared" si="336"/>
        <v>0</v>
      </c>
      <c r="F744" s="127"/>
      <c r="G744" s="88">
        <f t="shared" si="337"/>
        <v>0.01</v>
      </c>
      <c r="H744" s="89">
        <f t="shared" si="351"/>
        <v>3.3333333333333335E-3</v>
      </c>
      <c r="I744" s="219"/>
      <c r="J744" s="219"/>
      <c r="K744" s="6">
        <f t="shared" si="361"/>
        <v>89237.994014851865</v>
      </c>
      <c r="M744" s="6">
        <f t="shared" si="338"/>
        <v>234.54751779702562</v>
      </c>
      <c r="N744" s="6">
        <f t="shared" si="339"/>
        <v>-100.96192435316497</v>
      </c>
      <c r="O744" s="90">
        <f t="shared" si="340"/>
        <v>360.81071999999995</v>
      </c>
      <c r="P744" s="91">
        <f t="shared" si="341"/>
        <v>0</v>
      </c>
      <c r="Q744" s="6">
        <f t="shared" si="342"/>
        <v>297.90526536098577</v>
      </c>
      <c r="R744" s="87">
        <f t="shared" si="363"/>
        <v>-360.81072</v>
      </c>
      <c r="S744" s="6">
        <f t="shared" si="343"/>
        <v>-18.588888864088432</v>
      </c>
      <c r="T744" s="83">
        <f t="shared" si="353"/>
        <v>890.10768888295729</v>
      </c>
      <c r="U744" s="91">
        <f t="shared" si="360"/>
        <v>95344.772297741598</v>
      </c>
      <c r="V744" s="91">
        <f t="shared" si="354"/>
        <v>250.59818885704729</v>
      </c>
      <c r="W744" s="1">
        <f t="shared" si="368"/>
        <v>0</v>
      </c>
      <c r="X744" s="1">
        <f t="shared" si="368"/>
        <v>0</v>
      </c>
      <c r="Y744" s="1">
        <f t="shared" si="368"/>
        <v>0</v>
      </c>
      <c r="Z744" s="1">
        <f t="shared" si="368"/>
        <v>0</v>
      </c>
      <c r="AA744" s="1">
        <f t="shared" si="368"/>
        <v>1</v>
      </c>
      <c r="AB744" s="1">
        <f t="shared" si="368"/>
        <v>1</v>
      </c>
      <c r="AC744" s="1">
        <f t="shared" si="368"/>
        <v>1</v>
      </c>
      <c r="AD744" s="1">
        <f t="shared" si="368"/>
        <v>1</v>
      </c>
      <c r="AE744" s="1">
        <f t="shared" si="368"/>
        <v>1</v>
      </c>
      <c r="AF744" s="1">
        <f t="shared" si="368"/>
        <v>1</v>
      </c>
      <c r="AG744" s="1">
        <f t="shared" si="368"/>
        <v>1</v>
      </c>
      <c r="AH744" s="1">
        <f t="shared" si="368"/>
        <v>1</v>
      </c>
      <c r="AI744" s="44">
        <f t="shared" si="355"/>
        <v>89010.76888829573</v>
      </c>
      <c r="AJ744" s="44">
        <f t="shared" si="345"/>
        <v>89371.579608295724</v>
      </c>
      <c r="AK744" s="44" t="str">
        <f t="shared" si="364"/>
        <v>N</v>
      </c>
      <c r="AL744" s="4">
        <f t="shared" si="346"/>
        <v>54</v>
      </c>
      <c r="AM744" s="82">
        <f t="shared" si="356"/>
        <v>0</v>
      </c>
      <c r="AN744" s="82">
        <f t="shared" si="347"/>
        <v>0</v>
      </c>
      <c r="AO744" s="48">
        <v>0</v>
      </c>
      <c r="AP744" s="91">
        <f t="shared" si="357"/>
        <v>-360.81072</v>
      </c>
      <c r="AQ744" s="91">
        <f t="shared" si="358"/>
        <v>-360.81072</v>
      </c>
    </row>
    <row r="745" spans="1:43">
      <c r="A745" s="190">
        <f t="shared" si="348"/>
        <v>70.304243668720048</v>
      </c>
      <c r="B745" s="82">
        <f t="shared" si="349"/>
        <v>5</v>
      </c>
      <c r="C745" s="83">
        <f t="shared" si="350"/>
        <v>55</v>
      </c>
      <c r="D745" s="14">
        <f t="shared" si="335"/>
        <v>2.6283369587845051E-3</v>
      </c>
      <c r="E745" s="16">
        <f t="shared" si="336"/>
        <v>0</v>
      </c>
      <c r="F745" s="127"/>
      <c r="G745" s="88">
        <f t="shared" si="337"/>
        <v>0.01</v>
      </c>
      <c r="H745" s="89">
        <f t="shared" si="351"/>
        <v>3.3333333333333335E-3</v>
      </c>
      <c r="I745" s="219"/>
      <c r="J745" s="219"/>
      <c r="K745" s="6">
        <f t="shared" si="361"/>
        <v>89010.76888829573</v>
      </c>
      <c r="M745" s="6">
        <f t="shared" si="338"/>
        <v>233.95029359893365</v>
      </c>
      <c r="N745" s="6">
        <f t="shared" si="339"/>
        <v>-100.70484679005121</v>
      </c>
      <c r="O745" s="90">
        <f t="shared" si="340"/>
        <v>360.81071999999995</v>
      </c>
      <c r="P745" s="91">
        <f t="shared" si="341"/>
        <v>0</v>
      </c>
      <c r="Q745" s="6">
        <f t="shared" si="342"/>
        <v>297.14671445034872</v>
      </c>
      <c r="R745" s="87">
        <f t="shared" si="363"/>
        <v>-360.81072</v>
      </c>
      <c r="S745" s="6">
        <f t="shared" si="343"/>
        <v>-18.541460494546538</v>
      </c>
      <c r="T745" s="83">
        <f t="shared" si="353"/>
        <v>887.83203615104617</v>
      </c>
      <c r="U745" s="91">
        <f t="shared" si="360"/>
        <v>95234.559766598657</v>
      </c>
      <c r="V745" s="91">
        <f t="shared" si="354"/>
        <v>250.3085131881231</v>
      </c>
      <c r="W745" s="1">
        <f t="shared" si="368"/>
        <v>0</v>
      </c>
      <c r="X745" s="1">
        <f t="shared" si="368"/>
        <v>0</v>
      </c>
      <c r="Y745" s="1">
        <f t="shared" si="368"/>
        <v>0</v>
      </c>
      <c r="Z745" s="1">
        <f t="shared" si="368"/>
        <v>0</v>
      </c>
      <c r="AA745" s="1">
        <f t="shared" si="368"/>
        <v>1</v>
      </c>
      <c r="AB745" s="1">
        <f t="shared" si="368"/>
        <v>1</v>
      </c>
      <c r="AC745" s="1">
        <f t="shared" si="368"/>
        <v>1</v>
      </c>
      <c r="AD745" s="1">
        <f t="shared" si="368"/>
        <v>1</v>
      </c>
      <c r="AE745" s="1">
        <f t="shared" si="368"/>
        <v>1</v>
      </c>
      <c r="AF745" s="1">
        <f t="shared" si="368"/>
        <v>1</v>
      </c>
      <c r="AG745" s="1">
        <f t="shared" si="368"/>
        <v>1</v>
      </c>
      <c r="AH745" s="1">
        <f t="shared" si="368"/>
        <v>1</v>
      </c>
      <c r="AI745" s="44">
        <f t="shared" si="355"/>
        <v>88783.20361510462</v>
      </c>
      <c r="AJ745" s="44">
        <f t="shared" si="345"/>
        <v>89144.014335104614</v>
      </c>
      <c r="AK745" s="44" t="str">
        <f t="shared" si="364"/>
        <v>N</v>
      </c>
      <c r="AL745" s="4">
        <f t="shared" si="346"/>
        <v>55</v>
      </c>
      <c r="AM745" s="82">
        <f t="shared" si="356"/>
        <v>0</v>
      </c>
      <c r="AN745" s="82">
        <f t="shared" si="347"/>
        <v>0</v>
      </c>
      <c r="AO745" s="48">
        <v>0</v>
      </c>
      <c r="AP745" s="91">
        <f t="shared" si="357"/>
        <v>-360.81072</v>
      </c>
      <c r="AQ745" s="91">
        <f t="shared" si="358"/>
        <v>-360.81072</v>
      </c>
    </row>
    <row r="746" spans="1:43">
      <c r="A746" s="190">
        <f t="shared" si="348"/>
        <v>70.387577002053376</v>
      </c>
      <c r="B746" s="82">
        <f t="shared" si="349"/>
        <v>5</v>
      </c>
      <c r="C746" s="83">
        <f t="shared" si="350"/>
        <v>56</v>
      </c>
      <c r="D746" s="14">
        <f t="shared" si="335"/>
        <v>2.6283369587845051E-3</v>
      </c>
      <c r="E746" s="16">
        <f t="shared" si="336"/>
        <v>0</v>
      </c>
      <c r="F746" s="127"/>
      <c r="G746" s="88">
        <f t="shared" si="337"/>
        <v>0.01</v>
      </c>
      <c r="H746" s="89">
        <f t="shared" si="351"/>
        <v>3.3333333333333335E-3</v>
      </c>
      <c r="I746" s="219"/>
      <c r="J746" s="219"/>
      <c r="K746" s="6">
        <f t="shared" si="361"/>
        <v>88783.20361510462</v>
      </c>
      <c r="M746" s="6">
        <f t="shared" si="338"/>
        <v>233.35217538086957</v>
      </c>
      <c r="N746" s="6">
        <f t="shared" si="339"/>
        <v>-100.4473843924372</v>
      </c>
      <c r="O746" s="90">
        <f t="shared" si="340"/>
        <v>360.81071999999995</v>
      </c>
      <c r="P746" s="91">
        <f t="shared" si="341"/>
        <v>0</v>
      </c>
      <c r="Q746" s="6">
        <f t="shared" si="342"/>
        <v>296.3870280203102</v>
      </c>
      <c r="R746" s="87">
        <f t="shared" si="363"/>
        <v>-360.81072</v>
      </c>
      <c r="S746" s="6">
        <f t="shared" si="343"/>
        <v>-18.493961126693204</v>
      </c>
      <c r="T746" s="83">
        <f t="shared" si="353"/>
        <v>885.5529768609307</v>
      </c>
      <c r="U746" s="91">
        <f t="shared" si="360"/>
        <v>95124.057559786786</v>
      </c>
      <c r="V746" s="91">
        <f t="shared" si="354"/>
        <v>250.01807615393221</v>
      </c>
      <c r="W746" s="1">
        <f t="shared" si="368"/>
        <v>0</v>
      </c>
      <c r="X746" s="1">
        <f t="shared" si="368"/>
        <v>0</v>
      </c>
      <c r="Y746" s="1">
        <f t="shared" si="368"/>
        <v>0</v>
      </c>
      <c r="Z746" s="1">
        <f t="shared" si="368"/>
        <v>0</v>
      </c>
      <c r="AA746" s="1">
        <f t="shared" si="368"/>
        <v>1</v>
      </c>
      <c r="AB746" s="1">
        <f t="shared" si="368"/>
        <v>1</v>
      </c>
      <c r="AC746" s="1">
        <f t="shared" si="368"/>
        <v>1</v>
      </c>
      <c r="AD746" s="1">
        <f t="shared" si="368"/>
        <v>1</v>
      </c>
      <c r="AE746" s="1">
        <f t="shared" si="368"/>
        <v>1</v>
      </c>
      <c r="AF746" s="1">
        <f t="shared" si="368"/>
        <v>1</v>
      </c>
      <c r="AG746" s="1">
        <f t="shared" si="368"/>
        <v>1</v>
      </c>
      <c r="AH746" s="1">
        <f t="shared" si="368"/>
        <v>1</v>
      </c>
      <c r="AI746" s="44">
        <f t="shared" si="355"/>
        <v>88555.297686093065</v>
      </c>
      <c r="AJ746" s="44">
        <f t="shared" si="345"/>
        <v>88916.108406093059</v>
      </c>
      <c r="AK746" s="44" t="str">
        <f t="shared" si="364"/>
        <v>N</v>
      </c>
      <c r="AL746" s="4">
        <f t="shared" si="346"/>
        <v>56</v>
      </c>
      <c r="AM746" s="82">
        <f t="shared" si="356"/>
        <v>0</v>
      </c>
      <c r="AN746" s="82">
        <f t="shared" si="347"/>
        <v>0</v>
      </c>
      <c r="AO746" s="48">
        <v>0</v>
      </c>
      <c r="AP746" s="91">
        <f t="shared" si="357"/>
        <v>-360.81072</v>
      </c>
      <c r="AQ746" s="91">
        <f t="shared" si="358"/>
        <v>-360.81072</v>
      </c>
    </row>
    <row r="747" spans="1:43">
      <c r="A747" s="190">
        <f t="shared" si="348"/>
        <v>70.470910335386719</v>
      </c>
      <c r="B747" s="82">
        <f t="shared" si="349"/>
        <v>5</v>
      </c>
      <c r="C747" s="83">
        <f t="shared" si="350"/>
        <v>57</v>
      </c>
      <c r="D747" s="14">
        <f t="shared" si="335"/>
        <v>2.6283369587845051E-3</v>
      </c>
      <c r="E747" s="16">
        <f t="shared" si="336"/>
        <v>0</v>
      </c>
      <c r="F747" s="127"/>
      <c r="G747" s="88">
        <f t="shared" si="337"/>
        <v>0.01</v>
      </c>
      <c r="H747" s="89">
        <f t="shared" si="351"/>
        <v>3.3333333333333335E-3</v>
      </c>
      <c r="I747" s="219"/>
      <c r="J747" s="219"/>
      <c r="K747" s="6">
        <f t="shared" si="361"/>
        <v>88555.297686093065</v>
      </c>
      <c r="M747" s="6">
        <f t="shared" si="338"/>
        <v>232.75316180452236</v>
      </c>
      <c r="N747" s="6">
        <f t="shared" si="339"/>
        <v>-100.18953658424159</v>
      </c>
      <c r="O747" s="90">
        <f t="shared" si="340"/>
        <v>360.81071999999995</v>
      </c>
      <c r="P747" s="91">
        <f t="shared" si="341"/>
        <v>0</v>
      </c>
      <c r="Q747" s="6">
        <f t="shared" si="342"/>
        <v>295.62620437104454</v>
      </c>
      <c r="R747" s="87">
        <f t="shared" si="363"/>
        <v>-360.81072</v>
      </c>
      <c r="S747" s="6">
        <f t="shared" si="343"/>
        <v>-18.446390654246891</v>
      </c>
      <c r="T747" s="83">
        <f t="shared" si="353"/>
        <v>883.27050591313355</v>
      </c>
      <c r="U747" s="91">
        <f t="shared" si="360"/>
        <v>95013.26491594073</v>
      </c>
      <c r="V747" s="91">
        <f t="shared" si="354"/>
        <v>249.72687575335019</v>
      </c>
      <c r="W747" s="1">
        <f t="shared" si="368"/>
        <v>0</v>
      </c>
      <c r="X747" s="1">
        <f t="shared" si="368"/>
        <v>0</v>
      </c>
      <c r="Y747" s="1">
        <f t="shared" si="368"/>
        <v>0</v>
      </c>
      <c r="Z747" s="1">
        <f t="shared" si="368"/>
        <v>0</v>
      </c>
      <c r="AA747" s="1">
        <f t="shared" si="368"/>
        <v>1</v>
      </c>
      <c r="AB747" s="1">
        <f t="shared" si="368"/>
        <v>1</v>
      </c>
      <c r="AC747" s="1">
        <f t="shared" si="368"/>
        <v>1</v>
      </c>
      <c r="AD747" s="1">
        <f t="shared" si="368"/>
        <v>1</v>
      </c>
      <c r="AE747" s="1">
        <f t="shared" si="368"/>
        <v>1</v>
      </c>
      <c r="AF747" s="1">
        <f t="shared" si="368"/>
        <v>1</v>
      </c>
      <c r="AG747" s="1">
        <f t="shared" si="368"/>
        <v>1</v>
      </c>
      <c r="AH747" s="1">
        <f t="shared" si="368"/>
        <v>1</v>
      </c>
      <c r="AI747" s="44">
        <f t="shared" si="355"/>
        <v>88327.050591313353</v>
      </c>
      <c r="AJ747" s="44">
        <f t="shared" si="345"/>
        <v>88687.861311313347</v>
      </c>
      <c r="AK747" s="44" t="str">
        <f t="shared" si="364"/>
        <v>N</v>
      </c>
      <c r="AL747" s="4">
        <f t="shared" si="346"/>
        <v>57</v>
      </c>
      <c r="AM747" s="82">
        <f t="shared" si="356"/>
        <v>0</v>
      </c>
      <c r="AN747" s="82">
        <f t="shared" si="347"/>
        <v>0</v>
      </c>
      <c r="AO747" s="48">
        <v>0</v>
      </c>
      <c r="AP747" s="91">
        <f t="shared" si="357"/>
        <v>-360.81072</v>
      </c>
      <c r="AQ747" s="91">
        <f t="shared" si="358"/>
        <v>-360.81072</v>
      </c>
    </row>
    <row r="748" spans="1:43">
      <c r="A748" s="190">
        <f t="shared" si="348"/>
        <v>70.554243668720048</v>
      </c>
      <c r="B748" s="82">
        <f t="shared" si="349"/>
        <v>5</v>
      </c>
      <c r="C748" s="83">
        <f t="shared" si="350"/>
        <v>58</v>
      </c>
      <c r="D748" s="14">
        <f t="shared" si="335"/>
        <v>2.6283369587845051E-3</v>
      </c>
      <c r="E748" s="16">
        <f t="shared" si="336"/>
        <v>0</v>
      </c>
      <c r="F748" s="127"/>
      <c r="G748" s="88">
        <f t="shared" si="337"/>
        <v>0.01</v>
      </c>
      <c r="H748" s="89">
        <f t="shared" si="351"/>
        <v>3.3333333333333335E-3</v>
      </c>
      <c r="I748" s="219"/>
      <c r="J748" s="219"/>
      <c r="K748" s="6">
        <f t="shared" si="361"/>
        <v>88327.050591313353</v>
      </c>
      <c r="M748" s="6">
        <f t="shared" si="338"/>
        <v>232.15325152957766</v>
      </c>
      <c r="N748" s="6">
        <f t="shared" si="339"/>
        <v>-99.93130278852064</v>
      </c>
      <c r="O748" s="90">
        <f t="shared" si="340"/>
        <v>360.81071999999995</v>
      </c>
      <c r="P748" s="91">
        <f t="shared" si="341"/>
        <v>0</v>
      </c>
      <c r="Q748" s="6">
        <f t="shared" si="342"/>
        <v>294.86424180018139</v>
      </c>
      <c r="R748" s="87">
        <f t="shared" si="363"/>
        <v>-360.81072</v>
      </c>
      <c r="S748" s="6">
        <f t="shared" si="343"/>
        <v>-18.398748970766956</v>
      </c>
      <c r="T748" s="83">
        <f t="shared" si="353"/>
        <v>880.98461820054422</v>
      </c>
      <c r="U748" s="91">
        <f t="shared" si="360"/>
        <v>94902.181071694082</v>
      </c>
      <c r="V748" s="91">
        <f t="shared" si="354"/>
        <v>249.43490997999285</v>
      </c>
      <c r="W748" s="1">
        <f t="shared" si="368"/>
        <v>0</v>
      </c>
      <c r="X748" s="1">
        <f t="shared" si="368"/>
        <v>0</v>
      </c>
      <c r="Y748" s="1">
        <f t="shared" si="368"/>
        <v>0</v>
      </c>
      <c r="Z748" s="1">
        <f t="shared" si="368"/>
        <v>0</v>
      </c>
      <c r="AA748" s="1">
        <f t="shared" si="368"/>
        <v>1</v>
      </c>
      <c r="AB748" s="1">
        <f t="shared" si="368"/>
        <v>1</v>
      </c>
      <c r="AC748" s="1">
        <f t="shared" si="368"/>
        <v>1</v>
      </c>
      <c r="AD748" s="1">
        <f t="shared" si="368"/>
        <v>1</v>
      </c>
      <c r="AE748" s="1">
        <f t="shared" si="368"/>
        <v>1</v>
      </c>
      <c r="AF748" s="1">
        <f t="shared" si="368"/>
        <v>1</v>
      </c>
      <c r="AG748" s="1">
        <f t="shared" si="368"/>
        <v>1</v>
      </c>
      <c r="AH748" s="1">
        <f t="shared" si="368"/>
        <v>1</v>
      </c>
      <c r="AI748" s="44">
        <f t="shared" si="355"/>
        <v>88098.461820054421</v>
      </c>
      <c r="AJ748" s="44">
        <f t="shared" si="345"/>
        <v>88459.272540054415</v>
      </c>
      <c r="AK748" s="44" t="str">
        <f t="shared" si="364"/>
        <v>N</v>
      </c>
      <c r="AL748" s="4">
        <f t="shared" si="346"/>
        <v>58</v>
      </c>
      <c r="AM748" s="82">
        <f t="shared" si="356"/>
        <v>0</v>
      </c>
      <c r="AN748" s="82">
        <f t="shared" si="347"/>
        <v>0</v>
      </c>
      <c r="AO748" s="48">
        <v>0</v>
      </c>
      <c r="AP748" s="91">
        <f t="shared" si="357"/>
        <v>-360.81072</v>
      </c>
      <c r="AQ748" s="91">
        <f t="shared" si="358"/>
        <v>-360.81072</v>
      </c>
    </row>
    <row r="749" spans="1:43">
      <c r="A749" s="190">
        <f t="shared" si="348"/>
        <v>70.637577002053376</v>
      </c>
      <c r="B749" s="82">
        <f t="shared" si="349"/>
        <v>5</v>
      </c>
      <c r="C749" s="83">
        <f t="shared" si="350"/>
        <v>59</v>
      </c>
      <c r="D749" s="14">
        <f t="shared" si="335"/>
        <v>2.6283369587845051E-3</v>
      </c>
      <c r="E749" s="16">
        <f t="shared" si="336"/>
        <v>0</v>
      </c>
      <c r="F749" s="127"/>
      <c r="G749" s="88">
        <f t="shared" si="337"/>
        <v>0.01</v>
      </c>
      <c r="H749" s="89">
        <f t="shared" si="351"/>
        <v>3.3333333333333335E-3</v>
      </c>
      <c r="I749" s="219"/>
      <c r="J749" s="219"/>
      <c r="K749" s="6">
        <f t="shared" si="361"/>
        <v>88098.461820054421</v>
      </c>
      <c r="M749" s="6">
        <f t="shared" si="338"/>
        <v>231.55244321371467</v>
      </c>
      <c r="N749" s="6">
        <f t="shared" si="339"/>
        <v>-99.672682427466953</v>
      </c>
      <c r="O749" s="90">
        <f t="shared" si="340"/>
        <v>360.81071999999995</v>
      </c>
      <c r="P749" s="91">
        <f t="shared" si="341"/>
        <v>0</v>
      </c>
      <c r="Q749" s="6">
        <f t="shared" si="342"/>
        <v>294.10113860280228</v>
      </c>
      <c r="R749" s="87">
        <f t="shared" si="363"/>
        <v>-360.81072</v>
      </c>
      <c r="S749" s="6">
        <f t="shared" si="343"/>
        <v>-18.351035969653417</v>
      </c>
      <c r="T749" s="83">
        <f t="shared" si="353"/>
        <v>878.69530860840678</v>
      </c>
      <c r="U749" s="91">
        <f t="shared" si="360"/>
        <v>94790.805261674075</v>
      </c>
      <c r="V749" s="91">
        <f t="shared" si="354"/>
        <v>249.14217682220271</v>
      </c>
      <c r="W749" s="1">
        <f t="shared" si="368"/>
        <v>0</v>
      </c>
      <c r="X749" s="1">
        <f t="shared" si="368"/>
        <v>0</v>
      </c>
      <c r="Y749" s="1">
        <f t="shared" si="368"/>
        <v>0</v>
      </c>
      <c r="Z749" s="1">
        <f t="shared" si="368"/>
        <v>0</v>
      </c>
      <c r="AA749" s="1">
        <f t="shared" si="368"/>
        <v>1</v>
      </c>
      <c r="AB749" s="1">
        <f t="shared" si="368"/>
        <v>1</v>
      </c>
      <c r="AC749" s="1">
        <f t="shared" si="368"/>
        <v>1</v>
      </c>
      <c r="AD749" s="1">
        <f t="shared" si="368"/>
        <v>1</v>
      </c>
      <c r="AE749" s="1">
        <f t="shared" si="368"/>
        <v>1</v>
      </c>
      <c r="AF749" s="1">
        <f t="shared" si="368"/>
        <v>1</v>
      </c>
      <c r="AG749" s="1">
        <f t="shared" si="368"/>
        <v>1</v>
      </c>
      <c r="AH749" s="1">
        <f t="shared" si="368"/>
        <v>1</v>
      </c>
      <c r="AI749" s="44">
        <f t="shared" si="355"/>
        <v>87869.530860840678</v>
      </c>
      <c r="AJ749" s="44">
        <f t="shared" si="345"/>
        <v>88230.341580840672</v>
      </c>
      <c r="AK749" s="44" t="str">
        <f t="shared" si="364"/>
        <v>N</v>
      </c>
      <c r="AL749" s="4">
        <f t="shared" si="346"/>
        <v>59</v>
      </c>
      <c r="AM749" s="82">
        <f t="shared" si="356"/>
        <v>0</v>
      </c>
      <c r="AN749" s="82">
        <f t="shared" si="347"/>
        <v>0</v>
      </c>
      <c r="AO749" s="48">
        <v>0</v>
      </c>
      <c r="AP749" s="91">
        <f t="shared" si="357"/>
        <v>-360.81072</v>
      </c>
      <c r="AQ749" s="91">
        <f t="shared" si="358"/>
        <v>-360.81072</v>
      </c>
    </row>
    <row r="750" spans="1:43">
      <c r="A750" s="190">
        <f t="shared" si="348"/>
        <v>70.720910335386719</v>
      </c>
      <c r="B750" s="82">
        <f t="shared" si="349"/>
        <v>5</v>
      </c>
      <c r="C750" s="83">
        <f t="shared" si="350"/>
        <v>60</v>
      </c>
      <c r="D750" s="14">
        <f t="shared" si="335"/>
        <v>2.6283369587845051E-3</v>
      </c>
      <c r="E750" s="16">
        <f t="shared" si="336"/>
        <v>0</v>
      </c>
      <c r="F750" s="127"/>
      <c r="G750" s="88">
        <f t="shared" si="337"/>
        <v>0.01</v>
      </c>
      <c r="H750" s="89">
        <f t="shared" si="351"/>
        <v>3.3333333333333335E-3</v>
      </c>
      <c r="I750" s="219"/>
      <c r="J750" s="219"/>
      <c r="K750" s="6">
        <f t="shared" si="361"/>
        <v>87869.530860840678</v>
      </c>
      <c r="M750" s="6">
        <f t="shared" si="338"/>
        <v>230.95073551260322</v>
      </c>
      <c r="N750" s="6">
        <f t="shared" si="339"/>
        <v>-99.413674922408191</v>
      </c>
      <c r="O750" s="90">
        <f t="shared" si="340"/>
        <v>360.81071999999995</v>
      </c>
      <c r="P750" s="91">
        <f t="shared" si="341"/>
        <v>0</v>
      </c>
      <c r="Q750" s="6">
        <f t="shared" si="342"/>
        <v>293.33689307143624</v>
      </c>
      <c r="R750" s="87">
        <f t="shared" si="363"/>
        <v>-360.81072</v>
      </c>
      <c r="S750" s="6">
        <f t="shared" si="343"/>
        <v>-18.303251544146729</v>
      </c>
      <c r="T750" s="83">
        <f t="shared" si="353"/>
        <v>876.4025720143087</v>
      </c>
      <c r="U750" s="91">
        <f t="shared" si="360"/>
        <v>94679.136718496287</v>
      </c>
      <c r="V750" s="91">
        <f t="shared" si="354"/>
        <v>248.84867426303489</v>
      </c>
      <c r="W750" s="1">
        <f t="shared" si="368"/>
        <v>0</v>
      </c>
      <c r="X750" s="1">
        <f t="shared" si="368"/>
        <v>0</v>
      </c>
      <c r="Y750" s="1">
        <f t="shared" si="368"/>
        <v>0</v>
      </c>
      <c r="Z750" s="1">
        <f t="shared" si="368"/>
        <v>0</v>
      </c>
      <c r="AA750" s="1">
        <f t="shared" si="368"/>
        <v>1</v>
      </c>
      <c r="AB750" s="1">
        <f t="shared" si="368"/>
        <v>1</v>
      </c>
      <c r="AC750" s="1">
        <f t="shared" si="368"/>
        <v>1</v>
      </c>
      <c r="AD750" s="1">
        <f t="shared" si="368"/>
        <v>1</v>
      </c>
      <c r="AE750" s="1">
        <f t="shared" si="368"/>
        <v>1</v>
      </c>
      <c r="AF750" s="1">
        <f t="shared" si="368"/>
        <v>1</v>
      </c>
      <c r="AG750" s="1">
        <f t="shared" si="368"/>
        <v>1</v>
      </c>
      <c r="AH750" s="1">
        <f t="shared" si="368"/>
        <v>1</v>
      </c>
      <c r="AI750" s="44">
        <f t="shared" si="355"/>
        <v>87640.257201430868</v>
      </c>
      <c r="AJ750" s="44">
        <f t="shared" si="345"/>
        <v>88001.067921430862</v>
      </c>
      <c r="AK750" s="44" t="str">
        <f t="shared" si="364"/>
        <v>N</v>
      </c>
      <c r="AL750" s="4">
        <f t="shared" si="346"/>
        <v>60</v>
      </c>
      <c r="AM750" s="82">
        <f t="shared" si="356"/>
        <v>0</v>
      </c>
      <c r="AN750" s="82">
        <f t="shared" si="347"/>
        <v>0</v>
      </c>
      <c r="AO750" s="48">
        <v>0</v>
      </c>
      <c r="AP750" s="91">
        <f t="shared" si="357"/>
        <v>-360.81072</v>
      </c>
      <c r="AQ750" s="91">
        <f t="shared" si="358"/>
        <v>-360.81072</v>
      </c>
    </row>
    <row r="751" spans="1:43">
      <c r="A751" s="190">
        <f t="shared" si="348"/>
        <v>70.804243668720048</v>
      </c>
      <c r="B751" s="82">
        <f t="shared" si="349"/>
        <v>6</v>
      </c>
      <c r="C751" s="83">
        <f t="shared" si="350"/>
        <v>61</v>
      </c>
      <c r="D751" s="14">
        <f t="shared" si="335"/>
        <v>2.6283369587845051E-3</v>
      </c>
      <c r="E751" s="16">
        <f t="shared" si="336"/>
        <v>0</v>
      </c>
      <c r="F751" s="127"/>
      <c r="G751" s="88">
        <f t="shared" si="337"/>
        <v>0</v>
      </c>
      <c r="H751" s="89">
        <f t="shared" si="351"/>
        <v>3.3333333333333335E-3</v>
      </c>
      <c r="I751" s="219"/>
      <c r="J751" s="219"/>
      <c r="K751" s="6">
        <f t="shared" si="361"/>
        <v>87640.257201430868</v>
      </c>
      <c r="M751" s="6">
        <f t="shared" si="338"/>
        <v>230.34812707990062</v>
      </c>
      <c r="N751" s="6">
        <f t="shared" si="339"/>
        <v>-99.154279693805748</v>
      </c>
      <c r="O751" s="90">
        <f t="shared" si="340"/>
        <v>368.02693439999996</v>
      </c>
      <c r="P751" s="91">
        <f t="shared" si="341"/>
        <v>0</v>
      </c>
      <c r="Q751" s="6">
        <f t="shared" si="342"/>
        <v>292.57150349605655</v>
      </c>
      <c r="R751" s="87">
        <f t="shared" si="363"/>
        <v>-368.57785552925543</v>
      </c>
      <c r="S751" s="6">
        <f t="shared" si="343"/>
        <v>-18.254585582159489</v>
      </c>
      <c r="T751" s="83">
        <f t="shared" si="353"/>
        <v>0</v>
      </c>
      <c r="U751" s="91">
        <f t="shared" si="360"/>
        <v>94567.174672759327</v>
      </c>
      <c r="V751" s="91">
        <f t="shared" si="354"/>
        <v>248.55440028024333</v>
      </c>
      <c r="W751" s="1">
        <f t="shared" ref="W751:AH760" si="369">IF($B751&lt;=W$78,1,0)</f>
        <v>0</v>
      </c>
      <c r="X751" s="1">
        <f t="shared" si="369"/>
        <v>0</v>
      </c>
      <c r="Y751" s="1">
        <f t="shared" si="369"/>
        <v>0</v>
      </c>
      <c r="Z751" s="1">
        <f t="shared" si="369"/>
        <v>0</v>
      </c>
      <c r="AA751" s="1">
        <f t="shared" si="369"/>
        <v>0</v>
      </c>
      <c r="AB751" s="1">
        <f t="shared" si="369"/>
        <v>1</v>
      </c>
      <c r="AC751" s="1">
        <f t="shared" si="369"/>
        <v>1</v>
      </c>
      <c r="AD751" s="1">
        <f t="shared" si="369"/>
        <v>1</v>
      </c>
      <c r="AE751" s="1">
        <f t="shared" si="369"/>
        <v>1</v>
      </c>
      <c r="AF751" s="1">
        <f t="shared" si="369"/>
        <v>1</v>
      </c>
      <c r="AG751" s="1">
        <f t="shared" si="369"/>
        <v>1</v>
      </c>
      <c r="AH751" s="1">
        <f t="shared" si="369"/>
        <v>1</v>
      </c>
      <c r="AI751" s="44">
        <f t="shared" si="355"/>
        <v>87402.873193287713</v>
      </c>
      <c r="AJ751" s="44">
        <f t="shared" si="345"/>
        <v>87771.451048816962</v>
      </c>
      <c r="AK751" s="44" t="str">
        <f t="shared" si="364"/>
        <v>N</v>
      </c>
      <c r="AL751" s="4">
        <f t="shared" si="346"/>
        <v>61</v>
      </c>
      <c r="AM751" s="82">
        <f t="shared" si="356"/>
        <v>0</v>
      </c>
      <c r="AN751" s="82">
        <f t="shared" si="347"/>
        <v>0</v>
      </c>
      <c r="AO751" s="48">
        <v>0</v>
      </c>
      <c r="AP751" s="91">
        <f t="shared" si="357"/>
        <v>-368.57785552925543</v>
      </c>
      <c r="AQ751" s="91">
        <f t="shared" si="358"/>
        <v>-368.57785552925543</v>
      </c>
    </row>
    <row r="752" spans="1:43">
      <c r="A752" s="190">
        <f t="shared" si="348"/>
        <v>70.887577002053376</v>
      </c>
      <c r="B752" s="82">
        <f t="shared" si="349"/>
        <v>6</v>
      </c>
      <c r="C752" s="83">
        <f t="shared" si="350"/>
        <v>62</v>
      </c>
      <c r="D752" s="14">
        <f t="shared" si="335"/>
        <v>2.6283369587845051E-3</v>
      </c>
      <c r="E752" s="16">
        <f t="shared" si="336"/>
        <v>0</v>
      </c>
      <c r="F752" s="127"/>
      <c r="G752" s="88">
        <f t="shared" si="337"/>
        <v>0</v>
      </c>
      <c r="H752" s="89">
        <f t="shared" si="351"/>
        <v>3.3333333333333335E-3</v>
      </c>
      <c r="I752" s="219"/>
      <c r="J752" s="219"/>
      <c r="K752" s="6">
        <f t="shared" si="361"/>
        <v>87402.873193287713</v>
      </c>
      <c r="M752" s="6">
        <f t="shared" si="338"/>
        <v>229.72420191787359</v>
      </c>
      <c r="N752" s="6">
        <f t="shared" si="339"/>
        <v>-98.885708593150895</v>
      </c>
      <c r="O752" s="90">
        <f t="shared" si="340"/>
        <v>368.02693439999996</v>
      </c>
      <c r="P752" s="91">
        <f t="shared" si="341"/>
        <v>0</v>
      </c>
      <c r="Q752" s="6">
        <f t="shared" si="342"/>
        <v>291.7790389553748</v>
      </c>
      <c r="R752" s="87">
        <f t="shared" si="363"/>
        <v>-368.02693440000002</v>
      </c>
      <c r="S752" s="6">
        <f t="shared" si="343"/>
        <v>-18.205094217547483</v>
      </c>
      <c r="T752" s="83">
        <f t="shared" si="353"/>
        <v>0</v>
      </c>
      <c r="U752" s="91">
        <f t="shared" si="360"/>
        <v>94447.151217510327</v>
      </c>
      <c r="V752" s="91">
        <f t="shared" si="354"/>
        <v>248.23893819689135</v>
      </c>
      <c r="W752" s="1">
        <f t="shared" si="369"/>
        <v>0</v>
      </c>
      <c r="X752" s="1">
        <f t="shared" si="369"/>
        <v>0</v>
      </c>
      <c r="Y752" s="1">
        <f t="shared" si="369"/>
        <v>0</v>
      </c>
      <c r="Z752" s="1">
        <f t="shared" si="369"/>
        <v>0</v>
      </c>
      <c r="AA752" s="1">
        <f t="shared" si="369"/>
        <v>0</v>
      </c>
      <c r="AB752" s="1">
        <f t="shared" si="369"/>
        <v>1</v>
      </c>
      <c r="AC752" s="1">
        <f t="shared" si="369"/>
        <v>1</v>
      </c>
      <c r="AD752" s="1">
        <f t="shared" si="369"/>
        <v>1</v>
      </c>
      <c r="AE752" s="1">
        <f t="shared" si="369"/>
        <v>1</v>
      </c>
      <c r="AF752" s="1">
        <f t="shared" si="369"/>
        <v>1</v>
      </c>
      <c r="AG752" s="1">
        <f t="shared" si="369"/>
        <v>1</v>
      </c>
      <c r="AH752" s="1">
        <f t="shared" si="369"/>
        <v>1</v>
      </c>
      <c r="AI752" s="44">
        <f t="shared" si="355"/>
        <v>87165.68475221243</v>
      </c>
      <c r="AJ752" s="44">
        <f t="shared" si="345"/>
        <v>87533.711686612427</v>
      </c>
      <c r="AK752" s="44" t="str">
        <f t="shared" si="364"/>
        <v>N</v>
      </c>
      <c r="AL752" s="4">
        <f t="shared" si="346"/>
        <v>62</v>
      </c>
      <c r="AM752" s="82">
        <f t="shared" si="356"/>
        <v>0</v>
      </c>
      <c r="AN752" s="82">
        <f t="shared" si="347"/>
        <v>0</v>
      </c>
      <c r="AO752" s="48">
        <v>0</v>
      </c>
      <c r="AP752" s="91">
        <f t="shared" si="357"/>
        <v>-368.02693440000002</v>
      </c>
      <c r="AQ752" s="91">
        <f t="shared" si="358"/>
        <v>-368.02693440000002</v>
      </c>
    </row>
    <row r="753" spans="1:43">
      <c r="A753" s="190">
        <f t="shared" si="348"/>
        <v>70.970910335386719</v>
      </c>
      <c r="B753" s="82">
        <f t="shared" si="349"/>
        <v>6</v>
      </c>
      <c r="C753" s="83">
        <f t="shared" si="350"/>
        <v>63</v>
      </c>
      <c r="D753" s="14">
        <f t="shared" si="335"/>
        <v>2.6283369587845051E-3</v>
      </c>
      <c r="E753" s="16">
        <f t="shared" si="336"/>
        <v>0</v>
      </c>
      <c r="F753" s="127"/>
      <c r="G753" s="88">
        <f t="shared" si="337"/>
        <v>0</v>
      </c>
      <c r="H753" s="89">
        <f t="shared" si="351"/>
        <v>3.3333333333333335E-3</v>
      </c>
      <c r="I753" s="219"/>
      <c r="J753" s="219"/>
      <c r="K753" s="6">
        <f t="shared" si="361"/>
        <v>87165.68475221243</v>
      </c>
      <c r="M753" s="6">
        <f t="shared" si="338"/>
        <v>229.10079077199893</v>
      </c>
      <c r="N753" s="6">
        <f t="shared" si="339"/>
        <v>-98.617358752820522</v>
      </c>
      <c r="O753" s="90">
        <f t="shared" si="340"/>
        <v>368.02693439999996</v>
      </c>
      <c r="P753" s="91">
        <f t="shared" si="341"/>
        <v>0</v>
      </c>
      <c r="Q753" s="6">
        <f t="shared" si="342"/>
        <v>290.98722728077206</v>
      </c>
      <c r="R753" s="87">
        <f t="shared" si="363"/>
        <v>-368.02693440000002</v>
      </c>
      <c r="S753" s="6">
        <f t="shared" si="343"/>
        <v>-18.155586219885063</v>
      </c>
      <c r="T753" s="83">
        <f t="shared" si="353"/>
        <v>0</v>
      </c>
      <c r="U753" s="91">
        <f t="shared" si="360"/>
        <v>94327.363221307227</v>
      </c>
      <c r="V753" s="91">
        <f t="shared" si="354"/>
        <v>247.924094979252</v>
      </c>
      <c r="W753" s="1">
        <f t="shared" si="369"/>
        <v>0</v>
      </c>
      <c r="X753" s="1">
        <f t="shared" si="369"/>
        <v>0</v>
      </c>
      <c r="Y753" s="1">
        <f t="shared" si="369"/>
        <v>0</v>
      </c>
      <c r="Z753" s="1">
        <f t="shared" si="369"/>
        <v>0</v>
      </c>
      <c r="AA753" s="1">
        <f t="shared" si="369"/>
        <v>0</v>
      </c>
      <c r="AB753" s="1">
        <f t="shared" si="369"/>
        <v>1</v>
      </c>
      <c r="AC753" s="1">
        <f t="shared" si="369"/>
        <v>1</v>
      </c>
      <c r="AD753" s="1">
        <f t="shared" si="369"/>
        <v>1</v>
      </c>
      <c r="AE753" s="1">
        <f t="shared" si="369"/>
        <v>1</v>
      </c>
      <c r="AF753" s="1">
        <f t="shared" si="369"/>
        <v>1</v>
      </c>
      <c r="AG753" s="1">
        <f t="shared" si="369"/>
        <v>1</v>
      </c>
      <c r="AH753" s="1">
        <f t="shared" si="369"/>
        <v>1</v>
      </c>
      <c r="AI753" s="44">
        <f t="shared" si="355"/>
        <v>86928.14124983162</v>
      </c>
      <c r="AJ753" s="44">
        <f t="shared" si="345"/>
        <v>87296.168184231617</v>
      </c>
      <c r="AK753" s="44" t="str">
        <f t="shared" si="364"/>
        <v>N</v>
      </c>
      <c r="AL753" s="4">
        <f t="shared" si="346"/>
        <v>63</v>
      </c>
      <c r="AM753" s="82">
        <f t="shared" si="356"/>
        <v>0</v>
      </c>
      <c r="AN753" s="82">
        <f t="shared" si="347"/>
        <v>0</v>
      </c>
      <c r="AO753" s="48">
        <v>0</v>
      </c>
      <c r="AP753" s="91">
        <f t="shared" si="357"/>
        <v>-368.02693440000002</v>
      </c>
      <c r="AQ753" s="91">
        <f t="shared" si="358"/>
        <v>-368.02693440000002</v>
      </c>
    </row>
    <row r="754" spans="1:43">
      <c r="A754" s="190">
        <f t="shared" si="348"/>
        <v>71.054243668720048</v>
      </c>
      <c r="B754" s="82">
        <f t="shared" si="349"/>
        <v>6</v>
      </c>
      <c r="C754" s="83">
        <f t="shared" si="350"/>
        <v>64</v>
      </c>
      <c r="D754" s="14">
        <f t="shared" si="335"/>
        <v>2.6283369587845051E-3</v>
      </c>
      <c r="E754" s="16">
        <f t="shared" si="336"/>
        <v>0</v>
      </c>
      <c r="F754" s="127"/>
      <c r="G754" s="88">
        <f t="shared" si="337"/>
        <v>0</v>
      </c>
      <c r="H754" s="89">
        <f t="shared" si="351"/>
        <v>4.1666666666666666E-3</v>
      </c>
      <c r="I754" s="219"/>
      <c r="J754" s="219"/>
      <c r="K754" s="6">
        <f t="shared" si="361"/>
        <v>86928.14124983162</v>
      </c>
      <c r="M754" s="6">
        <f t="shared" si="338"/>
        <v>228.47644640537234</v>
      </c>
      <c r="N754" s="6">
        <f t="shared" si="339"/>
        <v>-98.348607203856233</v>
      </c>
      <c r="O754" s="90">
        <f t="shared" si="340"/>
        <v>368.02693439999996</v>
      </c>
      <c r="P754" s="91">
        <f t="shared" si="341"/>
        <v>0</v>
      </c>
      <c r="Q754" s="6">
        <f t="shared" si="342"/>
        <v>362.74278787097143</v>
      </c>
      <c r="R754" s="87">
        <f t="shared" si="363"/>
        <v>-368.02693440000002</v>
      </c>
      <c r="S754" s="6">
        <f t="shared" si="343"/>
        <v>-18.106004110793751</v>
      </c>
      <c r="T754" s="83">
        <f t="shared" si="353"/>
        <v>0</v>
      </c>
      <c r="U754" s="91">
        <f t="shared" si="360"/>
        <v>94207.260381886488</v>
      </c>
      <c r="V754" s="91">
        <f t="shared" si="354"/>
        <v>247.60842424754753</v>
      </c>
      <c r="W754" s="1">
        <f t="shared" si="369"/>
        <v>0</v>
      </c>
      <c r="X754" s="1">
        <f t="shared" si="369"/>
        <v>0</v>
      </c>
      <c r="Y754" s="1">
        <f t="shared" si="369"/>
        <v>0</v>
      </c>
      <c r="Z754" s="1">
        <f t="shared" si="369"/>
        <v>0</v>
      </c>
      <c r="AA754" s="1">
        <f t="shared" si="369"/>
        <v>0</v>
      </c>
      <c r="AB754" s="1">
        <f t="shared" si="369"/>
        <v>1</v>
      </c>
      <c r="AC754" s="1">
        <f t="shared" si="369"/>
        <v>1</v>
      </c>
      <c r="AD754" s="1">
        <f t="shared" si="369"/>
        <v>1</v>
      </c>
      <c r="AE754" s="1">
        <f t="shared" si="369"/>
        <v>1</v>
      </c>
      <c r="AF754" s="1">
        <f t="shared" si="369"/>
        <v>1</v>
      </c>
      <c r="AG754" s="1">
        <f t="shared" si="369"/>
        <v>1</v>
      </c>
      <c r="AH754" s="1">
        <f t="shared" si="369"/>
        <v>1</v>
      </c>
      <c r="AI754" s="44">
        <f t="shared" si="355"/>
        <v>86690.242154633146</v>
      </c>
      <c r="AJ754" s="44">
        <f t="shared" si="345"/>
        <v>87058.269089033143</v>
      </c>
      <c r="AK754" s="44" t="str">
        <f t="shared" si="364"/>
        <v>N</v>
      </c>
      <c r="AL754" s="4">
        <f t="shared" si="346"/>
        <v>64</v>
      </c>
      <c r="AM754" s="82">
        <f t="shared" si="356"/>
        <v>0</v>
      </c>
      <c r="AN754" s="82">
        <f t="shared" si="347"/>
        <v>0</v>
      </c>
      <c r="AO754" s="48">
        <v>0</v>
      </c>
      <c r="AP754" s="91">
        <f t="shared" si="357"/>
        <v>-368.02693440000002</v>
      </c>
      <c r="AQ754" s="91">
        <f t="shared" si="358"/>
        <v>-368.02693440000002</v>
      </c>
    </row>
    <row r="755" spans="1:43">
      <c r="A755" s="190">
        <f t="shared" si="348"/>
        <v>71.137577002053376</v>
      </c>
      <c r="B755" s="82">
        <f t="shared" si="349"/>
        <v>6</v>
      </c>
      <c r="C755" s="83">
        <f t="shared" si="350"/>
        <v>65</v>
      </c>
      <c r="D755" s="14">
        <f t="shared" ref="D755:D818" si="370">Growth_Rate_2_Monthly</f>
        <v>2.6283369587845051E-3</v>
      </c>
      <c r="E755" s="16">
        <f t="shared" ref="E755:E818" si="371">IF(Gtee_Flag="on",1,0)</f>
        <v>0</v>
      </c>
      <c r="F755" s="127"/>
      <c r="G755" s="88">
        <f t="shared" ref="G755:G818" si="372">IF(B755&lt;=8,VLOOKUP(Product_Code,Product_Parameters,B755+5,FALSE),0)</f>
        <v>0</v>
      </c>
      <c r="H755" s="89">
        <f t="shared" si="351"/>
        <v>4.1666666666666666E-3</v>
      </c>
      <c r="I755" s="219"/>
      <c r="J755" s="219"/>
      <c r="K755" s="6">
        <f t="shared" si="361"/>
        <v>86690.242154633146</v>
      </c>
      <c r="M755" s="6">
        <f t="shared" ref="M755:M818" si="373">(K755+L755)*D755</f>
        <v>227.85116742100078</v>
      </c>
      <c r="N755" s="6">
        <f t="shared" ref="N755:N818" si="374">-(($K755+(L755)+M755/2)*(External_Fund_Charge_Monthly+Fund_Charge_Monthly+Gtee_Charge_Monthly*$E755))</f>
        <v>-98.079453344916772</v>
      </c>
      <c r="O755" s="90">
        <f t="shared" ref="O755:O818" si="375">IF(C755&gt;=Regular_Income_Start_Month,
MIN(Regular_Income_Amount/12*(1+Income_Escalation_Rate_Annual)^($B755-1),AJ755),0)</f>
        <v>368.02693439999996</v>
      </c>
      <c r="P755" s="91">
        <f t="shared" ref="P755:P818" si="376">MAX(IF(C755&gt;=Regular_Income_Start_Month,
MIN(IF(Income_Type="Fixed Percent",$C$51,0)/12*(K755+L755+M755+N755),AJ755),0),0)</f>
        <v>0</v>
      </c>
      <c r="Q755" s="6">
        <f t="shared" ref="Q755:Q818" si="377">MAX(IF(C755&gt;=Regular_Income_Start_Month,
MIN(H755*(K755+L755+M755+N755),AJ755),0),0)</f>
        <v>361.75005778628844</v>
      </c>
      <c r="R755" s="87">
        <f t="shared" si="363"/>
        <v>-368.02693440000002</v>
      </c>
      <c r="S755" s="6">
        <f t="shared" ref="S755:S818" si="378">-(($K755+I755+M755/2+N755/2+R755/2)*(Ongoing_Commission_Monthly)+(I755)*new_upfront_commission)</f>
        <v>-18.056347779331798</v>
      </c>
      <c r="T755" s="83">
        <f t="shared" si="353"/>
        <v>0</v>
      </c>
      <c r="U755" s="91">
        <f t="shared" si="360"/>
        <v>94086.841871734039</v>
      </c>
      <c r="V755" s="91">
        <f t="shared" si="354"/>
        <v>247.29192382679207</v>
      </c>
      <c r="W755" s="1">
        <f t="shared" si="369"/>
        <v>0</v>
      </c>
      <c r="X755" s="1">
        <f t="shared" si="369"/>
        <v>0</v>
      </c>
      <c r="Y755" s="1">
        <f t="shared" si="369"/>
        <v>0</v>
      </c>
      <c r="Z755" s="1">
        <f t="shared" si="369"/>
        <v>0</v>
      </c>
      <c r="AA755" s="1">
        <f t="shared" si="369"/>
        <v>0</v>
      </c>
      <c r="AB755" s="1">
        <f t="shared" si="369"/>
        <v>1</v>
      </c>
      <c r="AC755" s="1">
        <f t="shared" si="369"/>
        <v>1</v>
      </c>
      <c r="AD755" s="1">
        <f t="shared" si="369"/>
        <v>1</v>
      </c>
      <c r="AE755" s="1">
        <f t="shared" si="369"/>
        <v>1</v>
      </c>
      <c r="AF755" s="1">
        <f t="shared" si="369"/>
        <v>1</v>
      </c>
      <c r="AG755" s="1">
        <f t="shared" si="369"/>
        <v>1</v>
      </c>
      <c r="AH755" s="1">
        <f t="shared" si="369"/>
        <v>1</v>
      </c>
      <c r="AI755" s="44">
        <f t="shared" si="355"/>
        <v>86451.986934309229</v>
      </c>
      <c r="AJ755" s="44">
        <f t="shared" ref="AJ755:AJ818" si="379">MAX(0,SUM(K755:N755)-$C$66)</f>
        <v>86820.013868709226</v>
      </c>
      <c r="AK755" s="44" t="str">
        <f t="shared" si="364"/>
        <v>N</v>
      </c>
      <c r="AL755" s="4">
        <f t="shared" ref="AL755:AL818" si="380">C755</f>
        <v>65</v>
      </c>
      <c r="AM755" s="82">
        <f t="shared" si="356"/>
        <v>0</v>
      </c>
      <c r="AN755" s="82">
        <f t="shared" ref="AN755:AN818" si="381">IF(AND(B755=Fund_Zero_Year_2,K756=0,K755&gt;0),-U755,IF(AND(B755+1=Fund_Zero_Year_2,K756=0,K755&gt;0),-U755,0))</f>
        <v>0</v>
      </c>
      <c r="AO755" s="48">
        <v>0</v>
      </c>
      <c r="AP755" s="91">
        <f t="shared" si="357"/>
        <v>-368.02693440000002</v>
      </c>
      <c r="AQ755" s="91">
        <f t="shared" si="358"/>
        <v>-368.02693440000002</v>
      </c>
    </row>
    <row r="756" spans="1:43">
      <c r="A756" s="190">
        <f t="shared" ref="A756:A819" si="382">$C$43+C755/12</f>
        <v>71.220910335386719</v>
      </c>
      <c r="B756" s="82">
        <f t="shared" ref="B756:B819" si="383">INT((C756-1)/12)+1</f>
        <v>6</v>
      </c>
      <c r="C756" s="83">
        <f t="shared" ref="C756:C819" si="384">C755+1</f>
        <v>66</v>
      </c>
      <c r="D756" s="14">
        <f t="shared" si="370"/>
        <v>2.6283369587845051E-3</v>
      </c>
      <c r="E756" s="16">
        <f t="shared" si="371"/>
        <v>0</v>
      </c>
      <c r="F756" s="127"/>
      <c r="G756" s="88">
        <f t="shared" si="372"/>
        <v>0</v>
      </c>
      <c r="H756" s="89">
        <f t="shared" ref="H756:H819" si="385">IF((K755+L755+M755+N755+R755)&gt;=2000000,VLOOKUP("&gt;=2000000",Default_IncomeRate_table,3,FALSE),
IF($A756&lt;71,VLOOKUP("&lt;71",Default_IncomeRate_table,3,FALSE),
IF($A756&gt;=71,VLOOKUP("&gt;=71",Default_IncomeRate_table,3,FALSE),"")))</f>
        <v>4.1666666666666666E-3</v>
      </c>
      <c r="I756" s="219"/>
      <c r="J756" s="219"/>
      <c r="K756" s="6">
        <f t="shared" si="361"/>
        <v>86451.986934309229</v>
      </c>
      <c r="M756" s="6">
        <f t="shared" si="373"/>
        <v>227.2249524198001</v>
      </c>
      <c r="N756" s="6">
        <f t="shared" si="374"/>
        <v>-97.809896573760682</v>
      </c>
      <c r="O756" s="90">
        <f t="shared" si="375"/>
        <v>368.02693439999996</v>
      </c>
      <c r="P756" s="91">
        <f t="shared" si="376"/>
        <v>0</v>
      </c>
      <c r="Q756" s="6">
        <f t="shared" si="377"/>
        <v>360.75584162564695</v>
      </c>
      <c r="R756" s="87">
        <f t="shared" si="363"/>
        <v>-368.02693440000002</v>
      </c>
      <c r="S756" s="6">
        <f t="shared" si="378"/>
        <v>-18.006617114391378</v>
      </c>
      <c r="T756" s="83">
        <f t="shared" ref="T756:T819" si="386">SUM(K756:N756,R756)*$G756</f>
        <v>0</v>
      </c>
      <c r="U756" s="91">
        <f t="shared" si="360"/>
        <v>93966.106861160835</v>
      </c>
      <c r="V756" s="91">
        <f t="shared" ref="V756:V819" si="387">U756*D756</f>
        <v>246.9745915362833</v>
      </c>
      <c r="W756" s="1">
        <f t="shared" si="369"/>
        <v>0</v>
      </c>
      <c r="X756" s="1">
        <f t="shared" si="369"/>
        <v>0</v>
      </c>
      <c r="Y756" s="1">
        <f t="shared" si="369"/>
        <v>0</v>
      </c>
      <c r="Z756" s="1">
        <f t="shared" si="369"/>
        <v>0</v>
      </c>
      <c r="AA756" s="1">
        <f t="shared" si="369"/>
        <v>0</v>
      </c>
      <c r="AB756" s="1">
        <f t="shared" si="369"/>
        <v>1</v>
      </c>
      <c r="AC756" s="1">
        <f t="shared" si="369"/>
        <v>1</v>
      </c>
      <c r="AD756" s="1">
        <f t="shared" si="369"/>
        <v>1</v>
      </c>
      <c r="AE756" s="1">
        <f t="shared" si="369"/>
        <v>1</v>
      </c>
      <c r="AF756" s="1">
        <f t="shared" si="369"/>
        <v>1</v>
      </c>
      <c r="AG756" s="1">
        <f t="shared" si="369"/>
        <v>1</v>
      </c>
      <c r="AH756" s="1">
        <f t="shared" si="369"/>
        <v>1</v>
      </c>
      <c r="AI756" s="44">
        <f t="shared" ref="AI756:AI819" si="388">SUM(K756:N756,R756)</f>
        <v>86213.37505575527</v>
      </c>
      <c r="AJ756" s="44">
        <f t="shared" si="379"/>
        <v>86581.401990155267</v>
      </c>
      <c r="AK756" s="44" t="str">
        <f t="shared" si="364"/>
        <v>N</v>
      </c>
      <c r="AL756" s="4">
        <f t="shared" si="380"/>
        <v>66</v>
      </c>
      <c r="AM756" s="82">
        <f t="shared" ref="AM756:AM819" si="389">I756</f>
        <v>0</v>
      </c>
      <c r="AN756" s="82">
        <f t="shared" si="381"/>
        <v>0</v>
      </c>
      <c r="AO756" s="48">
        <v>0</v>
      </c>
      <c r="AP756" s="91">
        <f t="shared" ref="AP756:AP819" si="390">$R756+AN756+AM756</f>
        <v>-368.02693440000002</v>
      </c>
      <c r="AQ756" s="91">
        <f t="shared" ref="AQ756:AQ819" si="391">$R756+AO756+AM756</f>
        <v>-368.02693440000002</v>
      </c>
    </row>
    <row r="757" spans="1:43">
      <c r="A757" s="190">
        <f t="shared" si="382"/>
        <v>71.304243668720048</v>
      </c>
      <c r="B757" s="82">
        <f t="shared" si="383"/>
        <v>6</v>
      </c>
      <c r="C757" s="83">
        <f t="shared" si="384"/>
        <v>67</v>
      </c>
      <c r="D757" s="14">
        <f t="shared" si="370"/>
        <v>2.6283369587845051E-3</v>
      </c>
      <c r="E757" s="16">
        <f t="shared" si="371"/>
        <v>0</v>
      </c>
      <c r="F757" s="127"/>
      <c r="G757" s="88">
        <f t="shared" si="372"/>
        <v>0</v>
      </c>
      <c r="H757" s="89">
        <f t="shared" si="385"/>
        <v>4.1666666666666666E-3</v>
      </c>
      <c r="I757" s="219"/>
      <c r="J757" s="219"/>
      <c r="K757" s="6">
        <f t="shared" si="361"/>
        <v>86213.37505575527</v>
      </c>
      <c r="M757" s="6">
        <f t="shared" si="373"/>
        <v>226.59780000059172</v>
      </c>
      <c r="N757" s="6">
        <f t="shared" si="374"/>
        <v>-97.539936287245027</v>
      </c>
      <c r="O757" s="90">
        <f t="shared" si="375"/>
        <v>368.02693439999996</v>
      </c>
      <c r="P757" s="91">
        <f t="shared" si="376"/>
        <v>0</v>
      </c>
      <c r="Q757" s="6">
        <f t="shared" si="377"/>
        <v>359.76013716445254</v>
      </c>
      <c r="R757" s="87">
        <f t="shared" si="363"/>
        <v>-368.02693440000002</v>
      </c>
      <c r="S757" s="6">
        <f t="shared" si="378"/>
        <v>-17.956812004698342</v>
      </c>
      <c r="T757" s="83">
        <f t="shared" si="386"/>
        <v>0</v>
      </c>
      <c r="U757" s="91">
        <f t="shared" ref="U757:U820" si="392">IF(K757=0,0,SUM(U756,R756,V756))</f>
        <v>93845.054518297125</v>
      </c>
      <c r="V757" s="91">
        <f t="shared" si="387"/>
        <v>246.65642518958714</v>
      </c>
      <c r="W757" s="1">
        <f t="shared" si="369"/>
        <v>0</v>
      </c>
      <c r="X757" s="1">
        <f t="shared" si="369"/>
        <v>0</v>
      </c>
      <c r="Y757" s="1">
        <f t="shared" si="369"/>
        <v>0</v>
      </c>
      <c r="Z757" s="1">
        <f t="shared" si="369"/>
        <v>0</v>
      </c>
      <c r="AA757" s="1">
        <f t="shared" si="369"/>
        <v>0</v>
      </c>
      <c r="AB757" s="1">
        <f t="shared" si="369"/>
        <v>1</v>
      </c>
      <c r="AC757" s="1">
        <f t="shared" si="369"/>
        <v>1</v>
      </c>
      <c r="AD757" s="1">
        <f t="shared" si="369"/>
        <v>1</v>
      </c>
      <c r="AE757" s="1">
        <f t="shared" si="369"/>
        <v>1</v>
      </c>
      <c r="AF757" s="1">
        <f t="shared" si="369"/>
        <v>1</v>
      </c>
      <c r="AG757" s="1">
        <f t="shared" si="369"/>
        <v>1</v>
      </c>
      <c r="AH757" s="1">
        <f t="shared" si="369"/>
        <v>1</v>
      </c>
      <c r="AI757" s="44">
        <f t="shared" si="388"/>
        <v>85974.405985068617</v>
      </c>
      <c r="AJ757" s="44">
        <f t="shared" si="379"/>
        <v>86342.432919468614</v>
      </c>
      <c r="AK757" s="44" t="str">
        <f t="shared" si="364"/>
        <v>N</v>
      </c>
      <c r="AL757" s="4">
        <f t="shared" si="380"/>
        <v>67</v>
      </c>
      <c r="AM757" s="82">
        <f t="shared" si="389"/>
        <v>0</v>
      </c>
      <c r="AN757" s="82">
        <f t="shared" si="381"/>
        <v>0</v>
      </c>
      <c r="AO757" s="48">
        <v>0</v>
      </c>
      <c r="AP757" s="91">
        <f t="shared" si="390"/>
        <v>-368.02693440000002</v>
      </c>
      <c r="AQ757" s="91">
        <f t="shared" si="391"/>
        <v>-368.02693440000002</v>
      </c>
    </row>
    <row r="758" spans="1:43">
      <c r="A758" s="190">
        <f t="shared" si="382"/>
        <v>71.387577002053376</v>
      </c>
      <c r="B758" s="82">
        <f t="shared" si="383"/>
        <v>6</v>
      </c>
      <c r="C758" s="83">
        <f t="shared" si="384"/>
        <v>68</v>
      </c>
      <c r="D758" s="14">
        <f t="shared" si="370"/>
        <v>2.6283369587845051E-3</v>
      </c>
      <c r="E758" s="16">
        <f t="shared" si="371"/>
        <v>0</v>
      </c>
      <c r="F758" s="127"/>
      <c r="G758" s="88">
        <f t="shared" si="372"/>
        <v>0</v>
      </c>
      <c r="H758" s="89">
        <f t="shared" si="385"/>
        <v>4.1666666666666666E-3</v>
      </c>
      <c r="I758" s="219"/>
      <c r="J758" s="219"/>
      <c r="K758" s="6">
        <f t="shared" si="361"/>
        <v>85974.405985068617</v>
      </c>
      <c r="M758" s="6">
        <f t="shared" si="373"/>
        <v>225.96970876009959</v>
      </c>
      <c r="N758" s="6">
        <f t="shared" si="374"/>
        <v>-97.269571881323969</v>
      </c>
      <c r="O758" s="90">
        <f t="shared" si="375"/>
        <v>368.02693439999996</v>
      </c>
      <c r="P758" s="91">
        <f t="shared" si="376"/>
        <v>0</v>
      </c>
      <c r="Q758" s="6">
        <f t="shared" si="377"/>
        <v>358.76294217478079</v>
      </c>
      <c r="R758" s="87">
        <f t="shared" si="363"/>
        <v>-368.02693440000002</v>
      </c>
      <c r="S758" s="6">
        <f t="shared" si="378"/>
        <v>-17.906932338811963</v>
      </c>
      <c r="T758" s="83">
        <f t="shared" si="386"/>
        <v>0</v>
      </c>
      <c r="U758" s="91">
        <f t="shared" si="392"/>
        <v>93723.684009086719</v>
      </c>
      <c r="V758" s="91">
        <f t="shared" si="387"/>
        <v>246.33742259452293</v>
      </c>
      <c r="W758" s="1">
        <f t="shared" si="369"/>
        <v>0</v>
      </c>
      <c r="X758" s="1">
        <f t="shared" si="369"/>
        <v>0</v>
      </c>
      <c r="Y758" s="1">
        <f t="shared" si="369"/>
        <v>0</v>
      </c>
      <c r="Z758" s="1">
        <f t="shared" si="369"/>
        <v>0</v>
      </c>
      <c r="AA758" s="1">
        <f t="shared" si="369"/>
        <v>0</v>
      </c>
      <c r="AB758" s="1">
        <f t="shared" si="369"/>
        <v>1</v>
      </c>
      <c r="AC758" s="1">
        <f t="shared" si="369"/>
        <v>1</v>
      </c>
      <c r="AD758" s="1">
        <f t="shared" si="369"/>
        <v>1</v>
      </c>
      <c r="AE758" s="1">
        <f t="shared" si="369"/>
        <v>1</v>
      </c>
      <c r="AF758" s="1">
        <f t="shared" si="369"/>
        <v>1</v>
      </c>
      <c r="AG758" s="1">
        <f t="shared" si="369"/>
        <v>1</v>
      </c>
      <c r="AH758" s="1">
        <f t="shared" si="369"/>
        <v>1</v>
      </c>
      <c r="AI758" s="44">
        <f t="shared" si="388"/>
        <v>85735.079187547395</v>
      </c>
      <c r="AJ758" s="44">
        <f t="shared" si="379"/>
        <v>86103.106121947392</v>
      </c>
      <c r="AK758" s="44" t="str">
        <f t="shared" si="364"/>
        <v>N</v>
      </c>
      <c r="AL758" s="4">
        <f t="shared" si="380"/>
        <v>68</v>
      </c>
      <c r="AM758" s="82">
        <f t="shared" si="389"/>
        <v>0</v>
      </c>
      <c r="AN758" s="82">
        <f t="shared" si="381"/>
        <v>0</v>
      </c>
      <c r="AO758" s="48">
        <v>0</v>
      </c>
      <c r="AP758" s="91">
        <f t="shared" si="390"/>
        <v>-368.02693440000002</v>
      </c>
      <c r="AQ758" s="91">
        <f t="shared" si="391"/>
        <v>-368.02693440000002</v>
      </c>
    </row>
    <row r="759" spans="1:43">
      <c r="A759" s="190">
        <f t="shared" si="382"/>
        <v>71.470910335386719</v>
      </c>
      <c r="B759" s="82">
        <f t="shared" si="383"/>
        <v>6</v>
      </c>
      <c r="C759" s="83">
        <f t="shared" si="384"/>
        <v>69</v>
      </c>
      <c r="D759" s="14">
        <f t="shared" si="370"/>
        <v>2.6283369587845051E-3</v>
      </c>
      <c r="E759" s="16">
        <f t="shared" si="371"/>
        <v>0</v>
      </c>
      <c r="F759" s="127"/>
      <c r="G759" s="88">
        <f t="shared" si="372"/>
        <v>0</v>
      </c>
      <c r="H759" s="89">
        <f t="shared" si="385"/>
        <v>4.1666666666666666E-3</v>
      </c>
      <c r="I759" s="219"/>
      <c r="J759" s="219"/>
      <c r="K759" s="6">
        <f t="shared" ref="K759:K822" si="393">SUM(K758:M758,N758,R758)</f>
        <v>85735.079187547395</v>
      </c>
      <c r="M759" s="6">
        <f t="shared" si="373"/>
        <v>225.34067729294705</v>
      </c>
      <c r="N759" s="6">
        <f t="shared" si="374"/>
        <v>-96.99880275104745</v>
      </c>
      <c r="O759" s="90">
        <f t="shared" si="375"/>
        <v>368.02693439999996</v>
      </c>
      <c r="P759" s="91">
        <f t="shared" si="376"/>
        <v>0</v>
      </c>
      <c r="Q759" s="6">
        <f t="shared" si="377"/>
        <v>357.76425442537209</v>
      </c>
      <c r="R759" s="87">
        <f t="shared" si="363"/>
        <v>-368.02693440000002</v>
      </c>
      <c r="S759" s="6">
        <f t="shared" si="378"/>
        <v>-17.856978005124706</v>
      </c>
      <c r="T759" s="83">
        <f t="shared" si="386"/>
        <v>0</v>
      </c>
      <c r="U759" s="91">
        <f t="shared" si="392"/>
        <v>93601.994497281252</v>
      </c>
      <c r="V759" s="91">
        <f t="shared" si="387"/>
        <v>246.01758155314818</v>
      </c>
      <c r="W759" s="1">
        <f t="shared" si="369"/>
        <v>0</v>
      </c>
      <c r="X759" s="1">
        <f t="shared" si="369"/>
        <v>0</v>
      </c>
      <c r="Y759" s="1">
        <f t="shared" si="369"/>
        <v>0</v>
      </c>
      <c r="Z759" s="1">
        <f t="shared" si="369"/>
        <v>0</v>
      </c>
      <c r="AA759" s="1">
        <f t="shared" si="369"/>
        <v>0</v>
      </c>
      <c r="AB759" s="1">
        <f t="shared" si="369"/>
        <v>1</v>
      </c>
      <c r="AC759" s="1">
        <f t="shared" si="369"/>
        <v>1</v>
      </c>
      <c r="AD759" s="1">
        <f t="shared" si="369"/>
        <v>1</v>
      </c>
      <c r="AE759" s="1">
        <f t="shared" si="369"/>
        <v>1</v>
      </c>
      <c r="AF759" s="1">
        <f t="shared" si="369"/>
        <v>1</v>
      </c>
      <c r="AG759" s="1">
        <f t="shared" si="369"/>
        <v>1</v>
      </c>
      <c r="AH759" s="1">
        <f t="shared" si="369"/>
        <v>1</v>
      </c>
      <c r="AI759" s="44">
        <f t="shared" si="388"/>
        <v>85495.394127689302</v>
      </c>
      <c r="AJ759" s="44">
        <f t="shared" si="379"/>
        <v>85863.421062089299</v>
      </c>
      <c r="AK759" s="44" t="str">
        <f t="shared" si="364"/>
        <v>N</v>
      </c>
      <c r="AL759" s="4">
        <f t="shared" si="380"/>
        <v>69</v>
      </c>
      <c r="AM759" s="82">
        <f t="shared" si="389"/>
        <v>0</v>
      </c>
      <c r="AN759" s="82">
        <f t="shared" si="381"/>
        <v>0</v>
      </c>
      <c r="AO759" s="48">
        <v>0</v>
      </c>
      <c r="AP759" s="91">
        <f t="shared" si="390"/>
        <v>-368.02693440000002</v>
      </c>
      <c r="AQ759" s="91">
        <f t="shared" si="391"/>
        <v>-368.02693440000002</v>
      </c>
    </row>
    <row r="760" spans="1:43">
      <c r="A760" s="190">
        <f t="shared" si="382"/>
        <v>71.554243668720048</v>
      </c>
      <c r="B760" s="82">
        <f t="shared" si="383"/>
        <v>6</v>
      </c>
      <c r="C760" s="83">
        <f t="shared" si="384"/>
        <v>70</v>
      </c>
      <c r="D760" s="14">
        <f t="shared" si="370"/>
        <v>2.6283369587845051E-3</v>
      </c>
      <c r="E760" s="16">
        <f t="shared" si="371"/>
        <v>0</v>
      </c>
      <c r="F760" s="127"/>
      <c r="G760" s="88">
        <f t="shared" si="372"/>
        <v>0</v>
      </c>
      <c r="H760" s="89">
        <f t="shared" si="385"/>
        <v>4.1666666666666666E-3</v>
      </c>
      <c r="I760" s="219"/>
      <c r="J760" s="219"/>
      <c r="K760" s="6">
        <f t="shared" si="393"/>
        <v>85495.394127689302</v>
      </c>
      <c r="M760" s="6">
        <f t="shared" si="373"/>
        <v>224.71070419165355</v>
      </c>
      <c r="N760" s="6">
        <f t="shared" si="374"/>
        <v>-96.727628290559807</v>
      </c>
      <c r="O760" s="90">
        <f t="shared" si="375"/>
        <v>368.02693439999996</v>
      </c>
      <c r="P760" s="91">
        <f t="shared" si="376"/>
        <v>0</v>
      </c>
      <c r="Q760" s="6">
        <f t="shared" si="377"/>
        <v>356.76407168162666</v>
      </c>
      <c r="R760" s="87">
        <f t="shared" si="363"/>
        <v>-368.02693440000002</v>
      </c>
      <c r="S760" s="6">
        <f t="shared" si="378"/>
        <v>-17.80694889186195</v>
      </c>
      <c r="T760" s="83">
        <f t="shared" si="386"/>
        <v>0</v>
      </c>
      <c r="U760" s="91">
        <f t="shared" si="392"/>
        <v>93479.985144434409</v>
      </c>
      <c r="V760" s="91">
        <f t="shared" si="387"/>
        <v>245.69689986174345</v>
      </c>
      <c r="W760" s="1">
        <f t="shared" si="369"/>
        <v>0</v>
      </c>
      <c r="X760" s="1">
        <f t="shared" si="369"/>
        <v>0</v>
      </c>
      <c r="Y760" s="1">
        <f t="shared" si="369"/>
        <v>0</v>
      </c>
      <c r="Z760" s="1">
        <f t="shared" si="369"/>
        <v>0</v>
      </c>
      <c r="AA760" s="1">
        <f t="shared" si="369"/>
        <v>0</v>
      </c>
      <c r="AB760" s="1">
        <f t="shared" si="369"/>
        <v>1</v>
      </c>
      <c r="AC760" s="1">
        <f t="shared" si="369"/>
        <v>1</v>
      </c>
      <c r="AD760" s="1">
        <f t="shared" si="369"/>
        <v>1</v>
      </c>
      <c r="AE760" s="1">
        <f t="shared" si="369"/>
        <v>1</v>
      </c>
      <c r="AF760" s="1">
        <f t="shared" si="369"/>
        <v>1</v>
      </c>
      <c r="AG760" s="1">
        <f t="shared" si="369"/>
        <v>1</v>
      </c>
      <c r="AH760" s="1">
        <f t="shared" si="369"/>
        <v>1</v>
      </c>
      <c r="AI760" s="44">
        <f t="shared" si="388"/>
        <v>85255.3502691904</v>
      </c>
      <c r="AJ760" s="44">
        <f t="shared" si="379"/>
        <v>85623.377203590397</v>
      </c>
      <c r="AK760" s="44" t="str">
        <f t="shared" si="364"/>
        <v>N</v>
      </c>
      <c r="AL760" s="4">
        <f t="shared" si="380"/>
        <v>70</v>
      </c>
      <c r="AM760" s="82">
        <f t="shared" si="389"/>
        <v>0</v>
      </c>
      <c r="AN760" s="82">
        <f t="shared" si="381"/>
        <v>0</v>
      </c>
      <c r="AO760" s="48">
        <v>0</v>
      </c>
      <c r="AP760" s="91">
        <f t="shared" si="390"/>
        <v>-368.02693440000002</v>
      </c>
      <c r="AQ760" s="91">
        <f t="shared" si="391"/>
        <v>-368.02693440000002</v>
      </c>
    </row>
    <row r="761" spans="1:43">
      <c r="A761" s="190">
        <f t="shared" si="382"/>
        <v>71.637577002053376</v>
      </c>
      <c r="B761" s="82">
        <f t="shared" si="383"/>
        <v>6</v>
      </c>
      <c r="C761" s="83">
        <f t="shared" si="384"/>
        <v>71</v>
      </c>
      <c r="D761" s="14">
        <f t="shared" si="370"/>
        <v>2.6283369587845051E-3</v>
      </c>
      <c r="E761" s="16">
        <f t="shared" si="371"/>
        <v>0</v>
      </c>
      <c r="F761" s="127"/>
      <c r="G761" s="88">
        <f t="shared" si="372"/>
        <v>0</v>
      </c>
      <c r="H761" s="89">
        <f t="shared" si="385"/>
        <v>4.1666666666666666E-3</v>
      </c>
      <c r="I761" s="219"/>
      <c r="J761" s="219"/>
      <c r="K761" s="6">
        <f t="shared" si="393"/>
        <v>85255.3502691904</v>
      </c>
      <c r="M761" s="6">
        <f t="shared" si="373"/>
        <v>224.07978804663165</v>
      </c>
      <c r="N761" s="6">
        <f t="shared" si="374"/>
        <v>-96.456047893098443</v>
      </c>
      <c r="O761" s="90">
        <f t="shared" si="375"/>
        <v>368.02693439999996</v>
      </c>
      <c r="P761" s="91">
        <f t="shared" si="376"/>
        <v>0</v>
      </c>
      <c r="Q761" s="6">
        <f t="shared" si="377"/>
        <v>355.76239170559973</v>
      </c>
      <c r="R761" s="87">
        <f t="shared" si="363"/>
        <v>-368.02693440000002</v>
      </c>
      <c r="S761" s="6">
        <f t="shared" si="378"/>
        <v>-17.756844887081758</v>
      </c>
      <c r="T761" s="83">
        <f t="shared" si="386"/>
        <v>0</v>
      </c>
      <c r="U761" s="91">
        <f t="shared" si="392"/>
        <v>93357.65510989615</v>
      </c>
      <c r="V761" s="91">
        <f t="shared" si="387"/>
        <v>245.37537531079715</v>
      </c>
      <c r="W761" s="1">
        <f t="shared" ref="W761:AH770" si="394">IF($B761&lt;=W$78,1,0)</f>
        <v>0</v>
      </c>
      <c r="X761" s="1">
        <f t="shared" si="394"/>
        <v>0</v>
      </c>
      <c r="Y761" s="1">
        <f t="shared" si="394"/>
        <v>0</v>
      </c>
      <c r="Z761" s="1">
        <f t="shared" si="394"/>
        <v>0</v>
      </c>
      <c r="AA761" s="1">
        <f t="shared" si="394"/>
        <v>0</v>
      </c>
      <c r="AB761" s="1">
        <f t="shared" si="394"/>
        <v>1</v>
      </c>
      <c r="AC761" s="1">
        <f t="shared" si="394"/>
        <v>1</v>
      </c>
      <c r="AD761" s="1">
        <f t="shared" si="394"/>
        <v>1</v>
      </c>
      <c r="AE761" s="1">
        <f t="shared" si="394"/>
        <v>1</v>
      </c>
      <c r="AF761" s="1">
        <f t="shared" si="394"/>
        <v>1</v>
      </c>
      <c r="AG761" s="1">
        <f t="shared" si="394"/>
        <v>1</v>
      </c>
      <c r="AH761" s="1">
        <f t="shared" si="394"/>
        <v>1</v>
      </c>
      <c r="AI761" s="44">
        <f t="shared" si="388"/>
        <v>85014.947074943935</v>
      </c>
      <c r="AJ761" s="44">
        <f t="shared" si="379"/>
        <v>85382.974009343932</v>
      </c>
      <c r="AK761" s="44" t="str">
        <f t="shared" si="364"/>
        <v>N</v>
      </c>
      <c r="AL761" s="4">
        <f t="shared" si="380"/>
        <v>71</v>
      </c>
      <c r="AM761" s="82">
        <f t="shared" si="389"/>
        <v>0</v>
      </c>
      <c r="AN761" s="82">
        <f t="shared" si="381"/>
        <v>0</v>
      </c>
      <c r="AO761" s="48">
        <v>0</v>
      </c>
      <c r="AP761" s="91">
        <f t="shared" si="390"/>
        <v>-368.02693440000002</v>
      </c>
      <c r="AQ761" s="91">
        <f t="shared" si="391"/>
        <v>-368.02693440000002</v>
      </c>
    </row>
    <row r="762" spans="1:43">
      <c r="A762" s="190">
        <f t="shared" si="382"/>
        <v>71.720910335386719</v>
      </c>
      <c r="B762" s="82">
        <f t="shared" si="383"/>
        <v>6</v>
      </c>
      <c r="C762" s="83">
        <f t="shared" si="384"/>
        <v>72</v>
      </c>
      <c r="D762" s="14">
        <f t="shared" si="370"/>
        <v>2.6283369587845051E-3</v>
      </c>
      <c r="E762" s="16">
        <f t="shared" si="371"/>
        <v>0</v>
      </c>
      <c r="F762" s="127"/>
      <c r="G762" s="88">
        <f t="shared" si="372"/>
        <v>0</v>
      </c>
      <c r="H762" s="89">
        <f t="shared" si="385"/>
        <v>4.1666666666666666E-3</v>
      </c>
      <c r="I762" s="219"/>
      <c r="J762" s="219"/>
      <c r="K762" s="6">
        <f t="shared" si="393"/>
        <v>85014.947074943935</v>
      </c>
      <c r="M762" s="6">
        <f t="shared" si="373"/>
        <v>223.4479274461838</v>
      </c>
      <c r="N762" s="6">
        <f t="shared" si="374"/>
        <v>-96.184060950992475</v>
      </c>
      <c r="O762" s="90">
        <f t="shared" si="375"/>
        <v>368.02693439999996</v>
      </c>
      <c r="P762" s="91">
        <f t="shared" si="376"/>
        <v>0</v>
      </c>
      <c r="Q762" s="6">
        <f t="shared" si="377"/>
        <v>354.75921225599632</v>
      </c>
      <c r="R762" s="87">
        <f t="shared" si="363"/>
        <v>-368.02693440000002</v>
      </c>
      <c r="S762" s="6">
        <f t="shared" si="378"/>
        <v>-17.706665878674624</v>
      </c>
      <c r="T762" s="83">
        <f t="shared" si="386"/>
        <v>0</v>
      </c>
      <c r="U762" s="91">
        <f t="shared" si="392"/>
        <v>93235.003550806956</v>
      </c>
      <c r="V762" s="91">
        <f t="shared" si="387"/>
        <v>245.0530056849905</v>
      </c>
      <c r="W762" s="1">
        <f t="shared" si="394"/>
        <v>0</v>
      </c>
      <c r="X762" s="1">
        <f t="shared" si="394"/>
        <v>0</v>
      </c>
      <c r="Y762" s="1">
        <f t="shared" si="394"/>
        <v>0</v>
      </c>
      <c r="Z762" s="1">
        <f t="shared" si="394"/>
        <v>0</v>
      </c>
      <c r="AA762" s="1">
        <f t="shared" si="394"/>
        <v>0</v>
      </c>
      <c r="AB762" s="1">
        <f t="shared" si="394"/>
        <v>1</v>
      </c>
      <c r="AC762" s="1">
        <f t="shared" si="394"/>
        <v>1</v>
      </c>
      <c r="AD762" s="1">
        <f t="shared" si="394"/>
        <v>1</v>
      </c>
      <c r="AE762" s="1">
        <f t="shared" si="394"/>
        <v>1</v>
      </c>
      <c r="AF762" s="1">
        <f t="shared" si="394"/>
        <v>1</v>
      </c>
      <c r="AG762" s="1">
        <f t="shared" si="394"/>
        <v>1</v>
      </c>
      <c r="AH762" s="1">
        <f t="shared" si="394"/>
        <v>1</v>
      </c>
      <c r="AI762" s="44">
        <f t="shared" si="388"/>
        <v>84774.184007039119</v>
      </c>
      <c r="AJ762" s="44">
        <f t="shared" si="379"/>
        <v>85142.210941439116</v>
      </c>
      <c r="AK762" s="44" t="str">
        <f t="shared" si="364"/>
        <v>N</v>
      </c>
      <c r="AL762" s="4">
        <f t="shared" si="380"/>
        <v>72</v>
      </c>
      <c r="AM762" s="82">
        <f t="shared" si="389"/>
        <v>0</v>
      </c>
      <c r="AN762" s="82">
        <f t="shared" si="381"/>
        <v>0</v>
      </c>
      <c r="AO762" s="48">
        <v>0</v>
      </c>
      <c r="AP762" s="91">
        <f t="shared" si="390"/>
        <v>-368.02693440000002</v>
      </c>
      <c r="AQ762" s="91">
        <f t="shared" si="391"/>
        <v>-368.02693440000002</v>
      </c>
    </row>
    <row r="763" spans="1:43">
      <c r="A763" s="190">
        <f t="shared" si="382"/>
        <v>71.804243668720048</v>
      </c>
      <c r="B763" s="82">
        <f t="shared" si="383"/>
        <v>7</v>
      </c>
      <c r="C763" s="83">
        <f t="shared" si="384"/>
        <v>73</v>
      </c>
      <c r="D763" s="14">
        <f t="shared" si="370"/>
        <v>2.6283369587845051E-3</v>
      </c>
      <c r="E763" s="16">
        <f t="shared" si="371"/>
        <v>0</v>
      </c>
      <c r="F763" s="127"/>
      <c r="G763" s="88">
        <f t="shared" si="372"/>
        <v>0</v>
      </c>
      <c r="H763" s="89">
        <f t="shared" si="385"/>
        <v>4.1666666666666666E-3</v>
      </c>
      <c r="I763" s="219"/>
      <c r="J763" s="219"/>
      <c r="K763" s="6">
        <f t="shared" si="393"/>
        <v>84774.184007039119</v>
      </c>
      <c r="M763" s="6">
        <f t="shared" si="373"/>
        <v>222.81512097649923</v>
      </c>
      <c r="N763" s="6">
        <f t="shared" si="374"/>
        <v>-95.911666855661323</v>
      </c>
      <c r="O763" s="90">
        <f t="shared" si="375"/>
        <v>375.38747308799998</v>
      </c>
      <c r="P763" s="91">
        <f t="shared" si="376"/>
        <v>0</v>
      </c>
      <c r="Q763" s="6">
        <f t="shared" si="377"/>
        <v>353.75453108816646</v>
      </c>
      <c r="R763" s="87">
        <f t="shared" si="363"/>
        <v>-375.94941263984055</v>
      </c>
      <c r="S763" s="6">
        <f t="shared" si="378"/>
        <v>-17.655585549091821</v>
      </c>
      <c r="T763" s="83">
        <f t="shared" si="386"/>
        <v>0</v>
      </c>
      <c r="U763" s="91">
        <f t="shared" si="392"/>
        <v>93112.029622091955</v>
      </c>
      <c r="V763" s="91">
        <f t="shared" si="387"/>
        <v>244.72978876318192</v>
      </c>
      <c r="W763" s="1">
        <f t="shared" si="394"/>
        <v>0</v>
      </c>
      <c r="X763" s="1">
        <f t="shared" si="394"/>
        <v>0</v>
      </c>
      <c r="Y763" s="1">
        <f t="shared" si="394"/>
        <v>0</v>
      </c>
      <c r="Z763" s="1">
        <f t="shared" si="394"/>
        <v>0</v>
      </c>
      <c r="AA763" s="1">
        <f t="shared" si="394"/>
        <v>0</v>
      </c>
      <c r="AB763" s="1">
        <f t="shared" si="394"/>
        <v>1</v>
      </c>
      <c r="AC763" s="1">
        <f t="shared" si="394"/>
        <v>1</v>
      </c>
      <c r="AD763" s="1">
        <f t="shared" si="394"/>
        <v>1</v>
      </c>
      <c r="AE763" s="1">
        <f t="shared" si="394"/>
        <v>1</v>
      </c>
      <c r="AF763" s="1">
        <f t="shared" si="394"/>
        <v>1</v>
      </c>
      <c r="AG763" s="1">
        <f t="shared" si="394"/>
        <v>1</v>
      </c>
      <c r="AH763" s="1">
        <f t="shared" si="394"/>
        <v>1</v>
      </c>
      <c r="AI763" s="44">
        <f t="shared" si="388"/>
        <v>84525.138048520123</v>
      </c>
      <c r="AJ763" s="44">
        <f t="shared" si="379"/>
        <v>84901.087461159957</v>
      </c>
      <c r="AK763" s="44" t="str">
        <f t="shared" si="364"/>
        <v>N</v>
      </c>
      <c r="AL763" s="4">
        <f t="shared" si="380"/>
        <v>73</v>
      </c>
      <c r="AM763" s="82">
        <f t="shared" si="389"/>
        <v>0</v>
      </c>
      <c r="AN763" s="82">
        <f t="shared" si="381"/>
        <v>0</v>
      </c>
      <c r="AO763" s="48">
        <v>0</v>
      </c>
      <c r="AP763" s="91">
        <f t="shared" si="390"/>
        <v>-375.94941263984055</v>
      </c>
      <c r="AQ763" s="91">
        <f t="shared" si="391"/>
        <v>-375.94941263984055</v>
      </c>
    </row>
    <row r="764" spans="1:43">
      <c r="A764" s="190">
        <f t="shared" si="382"/>
        <v>71.887577002053376</v>
      </c>
      <c r="B764" s="82">
        <f t="shared" si="383"/>
        <v>7</v>
      </c>
      <c r="C764" s="83">
        <f t="shared" si="384"/>
        <v>74</v>
      </c>
      <c r="D764" s="14">
        <f t="shared" si="370"/>
        <v>2.6283369587845051E-3</v>
      </c>
      <c r="E764" s="16">
        <f t="shared" si="371"/>
        <v>0</v>
      </c>
      <c r="F764" s="127"/>
      <c r="G764" s="88">
        <f t="shared" si="372"/>
        <v>0</v>
      </c>
      <c r="H764" s="89">
        <f t="shared" si="385"/>
        <v>4.1666666666666666E-3</v>
      </c>
      <c r="I764" s="219"/>
      <c r="J764" s="219"/>
      <c r="K764" s="6">
        <f t="shared" si="393"/>
        <v>84525.138048520123</v>
      </c>
      <c r="M764" s="6">
        <f t="shared" si="373"/>
        <v>222.16054427928785</v>
      </c>
      <c r="N764" s="6">
        <f t="shared" si="374"/>
        <v>-95.629901678148798</v>
      </c>
      <c r="O764" s="90">
        <f t="shared" si="375"/>
        <v>375.38747308799998</v>
      </c>
      <c r="P764" s="91">
        <f t="shared" si="376"/>
        <v>0</v>
      </c>
      <c r="Q764" s="6">
        <f t="shared" si="377"/>
        <v>352.71528621300524</v>
      </c>
      <c r="R764" s="87">
        <f t="shared" si="363"/>
        <v>-375.38747308800004</v>
      </c>
      <c r="S764" s="6">
        <f t="shared" si="378"/>
        <v>-17.603661151641845</v>
      </c>
      <c r="T764" s="83">
        <f t="shared" si="386"/>
        <v>0</v>
      </c>
      <c r="U764" s="91">
        <f t="shared" si="392"/>
        <v>92980.809998215307</v>
      </c>
      <c r="V764" s="91">
        <f t="shared" si="387"/>
        <v>244.38489937602913</v>
      </c>
      <c r="W764" s="1">
        <f t="shared" si="394"/>
        <v>0</v>
      </c>
      <c r="X764" s="1">
        <f t="shared" si="394"/>
        <v>0</v>
      </c>
      <c r="Y764" s="1">
        <f t="shared" si="394"/>
        <v>0</v>
      </c>
      <c r="Z764" s="1">
        <f t="shared" si="394"/>
        <v>0</v>
      </c>
      <c r="AA764" s="1">
        <f t="shared" si="394"/>
        <v>0</v>
      </c>
      <c r="AB764" s="1">
        <f t="shared" si="394"/>
        <v>1</v>
      </c>
      <c r="AC764" s="1">
        <f t="shared" si="394"/>
        <v>1</v>
      </c>
      <c r="AD764" s="1">
        <f t="shared" si="394"/>
        <v>1</v>
      </c>
      <c r="AE764" s="1">
        <f t="shared" si="394"/>
        <v>1</v>
      </c>
      <c r="AF764" s="1">
        <f t="shared" si="394"/>
        <v>1</v>
      </c>
      <c r="AG764" s="1">
        <f t="shared" si="394"/>
        <v>1</v>
      </c>
      <c r="AH764" s="1">
        <f t="shared" si="394"/>
        <v>1</v>
      </c>
      <c r="AI764" s="44">
        <f t="shared" si="388"/>
        <v>84276.281218033255</v>
      </c>
      <c r="AJ764" s="44">
        <f t="shared" si="379"/>
        <v>84651.66869112126</v>
      </c>
      <c r="AK764" s="44" t="str">
        <f t="shared" si="364"/>
        <v>N</v>
      </c>
      <c r="AL764" s="4">
        <f t="shared" si="380"/>
        <v>74</v>
      </c>
      <c r="AM764" s="82">
        <f t="shared" si="389"/>
        <v>0</v>
      </c>
      <c r="AN764" s="82">
        <f t="shared" si="381"/>
        <v>0</v>
      </c>
      <c r="AO764" s="48">
        <v>0</v>
      </c>
      <c r="AP764" s="91">
        <f t="shared" si="390"/>
        <v>-375.38747308800004</v>
      </c>
      <c r="AQ764" s="91">
        <f t="shared" si="391"/>
        <v>-375.38747308800004</v>
      </c>
    </row>
    <row r="765" spans="1:43">
      <c r="A765" s="190">
        <f t="shared" si="382"/>
        <v>71.970910335386719</v>
      </c>
      <c r="B765" s="82">
        <f t="shared" si="383"/>
        <v>7</v>
      </c>
      <c r="C765" s="83">
        <f t="shared" si="384"/>
        <v>75</v>
      </c>
      <c r="D765" s="14">
        <f t="shared" si="370"/>
        <v>2.6283369587845051E-3</v>
      </c>
      <c r="E765" s="16">
        <f t="shared" si="371"/>
        <v>0</v>
      </c>
      <c r="F765" s="127"/>
      <c r="G765" s="88">
        <f t="shared" si="372"/>
        <v>0</v>
      </c>
      <c r="H765" s="89">
        <f t="shared" si="385"/>
        <v>4.1666666666666666E-3</v>
      </c>
      <c r="I765" s="219"/>
      <c r="J765" s="219"/>
      <c r="K765" s="6">
        <f t="shared" si="393"/>
        <v>84276.281218033255</v>
      </c>
      <c r="M765" s="6">
        <f t="shared" si="373"/>
        <v>221.50646467427325</v>
      </c>
      <c r="N765" s="6">
        <f t="shared" si="374"/>
        <v>-95.348350475975863</v>
      </c>
      <c r="O765" s="90">
        <f t="shared" si="375"/>
        <v>375.38747308799998</v>
      </c>
      <c r="P765" s="91">
        <f t="shared" si="376"/>
        <v>0</v>
      </c>
      <c r="Q765" s="6">
        <f t="shared" si="377"/>
        <v>351.67683055096478</v>
      </c>
      <c r="R765" s="87">
        <f t="shared" si="363"/>
        <v>-375.38747308800004</v>
      </c>
      <c r="S765" s="6">
        <f t="shared" si="378"/>
        <v>-17.551717628061322</v>
      </c>
      <c r="T765" s="83">
        <f t="shared" si="386"/>
        <v>0</v>
      </c>
      <c r="U765" s="91">
        <f t="shared" si="392"/>
        <v>92849.807424503335</v>
      </c>
      <c r="V765" s="91">
        <f t="shared" si="387"/>
        <v>244.04058046984605</v>
      </c>
      <c r="W765" s="1">
        <f t="shared" si="394"/>
        <v>0</v>
      </c>
      <c r="X765" s="1">
        <f t="shared" si="394"/>
        <v>0</v>
      </c>
      <c r="Y765" s="1">
        <f t="shared" si="394"/>
        <v>0</v>
      </c>
      <c r="Z765" s="1">
        <f t="shared" si="394"/>
        <v>0</v>
      </c>
      <c r="AA765" s="1">
        <f t="shared" si="394"/>
        <v>0</v>
      </c>
      <c r="AB765" s="1">
        <f t="shared" si="394"/>
        <v>1</v>
      </c>
      <c r="AC765" s="1">
        <f t="shared" si="394"/>
        <v>1</v>
      </c>
      <c r="AD765" s="1">
        <f t="shared" si="394"/>
        <v>1</v>
      </c>
      <c r="AE765" s="1">
        <f t="shared" si="394"/>
        <v>1</v>
      </c>
      <c r="AF765" s="1">
        <f t="shared" si="394"/>
        <v>1</v>
      </c>
      <c r="AG765" s="1">
        <f t="shared" si="394"/>
        <v>1</v>
      </c>
      <c r="AH765" s="1">
        <f t="shared" si="394"/>
        <v>1</v>
      </c>
      <c r="AI765" s="44">
        <f t="shared" si="388"/>
        <v>84027.051859143539</v>
      </c>
      <c r="AJ765" s="44">
        <f t="shared" si="379"/>
        <v>84402.439332231545</v>
      </c>
      <c r="AK765" s="44" t="str">
        <f t="shared" si="364"/>
        <v>N</v>
      </c>
      <c r="AL765" s="4">
        <f t="shared" si="380"/>
        <v>75</v>
      </c>
      <c r="AM765" s="82">
        <f t="shared" si="389"/>
        <v>0</v>
      </c>
      <c r="AN765" s="82">
        <f t="shared" si="381"/>
        <v>0</v>
      </c>
      <c r="AO765" s="48">
        <v>0</v>
      </c>
      <c r="AP765" s="91">
        <f t="shared" si="390"/>
        <v>-375.38747308800004</v>
      </c>
      <c r="AQ765" s="91">
        <f t="shared" si="391"/>
        <v>-375.38747308800004</v>
      </c>
    </row>
    <row r="766" spans="1:43">
      <c r="A766" s="190">
        <f t="shared" si="382"/>
        <v>72.054243668720048</v>
      </c>
      <c r="B766" s="82">
        <f t="shared" si="383"/>
        <v>7</v>
      </c>
      <c r="C766" s="83">
        <f t="shared" si="384"/>
        <v>76</v>
      </c>
      <c r="D766" s="14">
        <f t="shared" si="370"/>
        <v>2.6283369587845051E-3</v>
      </c>
      <c r="E766" s="16">
        <f t="shared" si="371"/>
        <v>0</v>
      </c>
      <c r="F766" s="127"/>
      <c r="G766" s="88">
        <f t="shared" si="372"/>
        <v>0</v>
      </c>
      <c r="H766" s="89">
        <f t="shared" si="385"/>
        <v>4.1666666666666666E-3</v>
      </c>
      <c r="I766" s="219"/>
      <c r="J766" s="219"/>
      <c r="K766" s="6">
        <f t="shared" si="393"/>
        <v>84027.051859143539</v>
      </c>
      <c r="M766" s="6">
        <f t="shared" si="373"/>
        <v>220.85140593908923</v>
      </c>
      <c r="N766" s="6">
        <f t="shared" si="374"/>
        <v>-95.066377803275216</v>
      </c>
      <c r="O766" s="90">
        <f t="shared" si="375"/>
        <v>375.38747308799998</v>
      </c>
      <c r="P766" s="91">
        <f t="shared" si="376"/>
        <v>0</v>
      </c>
      <c r="Q766" s="6">
        <f t="shared" si="377"/>
        <v>350.63682036366396</v>
      </c>
      <c r="R766" s="87">
        <f t="shared" si="363"/>
        <v>-375.38747308800004</v>
      </c>
      <c r="S766" s="6">
        <f t="shared" si="378"/>
        <v>-17.49969634717014</v>
      </c>
      <c r="T766" s="83">
        <f t="shared" si="386"/>
        <v>0</v>
      </c>
      <c r="U766" s="91">
        <f t="shared" si="392"/>
        <v>92718.460531885183</v>
      </c>
      <c r="V766" s="91">
        <f t="shared" si="387"/>
        <v>243.69535657755628</v>
      </c>
      <c r="W766" s="1">
        <f t="shared" si="394"/>
        <v>0</v>
      </c>
      <c r="X766" s="1">
        <f t="shared" si="394"/>
        <v>0</v>
      </c>
      <c r="Y766" s="1">
        <f t="shared" si="394"/>
        <v>0</v>
      </c>
      <c r="Z766" s="1">
        <f t="shared" si="394"/>
        <v>0</v>
      </c>
      <c r="AA766" s="1">
        <f t="shared" si="394"/>
        <v>0</v>
      </c>
      <c r="AB766" s="1">
        <f t="shared" si="394"/>
        <v>1</v>
      </c>
      <c r="AC766" s="1">
        <f t="shared" si="394"/>
        <v>1</v>
      </c>
      <c r="AD766" s="1">
        <f t="shared" si="394"/>
        <v>1</v>
      </c>
      <c r="AE766" s="1">
        <f t="shared" si="394"/>
        <v>1</v>
      </c>
      <c r="AF766" s="1">
        <f t="shared" si="394"/>
        <v>1</v>
      </c>
      <c r="AG766" s="1">
        <f t="shared" si="394"/>
        <v>1</v>
      </c>
      <c r="AH766" s="1">
        <f t="shared" si="394"/>
        <v>1</v>
      </c>
      <c r="AI766" s="44">
        <f t="shared" si="388"/>
        <v>83777.449414191346</v>
      </c>
      <c r="AJ766" s="44">
        <f t="shared" si="379"/>
        <v>84152.836887279351</v>
      </c>
      <c r="AK766" s="44" t="str">
        <f t="shared" si="364"/>
        <v>N</v>
      </c>
      <c r="AL766" s="4">
        <f t="shared" si="380"/>
        <v>76</v>
      </c>
      <c r="AM766" s="82">
        <f t="shared" si="389"/>
        <v>0</v>
      </c>
      <c r="AN766" s="82">
        <f t="shared" si="381"/>
        <v>0</v>
      </c>
      <c r="AO766" s="48">
        <v>0</v>
      </c>
      <c r="AP766" s="91">
        <f t="shared" si="390"/>
        <v>-375.38747308800004</v>
      </c>
      <c r="AQ766" s="91">
        <f t="shared" si="391"/>
        <v>-375.38747308800004</v>
      </c>
    </row>
    <row r="767" spans="1:43">
      <c r="A767" s="190">
        <f t="shared" si="382"/>
        <v>72.137577002053376</v>
      </c>
      <c r="B767" s="82">
        <f t="shared" si="383"/>
        <v>7</v>
      </c>
      <c r="C767" s="83">
        <f t="shared" si="384"/>
        <v>77</v>
      </c>
      <c r="D767" s="14">
        <f t="shared" si="370"/>
        <v>2.6283369587845051E-3</v>
      </c>
      <c r="E767" s="16">
        <f t="shared" si="371"/>
        <v>0</v>
      </c>
      <c r="F767" s="127"/>
      <c r="G767" s="88">
        <f t="shared" si="372"/>
        <v>0</v>
      </c>
      <c r="H767" s="89">
        <f t="shared" si="385"/>
        <v>4.1666666666666666E-3</v>
      </c>
      <c r="I767" s="219"/>
      <c r="J767" s="219"/>
      <c r="K767" s="6">
        <f t="shared" si="393"/>
        <v>83777.449414191346</v>
      </c>
      <c r="M767" s="6">
        <f t="shared" si="373"/>
        <v>220.19536660801839</v>
      </c>
      <c r="N767" s="6">
        <f t="shared" si="374"/>
        <v>-94.783983029122908</v>
      </c>
      <c r="O767" s="90">
        <f t="shared" si="375"/>
        <v>375.38747308799998</v>
      </c>
      <c r="P767" s="91">
        <f t="shared" si="376"/>
        <v>0</v>
      </c>
      <c r="Q767" s="6">
        <f t="shared" si="377"/>
        <v>349.59525332404269</v>
      </c>
      <c r="R767" s="87">
        <f t="shared" si="363"/>
        <v>-375.38747308800004</v>
      </c>
      <c r="S767" s="6">
        <f t="shared" si="378"/>
        <v>-17.447597192568818</v>
      </c>
      <c r="T767" s="83">
        <f t="shared" si="386"/>
        <v>0</v>
      </c>
      <c r="U767" s="91">
        <f t="shared" si="392"/>
        <v>92586.76841537474</v>
      </c>
      <c r="V767" s="91">
        <f t="shared" si="387"/>
        <v>243.34922532055131</v>
      </c>
      <c r="W767" s="1">
        <f t="shared" si="394"/>
        <v>0</v>
      </c>
      <c r="X767" s="1">
        <f t="shared" si="394"/>
        <v>0</v>
      </c>
      <c r="Y767" s="1">
        <f t="shared" si="394"/>
        <v>0</v>
      </c>
      <c r="Z767" s="1">
        <f t="shared" si="394"/>
        <v>0</v>
      </c>
      <c r="AA767" s="1">
        <f t="shared" si="394"/>
        <v>0</v>
      </c>
      <c r="AB767" s="1">
        <f t="shared" si="394"/>
        <v>1</v>
      </c>
      <c r="AC767" s="1">
        <f t="shared" si="394"/>
        <v>1</v>
      </c>
      <c r="AD767" s="1">
        <f t="shared" si="394"/>
        <v>1</v>
      </c>
      <c r="AE767" s="1">
        <f t="shared" si="394"/>
        <v>1</v>
      </c>
      <c r="AF767" s="1">
        <f t="shared" si="394"/>
        <v>1</v>
      </c>
      <c r="AG767" s="1">
        <f t="shared" si="394"/>
        <v>1</v>
      </c>
      <c r="AH767" s="1">
        <f t="shared" si="394"/>
        <v>1</v>
      </c>
      <c r="AI767" s="44">
        <f t="shared" si="388"/>
        <v>83527.473324682243</v>
      </c>
      <c r="AJ767" s="44">
        <f t="shared" si="379"/>
        <v>83902.860797770249</v>
      </c>
      <c r="AK767" s="44" t="str">
        <f t="shared" si="364"/>
        <v>N</v>
      </c>
      <c r="AL767" s="4">
        <f t="shared" si="380"/>
        <v>77</v>
      </c>
      <c r="AM767" s="82">
        <f t="shared" si="389"/>
        <v>0</v>
      </c>
      <c r="AN767" s="82">
        <f t="shared" si="381"/>
        <v>0</v>
      </c>
      <c r="AO767" s="48">
        <v>0</v>
      </c>
      <c r="AP767" s="91">
        <f t="shared" si="390"/>
        <v>-375.38747308800004</v>
      </c>
      <c r="AQ767" s="91">
        <f t="shared" si="391"/>
        <v>-375.38747308800004</v>
      </c>
    </row>
    <row r="768" spans="1:43">
      <c r="A768" s="190">
        <f t="shared" si="382"/>
        <v>72.220910335386719</v>
      </c>
      <c r="B768" s="82">
        <f t="shared" si="383"/>
        <v>7</v>
      </c>
      <c r="C768" s="83">
        <f t="shared" si="384"/>
        <v>78</v>
      </c>
      <c r="D768" s="14">
        <f t="shared" si="370"/>
        <v>2.6283369587845051E-3</v>
      </c>
      <c r="E768" s="16">
        <f t="shared" si="371"/>
        <v>0</v>
      </c>
      <c r="F768" s="127"/>
      <c r="G768" s="88">
        <f t="shared" si="372"/>
        <v>0</v>
      </c>
      <c r="H768" s="89">
        <f t="shared" si="385"/>
        <v>4.1666666666666666E-3</v>
      </c>
      <c r="I768" s="219"/>
      <c r="J768" s="219"/>
      <c r="K768" s="6">
        <f t="shared" si="393"/>
        <v>83527.473324682243</v>
      </c>
      <c r="M768" s="6">
        <f t="shared" si="373"/>
        <v>219.5383452131492</v>
      </c>
      <c r="N768" s="6">
        <f t="shared" si="374"/>
        <v>-94.501165521650506</v>
      </c>
      <c r="O768" s="90">
        <f t="shared" si="375"/>
        <v>375.38747308799998</v>
      </c>
      <c r="P768" s="91">
        <f t="shared" si="376"/>
        <v>0</v>
      </c>
      <c r="Q768" s="6">
        <f t="shared" si="377"/>
        <v>348.55212710155723</v>
      </c>
      <c r="R768" s="87">
        <f t="shared" ref="R768:R831" si="395">-MIN(MAX(O768,P768,Q768,-R756*1.02),AJ768)</f>
        <v>-375.38747308800004</v>
      </c>
      <c r="S768" s="6">
        <f t="shared" si="378"/>
        <v>-17.395420047683629</v>
      </c>
      <c r="T768" s="83">
        <f t="shared" si="386"/>
        <v>0</v>
      </c>
      <c r="U768" s="91">
        <f t="shared" si="392"/>
        <v>92454.730167607282</v>
      </c>
      <c r="V768" s="91">
        <f t="shared" si="387"/>
        <v>243.00218431397096</v>
      </c>
      <c r="W768" s="1">
        <f t="shared" si="394"/>
        <v>0</v>
      </c>
      <c r="X768" s="1">
        <f t="shared" si="394"/>
        <v>0</v>
      </c>
      <c r="Y768" s="1">
        <f t="shared" si="394"/>
        <v>0</v>
      </c>
      <c r="Z768" s="1">
        <f t="shared" si="394"/>
        <v>0</v>
      </c>
      <c r="AA768" s="1">
        <f t="shared" si="394"/>
        <v>0</v>
      </c>
      <c r="AB768" s="1">
        <f t="shared" si="394"/>
        <v>1</v>
      </c>
      <c r="AC768" s="1">
        <f t="shared" si="394"/>
        <v>1</v>
      </c>
      <c r="AD768" s="1">
        <f t="shared" si="394"/>
        <v>1</v>
      </c>
      <c r="AE768" s="1">
        <f t="shared" si="394"/>
        <v>1</v>
      </c>
      <c r="AF768" s="1">
        <f t="shared" si="394"/>
        <v>1</v>
      </c>
      <c r="AG768" s="1">
        <f t="shared" si="394"/>
        <v>1</v>
      </c>
      <c r="AH768" s="1">
        <f t="shared" si="394"/>
        <v>1</v>
      </c>
      <c r="AI768" s="44">
        <f t="shared" si="388"/>
        <v>83277.123031285737</v>
      </c>
      <c r="AJ768" s="44">
        <f t="shared" si="379"/>
        <v>83652.510504373742</v>
      </c>
      <c r="AK768" s="44" t="str">
        <f t="shared" ref="AK768:AK831" si="396">IF(R768=0,0,IF(R768&gt;R756,"Y","N"))</f>
        <v>N</v>
      </c>
      <c r="AL768" s="4">
        <f t="shared" si="380"/>
        <v>78</v>
      </c>
      <c r="AM768" s="82">
        <f t="shared" si="389"/>
        <v>0</v>
      </c>
      <c r="AN768" s="82">
        <f t="shared" si="381"/>
        <v>0</v>
      </c>
      <c r="AO768" s="48">
        <v>0</v>
      </c>
      <c r="AP768" s="91">
        <f t="shared" si="390"/>
        <v>-375.38747308800004</v>
      </c>
      <c r="AQ768" s="91">
        <f t="shared" si="391"/>
        <v>-375.38747308800004</v>
      </c>
    </row>
    <row r="769" spans="1:43">
      <c r="A769" s="190">
        <f t="shared" si="382"/>
        <v>72.304243668720048</v>
      </c>
      <c r="B769" s="82">
        <f t="shared" si="383"/>
        <v>7</v>
      </c>
      <c r="C769" s="83">
        <f t="shared" si="384"/>
        <v>79</v>
      </c>
      <c r="D769" s="14">
        <f t="shared" si="370"/>
        <v>2.6283369587845051E-3</v>
      </c>
      <c r="E769" s="16">
        <f t="shared" si="371"/>
        <v>0</v>
      </c>
      <c r="F769" s="127"/>
      <c r="G769" s="88">
        <f t="shared" si="372"/>
        <v>0</v>
      </c>
      <c r="H769" s="89">
        <f t="shared" si="385"/>
        <v>4.1666666666666666E-3</v>
      </c>
      <c r="I769" s="219"/>
      <c r="J769" s="219"/>
      <c r="K769" s="6">
        <f t="shared" si="393"/>
        <v>83277.123031285737</v>
      </c>
      <c r="M769" s="6">
        <f t="shared" si="373"/>
        <v>218.88034028437264</v>
      </c>
      <c r="N769" s="6">
        <f t="shared" si="374"/>
        <v>-94.217924648043649</v>
      </c>
      <c r="O769" s="90">
        <f t="shared" si="375"/>
        <v>375.38747308799998</v>
      </c>
      <c r="P769" s="91">
        <f t="shared" si="376"/>
        <v>0</v>
      </c>
      <c r="Q769" s="6">
        <f t="shared" si="377"/>
        <v>347.50743936217532</v>
      </c>
      <c r="R769" s="87">
        <f t="shared" si="395"/>
        <v>-375.38747308800004</v>
      </c>
      <c r="S769" s="6">
        <f t="shared" si="378"/>
        <v>-17.343164795766327</v>
      </c>
      <c r="T769" s="83">
        <f t="shared" si="386"/>
        <v>0</v>
      </c>
      <c r="U769" s="91">
        <f t="shared" si="392"/>
        <v>92322.344878833246</v>
      </c>
      <c r="V769" s="91">
        <f t="shared" si="387"/>
        <v>242.6542311666868</v>
      </c>
      <c r="W769" s="1">
        <f t="shared" si="394"/>
        <v>0</v>
      </c>
      <c r="X769" s="1">
        <f t="shared" si="394"/>
        <v>0</v>
      </c>
      <c r="Y769" s="1">
        <f t="shared" si="394"/>
        <v>0</v>
      </c>
      <c r="Z769" s="1">
        <f t="shared" si="394"/>
        <v>0</v>
      </c>
      <c r="AA769" s="1">
        <f t="shared" si="394"/>
        <v>0</v>
      </c>
      <c r="AB769" s="1">
        <f t="shared" si="394"/>
        <v>1</v>
      </c>
      <c r="AC769" s="1">
        <f t="shared" si="394"/>
        <v>1</v>
      </c>
      <c r="AD769" s="1">
        <f t="shared" si="394"/>
        <v>1</v>
      </c>
      <c r="AE769" s="1">
        <f t="shared" si="394"/>
        <v>1</v>
      </c>
      <c r="AF769" s="1">
        <f t="shared" si="394"/>
        <v>1</v>
      </c>
      <c r="AG769" s="1">
        <f t="shared" si="394"/>
        <v>1</v>
      </c>
      <c r="AH769" s="1">
        <f t="shared" si="394"/>
        <v>1</v>
      </c>
      <c r="AI769" s="44">
        <f t="shared" si="388"/>
        <v>83026.397973834071</v>
      </c>
      <c r="AJ769" s="44">
        <f t="shared" si="379"/>
        <v>83401.785446922077</v>
      </c>
      <c r="AK769" s="44" t="str">
        <f t="shared" si="396"/>
        <v>N</v>
      </c>
      <c r="AL769" s="4">
        <f t="shared" si="380"/>
        <v>79</v>
      </c>
      <c r="AM769" s="82">
        <f t="shared" si="389"/>
        <v>0</v>
      </c>
      <c r="AN769" s="82">
        <f t="shared" si="381"/>
        <v>0</v>
      </c>
      <c r="AO769" s="48">
        <v>0</v>
      </c>
      <c r="AP769" s="91">
        <f t="shared" si="390"/>
        <v>-375.38747308800004</v>
      </c>
      <c r="AQ769" s="91">
        <f t="shared" si="391"/>
        <v>-375.38747308800004</v>
      </c>
    </row>
    <row r="770" spans="1:43">
      <c r="A770" s="190">
        <f t="shared" si="382"/>
        <v>72.387577002053376</v>
      </c>
      <c r="B770" s="82">
        <f t="shared" si="383"/>
        <v>7</v>
      </c>
      <c r="C770" s="83">
        <f t="shared" si="384"/>
        <v>80</v>
      </c>
      <c r="D770" s="14">
        <f t="shared" si="370"/>
        <v>2.6283369587845051E-3</v>
      </c>
      <c r="E770" s="16">
        <f t="shared" si="371"/>
        <v>0</v>
      </c>
      <c r="F770" s="127"/>
      <c r="G770" s="88">
        <f t="shared" si="372"/>
        <v>0</v>
      </c>
      <c r="H770" s="89">
        <f t="shared" si="385"/>
        <v>4.1666666666666666E-3</v>
      </c>
      <c r="I770" s="219"/>
      <c r="J770" s="219"/>
      <c r="K770" s="6">
        <f t="shared" si="393"/>
        <v>83026.397973834071</v>
      </c>
      <c r="M770" s="6">
        <f t="shared" si="373"/>
        <v>218.22135034937904</v>
      </c>
      <c r="N770" s="6">
        <f t="shared" si="374"/>
        <v>-93.93425977454072</v>
      </c>
      <c r="O770" s="90">
        <f t="shared" si="375"/>
        <v>375.38747308799998</v>
      </c>
      <c r="P770" s="91">
        <f t="shared" si="376"/>
        <v>0</v>
      </c>
      <c r="Q770" s="6">
        <f t="shared" si="377"/>
        <v>346.46118776837045</v>
      </c>
      <c r="R770" s="87">
        <f t="shared" si="395"/>
        <v>-375.38747308800004</v>
      </c>
      <c r="S770" s="6">
        <f t="shared" si="378"/>
        <v>-17.290831319893922</v>
      </c>
      <c r="T770" s="83">
        <f t="shared" si="386"/>
        <v>0</v>
      </c>
      <c r="U770" s="91">
        <f t="shared" si="392"/>
        <v>92189.611636911926</v>
      </c>
      <c r="V770" s="91">
        <f t="shared" si="387"/>
        <v>242.30536348128572</v>
      </c>
      <c r="W770" s="1">
        <f t="shared" si="394"/>
        <v>0</v>
      </c>
      <c r="X770" s="1">
        <f t="shared" si="394"/>
        <v>0</v>
      </c>
      <c r="Y770" s="1">
        <f t="shared" si="394"/>
        <v>0</v>
      </c>
      <c r="Z770" s="1">
        <f t="shared" si="394"/>
        <v>0</v>
      </c>
      <c r="AA770" s="1">
        <f t="shared" si="394"/>
        <v>0</v>
      </c>
      <c r="AB770" s="1">
        <f t="shared" si="394"/>
        <v>1</v>
      </c>
      <c r="AC770" s="1">
        <f t="shared" si="394"/>
        <v>1</v>
      </c>
      <c r="AD770" s="1">
        <f t="shared" si="394"/>
        <v>1</v>
      </c>
      <c r="AE770" s="1">
        <f t="shared" si="394"/>
        <v>1</v>
      </c>
      <c r="AF770" s="1">
        <f t="shared" si="394"/>
        <v>1</v>
      </c>
      <c r="AG770" s="1">
        <f t="shared" si="394"/>
        <v>1</v>
      </c>
      <c r="AH770" s="1">
        <f t="shared" si="394"/>
        <v>1</v>
      </c>
      <c r="AI770" s="44">
        <f t="shared" si="388"/>
        <v>82775.297591320908</v>
      </c>
      <c r="AJ770" s="44">
        <f t="shared" si="379"/>
        <v>83150.685064408914</v>
      </c>
      <c r="AK770" s="44" t="str">
        <f t="shared" si="396"/>
        <v>N</v>
      </c>
      <c r="AL770" s="4">
        <f t="shared" si="380"/>
        <v>80</v>
      </c>
      <c r="AM770" s="82">
        <f t="shared" si="389"/>
        <v>0</v>
      </c>
      <c r="AN770" s="82">
        <f t="shared" si="381"/>
        <v>0</v>
      </c>
      <c r="AO770" s="48">
        <v>0</v>
      </c>
      <c r="AP770" s="91">
        <f t="shared" si="390"/>
        <v>-375.38747308800004</v>
      </c>
      <c r="AQ770" s="91">
        <f t="shared" si="391"/>
        <v>-375.38747308800004</v>
      </c>
    </row>
    <row r="771" spans="1:43">
      <c r="A771" s="190">
        <f t="shared" si="382"/>
        <v>72.470910335386719</v>
      </c>
      <c r="B771" s="82">
        <f t="shared" si="383"/>
        <v>7</v>
      </c>
      <c r="C771" s="83">
        <f t="shared" si="384"/>
        <v>81</v>
      </c>
      <c r="D771" s="14">
        <f t="shared" si="370"/>
        <v>2.6283369587845051E-3</v>
      </c>
      <c r="E771" s="16">
        <f t="shared" si="371"/>
        <v>0</v>
      </c>
      <c r="F771" s="127"/>
      <c r="G771" s="88">
        <f t="shared" si="372"/>
        <v>0</v>
      </c>
      <c r="H771" s="89">
        <f t="shared" si="385"/>
        <v>4.1666666666666666E-3</v>
      </c>
      <c r="I771" s="219"/>
      <c r="J771" s="219"/>
      <c r="K771" s="6">
        <f t="shared" si="393"/>
        <v>82775.297591320908</v>
      </c>
      <c r="M771" s="6">
        <f t="shared" si="373"/>
        <v>217.56137393365478</v>
      </c>
      <c r="N771" s="6">
        <f t="shared" si="374"/>
        <v>-93.65017026643136</v>
      </c>
      <c r="O771" s="90">
        <f t="shared" si="375"/>
        <v>375.38747308799998</v>
      </c>
      <c r="P771" s="91">
        <f t="shared" si="376"/>
        <v>0</v>
      </c>
      <c r="Q771" s="6">
        <f t="shared" si="377"/>
        <v>345.41336997911725</v>
      </c>
      <c r="R771" s="87">
        <f t="shared" si="395"/>
        <v>-375.38747308800004</v>
      </c>
      <c r="S771" s="6">
        <f t="shared" si="378"/>
        <v>-17.238419502968373</v>
      </c>
      <c r="T771" s="83">
        <f t="shared" si="386"/>
        <v>0</v>
      </c>
      <c r="U771" s="91">
        <f t="shared" si="392"/>
        <v>92056.529527305203</v>
      </c>
      <c r="V771" s="91">
        <f t="shared" si="387"/>
        <v>241.95557885405336</v>
      </c>
      <c r="W771" s="1">
        <f t="shared" ref="W771:AH780" si="397">IF($B771&lt;=W$78,1,0)</f>
        <v>0</v>
      </c>
      <c r="X771" s="1">
        <f t="shared" si="397"/>
        <v>0</v>
      </c>
      <c r="Y771" s="1">
        <f t="shared" si="397"/>
        <v>0</v>
      </c>
      <c r="Z771" s="1">
        <f t="shared" si="397"/>
        <v>0</v>
      </c>
      <c r="AA771" s="1">
        <f t="shared" si="397"/>
        <v>0</v>
      </c>
      <c r="AB771" s="1">
        <f t="shared" si="397"/>
        <v>1</v>
      </c>
      <c r="AC771" s="1">
        <f t="shared" si="397"/>
        <v>1</v>
      </c>
      <c r="AD771" s="1">
        <f t="shared" si="397"/>
        <v>1</v>
      </c>
      <c r="AE771" s="1">
        <f t="shared" si="397"/>
        <v>1</v>
      </c>
      <c r="AF771" s="1">
        <f t="shared" si="397"/>
        <v>1</v>
      </c>
      <c r="AG771" s="1">
        <f t="shared" si="397"/>
        <v>1</v>
      </c>
      <c r="AH771" s="1">
        <f t="shared" si="397"/>
        <v>1</v>
      </c>
      <c r="AI771" s="44">
        <f t="shared" si="388"/>
        <v>82523.821321900134</v>
      </c>
      <c r="AJ771" s="44">
        <f t="shared" si="379"/>
        <v>82899.208794988139</v>
      </c>
      <c r="AK771" s="44" t="str">
        <f t="shared" si="396"/>
        <v>N</v>
      </c>
      <c r="AL771" s="4">
        <f t="shared" si="380"/>
        <v>81</v>
      </c>
      <c r="AM771" s="82">
        <f t="shared" si="389"/>
        <v>0</v>
      </c>
      <c r="AN771" s="82">
        <f t="shared" si="381"/>
        <v>0</v>
      </c>
      <c r="AO771" s="48">
        <v>0</v>
      </c>
      <c r="AP771" s="91">
        <f t="shared" si="390"/>
        <v>-375.38747308800004</v>
      </c>
      <c r="AQ771" s="91">
        <f t="shared" si="391"/>
        <v>-375.38747308800004</v>
      </c>
    </row>
    <row r="772" spans="1:43">
      <c r="A772" s="190">
        <f t="shared" si="382"/>
        <v>72.554243668720048</v>
      </c>
      <c r="B772" s="82">
        <f t="shared" si="383"/>
        <v>7</v>
      </c>
      <c r="C772" s="83">
        <f t="shared" si="384"/>
        <v>82</v>
      </c>
      <c r="D772" s="14">
        <f t="shared" si="370"/>
        <v>2.6283369587845051E-3</v>
      </c>
      <c r="E772" s="16">
        <f t="shared" si="371"/>
        <v>0</v>
      </c>
      <c r="F772" s="127"/>
      <c r="G772" s="88">
        <f t="shared" si="372"/>
        <v>0</v>
      </c>
      <c r="H772" s="89">
        <f t="shared" si="385"/>
        <v>4.1666666666666666E-3</v>
      </c>
      <c r="I772" s="219"/>
      <c r="J772" s="219"/>
      <c r="K772" s="6">
        <f t="shared" si="393"/>
        <v>82523.821321900134</v>
      </c>
      <c r="M772" s="6">
        <f t="shared" si="373"/>
        <v>216.90040956047889</v>
      </c>
      <c r="N772" s="6">
        <f t="shared" si="374"/>
        <v>-93.365655488055111</v>
      </c>
      <c r="O772" s="90">
        <f t="shared" si="375"/>
        <v>375.38747308799998</v>
      </c>
      <c r="P772" s="91">
        <f t="shared" si="376"/>
        <v>0</v>
      </c>
      <c r="Q772" s="6">
        <f t="shared" si="377"/>
        <v>344.36398364988565</v>
      </c>
      <c r="R772" s="87">
        <f t="shared" si="395"/>
        <v>-375.38747308800004</v>
      </c>
      <c r="S772" s="6">
        <f t="shared" si="378"/>
        <v>-17.185929227716358</v>
      </c>
      <c r="T772" s="83">
        <f t="shared" si="386"/>
        <v>0</v>
      </c>
      <c r="U772" s="91">
        <f t="shared" si="392"/>
        <v>91923.097633071258</v>
      </c>
      <c r="V772" s="91">
        <f t="shared" si="387"/>
        <v>241.60487487495766</v>
      </c>
      <c r="W772" s="1">
        <f t="shared" si="397"/>
        <v>0</v>
      </c>
      <c r="X772" s="1">
        <f t="shared" si="397"/>
        <v>0</v>
      </c>
      <c r="Y772" s="1">
        <f t="shared" si="397"/>
        <v>0</v>
      </c>
      <c r="Z772" s="1">
        <f t="shared" si="397"/>
        <v>0</v>
      </c>
      <c r="AA772" s="1">
        <f t="shared" si="397"/>
        <v>0</v>
      </c>
      <c r="AB772" s="1">
        <f t="shared" si="397"/>
        <v>1</v>
      </c>
      <c r="AC772" s="1">
        <f t="shared" si="397"/>
        <v>1</v>
      </c>
      <c r="AD772" s="1">
        <f t="shared" si="397"/>
        <v>1</v>
      </c>
      <c r="AE772" s="1">
        <f t="shared" si="397"/>
        <v>1</v>
      </c>
      <c r="AF772" s="1">
        <f t="shared" si="397"/>
        <v>1</v>
      </c>
      <c r="AG772" s="1">
        <f t="shared" si="397"/>
        <v>1</v>
      </c>
      <c r="AH772" s="1">
        <f t="shared" si="397"/>
        <v>1</v>
      </c>
      <c r="AI772" s="44">
        <f t="shared" si="388"/>
        <v>82271.968602884546</v>
      </c>
      <c r="AJ772" s="44">
        <f t="shared" si="379"/>
        <v>82647.356075972551</v>
      </c>
      <c r="AK772" s="44" t="str">
        <f t="shared" si="396"/>
        <v>N</v>
      </c>
      <c r="AL772" s="4">
        <f t="shared" si="380"/>
        <v>82</v>
      </c>
      <c r="AM772" s="82">
        <f t="shared" si="389"/>
        <v>0</v>
      </c>
      <c r="AN772" s="82">
        <f t="shared" si="381"/>
        <v>0</v>
      </c>
      <c r="AO772" s="48">
        <v>0</v>
      </c>
      <c r="AP772" s="91">
        <f t="shared" si="390"/>
        <v>-375.38747308800004</v>
      </c>
      <c r="AQ772" s="91">
        <f t="shared" si="391"/>
        <v>-375.38747308800004</v>
      </c>
    </row>
    <row r="773" spans="1:43">
      <c r="A773" s="190">
        <f t="shared" si="382"/>
        <v>72.637577002053376</v>
      </c>
      <c r="B773" s="82">
        <f t="shared" si="383"/>
        <v>7</v>
      </c>
      <c r="C773" s="83">
        <f t="shared" si="384"/>
        <v>83</v>
      </c>
      <c r="D773" s="14">
        <f t="shared" si="370"/>
        <v>2.6283369587845051E-3</v>
      </c>
      <c r="E773" s="16">
        <f t="shared" si="371"/>
        <v>0</v>
      </c>
      <c r="F773" s="127"/>
      <c r="G773" s="88">
        <f t="shared" si="372"/>
        <v>0</v>
      </c>
      <c r="H773" s="89">
        <f t="shared" si="385"/>
        <v>4.1666666666666666E-3</v>
      </c>
      <c r="I773" s="219"/>
      <c r="J773" s="219"/>
      <c r="K773" s="6">
        <f t="shared" si="393"/>
        <v>82271.968602884546</v>
      </c>
      <c r="M773" s="6">
        <f t="shared" si="373"/>
        <v>216.23845575091985</v>
      </c>
      <c r="N773" s="6">
        <f t="shared" si="374"/>
        <v>-93.080714802799932</v>
      </c>
      <c r="O773" s="90">
        <f t="shared" si="375"/>
        <v>375.38747308799998</v>
      </c>
      <c r="P773" s="91">
        <f t="shared" si="376"/>
        <v>0</v>
      </c>
      <c r="Q773" s="6">
        <f t="shared" si="377"/>
        <v>343.31302643263615</v>
      </c>
      <c r="R773" s="87">
        <f t="shared" si="395"/>
        <v>-375.38747308800004</v>
      </c>
      <c r="S773" s="6">
        <f t="shared" si="378"/>
        <v>-17.133360376688998</v>
      </c>
      <c r="T773" s="83">
        <f t="shared" si="386"/>
        <v>0</v>
      </c>
      <c r="U773" s="91">
        <f t="shared" si="392"/>
        <v>91789.315034858213</v>
      </c>
      <c r="V773" s="91">
        <f t="shared" si="387"/>
        <v>241.25324912763207</v>
      </c>
      <c r="W773" s="1">
        <f t="shared" si="397"/>
        <v>0</v>
      </c>
      <c r="X773" s="1">
        <f t="shared" si="397"/>
        <v>0</v>
      </c>
      <c r="Y773" s="1">
        <f t="shared" si="397"/>
        <v>0</v>
      </c>
      <c r="Z773" s="1">
        <f t="shared" si="397"/>
        <v>0</v>
      </c>
      <c r="AA773" s="1">
        <f t="shared" si="397"/>
        <v>0</v>
      </c>
      <c r="AB773" s="1">
        <f t="shared" si="397"/>
        <v>1</v>
      </c>
      <c r="AC773" s="1">
        <f t="shared" si="397"/>
        <v>1</v>
      </c>
      <c r="AD773" s="1">
        <f t="shared" si="397"/>
        <v>1</v>
      </c>
      <c r="AE773" s="1">
        <f t="shared" si="397"/>
        <v>1</v>
      </c>
      <c r="AF773" s="1">
        <f t="shared" si="397"/>
        <v>1</v>
      </c>
      <c r="AG773" s="1">
        <f t="shared" si="397"/>
        <v>1</v>
      </c>
      <c r="AH773" s="1">
        <f t="shared" si="397"/>
        <v>1</v>
      </c>
      <c r="AI773" s="44">
        <f t="shared" si="388"/>
        <v>82019.738870744666</v>
      </c>
      <c r="AJ773" s="44">
        <f t="shared" si="379"/>
        <v>82395.126343832671</v>
      </c>
      <c r="AK773" s="44" t="str">
        <f t="shared" si="396"/>
        <v>N</v>
      </c>
      <c r="AL773" s="4">
        <f t="shared" si="380"/>
        <v>83</v>
      </c>
      <c r="AM773" s="82">
        <f t="shared" si="389"/>
        <v>0</v>
      </c>
      <c r="AN773" s="82">
        <f t="shared" si="381"/>
        <v>0</v>
      </c>
      <c r="AO773" s="48">
        <v>0</v>
      </c>
      <c r="AP773" s="91">
        <f t="shared" si="390"/>
        <v>-375.38747308800004</v>
      </c>
      <c r="AQ773" s="91">
        <f t="shared" si="391"/>
        <v>-375.38747308800004</v>
      </c>
    </row>
    <row r="774" spans="1:43">
      <c r="A774" s="190">
        <f t="shared" si="382"/>
        <v>72.720910335386719</v>
      </c>
      <c r="B774" s="82">
        <f t="shared" si="383"/>
        <v>7</v>
      </c>
      <c r="C774" s="83">
        <f t="shared" si="384"/>
        <v>84</v>
      </c>
      <c r="D774" s="14">
        <f t="shared" si="370"/>
        <v>2.6283369587845051E-3</v>
      </c>
      <c r="E774" s="16">
        <f t="shared" si="371"/>
        <v>0</v>
      </c>
      <c r="F774" s="127"/>
      <c r="G774" s="88">
        <f t="shared" si="372"/>
        <v>0</v>
      </c>
      <c r="H774" s="89">
        <f t="shared" si="385"/>
        <v>4.1666666666666666E-3</v>
      </c>
      <c r="I774" s="219"/>
      <c r="J774" s="219"/>
      <c r="K774" s="6">
        <f t="shared" si="393"/>
        <v>82019.738870744666</v>
      </c>
      <c r="M774" s="6">
        <f t="shared" si="373"/>
        <v>215.57551102383229</v>
      </c>
      <c r="N774" s="6">
        <f t="shared" si="374"/>
        <v>-92.795347573100798</v>
      </c>
      <c r="O774" s="90">
        <f t="shared" si="375"/>
        <v>375.38747308799998</v>
      </c>
      <c r="P774" s="91">
        <f t="shared" si="376"/>
        <v>0</v>
      </c>
      <c r="Q774" s="6">
        <f t="shared" si="377"/>
        <v>342.26049597581414</v>
      </c>
      <c r="R774" s="87">
        <f t="shared" si="395"/>
        <v>-375.38747308800004</v>
      </c>
      <c r="S774" s="6">
        <f t="shared" si="378"/>
        <v>-17.080712832261611</v>
      </c>
      <c r="T774" s="83">
        <f t="shared" si="386"/>
        <v>0</v>
      </c>
      <c r="U774" s="91">
        <f t="shared" si="392"/>
        <v>91655.180810897844</v>
      </c>
      <c r="V774" s="91">
        <f t="shared" si="387"/>
        <v>240.90069918935916</v>
      </c>
      <c r="W774" s="1">
        <f t="shared" si="397"/>
        <v>0</v>
      </c>
      <c r="X774" s="1">
        <f t="shared" si="397"/>
        <v>0</v>
      </c>
      <c r="Y774" s="1">
        <f t="shared" si="397"/>
        <v>0</v>
      </c>
      <c r="Z774" s="1">
        <f t="shared" si="397"/>
        <v>0</v>
      </c>
      <c r="AA774" s="1">
        <f t="shared" si="397"/>
        <v>0</v>
      </c>
      <c r="AB774" s="1">
        <f t="shared" si="397"/>
        <v>1</v>
      </c>
      <c r="AC774" s="1">
        <f t="shared" si="397"/>
        <v>1</v>
      </c>
      <c r="AD774" s="1">
        <f t="shared" si="397"/>
        <v>1</v>
      </c>
      <c r="AE774" s="1">
        <f t="shared" si="397"/>
        <v>1</v>
      </c>
      <c r="AF774" s="1">
        <f t="shared" si="397"/>
        <v>1</v>
      </c>
      <c r="AG774" s="1">
        <f t="shared" si="397"/>
        <v>1</v>
      </c>
      <c r="AH774" s="1">
        <f t="shared" si="397"/>
        <v>1</v>
      </c>
      <c r="AI774" s="44">
        <f t="shared" si="388"/>
        <v>81767.131561107395</v>
      </c>
      <c r="AJ774" s="44">
        <f t="shared" si="379"/>
        <v>82142.5190341954</v>
      </c>
      <c r="AK774" s="44" t="str">
        <f t="shared" si="396"/>
        <v>N</v>
      </c>
      <c r="AL774" s="4">
        <f t="shared" si="380"/>
        <v>84</v>
      </c>
      <c r="AM774" s="82">
        <f t="shared" si="389"/>
        <v>0</v>
      </c>
      <c r="AN774" s="82">
        <f t="shared" si="381"/>
        <v>0</v>
      </c>
      <c r="AO774" s="48">
        <v>0</v>
      </c>
      <c r="AP774" s="91">
        <f t="shared" si="390"/>
        <v>-375.38747308800004</v>
      </c>
      <c r="AQ774" s="91">
        <f t="shared" si="391"/>
        <v>-375.38747308800004</v>
      </c>
    </row>
    <row r="775" spans="1:43">
      <c r="A775" s="190">
        <f t="shared" si="382"/>
        <v>72.804243668720048</v>
      </c>
      <c r="B775" s="82">
        <f t="shared" si="383"/>
        <v>8</v>
      </c>
      <c r="C775" s="83">
        <f t="shared" si="384"/>
        <v>85</v>
      </c>
      <c r="D775" s="14">
        <f t="shared" si="370"/>
        <v>2.6283369587845051E-3</v>
      </c>
      <c r="E775" s="16">
        <f t="shared" si="371"/>
        <v>0</v>
      </c>
      <c r="F775" s="127"/>
      <c r="G775" s="88">
        <f t="shared" si="372"/>
        <v>0</v>
      </c>
      <c r="H775" s="89">
        <f t="shared" si="385"/>
        <v>4.1666666666666666E-3</v>
      </c>
      <c r="I775" s="219"/>
      <c r="J775" s="219"/>
      <c r="K775" s="6">
        <f t="shared" si="393"/>
        <v>81767.131561107395</v>
      </c>
      <c r="M775" s="6">
        <f t="shared" si="373"/>
        <v>214.91157389585354</v>
      </c>
      <c r="N775" s="6">
        <f t="shared" si="374"/>
        <v>-92.509553160438301</v>
      </c>
      <c r="O775" s="90">
        <f t="shared" si="375"/>
        <v>382.89522254975992</v>
      </c>
      <c r="P775" s="91">
        <f t="shared" si="376"/>
        <v>0</v>
      </c>
      <c r="Q775" s="6">
        <f t="shared" si="377"/>
        <v>341.20638992434505</v>
      </c>
      <c r="R775" s="87">
        <f t="shared" si="395"/>
        <v>-383.46840089263736</v>
      </c>
      <c r="S775" s="6">
        <f t="shared" si="378"/>
        <v>-17.027143747256602</v>
      </c>
      <c r="T775" s="83">
        <f t="shared" si="386"/>
        <v>0</v>
      </c>
      <c r="U775" s="91">
        <f t="shared" si="392"/>
        <v>91520.694036999193</v>
      </c>
      <c r="V775" s="91">
        <f t="shared" si="387"/>
        <v>240.54722263105364</v>
      </c>
      <c r="W775" s="1">
        <f t="shared" si="397"/>
        <v>0</v>
      </c>
      <c r="X775" s="1">
        <f t="shared" si="397"/>
        <v>0</v>
      </c>
      <c r="Y775" s="1">
        <f t="shared" si="397"/>
        <v>0</v>
      </c>
      <c r="Z775" s="1">
        <f t="shared" si="397"/>
        <v>0</v>
      </c>
      <c r="AA775" s="1">
        <f t="shared" si="397"/>
        <v>0</v>
      </c>
      <c r="AB775" s="1">
        <f t="shared" si="397"/>
        <v>1</v>
      </c>
      <c r="AC775" s="1">
        <f t="shared" si="397"/>
        <v>1</v>
      </c>
      <c r="AD775" s="1">
        <f t="shared" si="397"/>
        <v>1</v>
      </c>
      <c r="AE775" s="1">
        <f t="shared" si="397"/>
        <v>1</v>
      </c>
      <c r="AF775" s="1">
        <f t="shared" si="397"/>
        <v>1</v>
      </c>
      <c r="AG775" s="1">
        <f t="shared" si="397"/>
        <v>1</v>
      </c>
      <c r="AH775" s="1">
        <f t="shared" si="397"/>
        <v>1</v>
      </c>
      <c r="AI775" s="44">
        <f t="shared" si="388"/>
        <v>81506.065180950172</v>
      </c>
      <c r="AJ775" s="44">
        <f t="shared" si="379"/>
        <v>81889.533581842814</v>
      </c>
      <c r="AK775" s="44" t="str">
        <f t="shared" si="396"/>
        <v>N</v>
      </c>
      <c r="AL775" s="4">
        <f t="shared" si="380"/>
        <v>85</v>
      </c>
      <c r="AM775" s="82">
        <f t="shared" si="389"/>
        <v>0</v>
      </c>
      <c r="AN775" s="82">
        <f t="shared" si="381"/>
        <v>0</v>
      </c>
      <c r="AO775" s="48">
        <v>0</v>
      </c>
      <c r="AP775" s="91">
        <f t="shared" si="390"/>
        <v>-383.46840089263736</v>
      </c>
      <c r="AQ775" s="91">
        <f t="shared" si="391"/>
        <v>-383.46840089263736</v>
      </c>
    </row>
    <row r="776" spans="1:43">
      <c r="A776" s="190">
        <f t="shared" si="382"/>
        <v>72.887577002053376</v>
      </c>
      <c r="B776" s="82">
        <f t="shared" si="383"/>
        <v>8</v>
      </c>
      <c r="C776" s="83">
        <f t="shared" si="384"/>
        <v>86</v>
      </c>
      <c r="D776" s="14">
        <f t="shared" si="370"/>
        <v>2.6283369587845051E-3</v>
      </c>
      <c r="E776" s="16">
        <f t="shared" si="371"/>
        <v>0</v>
      </c>
      <c r="F776" s="127"/>
      <c r="G776" s="88">
        <f t="shared" si="372"/>
        <v>0</v>
      </c>
      <c r="H776" s="89">
        <f t="shared" si="385"/>
        <v>4.1666666666666666E-3</v>
      </c>
      <c r="I776" s="219"/>
      <c r="J776" s="219"/>
      <c r="K776" s="6">
        <f t="shared" si="393"/>
        <v>81506.065180950172</v>
      </c>
      <c r="M776" s="6">
        <f t="shared" si="373"/>
        <v>214.22540348019021</v>
      </c>
      <c r="N776" s="6">
        <f t="shared" si="374"/>
        <v>-92.214188339483215</v>
      </c>
      <c r="O776" s="90">
        <f t="shared" si="375"/>
        <v>382.89522254975992</v>
      </c>
      <c r="P776" s="91">
        <f t="shared" si="376"/>
        <v>0</v>
      </c>
      <c r="Q776" s="6">
        <f t="shared" si="377"/>
        <v>340.11698498371197</v>
      </c>
      <c r="R776" s="87">
        <f t="shared" si="395"/>
        <v>-382.89522254976004</v>
      </c>
      <c r="S776" s="6">
        <f t="shared" si="378"/>
        <v>-16.972711516765841</v>
      </c>
      <c r="T776" s="83">
        <f t="shared" si="386"/>
        <v>0</v>
      </c>
      <c r="U776" s="91">
        <f t="shared" si="392"/>
        <v>91377.772858737604</v>
      </c>
      <c r="V776" s="91">
        <f t="shared" si="387"/>
        <v>240.17157761603568</v>
      </c>
      <c r="W776" s="1">
        <f t="shared" si="397"/>
        <v>0</v>
      </c>
      <c r="X776" s="1">
        <f t="shared" si="397"/>
        <v>0</v>
      </c>
      <c r="Y776" s="1">
        <f t="shared" si="397"/>
        <v>0</v>
      </c>
      <c r="Z776" s="1">
        <f t="shared" si="397"/>
        <v>0</v>
      </c>
      <c r="AA776" s="1">
        <f t="shared" si="397"/>
        <v>0</v>
      </c>
      <c r="AB776" s="1">
        <f t="shared" si="397"/>
        <v>1</v>
      </c>
      <c r="AC776" s="1">
        <f t="shared" si="397"/>
        <v>1</v>
      </c>
      <c r="AD776" s="1">
        <f t="shared" si="397"/>
        <v>1</v>
      </c>
      <c r="AE776" s="1">
        <f t="shared" si="397"/>
        <v>1</v>
      </c>
      <c r="AF776" s="1">
        <f t="shared" si="397"/>
        <v>1</v>
      </c>
      <c r="AG776" s="1">
        <f t="shared" si="397"/>
        <v>1</v>
      </c>
      <c r="AH776" s="1">
        <f t="shared" si="397"/>
        <v>1</v>
      </c>
      <c r="AI776" s="44">
        <f t="shared" si="388"/>
        <v>81245.181173541117</v>
      </c>
      <c r="AJ776" s="44">
        <f t="shared" si="379"/>
        <v>81628.076396090881</v>
      </c>
      <c r="AK776" s="44" t="str">
        <f t="shared" si="396"/>
        <v>N</v>
      </c>
      <c r="AL776" s="4">
        <f t="shared" si="380"/>
        <v>86</v>
      </c>
      <c r="AM776" s="82">
        <f t="shared" si="389"/>
        <v>0</v>
      </c>
      <c r="AN776" s="82">
        <f t="shared" si="381"/>
        <v>0</v>
      </c>
      <c r="AO776" s="48">
        <v>0</v>
      </c>
      <c r="AP776" s="91">
        <f t="shared" si="390"/>
        <v>-382.89522254976004</v>
      </c>
      <c r="AQ776" s="91">
        <f t="shared" si="391"/>
        <v>-382.89522254976004</v>
      </c>
    </row>
    <row r="777" spans="1:43">
      <c r="A777" s="190">
        <f t="shared" si="382"/>
        <v>72.970910335386719</v>
      </c>
      <c r="B777" s="82">
        <f t="shared" si="383"/>
        <v>8</v>
      </c>
      <c r="C777" s="83">
        <f t="shared" si="384"/>
        <v>87</v>
      </c>
      <c r="D777" s="14">
        <f t="shared" si="370"/>
        <v>2.6283369587845051E-3</v>
      </c>
      <c r="E777" s="16">
        <f t="shared" si="371"/>
        <v>0</v>
      </c>
      <c r="F777" s="127"/>
      <c r="G777" s="88">
        <f t="shared" si="372"/>
        <v>0</v>
      </c>
      <c r="H777" s="89">
        <f t="shared" si="385"/>
        <v>4.1666666666666666E-3</v>
      </c>
      <c r="I777" s="219"/>
      <c r="J777" s="219"/>
      <c r="K777" s="6">
        <f t="shared" si="393"/>
        <v>81245.181173541117</v>
      </c>
      <c r="M777" s="6">
        <f t="shared" si="373"/>
        <v>213.53971240156119</v>
      </c>
      <c r="N777" s="6">
        <f t="shared" si="374"/>
        <v>-91.919029851086435</v>
      </c>
      <c r="O777" s="90">
        <f t="shared" si="375"/>
        <v>382.89522254975992</v>
      </c>
      <c r="P777" s="91">
        <f t="shared" si="376"/>
        <v>0</v>
      </c>
      <c r="Q777" s="6">
        <f t="shared" si="377"/>
        <v>339.0283410670483</v>
      </c>
      <c r="R777" s="87">
        <f t="shared" si="395"/>
        <v>-382.89522254976004</v>
      </c>
      <c r="S777" s="6">
        <f t="shared" si="378"/>
        <v>-16.918257578072971</v>
      </c>
      <c r="T777" s="83">
        <f t="shared" si="386"/>
        <v>0</v>
      </c>
      <c r="U777" s="91">
        <f t="shared" si="392"/>
        <v>91235.049213803883</v>
      </c>
      <c r="V777" s="91">
        <f t="shared" si="387"/>
        <v>239.79645178516395</v>
      </c>
      <c r="W777" s="1">
        <f t="shared" si="397"/>
        <v>0</v>
      </c>
      <c r="X777" s="1">
        <f t="shared" si="397"/>
        <v>0</v>
      </c>
      <c r="Y777" s="1">
        <f t="shared" si="397"/>
        <v>0</v>
      </c>
      <c r="Z777" s="1">
        <f t="shared" si="397"/>
        <v>0</v>
      </c>
      <c r="AA777" s="1">
        <f t="shared" si="397"/>
        <v>0</v>
      </c>
      <c r="AB777" s="1">
        <f t="shared" si="397"/>
        <v>1</v>
      </c>
      <c r="AC777" s="1">
        <f t="shared" si="397"/>
        <v>1</v>
      </c>
      <c r="AD777" s="1">
        <f t="shared" si="397"/>
        <v>1</v>
      </c>
      <c r="AE777" s="1">
        <f t="shared" si="397"/>
        <v>1</v>
      </c>
      <c r="AF777" s="1">
        <f t="shared" si="397"/>
        <v>1</v>
      </c>
      <c r="AG777" s="1">
        <f t="shared" si="397"/>
        <v>1</v>
      </c>
      <c r="AH777" s="1">
        <f t="shared" si="397"/>
        <v>1</v>
      </c>
      <c r="AI777" s="44">
        <f t="shared" si="388"/>
        <v>80983.906633541832</v>
      </c>
      <c r="AJ777" s="44">
        <f t="shared" si="379"/>
        <v>81366.801856091595</v>
      </c>
      <c r="AK777" s="44" t="str">
        <f t="shared" si="396"/>
        <v>N</v>
      </c>
      <c r="AL777" s="4">
        <f t="shared" si="380"/>
        <v>87</v>
      </c>
      <c r="AM777" s="82">
        <f t="shared" si="389"/>
        <v>0</v>
      </c>
      <c r="AN777" s="82">
        <f t="shared" si="381"/>
        <v>0</v>
      </c>
      <c r="AO777" s="48">
        <v>0</v>
      </c>
      <c r="AP777" s="91">
        <f t="shared" si="390"/>
        <v>-382.89522254976004</v>
      </c>
      <c r="AQ777" s="91">
        <f t="shared" si="391"/>
        <v>-382.89522254976004</v>
      </c>
    </row>
    <row r="778" spans="1:43">
      <c r="A778" s="190">
        <f t="shared" si="382"/>
        <v>73.054243668720048</v>
      </c>
      <c r="B778" s="82">
        <f t="shared" si="383"/>
        <v>8</v>
      </c>
      <c r="C778" s="83">
        <f t="shared" si="384"/>
        <v>88</v>
      </c>
      <c r="D778" s="14">
        <f t="shared" si="370"/>
        <v>2.6283369587845051E-3</v>
      </c>
      <c r="E778" s="16">
        <f t="shared" si="371"/>
        <v>0</v>
      </c>
      <c r="F778" s="127"/>
      <c r="G778" s="88">
        <f t="shared" si="372"/>
        <v>0</v>
      </c>
      <c r="H778" s="89">
        <f t="shared" si="385"/>
        <v>4.1666666666666666E-3</v>
      </c>
      <c r="I778" s="219"/>
      <c r="J778" s="219"/>
      <c r="K778" s="6">
        <f t="shared" si="393"/>
        <v>80983.906633541832</v>
      </c>
      <c r="M778" s="6">
        <f t="shared" si="373"/>
        <v>212.85299487169166</v>
      </c>
      <c r="N778" s="6">
        <f t="shared" si="374"/>
        <v>-91.623429522616206</v>
      </c>
      <c r="O778" s="90">
        <f t="shared" si="375"/>
        <v>382.89522254975992</v>
      </c>
      <c r="P778" s="91">
        <f t="shared" si="376"/>
        <v>0</v>
      </c>
      <c r="Q778" s="6">
        <f t="shared" si="377"/>
        <v>337.93806749537879</v>
      </c>
      <c r="R778" s="87">
        <f t="shared" si="395"/>
        <v>-382.89522254976004</v>
      </c>
      <c r="S778" s="6">
        <f t="shared" si="378"/>
        <v>-16.863722124081647</v>
      </c>
      <c r="T778" s="83">
        <f t="shared" si="386"/>
        <v>0</v>
      </c>
      <c r="U778" s="91">
        <f t="shared" si="392"/>
        <v>91091.950443039284</v>
      </c>
      <c r="V778" s="91">
        <f t="shared" si="387"/>
        <v>239.42033999720672</v>
      </c>
      <c r="W778" s="1">
        <f t="shared" si="397"/>
        <v>0</v>
      </c>
      <c r="X778" s="1">
        <f t="shared" si="397"/>
        <v>0</v>
      </c>
      <c r="Y778" s="1">
        <f t="shared" si="397"/>
        <v>0</v>
      </c>
      <c r="Z778" s="1">
        <f t="shared" si="397"/>
        <v>0</v>
      </c>
      <c r="AA778" s="1">
        <f t="shared" si="397"/>
        <v>0</v>
      </c>
      <c r="AB778" s="1">
        <f t="shared" si="397"/>
        <v>1</v>
      </c>
      <c r="AC778" s="1">
        <f t="shared" si="397"/>
        <v>1</v>
      </c>
      <c r="AD778" s="1">
        <f t="shared" si="397"/>
        <v>1</v>
      </c>
      <c r="AE778" s="1">
        <f t="shared" si="397"/>
        <v>1</v>
      </c>
      <c r="AF778" s="1">
        <f t="shared" si="397"/>
        <v>1</v>
      </c>
      <c r="AG778" s="1">
        <f t="shared" si="397"/>
        <v>1</v>
      </c>
      <c r="AH778" s="1">
        <f t="shared" si="397"/>
        <v>1</v>
      </c>
      <c r="AI778" s="44">
        <f t="shared" si="388"/>
        <v>80722.240976341142</v>
      </c>
      <c r="AJ778" s="44">
        <f t="shared" si="379"/>
        <v>81105.136198890905</v>
      </c>
      <c r="AK778" s="44" t="str">
        <f t="shared" si="396"/>
        <v>N</v>
      </c>
      <c r="AL778" s="4">
        <f t="shared" si="380"/>
        <v>88</v>
      </c>
      <c r="AM778" s="82">
        <f t="shared" si="389"/>
        <v>0</v>
      </c>
      <c r="AN778" s="82">
        <f t="shared" si="381"/>
        <v>0</v>
      </c>
      <c r="AO778" s="48">
        <v>0</v>
      </c>
      <c r="AP778" s="91">
        <f t="shared" si="390"/>
        <v>-382.89522254976004</v>
      </c>
      <c r="AQ778" s="91">
        <f t="shared" si="391"/>
        <v>-382.89522254976004</v>
      </c>
    </row>
    <row r="779" spans="1:43">
      <c r="A779" s="190">
        <f t="shared" si="382"/>
        <v>73.137577002053376</v>
      </c>
      <c r="B779" s="82">
        <f t="shared" si="383"/>
        <v>8</v>
      </c>
      <c r="C779" s="83">
        <f t="shared" si="384"/>
        <v>89</v>
      </c>
      <c r="D779" s="14">
        <f t="shared" si="370"/>
        <v>2.6283369587845051E-3</v>
      </c>
      <c r="E779" s="16">
        <f t="shared" si="371"/>
        <v>0</v>
      </c>
      <c r="F779" s="127"/>
      <c r="G779" s="88">
        <f t="shared" si="372"/>
        <v>0</v>
      </c>
      <c r="H779" s="89">
        <f t="shared" si="385"/>
        <v>4.1666666666666666E-3</v>
      </c>
      <c r="I779" s="219"/>
      <c r="J779" s="219"/>
      <c r="K779" s="6">
        <f t="shared" si="393"/>
        <v>80722.240976341142</v>
      </c>
      <c r="M779" s="6">
        <f t="shared" si="373"/>
        <v>212.16524935402643</v>
      </c>
      <c r="N779" s="6">
        <f t="shared" si="374"/>
        <v>-91.32738669265612</v>
      </c>
      <c r="O779" s="90">
        <f t="shared" si="375"/>
        <v>382.89522254975992</v>
      </c>
      <c r="P779" s="91">
        <f t="shared" si="376"/>
        <v>0</v>
      </c>
      <c r="Q779" s="6">
        <f t="shared" si="377"/>
        <v>336.84616182917711</v>
      </c>
      <c r="R779" s="87">
        <f t="shared" si="395"/>
        <v>-382.89522254976004</v>
      </c>
      <c r="S779" s="6">
        <f t="shared" si="378"/>
        <v>-16.809105032766833</v>
      </c>
      <c r="T779" s="83">
        <f t="shared" si="386"/>
        <v>0</v>
      </c>
      <c r="U779" s="91">
        <f t="shared" si="392"/>
        <v>90948.475560486724</v>
      </c>
      <c r="V779" s="91">
        <f t="shared" si="387"/>
        <v>239.04323966073656</v>
      </c>
      <c r="W779" s="1">
        <f t="shared" si="397"/>
        <v>0</v>
      </c>
      <c r="X779" s="1">
        <f t="shared" si="397"/>
        <v>0</v>
      </c>
      <c r="Y779" s="1">
        <f t="shared" si="397"/>
        <v>0</v>
      </c>
      <c r="Z779" s="1">
        <f t="shared" si="397"/>
        <v>0</v>
      </c>
      <c r="AA779" s="1">
        <f t="shared" si="397"/>
        <v>0</v>
      </c>
      <c r="AB779" s="1">
        <f t="shared" si="397"/>
        <v>1</v>
      </c>
      <c r="AC779" s="1">
        <f t="shared" si="397"/>
        <v>1</v>
      </c>
      <c r="AD779" s="1">
        <f t="shared" si="397"/>
        <v>1</v>
      </c>
      <c r="AE779" s="1">
        <f t="shared" si="397"/>
        <v>1</v>
      </c>
      <c r="AF779" s="1">
        <f t="shared" si="397"/>
        <v>1</v>
      </c>
      <c r="AG779" s="1">
        <f t="shared" si="397"/>
        <v>1</v>
      </c>
      <c r="AH779" s="1">
        <f t="shared" si="397"/>
        <v>1</v>
      </c>
      <c r="AI779" s="44">
        <f t="shared" si="388"/>
        <v>80460.183616452749</v>
      </c>
      <c r="AJ779" s="44">
        <f t="shared" si="379"/>
        <v>80843.078839002512</v>
      </c>
      <c r="AK779" s="44" t="str">
        <f t="shared" si="396"/>
        <v>N</v>
      </c>
      <c r="AL779" s="4">
        <f t="shared" si="380"/>
        <v>89</v>
      </c>
      <c r="AM779" s="82">
        <f t="shared" si="389"/>
        <v>0</v>
      </c>
      <c r="AN779" s="82">
        <f t="shared" si="381"/>
        <v>0</v>
      </c>
      <c r="AO779" s="48">
        <v>0</v>
      </c>
      <c r="AP779" s="91">
        <f t="shared" si="390"/>
        <v>-382.89522254976004</v>
      </c>
      <c r="AQ779" s="91">
        <f t="shared" si="391"/>
        <v>-382.89522254976004</v>
      </c>
    </row>
    <row r="780" spans="1:43">
      <c r="A780" s="190">
        <f t="shared" si="382"/>
        <v>73.220910335386719</v>
      </c>
      <c r="B780" s="82">
        <f t="shared" si="383"/>
        <v>8</v>
      </c>
      <c r="C780" s="83">
        <f t="shared" si="384"/>
        <v>90</v>
      </c>
      <c r="D780" s="14">
        <f t="shared" si="370"/>
        <v>2.6283369587845051E-3</v>
      </c>
      <c r="E780" s="16">
        <f t="shared" si="371"/>
        <v>0</v>
      </c>
      <c r="F780" s="127"/>
      <c r="G780" s="88">
        <f t="shared" si="372"/>
        <v>0</v>
      </c>
      <c r="H780" s="89">
        <f t="shared" si="385"/>
        <v>4.1666666666666666E-3</v>
      </c>
      <c r="I780" s="219"/>
      <c r="J780" s="219"/>
      <c r="K780" s="6">
        <f t="shared" si="393"/>
        <v>80460.183616452749</v>
      </c>
      <c r="M780" s="6">
        <f t="shared" si="373"/>
        <v>211.47647430971028</v>
      </c>
      <c r="N780" s="6">
        <f t="shared" si="374"/>
        <v>-91.030900698799755</v>
      </c>
      <c r="O780" s="90">
        <f t="shared" si="375"/>
        <v>382.89522254975992</v>
      </c>
      <c r="P780" s="91">
        <f t="shared" si="376"/>
        <v>0</v>
      </c>
      <c r="Q780" s="6">
        <f t="shared" si="377"/>
        <v>335.75262162526525</v>
      </c>
      <c r="R780" s="87">
        <f t="shared" si="395"/>
        <v>-382.89522254976004</v>
      </c>
      <c r="S780" s="6">
        <f t="shared" si="378"/>
        <v>-16.754406181920825</v>
      </c>
      <c r="T780" s="83">
        <f t="shared" si="386"/>
        <v>0</v>
      </c>
      <c r="U780" s="91">
        <f t="shared" si="392"/>
        <v>90804.623577597697</v>
      </c>
      <c r="V780" s="91">
        <f t="shared" si="387"/>
        <v>238.66514817751491</v>
      </c>
      <c r="W780" s="1">
        <f t="shared" si="397"/>
        <v>0</v>
      </c>
      <c r="X780" s="1">
        <f t="shared" si="397"/>
        <v>0</v>
      </c>
      <c r="Y780" s="1">
        <f t="shared" si="397"/>
        <v>0</v>
      </c>
      <c r="Z780" s="1">
        <f t="shared" si="397"/>
        <v>0</v>
      </c>
      <c r="AA780" s="1">
        <f t="shared" si="397"/>
        <v>0</v>
      </c>
      <c r="AB780" s="1">
        <f t="shared" si="397"/>
        <v>1</v>
      </c>
      <c r="AC780" s="1">
        <f t="shared" si="397"/>
        <v>1</v>
      </c>
      <c r="AD780" s="1">
        <f t="shared" si="397"/>
        <v>1</v>
      </c>
      <c r="AE780" s="1">
        <f t="shared" si="397"/>
        <v>1</v>
      </c>
      <c r="AF780" s="1">
        <f t="shared" si="397"/>
        <v>1</v>
      </c>
      <c r="AG780" s="1">
        <f t="shared" si="397"/>
        <v>1</v>
      </c>
      <c r="AH780" s="1">
        <f t="shared" si="397"/>
        <v>1</v>
      </c>
      <c r="AI780" s="44">
        <f t="shared" si="388"/>
        <v>80197.733967513894</v>
      </c>
      <c r="AJ780" s="44">
        <f t="shared" si="379"/>
        <v>80580.629190063657</v>
      </c>
      <c r="AK780" s="44" t="str">
        <f t="shared" si="396"/>
        <v>N</v>
      </c>
      <c r="AL780" s="4">
        <f t="shared" si="380"/>
        <v>90</v>
      </c>
      <c r="AM780" s="82">
        <f t="shared" si="389"/>
        <v>0</v>
      </c>
      <c r="AN780" s="82">
        <f t="shared" si="381"/>
        <v>0</v>
      </c>
      <c r="AO780" s="48">
        <v>0</v>
      </c>
      <c r="AP780" s="91">
        <f t="shared" si="390"/>
        <v>-382.89522254976004</v>
      </c>
      <c r="AQ780" s="91">
        <f t="shared" si="391"/>
        <v>-382.89522254976004</v>
      </c>
    </row>
    <row r="781" spans="1:43">
      <c r="A781" s="190">
        <f t="shared" si="382"/>
        <v>73.304243668720048</v>
      </c>
      <c r="B781" s="82">
        <f t="shared" si="383"/>
        <v>8</v>
      </c>
      <c r="C781" s="83">
        <f t="shared" si="384"/>
        <v>91</v>
      </c>
      <c r="D781" s="14">
        <f t="shared" si="370"/>
        <v>2.6283369587845051E-3</v>
      </c>
      <c r="E781" s="16">
        <f t="shared" si="371"/>
        <v>0</v>
      </c>
      <c r="F781" s="127"/>
      <c r="G781" s="88">
        <f t="shared" si="372"/>
        <v>0</v>
      </c>
      <c r="H781" s="89">
        <f t="shared" si="385"/>
        <v>4.1666666666666666E-3</v>
      </c>
      <c r="I781" s="219"/>
      <c r="J781" s="219"/>
      <c r="K781" s="6">
        <f t="shared" si="393"/>
        <v>80197.733967513894</v>
      </c>
      <c r="M781" s="6">
        <f t="shared" si="373"/>
        <v>210.78666819758428</v>
      </c>
      <c r="N781" s="6">
        <f t="shared" si="374"/>
        <v>-90.733970877649014</v>
      </c>
      <c r="O781" s="90">
        <f t="shared" si="375"/>
        <v>382.89522254975992</v>
      </c>
      <c r="P781" s="91">
        <f t="shared" si="376"/>
        <v>0</v>
      </c>
      <c r="Q781" s="6">
        <f t="shared" si="377"/>
        <v>334.65744443680762</v>
      </c>
      <c r="R781" s="87">
        <f t="shared" si="395"/>
        <v>-382.89522254976004</v>
      </c>
      <c r="S781" s="6">
        <f t="shared" si="378"/>
        <v>-16.699625449152972</v>
      </c>
      <c r="T781" s="83">
        <f t="shared" si="386"/>
        <v>0</v>
      </c>
      <c r="U781" s="91">
        <f t="shared" si="392"/>
        <v>90660.393503225452</v>
      </c>
      <c r="V781" s="91">
        <f t="shared" si="387"/>
        <v>238.2860629424741</v>
      </c>
      <c r="W781" s="1">
        <f t="shared" ref="W781:AH790" si="398">IF($B781&lt;=W$78,1,0)</f>
        <v>0</v>
      </c>
      <c r="X781" s="1">
        <f t="shared" si="398"/>
        <v>0</v>
      </c>
      <c r="Y781" s="1">
        <f t="shared" si="398"/>
        <v>0</v>
      </c>
      <c r="Z781" s="1">
        <f t="shared" si="398"/>
        <v>0</v>
      </c>
      <c r="AA781" s="1">
        <f t="shared" si="398"/>
        <v>0</v>
      </c>
      <c r="AB781" s="1">
        <f t="shared" si="398"/>
        <v>1</v>
      </c>
      <c r="AC781" s="1">
        <f t="shared" si="398"/>
        <v>1</v>
      </c>
      <c r="AD781" s="1">
        <f t="shared" si="398"/>
        <v>1</v>
      </c>
      <c r="AE781" s="1">
        <f t="shared" si="398"/>
        <v>1</v>
      </c>
      <c r="AF781" s="1">
        <f t="shared" si="398"/>
        <v>1</v>
      </c>
      <c r="AG781" s="1">
        <f t="shared" si="398"/>
        <v>1</v>
      </c>
      <c r="AH781" s="1">
        <f t="shared" si="398"/>
        <v>1</v>
      </c>
      <c r="AI781" s="44">
        <f t="shared" si="388"/>
        <v>79934.891442284061</v>
      </c>
      <c r="AJ781" s="44">
        <f t="shared" si="379"/>
        <v>80317.786664833824</v>
      </c>
      <c r="AK781" s="44" t="str">
        <f t="shared" si="396"/>
        <v>N</v>
      </c>
      <c r="AL781" s="4">
        <f t="shared" si="380"/>
        <v>91</v>
      </c>
      <c r="AM781" s="82">
        <f t="shared" si="389"/>
        <v>0</v>
      </c>
      <c r="AN781" s="82">
        <f t="shared" si="381"/>
        <v>0</v>
      </c>
      <c r="AO781" s="48">
        <v>0</v>
      </c>
      <c r="AP781" s="91">
        <f t="shared" si="390"/>
        <v>-382.89522254976004</v>
      </c>
      <c r="AQ781" s="91">
        <f t="shared" si="391"/>
        <v>-382.89522254976004</v>
      </c>
    </row>
    <row r="782" spans="1:43">
      <c r="A782" s="190">
        <f t="shared" si="382"/>
        <v>73.387577002053376</v>
      </c>
      <c r="B782" s="82">
        <f t="shared" si="383"/>
        <v>8</v>
      </c>
      <c r="C782" s="83">
        <f t="shared" si="384"/>
        <v>92</v>
      </c>
      <c r="D782" s="14">
        <f t="shared" si="370"/>
        <v>2.6283369587845051E-3</v>
      </c>
      <c r="E782" s="16">
        <f t="shared" si="371"/>
        <v>0</v>
      </c>
      <c r="F782" s="127"/>
      <c r="G782" s="88">
        <f t="shared" si="372"/>
        <v>0</v>
      </c>
      <c r="H782" s="89">
        <f t="shared" si="385"/>
        <v>4.1666666666666666E-3</v>
      </c>
      <c r="I782" s="219"/>
      <c r="J782" s="219"/>
      <c r="K782" s="6">
        <f t="shared" si="393"/>
        <v>79934.891442284061</v>
      </c>
      <c r="M782" s="6">
        <f t="shared" si="373"/>
        <v>210.09582947418247</v>
      </c>
      <c r="N782" s="6">
        <f t="shared" si="374"/>
        <v>-90.436596564812803</v>
      </c>
      <c r="O782" s="90">
        <f t="shared" si="375"/>
        <v>382.89522254975992</v>
      </c>
      <c r="P782" s="91">
        <f t="shared" si="376"/>
        <v>0</v>
      </c>
      <c r="Q782" s="6">
        <f t="shared" si="377"/>
        <v>333.56062781330593</v>
      </c>
      <c r="R782" s="87">
        <f t="shared" si="395"/>
        <v>-382.89522254976004</v>
      </c>
      <c r="S782" s="6">
        <f t="shared" si="378"/>
        <v>-16.644762711889427</v>
      </c>
      <c r="T782" s="83">
        <f t="shared" si="386"/>
        <v>0</v>
      </c>
      <c r="U782" s="91">
        <f t="shared" si="392"/>
        <v>90515.784343618157</v>
      </c>
      <c r="V782" s="91">
        <f t="shared" si="387"/>
        <v>237.90598134369947</v>
      </c>
      <c r="W782" s="1">
        <f t="shared" si="398"/>
        <v>0</v>
      </c>
      <c r="X782" s="1">
        <f t="shared" si="398"/>
        <v>0</v>
      </c>
      <c r="Y782" s="1">
        <f t="shared" si="398"/>
        <v>0</v>
      </c>
      <c r="Z782" s="1">
        <f t="shared" si="398"/>
        <v>0</v>
      </c>
      <c r="AA782" s="1">
        <f t="shared" si="398"/>
        <v>0</v>
      </c>
      <c r="AB782" s="1">
        <f t="shared" si="398"/>
        <v>1</v>
      </c>
      <c r="AC782" s="1">
        <f t="shared" si="398"/>
        <v>1</v>
      </c>
      <c r="AD782" s="1">
        <f t="shared" si="398"/>
        <v>1</v>
      </c>
      <c r="AE782" s="1">
        <f t="shared" si="398"/>
        <v>1</v>
      </c>
      <c r="AF782" s="1">
        <f t="shared" si="398"/>
        <v>1</v>
      </c>
      <c r="AG782" s="1">
        <f t="shared" si="398"/>
        <v>1</v>
      </c>
      <c r="AH782" s="1">
        <f t="shared" si="398"/>
        <v>1</v>
      </c>
      <c r="AI782" s="44">
        <f t="shared" si="388"/>
        <v>79671.655452643667</v>
      </c>
      <c r="AJ782" s="44">
        <f t="shared" si="379"/>
        <v>80054.55067519343</v>
      </c>
      <c r="AK782" s="44" t="str">
        <f t="shared" si="396"/>
        <v>N</v>
      </c>
      <c r="AL782" s="4">
        <f t="shared" si="380"/>
        <v>92</v>
      </c>
      <c r="AM782" s="82">
        <f t="shared" si="389"/>
        <v>0</v>
      </c>
      <c r="AN782" s="82">
        <f t="shared" si="381"/>
        <v>0</v>
      </c>
      <c r="AO782" s="48">
        <v>0</v>
      </c>
      <c r="AP782" s="91">
        <f t="shared" si="390"/>
        <v>-382.89522254976004</v>
      </c>
      <c r="AQ782" s="91">
        <f t="shared" si="391"/>
        <v>-382.89522254976004</v>
      </c>
    </row>
    <row r="783" spans="1:43">
      <c r="A783" s="190">
        <f t="shared" si="382"/>
        <v>73.470910335386719</v>
      </c>
      <c r="B783" s="82">
        <f t="shared" si="383"/>
        <v>8</v>
      </c>
      <c r="C783" s="83">
        <f t="shared" si="384"/>
        <v>93</v>
      </c>
      <c r="D783" s="14">
        <f t="shared" si="370"/>
        <v>2.6283369587845051E-3</v>
      </c>
      <c r="E783" s="16">
        <f t="shared" si="371"/>
        <v>0</v>
      </c>
      <c r="F783" s="127"/>
      <c r="G783" s="88">
        <f t="shared" si="372"/>
        <v>0</v>
      </c>
      <c r="H783" s="89">
        <f t="shared" si="385"/>
        <v>4.1666666666666666E-3</v>
      </c>
      <c r="I783" s="219"/>
      <c r="J783" s="219"/>
      <c r="K783" s="6">
        <f t="shared" si="393"/>
        <v>79671.655452643667</v>
      </c>
      <c r="M783" s="6">
        <f t="shared" si="373"/>
        <v>209.4039565937284</v>
      </c>
      <c r="N783" s="6">
        <f t="shared" si="374"/>
        <v>-90.138777094905393</v>
      </c>
      <c r="O783" s="90">
        <f t="shared" si="375"/>
        <v>382.89522254975992</v>
      </c>
      <c r="P783" s="91">
        <f t="shared" si="376"/>
        <v>0</v>
      </c>
      <c r="Q783" s="6">
        <f t="shared" si="377"/>
        <v>332.4621693005937</v>
      </c>
      <c r="R783" s="87">
        <f t="shared" si="395"/>
        <v>-382.89522254976004</v>
      </c>
      <c r="S783" s="6">
        <f t="shared" si="378"/>
        <v>-16.589817847372846</v>
      </c>
      <c r="T783" s="83">
        <f t="shared" si="386"/>
        <v>0</v>
      </c>
      <c r="U783" s="91">
        <f t="shared" si="392"/>
        <v>90370.795102412099</v>
      </c>
      <c r="V783" s="91">
        <f t="shared" si="387"/>
        <v>237.52490076241148</v>
      </c>
      <c r="W783" s="1">
        <f t="shared" si="398"/>
        <v>0</v>
      </c>
      <c r="X783" s="1">
        <f t="shared" si="398"/>
        <v>0</v>
      </c>
      <c r="Y783" s="1">
        <f t="shared" si="398"/>
        <v>0</v>
      </c>
      <c r="Z783" s="1">
        <f t="shared" si="398"/>
        <v>0</v>
      </c>
      <c r="AA783" s="1">
        <f t="shared" si="398"/>
        <v>0</v>
      </c>
      <c r="AB783" s="1">
        <f t="shared" si="398"/>
        <v>1</v>
      </c>
      <c r="AC783" s="1">
        <f t="shared" si="398"/>
        <v>1</v>
      </c>
      <c r="AD783" s="1">
        <f t="shared" si="398"/>
        <v>1</v>
      </c>
      <c r="AE783" s="1">
        <f t="shared" si="398"/>
        <v>1</v>
      </c>
      <c r="AF783" s="1">
        <f t="shared" si="398"/>
        <v>1</v>
      </c>
      <c r="AG783" s="1">
        <f t="shared" si="398"/>
        <v>1</v>
      </c>
      <c r="AH783" s="1">
        <f t="shared" si="398"/>
        <v>1</v>
      </c>
      <c r="AI783" s="44">
        <f t="shared" si="388"/>
        <v>79408.025409592723</v>
      </c>
      <c r="AJ783" s="44">
        <f t="shared" si="379"/>
        <v>79790.920632142486</v>
      </c>
      <c r="AK783" s="44" t="str">
        <f t="shared" si="396"/>
        <v>N</v>
      </c>
      <c r="AL783" s="4">
        <f t="shared" si="380"/>
        <v>93</v>
      </c>
      <c r="AM783" s="82">
        <f t="shared" si="389"/>
        <v>0</v>
      </c>
      <c r="AN783" s="82">
        <f t="shared" si="381"/>
        <v>0</v>
      </c>
      <c r="AO783" s="48">
        <v>0</v>
      </c>
      <c r="AP783" s="91">
        <f t="shared" si="390"/>
        <v>-382.89522254976004</v>
      </c>
      <c r="AQ783" s="91">
        <f t="shared" si="391"/>
        <v>-382.89522254976004</v>
      </c>
    </row>
    <row r="784" spans="1:43">
      <c r="A784" s="190">
        <f t="shared" si="382"/>
        <v>73.554243668720048</v>
      </c>
      <c r="B784" s="82">
        <f t="shared" si="383"/>
        <v>8</v>
      </c>
      <c r="C784" s="83">
        <f t="shared" si="384"/>
        <v>94</v>
      </c>
      <c r="D784" s="14">
        <f t="shared" si="370"/>
        <v>2.6283369587845051E-3</v>
      </c>
      <c r="E784" s="16">
        <f t="shared" si="371"/>
        <v>0</v>
      </c>
      <c r="F784" s="127"/>
      <c r="G784" s="88">
        <f t="shared" si="372"/>
        <v>0</v>
      </c>
      <c r="H784" s="89">
        <f t="shared" si="385"/>
        <v>4.1666666666666666E-3</v>
      </c>
      <c r="I784" s="219"/>
      <c r="J784" s="219"/>
      <c r="K784" s="6">
        <f t="shared" si="393"/>
        <v>79408.025409592723</v>
      </c>
      <c r="M784" s="6">
        <f t="shared" si="373"/>
        <v>208.71104800813166</v>
      </c>
      <c r="N784" s="6">
        <f t="shared" si="374"/>
        <v>-89.840511801545006</v>
      </c>
      <c r="O784" s="90">
        <f t="shared" si="375"/>
        <v>382.89522254975992</v>
      </c>
      <c r="P784" s="91">
        <f t="shared" si="376"/>
        <v>0</v>
      </c>
      <c r="Q784" s="6">
        <f t="shared" si="377"/>
        <v>331.3620664408304</v>
      </c>
      <c r="R784" s="87">
        <f t="shared" si="395"/>
        <v>-382.89522254976004</v>
      </c>
      <c r="S784" s="6">
        <f t="shared" si="378"/>
        <v>-16.534790732662106</v>
      </c>
      <c r="T784" s="83">
        <f t="shared" si="386"/>
        <v>0</v>
      </c>
      <c r="U784" s="91">
        <f t="shared" si="392"/>
        <v>90225.424780624744</v>
      </c>
      <c r="V784" s="91">
        <f t="shared" si="387"/>
        <v>237.14281857294736</v>
      </c>
      <c r="W784" s="1">
        <f t="shared" si="398"/>
        <v>0</v>
      </c>
      <c r="X784" s="1">
        <f t="shared" si="398"/>
        <v>0</v>
      </c>
      <c r="Y784" s="1">
        <f t="shared" si="398"/>
        <v>0</v>
      </c>
      <c r="Z784" s="1">
        <f t="shared" si="398"/>
        <v>0</v>
      </c>
      <c r="AA784" s="1">
        <f t="shared" si="398"/>
        <v>0</v>
      </c>
      <c r="AB784" s="1">
        <f t="shared" si="398"/>
        <v>1</v>
      </c>
      <c r="AC784" s="1">
        <f t="shared" si="398"/>
        <v>1</v>
      </c>
      <c r="AD784" s="1">
        <f t="shared" si="398"/>
        <v>1</v>
      </c>
      <c r="AE784" s="1">
        <f t="shared" si="398"/>
        <v>1</v>
      </c>
      <c r="AF784" s="1">
        <f t="shared" si="398"/>
        <v>1</v>
      </c>
      <c r="AG784" s="1">
        <f t="shared" si="398"/>
        <v>1</v>
      </c>
      <c r="AH784" s="1">
        <f t="shared" si="398"/>
        <v>1</v>
      </c>
      <c r="AI784" s="44">
        <f t="shared" si="388"/>
        <v>79144.000723249541</v>
      </c>
      <c r="AJ784" s="44">
        <f t="shared" si="379"/>
        <v>79526.895945799304</v>
      </c>
      <c r="AK784" s="44" t="str">
        <f t="shared" si="396"/>
        <v>N</v>
      </c>
      <c r="AL784" s="4">
        <f t="shared" si="380"/>
        <v>94</v>
      </c>
      <c r="AM784" s="82">
        <f t="shared" si="389"/>
        <v>0</v>
      </c>
      <c r="AN784" s="82">
        <f t="shared" si="381"/>
        <v>0</v>
      </c>
      <c r="AO784" s="48">
        <v>0</v>
      </c>
      <c r="AP784" s="91">
        <f t="shared" si="390"/>
        <v>-382.89522254976004</v>
      </c>
      <c r="AQ784" s="91">
        <f t="shared" si="391"/>
        <v>-382.89522254976004</v>
      </c>
    </row>
    <row r="785" spans="1:43">
      <c r="A785" s="190">
        <f t="shared" si="382"/>
        <v>73.637577002053376</v>
      </c>
      <c r="B785" s="82">
        <f t="shared" si="383"/>
        <v>8</v>
      </c>
      <c r="C785" s="83">
        <f t="shared" si="384"/>
        <v>95</v>
      </c>
      <c r="D785" s="14">
        <f t="shared" si="370"/>
        <v>2.6283369587845051E-3</v>
      </c>
      <c r="E785" s="16">
        <f t="shared" si="371"/>
        <v>0</v>
      </c>
      <c r="F785" s="127"/>
      <c r="G785" s="88">
        <f t="shared" si="372"/>
        <v>0</v>
      </c>
      <c r="H785" s="89">
        <f t="shared" si="385"/>
        <v>4.1666666666666666E-3</v>
      </c>
      <c r="I785" s="219"/>
      <c r="J785" s="219"/>
      <c r="K785" s="6">
        <f t="shared" si="393"/>
        <v>79144.000723249541</v>
      </c>
      <c r="M785" s="6">
        <f t="shared" si="373"/>
        <v>208.01710216698439</v>
      </c>
      <c r="N785" s="6">
        <f t="shared" si="374"/>
        <v>-89.541800017352372</v>
      </c>
      <c r="O785" s="90">
        <f t="shared" si="375"/>
        <v>382.89522254975992</v>
      </c>
      <c r="P785" s="91">
        <f t="shared" si="376"/>
        <v>0</v>
      </c>
      <c r="Q785" s="6">
        <f t="shared" si="377"/>
        <v>330.26031677249654</v>
      </c>
      <c r="R785" s="87">
        <f t="shared" si="395"/>
        <v>-382.89522254976004</v>
      </c>
      <c r="S785" s="6">
        <f t="shared" si="378"/>
        <v>-16.479681244632079</v>
      </c>
      <c r="T785" s="83">
        <f t="shared" si="386"/>
        <v>0</v>
      </c>
      <c r="U785" s="91">
        <f t="shared" si="392"/>
        <v>90079.672376647926</v>
      </c>
      <c r="V785" s="91">
        <f t="shared" si="387"/>
        <v>236.75973214274342</v>
      </c>
      <c r="W785" s="1">
        <f t="shared" si="398"/>
        <v>0</v>
      </c>
      <c r="X785" s="1">
        <f t="shared" si="398"/>
        <v>0</v>
      </c>
      <c r="Y785" s="1">
        <f t="shared" si="398"/>
        <v>0</v>
      </c>
      <c r="Z785" s="1">
        <f t="shared" si="398"/>
        <v>0</v>
      </c>
      <c r="AA785" s="1">
        <f t="shared" si="398"/>
        <v>0</v>
      </c>
      <c r="AB785" s="1">
        <f t="shared" si="398"/>
        <v>1</v>
      </c>
      <c r="AC785" s="1">
        <f t="shared" si="398"/>
        <v>1</v>
      </c>
      <c r="AD785" s="1">
        <f t="shared" si="398"/>
        <v>1</v>
      </c>
      <c r="AE785" s="1">
        <f t="shared" si="398"/>
        <v>1</v>
      </c>
      <c r="AF785" s="1">
        <f t="shared" si="398"/>
        <v>1</v>
      </c>
      <c r="AG785" s="1">
        <f t="shared" si="398"/>
        <v>1</v>
      </c>
      <c r="AH785" s="1">
        <f t="shared" si="398"/>
        <v>1</v>
      </c>
      <c r="AI785" s="44">
        <f t="shared" si="388"/>
        <v>78879.580802849407</v>
      </c>
      <c r="AJ785" s="44">
        <f t="shared" si="379"/>
        <v>79262.47602539917</v>
      </c>
      <c r="AK785" s="44" t="str">
        <f t="shared" si="396"/>
        <v>N</v>
      </c>
      <c r="AL785" s="4">
        <f t="shared" si="380"/>
        <v>95</v>
      </c>
      <c r="AM785" s="82">
        <f t="shared" si="389"/>
        <v>0</v>
      </c>
      <c r="AN785" s="82">
        <f t="shared" si="381"/>
        <v>0</v>
      </c>
      <c r="AO785" s="48">
        <v>0</v>
      </c>
      <c r="AP785" s="91">
        <f t="shared" si="390"/>
        <v>-382.89522254976004</v>
      </c>
      <c r="AQ785" s="91">
        <f t="shared" si="391"/>
        <v>-382.89522254976004</v>
      </c>
    </row>
    <row r="786" spans="1:43">
      <c r="A786" s="190">
        <f t="shared" si="382"/>
        <v>73.720910335386719</v>
      </c>
      <c r="B786" s="82">
        <f t="shared" si="383"/>
        <v>8</v>
      </c>
      <c r="C786" s="83">
        <f t="shared" si="384"/>
        <v>96</v>
      </c>
      <c r="D786" s="14">
        <f t="shared" si="370"/>
        <v>2.6283369587845051E-3</v>
      </c>
      <c r="E786" s="16">
        <f t="shared" si="371"/>
        <v>0</v>
      </c>
      <c r="F786" s="127"/>
      <c r="G786" s="88">
        <f t="shared" si="372"/>
        <v>0</v>
      </c>
      <c r="H786" s="89">
        <f t="shared" si="385"/>
        <v>4.1666666666666666E-3</v>
      </c>
      <c r="I786" s="219"/>
      <c r="J786" s="219"/>
      <c r="K786" s="6">
        <f t="shared" si="393"/>
        <v>78879.580802849407</v>
      </c>
      <c r="M786" s="6">
        <f t="shared" si="373"/>
        <v>207.32211751755784</v>
      </c>
      <c r="N786" s="6">
        <f t="shared" si="374"/>
        <v>-89.24264107394913</v>
      </c>
      <c r="O786" s="90">
        <f t="shared" si="375"/>
        <v>382.89522254975992</v>
      </c>
      <c r="P786" s="91">
        <f t="shared" si="376"/>
        <v>0</v>
      </c>
      <c r="Q786" s="6">
        <f t="shared" si="377"/>
        <v>329.15691783038756</v>
      </c>
      <c r="R786" s="87">
        <f t="shared" si="395"/>
        <v>-382.89522254976004</v>
      </c>
      <c r="S786" s="6">
        <f t="shared" si="378"/>
        <v>-16.424489259973299</v>
      </c>
      <c r="T786" s="83">
        <f t="shared" si="386"/>
        <v>0</v>
      </c>
      <c r="U786" s="91">
        <f t="shared" si="392"/>
        <v>89933.536886240909</v>
      </c>
      <c r="V786" s="91">
        <f t="shared" si="387"/>
        <v>236.37563883231655</v>
      </c>
      <c r="W786" s="1">
        <f t="shared" si="398"/>
        <v>0</v>
      </c>
      <c r="X786" s="1">
        <f t="shared" si="398"/>
        <v>0</v>
      </c>
      <c r="Y786" s="1">
        <f t="shared" si="398"/>
        <v>0</v>
      </c>
      <c r="Z786" s="1">
        <f t="shared" si="398"/>
        <v>0</v>
      </c>
      <c r="AA786" s="1">
        <f t="shared" si="398"/>
        <v>0</v>
      </c>
      <c r="AB786" s="1">
        <f t="shared" si="398"/>
        <v>1</v>
      </c>
      <c r="AC786" s="1">
        <f t="shared" si="398"/>
        <v>1</v>
      </c>
      <c r="AD786" s="1">
        <f t="shared" si="398"/>
        <v>1</v>
      </c>
      <c r="AE786" s="1">
        <f t="shared" si="398"/>
        <v>1</v>
      </c>
      <c r="AF786" s="1">
        <f t="shared" si="398"/>
        <v>1</v>
      </c>
      <c r="AG786" s="1">
        <f t="shared" si="398"/>
        <v>1</v>
      </c>
      <c r="AH786" s="1">
        <f t="shared" si="398"/>
        <v>1</v>
      </c>
      <c r="AI786" s="44">
        <f t="shared" si="388"/>
        <v>78614.765056743257</v>
      </c>
      <c r="AJ786" s="44">
        <f t="shared" si="379"/>
        <v>78997.660279293021</v>
      </c>
      <c r="AK786" s="44" t="str">
        <f t="shared" si="396"/>
        <v>N</v>
      </c>
      <c r="AL786" s="4">
        <f t="shared" si="380"/>
        <v>96</v>
      </c>
      <c r="AM786" s="82">
        <f t="shared" si="389"/>
        <v>0</v>
      </c>
      <c r="AN786" s="82">
        <f t="shared" si="381"/>
        <v>0</v>
      </c>
      <c r="AO786" s="48">
        <v>0</v>
      </c>
      <c r="AP786" s="91">
        <f t="shared" si="390"/>
        <v>-382.89522254976004</v>
      </c>
      <c r="AQ786" s="91">
        <f t="shared" si="391"/>
        <v>-382.89522254976004</v>
      </c>
    </row>
    <row r="787" spans="1:43">
      <c r="A787" s="190">
        <f t="shared" si="382"/>
        <v>73.804243668720048</v>
      </c>
      <c r="B787" s="82">
        <f t="shared" si="383"/>
        <v>9</v>
      </c>
      <c r="C787" s="83">
        <f t="shared" si="384"/>
        <v>97</v>
      </c>
      <c r="D787" s="14">
        <f t="shared" si="370"/>
        <v>2.6283369587845051E-3</v>
      </c>
      <c r="E787" s="16">
        <f t="shared" si="371"/>
        <v>0</v>
      </c>
      <c r="F787" s="127"/>
      <c r="G787" s="88">
        <f t="shared" si="372"/>
        <v>0</v>
      </c>
      <c r="H787" s="89">
        <f t="shared" si="385"/>
        <v>4.1666666666666666E-3</v>
      </c>
      <c r="I787" s="219"/>
      <c r="J787" s="219"/>
      <c r="K787" s="6">
        <f t="shared" si="393"/>
        <v>78614.765056743257</v>
      </c>
      <c r="M787" s="6">
        <f t="shared" si="373"/>
        <v>206.62609250479895</v>
      </c>
      <c r="N787" s="6">
        <f t="shared" si="374"/>
        <v>-88.943034301956402</v>
      </c>
      <c r="O787" s="90">
        <f t="shared" si="375"/>
        <v>390.55312700075513</v>
      </c>
      <c r="P787" s="91">
        <f t="shared" si="376"/>
        <v>0</v>
      </c>
      <c r="Q787" s="6">
        <f t="shared" si="377"/>
        <v>328.0518671456087</v>
      </c>
      <c r="R787" s="87">
        <f t="shared" si="395"/>
        <v>-391.13776891049014</v>
      </c>
      <c r="S787" s="6">
        <f t="shared" si="378"/>
        <v>-16.368355071227366</v>
      </c>
      <c r="T787" s="83">
        <f t="shared" si="386"/>
        <v>0</v>
      </c>
      <c r="U787" s="91">
        <f t="shared" si="392"/>
        <v>89787.017302523469</v>
      </c>
      <c r="V787" s="91">
        <f t="shared" si="387"/>
        <v>235.99053599524626</v>
      </c>
      <c r="W787" s="1">
        <f t="shared" si="398"/>
        <v>0</v>
      </c>
      <c r="X787" s="1">
        <f t="shared" si="398"/>
        <v>0</v>
      </c>
      <c r="Y787" s="1">
        <f t="shared" si="398"/>
        <v>0</v>
      </c>
      <c r="Z787" s="1">
        <f t="shared" si="398"/>
        <v>0</v>
      </c>
      <c r="AA787" s="1">
        <f t="shared" si="398"/>
        <v>0</v>
      </c>
      <c r="AB787" s="1">
        <f t="shared" si="398"/>
        <v>1</v>
      </c>
      <c r="AC787" s="1">
        <f t="shared" si="398"/>
        <v>1</v>
      </c>
      <c r="AD787" s="1">
        <f t="shared" si="398"/>
        <v>1</v>
      </c>
      <c r="AE787" s="1">
        <f t="shared" si="398"/>
        <v>1</v>
      </c>
      <c r="AF787" s="1">
        <f t="shared" si="398"/>
        <v>1</v>
      </c>
      <c r="AG787" s="1">
        <f t="shared" si="398"/>
        <v>1</v>
      </c>
      <c r="AH787" s="1">
        <f t="shared" si="398"/>
        <v>1</v>
      </c>
      <c r="AI787" s="44">
        <f t="shared" si="388"/>
        <v>78341.310346035607</v>
      </c>
      <c r="AJ787" s="44">
        <f t="shared" si="379"/>
        <v>78732.448114946092</v>
      </c>
      <c r="AK787" s="44" t="str">
        <f t="shared" si="396"/>
        <v>N</v>
      </c>
      <c r="AL787" s="4">
        <f t="shared" si="380"/>
        <v>97</v>
      </c>
      <c r="AM787" s="82">
        <f t="shared" si="389"/>
        <v>0</v>
      </c>
      <c r="AN787" s="82">
        <f t="shared" si="381"/>
        <v>0</v>
      </c>
      <c r="AO787" s="48">
        <v>0</v>
      </c>
      <c r="AP787" s="91">
        <f t="shared" si="390"/>
        <v>-391.13776891049014</v>
      </c>
      <c r="AQ787" s="91">
        <f t="shared" si="391"/>
        <v>-391.13776891049014</v>
      </c>
    </row>
    <row r="788" spans="1:43">
      <c r="A788" s="190">
        <f t="shared" si="382"/>
        <v>73.887577002053376</v>
      </c>
      <c r="B788" s="82">
        <f t="shared" si="383"/>
        <v>9</v>
      </c>
      <c r="C788" s="83">
        <f t="shared" si="384"/>
        <v>98</v>
      </c>
      <c r="D788" s="14">
        <f t="shared" si="370"/>
        <v>2.6283369587845051E-3</v>
      </c>
      <c r="E788" s="16">
        <f t="shared" si="371"/>
        <v>0</v>
      </c>
      <c r="F788" s="127"/>
      <c r="G788" s="88">
        <f t="shared" si="372"/>
        <v>0</v>
      </c>
      <c r="H788" s="89">
        <f t="shared" si="385"/>
        <v>4.1666666666666666E-3</v>
      </c>
      <c r="I788" s="219"/>
      <c r="J788" s="219"/>
      <c r="K788" s="6">
        <f t="shared" si="393"/>
        <v>78341.310346035607</v>
      </c>
      <c r="M788" s="6">
        <f t="shared" si="373"/>
        <v>205.90736138209232</v>
      </c>
      <c r="N788" s="6">
        <f t="shared" si="374"/>
        <v>-88.633653593422238</v>
      </c>
      <c r="O788" s="90">
        <f t="shared" si="375"/>
        <v>390.55312700075513</v>
      </c>
      <c r="P788" s="91">
        <f t="shared" si="376"/>
        <v>0</v>
      </c>
      <c r="Q788" s="6">
        <f t="shared" si="377"/>
        <v>326.9107668909345</v>
      </c>
      <c r="R788" s="87">
        <f t="shared" si="395"/>
        <v>-390.55312700075524</v>
      </c>
      <c r="S788" s="6">
        <f t="shared" si="378"/>
        <v>-16.311338238045732</v>
      </c>
      <c r="T788" s="83">
        <f t="shared" si="386"/>
        <v>0</v>
      </c>
      <c r="U788" s="91">
        <f t="shared" si="392"/>
        <v>89631.870069608223</v>
      </c>
      <c r="V788" s="91">
        <f t="shared" si="387"/>
        <v>235.58275678892198</v>
      </c>
      <c r="W788" s="1">
        <f t="shared" si="398"/>
        <v>0</v>
      </c>
      <c r="X788" s="1">
        <f t="shared" si="398"/>
        <v>0</v>
      </c>
      <c r="Y788" s="1">
        <f t="shared" si="398"/>
        <v>0</v>
      </c>
      <c r="Z788" s="1">
        <f t="shared" si="398"/>
        <v>0</v>
      </c>
      <c r="AA788" s="1">
        <f t="shared" si="398"/>
        <v>0</v>
      </c>
      <c r="AB788" s="1">
        <f t="shared" si="398"/>
        <v>1</v>
      </c>
      <c r="AC788" s="1">
        <f t="shared" si="398"/>
        <v>1</v>
      </c>
      <c r="AD788" s="1">
        <f t="shared" si="398"/>
        <v>1</v>
      </c>
      <c r="AE788" s="1">
        <f t="shared" si="398"/>
        <v>1</v>
      </c>
      <c r="AF788" s="1">
        <f t="shared" si="398"/>
        <v>1</v>
      </c>
      <c r="AG788" s="1">
        <f t="shared" si="398"/>
        <v>1</v>
      </c>
      <c r="AH788" s="1">
        <f t="shared" si="398"/>
        <v>1</v>
      </c>
      <c r="AI788" s="44">
        <f t="shared" si="388"/>
        <v>78068.030926823529</v>
      </c>
      <c r="AJ788" s="44">
        <f t="shared" si="379"/>
        <v>78458.584053824277</v>
      </c>
      <c r="AK788" s="44" t="str">
        <f t="shared" si="396"/>
        <v>N</v>
      </c>
      <c r="AL788" s="4">
        <f t="shared" si="380"/>
        <v>98</v>
      </c>
      <c r="AM788" s="82">
        <f t="shared" si="389"/>
        <v>0</v>
      </c>
      <c r="AN788" s="82">
        <f t="shared" si="381"/>
        <v>0</v>
      </c>
      <c r="AO788" s="48">
        <v>0</v>
      </c>
      <c r="AP788" s="91">
        <f t="shared" si="390"/>
        <v>-390.55312700075524</v>
      </c>
      <c r="AQ788" s="91">
        <f t="shared" si="391"/>
        <v>-390.55312700075524</v>
      </c>
    </row>
    <row r="789" spans="1:43">
      <c r="A789" s="190">
        <f t="shared" si="382"/>
        <v>73.970910335386719</v>
      </c>
      <c r="B789" s="82">
        <f t="shared" si="383"/>
        <v>9</v>
      </c>
      <c r="C789" s="83">
        <f t="shared" si="384"/>
        <v>99</v>
      </c>
      <c r="D789" s="14">
        <f t="shared" si="370"/>
        <v>2.6283369587845051E-3</v>
      </c>
      <c r="E789" s="16">
        <f t="shared" si="371"/>
        <v>0</v>
      </c>
      <c r="F789" s="127"/>
      <c r="G789" s="88">
        <f t="shared" si="372"/>
        <v>0</v>
      </c>
      <c r="H789" s="89">
        <f t="shared" si="385"/>
        <v>4.1666666666666666E-3</v>
      </c>
      <c r="I789" s="219"/>
      <c r="J789" s="219"/>
      <c r="K789" s="6">
        <f t="shared" si="393"/>
        <v>78068.030926823529</v>
      </c>
      <c r="M789" s="6">
        <f t="shared" si="373"/>
        <v>205.18909098450206</v>
      </c>
      <c r="N789" s="6">
        <f t="shared" si="374"/>
        <v>-88.324471205871319</v>
      </c>
      <c r="O789" s="90">
        <f t="shared" si="375"/>
        <v>390.55312700075513</v>
      </c>
      <c r="P789" s="91">
        <f t="shared" si="376"/>
        <v>0</v>
      </c>
      <c r="Q789" s="6">
        <f t="shared" si="377"/>
        <v>325.77039811084234</v>
      </c>
      <c r="R789" s="87">
        <f t="shared" si="395"/>
        <v>-390.55312700075524</v>
      </c>
      <c r="S789" s="6">
        <f t="shared" si="378"/>
        <v>-16.25429702311045</v>
      </c>
      <c r="T789" s="83">
        <f t="shared" si="386"/>
        <v>0</v>
      </c>
      <c r="U789" s="91">
        <f t="shared" si="392"/>
        <v>89476.899699396396</v>
      </c>
      <c r="V789" s="91">
        <f t="shared" si="387"/>
        <v>235.17544243737771</v>
      </c>
      <c r="W789" s="1">
        <f t="shared" si="398"/>
        <v>0</v>
      </c>
      <c r="X789" s="1">
        <f t="shared" si="398"/>
        <v>0</v>
      </c>
      <c r="Y789" s="1">
        <f t="shared" si="398"/>
        <v>0</v>
      </c>
      <c r="Z789" s="1">
        <f t="shared" si="398"/>
        <v>0</v>
      </c>
      <c r="AA789" s="1">
        <f t="shared" si="398"/>
        <v>0</v>
      </c>
      <c r="AB789" s="1">
        <f t="shared" si="398"/>
        <v>1</v>
      </c>
      <c r="AC789" s="1">
        <f t="shared" si="398"/>
        <v>1</v>
      </c>
      <c r="AD789" s="1">
        <f t="shared" si="398"/>
        <v>1</v>
      </c>
      <c r="AE789" s="1">
        <f t="shared" si="398"/>
        <v>1</v>
      </c>
      <c r="AF789" s="1">
        <f t="shared" si="398"/>
        <v>1</v>
      </c>
      <c r="AG789" s="1">
        <f t="shared" si="398"/>
        <v>1</v>
      </c>
      <c r="AH789" s="1">
        <f t="shared" si="398"/>
        <v>1</v>
      </c>
      <c r="AI789" s="44">
        <f t="shared" si="388"/>
        <v>77794.342419601409</v>
      </c>
      <c r="AJ789" s="44">
        <f t="shared" si="379"/>
        <v>78184.895546602158</v>
      </c>
      <c r="AK789" s="44" t="str">
        <f t="shared" si="396"/>
        <v>N</v>
      </c>
      <c r="AL789" s="4">
        <f t="shared" si="380"/>
        <v>99</v>
      </c>
      <c r="AM789" s="82">
        <f t="shared" si="389"/>
        <v>0</v>
      </c>
      <c r="AN789" s="82">
        <f t="shared" si="381"/>
        <v>0</v>
      </c>
      <c r="AO789" s="48">
        <v>0</v>
      </c>
      <c r="AP789" s="91">
        <f t="shared" si="390"/>
        <v>-390.55312700075524</v>
      </c>
      <c r="AQ789" s="91">
        <f t="shared" si="391"/>
        <v>-390.55312700075524</v>
      </c>
    </row>
    <row r="790" spans="1:43">
      <c r="A790" s="190">
        <f t="shared" si="382"/>
        <v>74.054243668720048</v>
      </c>
      <c r="B790" s="82">
        <f t="shared" si="383"/>
        <v>9</v>
      </c>
      <c r="C790" s="83">
        <f t="shared" si="384"/>
        <v>100</v>
      </c>
      <c r="D790" s="14">
        <f t="shared" si="370"/>
        <v>2.6283369587845051E-3</v>
      </c>
      <c r="E790" s="16">
        <f t="shared" si="371"/>
        <v>0</v>
      </c>
      <c r="F790" s="127"/>
      <c r="G790" s="88">
        <f t="shared" si="372"/>
        <v>0</v>
      </c>
      <c r="H790" s="89">
        <f t="shared" si="385"/>
        <v>4.1666666666666666E-3</v>
      </c>
      <c r="I790" s="219"/>
      <c r="J790" s="219"/>
      <c r="K790" s="6">
        <f t="shared" si="393"/>
        <v>77794.342419601409</v>
      </c>
      <c r="M790" s="6">
        <f t="shared" si="373"/>
        <v>204.46974536577559</v>
      </c>
      <c r="N790" s="6">
        <f t="shared" si="374"/>
        <v>-88.014825985048773</v>
      </c>
      <c r="O790" s="90">
        <f t="shared" si="375"/>
        <v>390.55312700075513</v>
      </c>
      <c r="P790" s="91">
        <f t="shared" si="376"/>
        <v>0</v>
      </c>
      <c r="Q790" s="6">
        <f t="shared" si="377"/>
        <v>324.62832224575885</v>
      </c>
      <c r="R790" s="87">
        <f t="shared" si="395"/>
        <v>-390.55312700075524</v>
      </c>
      <c r="S790" s="6">
        <f t="shared" si="378"/>
        <v>-16.197170419830982</v>
      </c>
      <c r="T790" s="83">
        <f t="shared" si="386"/>
        <v>0</v>
      </c>
      <c r="U790" s="91">
        <f t="shared" si="392"/>
        <v>89321.522014833026</v>
      </c>
      <c r="V790" s="91">
        <f t="shared" si="387"/>
        <v>234.76705752646947</v>
      </c>
      <c r="W790" s="1">
        <f t="shared" si="398"/>
        <v>0</v>
      </c>
      <c r="X790" s="1">
        <f t="shared" si="398"/>
        <v>0</v>
      </c>
      <c r="Y790" s="1">
        <f t="shared" si="398"/>
        <v>0</v>
      </c>
      <c r="Z790" s="1">
        <f t="shared" si="398"/>
        <v>0</v>
      </c>
      <c r="AA790" s="1">
        <f t="shared" si="398"/>
        <v>0</v>
      </c>
      <c r="AB790" s="1">
        <f t="shared" si="398"/>
        <v>1</v>
      </c>
      <c r="AC790" s="1">
        <f t="shared" si="398"/>
        <v>1</v>
      </c>
      <c r="AD790" s="1">
        <f t="shared" si="398"/>
        <v>1</v>
      </c>
      <c r="AE790" s="1">
        <f t="shared" si="398"/>
        <v>1</v>
      </c>
      <c r="AF790" s="1">
        <f t="shared" si="398"/>
        <v>1</v>
      </c>
      <c r="AG790" s="1">
        <f t="shared" si="398"/>
        <v>1</v>
      </c>
      <c r="AH790" s="1">
        <f t="shared" si="398"/>
        <v>1</v>
      </c>
      <c r="AI790" s="44">
        <f t="shared" si="388"/>
        <v>77520.244211981379</v>
      </c>
      <c r="AJ790" s="44">
        <f t="shared" si="379"/>
        <v>77910.797338982127</v>
      </c>
      <c r="AK790" s="44" t="str">
        <f t="shared" si="396"/>
        <v>N</v>
      </c>
      <c r="AL790" s="4">
        <f t="shared" si="380"/>
        <v>100</v>
      </c>
      <c r="AM790" s="82">
        <f t="shared" si="389"/>
        <v>0</v>
      </c>
      <c r="AN790" s="82">
        <f t="shared" si="381"/>
        <v>0</v>
      </c>
      <c r="AO790" s="48">
        <v>0</v>
      </c>
      <c r="AP790" s="91">
        <f t="shared" si="390"/>
        <v>-390.55312700075524</v>
      </c>
      <c r="AQ790" s="91">
        <f t="shared" si="391"/>
        <v>-390.55312700075524</v>
      </c>
    </row>
    <row r="791" spans="1:43">
      <c r="A791" s="190">
        <f t="shared" si="382"/>
        <v>74.137577002053376</v>
      </c>
      <c r="B791" s="82">
        <f t="shared" si="383"/>
        <v>9</v>
      </c>
      <c r="C791" s="83">
        <f t="shared" si="384"/>
        <v>101</v>
      </c>
      <c r="D791" s="14">
        <f t="shared" si="370"/>
        <v>2.6283369587845051E-3</v>
      </c>
      <c r="E791" s="16">
        <f t="shared" si="371"/>
        <v>0</v>
      </c>
      <c r="F791" s="127"/>
      <c r="G791" s="88">
        <f t="shared" si="372"/>
        <v>0</v>
      </c>
      <c r="H791" s="89">
        <f t="shared" si="385"/>
        <v>4.1666666666666666E-3</v>
      </c>
      <c r="I791" s="219"/>
      <c r="J791" s="219"/>
      <c r="K791" s="6">
        <f t="shared" si="393"/>
        <v>77520.244211981379</v>
      </c>
      <c r="M791" s="6">
        <f t="shared" si="373"/>
        <v>203.74932291635128</v>
      </c>
      <c r="N791" s="6">
        <f t="shared" si="374"/>
        <v>-87.704717238112281</v>
      </c>
      <c r="O791" s="90">
        <f t="shared" si="375"/>
        <v>390.55312700075513</v>
      </c>
      <c r="P791" s="91">
        <f t="shared" si="376"/>
        <v>0</v>
      </c>
      <c r="Q791" s="6">
        <f t="shared" si="377"/>
        <v>323.48453674024842</v>
      </c>
      <c r="R791" s="87">
        <f t="shared" si="395"/>
        <v>-390.55312700075524</v>
      </c>
      <c r="S791" s="6">
        <f t="shared" si="378"/>
        <v>-16.139958300384489</v>
      </c>
      <c r="T791" s="83">
        <f t="shared" si="386"/>
        <v>0</v>
      </c>
      <c r="U791" s="91">
        <f t="shared" si="392"/>
        <v>89165.735945358741</v>
      </c>
      <c r="V791" s="91">
        <f t="shared" si="387"/>
        <v>234.35759924240642</v>
      </c>
      <c r="W791" s="1">
        <f t="shared" ref="W791:AH800" si="399">IF($B791&lt;=W$78,1,0)</f>
        <v>0</v>
      </c>
      <c r="X791" s="1">
        <f t="shared" si="399"/>
        <v>0</v>
      </c>
      <c r="Y791" s="1">
        <f t="shared" si="399"/>
        <v>0</v>
      </c>
      <c r="Z791" s="1">
        <f t="shared" si="399"/>
        <v>0</v>
      </c>
      <c r="AA791" s="1">
        <f t="shared" si="399"/>
        <v>0</v>
      </c>
      <c r="AB791" s="1">
        <f t="shared" si="399"/>
        <v>1</v>
      </c>
      <c r="AC791" s="1">
        <f t="shared" si="399"/>
        <v>1</v>
      </c>
      <c r="AD791" s="1">
        <f t="shared" si="399"/>
        <v>1</v>
      </c>
      <c r="AE791" s="1">
        <f t="shared" si="399"/>
        <v>1</v>
      </c>
      <c r="AF791" s="1">
        <f t="shared" si="399"/>
        <v>1</v>
      </c>
      <c r="AG791" s="1">
        <f t="shared" si="399"/>
        <v>1</v>
      </c>
      <c r="AH791" s="1">
        <f t="shared" si="399"/>
        <v>1</v>
      </c>
      <c r="AI791" s="44">
        <f t="shared" si="388"/>
        <v>77245.735690658868</v>
      </c>
      <c r="AJ791" s="44">
        <f t="shared" si="379"/>
        <v>77636.288817659617</v>
      </c>
      <c r="AK791" s="44" t="str">
        <f t="shared" si="396"/>
        <v>N</v>
      </c>
      <c r="AL791" s="4">
        <f t="shared" si="380"/>
        <v>101</v>
      </c>
      <c r="AM791" s="82">
        <f t="shared" si="389"/>
        <v>0</v>
      </c>
      <c r="AN791" s="82">
        <f t="shared" si="381"/>
        <v>0</v>
      </c>
      <c r="AO791" s="48">
        <v>0</v>
      </c>
      <c r="AP791" s="91">
        <f t="shared" si="390"/>
        <v>-390.55312700075524</v>
      </c>
      <c r="AQ791" s="91">
        <f t="shared" si="391"/>
        <v>-390.55312700075524</v>
      </c>
    </row>
    <row r="792" spans="1:43">
      <c r="A792" s="190">
        <f t="shared" si="382"/>
        <v>74.220910335386719</v>
      </c>
      <c r="B792" s="82">
        <f t="shared" si="383"/>
        <v>9</v>
      </c>
      <c r="C792" s="83">
        <f t="shared" si="384"/>
        <v>102</v>
      </c>
      <c r="D792" s="14">
        <f t="shared" si="370"/>
        <v>2.6283369587845051E-3</v>
      </c>
      <c r="E792" s="16">
        <f t="shared" si="371"/>
        <v>0</v>
      </c>
      <c r="F792" s="127"/>
      <c r="G792" s="88">
        <f t="shared" si="372"/>
        <v>0</v>
      </c>
      <c r="H792" s="89">
        <f t="shared" si="385"/>
        <v>4.1666666666666666E-3</v>
      </c>
      <c r="I792" s="219"/>
      <c r="J792" s="219"/>
      <c r="K792" s="6">
        <f t="shared" si="393"/>
        <v>77245.735690658868</v>
      </c>
      <c r="M792" s="6">
        <f t="shared" si="373"/>
        <v>203.02782202425803</v>
      </c>
      <c r="N792" s="6">
        <f t="shared" si="374"/>
        <v>-87.394144271182398</v>
      </c>
      <c r="O792" s="90">
        <f t="shared" si="375"/>
        <v>390.55312700075513</v>
      </c>
      <c r="P792" s="91">
        <f t="shared" si="376"/>
        <v>0</v>
      </c>
      <c r="Q792" s="6">
        <f t="shared" si="377"/>
        <v>322.33903903504978</v>
      </c>
      <c r="R792" s="87">
        <f t="shared" si="395"/>
        <v>-390.55312700075524</v>
      </c>
      <c r="S792" s="6">
        <f t="shared" si="378"/>
        <v>-16.082660536756809</v>
      </c>
      <c r="T792" s="83">
        <f t="shared" si="386"/>
        <v>0</v>
      </c>
      <c r="U792" s="91">
        <f t="shared" si="392"/>
        <v>89009.540417600394</v>
      </c>
      <c r="V792" s="91">
        <f t="shared" si="387"/>
        <v>233.94706476400231</v>
      </c>
      <c r="W792" s="1">
        <f t="shared" si="399"/>
        <v>0</v>
      </c>
      <c r="X792" s="1">
        <f t="shared" si="399"/>
        <v>0</v>
      </c>
      <c r="Y792" s="1">
        <f t="shared" si="399"/>
        <v>0</v>
      </c>
      <c r="Z792" s="1">
        <f t="shared" si="399"/>
        <v>0</v>
      </c>
      <c r="AA792" s="1">
        <f t="shared" si="399"/>
        <v>0</v>
      </c>
      <c r="AB792" s="1">
        <f t="shared" si="399"/>
        <v>1</v>
      </c>
      <c r="AC792" s="1">
        <f t="shared" si="399"/>
        <v>1</v>
      </c>
      <c r="AD792" s="1">
        <f t="shared" si="399"/>
        <v>1</v>
      </c>
      <c r="AE792" s="1">
        <f t="shared" si="399"/>
        <v>1</v>
      </c>
      <c r="AF792" s="1">
        <f t="shared" si="399"/>
        <v>1</v>
      </c>
      <c r="AG792" s="1">
        <f t="shared" si="399"/>
        <v>1</v>
      </c>
      <c r="AH792" s="1">
        <f t="shared" si="399"/>
        <v>1</v>
      </c>
      <c r="AI792" s="44">
        <f t="shared" si="388"/>
        <v>76970.816241411201</v>
      </c>
      <c r="AJ792" s="44">
        <f t="shared" si="379"/>
        <v>77361.36936841195</v>
      </c>
      <c r="AK792" s="44" t="str">
        <f t="shared" si="396"/>
        <v>N</v>
      </c>
      <c r="AL792" s="4">
        <f t="shared" si="380"/>
        <v>102</v>
      </c>
      <c r="AM792" s="82">
        <f t="shared" si="389"/>
        <v>0</v>
      </c>
      <c r="AN792" s="82">
        <f t="shared" si="381"/>
        <v>0</v>
      </c>
      <c r="AO792" s="48">
        <v>0</v>
      </c>
      <c r="AP792" s="91">
        <f t="shared" si="390"/>
        <v>-390.55312700075524</v>
      </c>
      <c r="AQ792" s="91">
        <f t="shared" si="391"/>
        <v>-390.55312700075524</v>
      </c>
    </row>
    <row r="793" spans="1:43">
      <c r="A793" s="190">
        <f t="shared" si="382"/>
        <v>74.304243668720048</v>
      </c>
      <c r="B793" s="82">
        <f t="shared" si="383"/>
        <v>9</v>
      </c>
      <c r="C793" s="83">
        <f t="shared" si="384"/>
        <v>103</v>
      </c>
      <c r="D793" s="14">
        <f t="shared" si="370"/>
        <v>2.6283369587845051E-3</v>
      </c>
      <c r="E793" s="16">
        <f t="shared" si="371"/>
        <v>0</v>
      </c>
      <c r="F793" s="127"/>
      <c r="G793" s="88">
        <f t="shared" si="372"/>
        <v>0</v>
      </c>
      <c r="H793" s="89">
        <f t="shared" si="385"/>
        <v>4.1666666666666666E-3</v>
      </c>
      <c r="I793" s="219"/>
      <c r="J793" s="219"/>
      <c r="K793" s="6">
        <f t="shared" si="393"/>
        <v>76970.816241411201</v>
      </c>
      <c r="M793" s="6">
        <f t="shared" si="373"/>
        <v>202.30524107511172</v>
      </c>
      <c r="N793" s="6">
        <f t="shared" si="374"/>
        <v>-87.083106389340998</v>
      </c>
      <c r="O793" s="90">
        <f t="shared" si="375"/>
        <v>390.55312700075513</v>
      </c>
      <c r="P793" s="91">
        <f t="shared" si="376"/>
        <v>0</v>
      </c>
      <c r="Q793" s="6">
        <f t="shared" si="377"/>
        <v>321.19182656707073</v>
      </c>
      <c r="R793" s="87">
        <f t="shared" si="395"/>
        <v>-390.55312700075524</v>
      </c>
      <c r="S793" s="6">
        <f t="shared" si="378"/>
        <v>-16.02527700074214</v>
      </c>
      <c r="T793" s="83">
        <f t="shared" si="386"/>
        <v>0</v>
      </c>
      <c r="U793" s="91">
        <f t="shared" si="392"/>
        <v>88852.934355363643</v>
      </c>
      <c r="V793" s="91">
        <f t="shared" si="387"/>
        <v>233.53545126265576</v>
      </c>
      <c r="W793" s="1">
        <f t="shared" si="399"/>
        <v>0</v>
      </c>
      <c r="X793" s="1">
        <f t="shared" si="399"/>
        <v>0</v>
      </c>
      <c r="Y793" s="1">
        <f t="shared" si="399"/>
        <v>0</v>
      </c>
      <c r="Z793" s="1">
        <f t="shared" si="399"/>
        <v>0</v>
      </c>
      <c r="AA793" s="1">
        <f t="shared" si="399"/>
        <v>0</v>
      </c>
      <c r="AB793" s="1">
        <f t="shared" si="399"/>
        <v>1</v>
      </c>
      <c r="AC793" s="1">
        <f t="shared" si="399"/>
        <v>1</v>
      </c>
      <c r="AD793" s="1">
        <f t="shared" si="399"/>
        <v>1</v>
      </c>
      <c r="AE793" s="1">
        <f t="shared" si="399"/>
        <v>1</v>
      </c>
      <c r="AF793" s="1">
        <f t="shared" si="399"/>
        <v>1</v>
      </c>
      <c r="AG793" s="1">
        <f t="shared" si="399"/>
        <v>1</v>
      </c>
      <c r="AH793" s="1">
        <f t="shared" si="399"/>
        <v>1</v>
      </c>
      <c r="AI793" s="44">
        <f t="shared" si="388"/>
        <v>76695.485249096222</v>
      </c>
      <c r="AJ793" s="44">
        <f t="shared" si="379"/>
        <v>77086.038376096971</v>
      </c>
      <c r="AK793" s="44" t="str">
        <f t="shared" si="396"/>
        <v>N</v>
      </c>
      <c r="AL793" s="4">
        <f t="shared" si="380"/>
        <v>103</v>
      </c>
      <c r="AM793" s="82">
        <f t="shared" si="389"/>
        <v>0</v>
      </c>
      <c r="AN793" s="82">
        <f t="shared" si="381"/>
        <v>0</v>
      </c>
      <c r="AO793" s="48">
        <v>0</v>
      </c>
      <c r="AP793" s="91">
        <f t="shared" si="390"/>
        <v>-390.55312700075524</v>
      </c>
      <c r="AQ793" s="91">
        <f t="shared" si="391"/>
        <v>-390.55312700075524</v>
      </c>
    </row>
    <row r="794" spans="1:43">
      <c r="A794" s="190">
        <f t="shared" si="382"/>
        <v>74.387577002053376</v>
      </c>
      <c r="B794" s="82">
        <f t="shared" si="383"/>
        <v>9</v>
      </c>
      <c r="C794" s="83">
        <f t="shared" si="384"/>
        <v>104</v>
      </c>
      <c r="D794" s="14">
        <f t="shared" si="370"/>
        <v>2.6283369587845051E-3</v>
      </c>
      <c r="E794" s="16">
        <f t="shared" si="371"/>
        <v>0</v>
      </c>
      <c r="F794" s="127"/>
      <c r="G794" s="88">
        <f t="shared" si="372"/>
        <v>0</v>
      </c>
      <c r="H794" s="89">
        <f t="shared" si="385"/>
        <v>4.1666666666666666E-3</v>
      </c>
      <c r="I794" s="219"/>
      <c r="J794" s="219"/>
      <c r="K794" s="6">
        <f t="shared" si="393"/>
        <v>76695.485249096222</v>
      </c>
      <c r="M794" s="6">
        <f t="shared" si="373"/>
        <v>201.58157845211144</v>
      </c>
      <c r="N794" s="6">
        <f t="shared" si="374"/>
        <v>-86.771602896629574</v>
      </c>
      <c r="O794" s="90">
        <f t="shared" si="375"/>
        <v>390.55312700075513</v>
      </c>
      <c r="P794" s="91">
        <f t="shared" si="376"/>
        <v>0</v>
      </c>
      <c r="Q794" s="6">
        <f t="shared" si="377"/>
        <v>320.04289676938214</v>
      </c>
      <c r="R794" s="87">
        <f t="shared" si="395"/>
        <v>-390.55312700075524</v>
      </c>
      <c r="S794" s="6">
        <f t="shared" si="378"/>
        <v>-15.967807563942747</v>
      </c>
      <c r="T794" s="83">
        <f t="shared" si="386"/>
        <v>0</v>
      </c>
      <c r="U794" s="91">
        <f t="shared" si="392"/>
        <v>88695.916679625545</v>
      </c>
      <c r="V794" s="91">
        <f t="shared" si="387"/>
        <v>233.12275590233088</v>
      </c>
      <c r="W794" s="1">
        <f t="shared" si="399"/>
        <v>0</v>
      </c>
      <c r="X794" s="1">
        <f t="shared" si="399"/>
        <v>0</v>
      </c>
      <c r="Y794" s="1">
        <f t="shared" si="399"/>
        <v>0</v>
      </c>
      <c r="Z794" s="1">
        <f t="shared" si="399"/>
        <v>0</v>
      </c>
      <c r="AA794" s="1">
        <f t="shared" si="399"/>
        <v>0</v>
      </c>
      <c r="AB794" s="1">
        <f t="shared" si="399"/>
        <v>1</v>
      </c>
      <c r="AC794" s="1">
        <f t="shared" si="399"/>
        <v>1</v>
      </c>
      <c r="AD794" s="1">
        <f t="shared" si="399"/>
        <v>1</v>
      </c>
      <c r="AE794" s="1">
        <f t="shared" si="399"/>
        <v>1</v>
      </c>
      <c r="AF794" s="1">
        <f t="shared" si="399"/>
        <v>1</v>
      </c>
      <c r="AG794" s="1">
        <f t="shared" si="399"/>
        <v>1</v>
      </c>
      <c r="AH794" s="1">
        <f t="shared" si="399"/>
        <v>1</v>
      </c>
      <c r="AI794" s="44">
        <f t="shared" si="388"/>
        <v>76419.74209765096</v>
      </c>
      <c r="AJ794" s="44">
        <f t="shared" si="379"/>
        <v>76810.295224651709</v>
      </c>
      <c r="AK794" s="44" t="str">
        <f t="shared" si="396"/>
        <v>N</v>
      </c>
      <c r="AL794" s="4">
        <f t="shared" si="380"/>
        <v>104</v>
      </c>
      <c r="AM794" s="82">
        <f t="shared" si="389"/>
        <v>0</v>
      </c>
      <c r="AN794" s="82">
        <f t="shared" si="381"/>
        <v>0</v>
      </c>
      <c r="AO794" s="48">
        <v>0</v>
      </c>
      <c r="AP794" s="91">
        <f t="shared" si="390"/>
        <v>-390.55312700075524</v>
      </c>
      <c r="AQ794" s="91">
        <f t="shared" si="391"/>
        <v>-390.55312700075524</v>
      </c>
    </row>
    <row r="795" spans="1:43">
      <c r="A795" s="190">
        <f t="shared" si="382"/>
        <v>74.470910335386719</v>
      </c>
      <c r="B795" s="82">
        <f t="shared" si="383"/>
        <v>9</v>
      </c>
      <c r="C795" s="83">
        <f t="shared" si="384"/>
        <v>105</v>
      </c>
      <c r="D795" s="14">
        <f t="shared" si="370"/>
        <v>2.6283369587845051E-3</v>
      </c>
      <c r="E795" s="16">
        <f t="shared" si="371"/>
        <v>0</v>
      </c>
      <c r="F795" s="127"/>
      <c r="G795" s="88">
        <f t="shared" si="372"/>
        <v>0</v>
      </c>
      <c r="H795" s="89">
        <f t="shared" si="385"/>
        <v>4.1666666666666666E-3</v>
      </c>
      <c r="I795" s="219"/>
      <c r="J795" s="219"/>
      <c r="K795" s="6">
        <f t="shared" si="393"/>
        <v>76419.74209765096</v>
      </c>
      <c r="M795" s="6">
        <f t="shared" si="373"/>
        <v>200.85683253603614</v>
      </c>
      <c r="N795" s="6">
        <f t="shared" si="374"/>
        <v>-86.459633096047924</v>
      </c>
      <c r="O795" s="90">
        <f t="shared" si="375"/>
        <v>390.55312700075513</v>
      </c>
      <c r="P795" s="91">
        <f t="shared" si="376"/>
        <v>0</v>
      </c>
      <c r="Q795" s="6">
        <f t="shared" si="377"/>
        <v>318.8922470712123</v>
      </c>
      <c r="R795" s="87">
        <f t="shared" si="395"/>
        <v>-390.55312700075524</v>
      </c>
      <c r="S795" s="6">
        <f t="shared" si="378"/>
        <v>-15.910252097768712</v>
      </c>
      <c r="T795" s="83">
        <f t="shared" si="386"/>
        <v>0</v>
      </c>
      <c r="U795" s="91">
        <f t="shared" si="392"/>
        <v>88538.486308527121</v>
      </c>
      <c r="V795" s="91">
        <f t="shared" si="387"/>
        <v>232.70897583953771</v>
      </c>
      <c r="W795" s="1">
        <f t="shared" si="399"/>
        <v>0</v>
      </c>
      <c r="X795" s="1">
        <f t="shared" si="399"/>
        <v>0</v>
      </c>
      <c r="Y795" s="1">
        <f t="shared" si="399"/>
        <v>0</v>
      </c>
      <c r="Z795" s="1">
        <f t="shared" si="399"/>
        <v>0</v>
      </c>
      <c r="AA795" s="1">
        <f t="shared" si="399"/>
        <v>0</v>
      </c>
      <c r="AB795" s="1">
        <f t="shared" si="399"/>
        <v>1</v>
      </c>
      <c r="AC795" s="1">
        <f t="shared" si="399"/>
        <v>1</v>
      </c>
      <c r="AD795" s="1">
        <f t="shared" si="399"/>
        <v>1</v>
      </c>
      <c r="AE795" s="1">
        <f t="shared" si="399"/>
        <v>1</v>
      </c>
      <c r="AF795" s="1">
        <f t="shared" si="399"/>
        <v>1</v>
      </c>
      <c r="AG795" s="1">
        <f t="shared" si="399"/>
        <v>1</v>
      </c>
      <c r="AH795" s="1">
        <f t="shared" si="399"/>
        <v>1</v>
      </c>
      <c r="AI795" s="44">
        <f t="shared" si="388"/>
        <v>76143.586170090202</v>
      </c>
      <c r="AJ795" s="44">
        <f t="shared" si="379"/>
        <v>76534.139297090951</v>
      </c>
      <c r="AK795" s="44" t="str">
        <f t="shared" si="396"/>
        <v>N</v>
      </c>
      <c r="AL795" s="4">
        <f t="shared" si="380"/>
        <v>105</v>
      </c>
      <c r="AM795" s="82">
        <f t="shared" si="389"/>
        <v>0</v>
      </c>
      <c r="AN795" s="82">
        <f t="shared" si="381"/>
        <v>0</v>
      </c>
      <c r="AO795" s="48">
        <v>0</v>
      </c>
      <c r="AP795" s="91">
        <f t="shared" si="390"/>
        <v>-390.55312700075524</v>
      </c>
      <c r="AQ795" s="91">
        <f t="shared" si="391"/>
        <v>-390.55312700075524</v>
      </c>
    </row>
    <row r="796" spans="1:43">
      <c r="A796" s="190">
        <f t="shared" si="382"/>
        <v>74.554243668720048</v>
      </c>
      <c r="B796" s="82">
        <f t="shared" si="383"/>
        <v>9</v>
      </c>
      <c r="C796" s="83">
        <f t="shared" si="384"/>
        <v>106</v>
      </c>
      <c r="D796" s="14">
        <f t="shared" si="370"/>
        <v>2.6283369587845051E-3</v>
      </c>
      <c r="E796" s="16">
        <f t="shared" si="371"/>
        <v>0</v>
      </c>
      <c r="F796" s="127"/>
      <c r="G796" s="88">
        <f t="shared" si="372"/>
        <v>0</v>
      </c>
      <c r="H796" s="89">
        <f t="shared" si="385"/>
        <v>4.1666666666666666E-3</v>
      </c>
      <c r="I796" s="219"/>
      <c r="J796" s="219"/>
      <c r="K796" s="6">
        <f t="shared" si="393"/>
        <v>76143.586170090202</v>
      </c>
      <c r="M796" s="6">
        <f t="shared" si="373"/>
        <v>200.13100170524078</v>
      </c>
      <c r="N796" s="6">
        <f t="shared" si="374"/>
        <v>-86.147196289552397</v>
      </c>
      <c r="O796" s="90">
        <f t="shared" si="375"/>
        <v>390.55312700075513</v>
      </c>
      <c r="P796" s="91">
        <f t="shared" si="376"/>
        <v>0</v>
      </c>
      <c r="Q796" s="6">
        <f t="shared" si="377"/>
        <v>317.73987489794121</v>
      </c>
      <c r="R796" s="87">
        <f t="shared" si="395"/>
        <v>-390.55312700075524</v>
      </c>
      <c r="S796" s="6">
        <f t="shared" si="378"/>
        <v>-15.852610473437608</v>
      </c>
      <c r="T796" s="83">
        <f t="shared" si="386"/>
        <v>0</v>
      </c>
      <c r="U796" s="91">
        <f t="shared" si="392"/>
        <v>88380.642157365903</v>
      </c>
      <c r="V796" s="91">
        <f t="shared" si="387"/>
        <v>232.29410822331272</v>
      </c>
      <c r="W796" s="1">
        <f t="shared" si="399"/>
        <v>0</v>
      </c>
      <c r="X796" s="1">
        <f t="shared" si="399"/>
        <v>0</v>
      </c>
      <c r="Y796" s="1">
        <f t="shared" si="399"/>
        <v>0</v>
      </c>
      <c r="Z796" s="1">
        <f t="shared" si="399"/>
        <v>0</v>
      </c>
      <c r="AA796" s="1">
        <f t="shared" si="399"/>
        <v>0</v>
      </c>
      <c r="AB796" s="1">
        <f t="shared" si="399"/>
        <v>1</v>
      </c>
      <c r="AC796" s="1">
        <f t="shared" si="399"/>
        <v>1</v>
      </c>
      <c r="AD796" s="1">
        <f t="shared" si="399"/>
        <v>1</v>
      </c>
      <c r="AE796" s="1">
        <f t="shared" si="399"/>
        <v>1</v>
      </c>
      <c r="AF796" s="1">
        <f t="shared" si="399"/>
        <v>1</v>
      </c>
      <c r="AG796" s="1">
        <f t="shared" si="399"/>
        <v>1</v>
      </c>
      <c r="AH796" s="1">
        <f t="shared" si="399"/>
        <v>1</v>
      </c>
      <c r="AI796" s="44">
        <f t="shared" si="388"/>
        <v>75867.01684850514</v>
      </c>
      <c r="AJ796" s="44">
        <f t="shared" si="379"/>
        <v>76257.569975505889</v>
      </c>
      <c r="AK796" s="44" t="str">
        <f t="shared" si="396"/>
        <v>N</v>
      </c>
      <c r="AL796" s="4">
        <f t="shared" si="380"/>
        <v>106</v>
      </c>
      <c r="AM796" s="82">
        <f t="shared" si="389"/>
        <v>0</v>
      </c>
      <c r="AN796" s="82">
        <f t="shared" si="381"/>
        <v>0</v>
      </c>
      <c r="AO796" s="48">
        <v>0</v>
      </c>
      <c r="AP796" s="91">
        <f t="shared" si="390"/>
        <v>-390.55312700075524</v>
      </c>
      <c r="AQ796" s="91">
        <f t="shared" si="391"/>
        <v>-390.55312700075524</v>
      </c>
    </row>
    <row r="797" spans="1:43">
      <c r="A797" s="190">
        <f t="shared" si="382"/>
        <v>74.637577002053376</v>
      </c>
      <c r="B797" s="82">
        <f t="shared" si="383"/>
        <v>9</v>
      </c>
      <c r="C797" s="83">
        <f t="shared" si="384"/>
        <v>107</v>
      </c>
      <c r="D797" s="14">
        <f t="shared" si="370"/>
        <v>2.6283369587845051E-3</v>
      </c>
      <c r="E797" s="16">
        <f t="shared" si="371"/>
        <v>0</v>
      </c>
      <c r="F797" s="127"/>
      <c r="G797" s="88">
        <f t="shared" si="372"/>
        <v>0</v>
      </c>
      <c r="H797" s="89">
        <f t="shared" si="385"/>
        <v>4.1666666666666666E-3</v>
      </c>
      <c r="I797" s="219"/>
      <c r="J797" s="219"/>
      <c r="K797" s="6">
        <f t="shared" si="393"/>
        <v>75867.01684850514</v>
      </c>
      <c r="M797" s="6">
        <f t="shared" si="373"/>
        <v>199.40408433565281</v>
      </c>
      <c r="N797" s="6">
        <f t="shared" si="374"/>
        <v>-85.834291778054421</v>
      </c>
      <c r="O797" s="90">
        <f t="shared" si="375"/>
        <v>390.55312700075513</v>
      </c>
      <c r="P797" s="91">
        <f t="shared" si="376"/>
        <v>0</v>
      </c>
      <c r="Q797" s="6">
        <f t="shared" si="377"/>
        <v>316.58577767109472</v>
      </c>
      <c r="R797" s="87">
        <f t="shared" si="395"/>
        <v>-390.55312700075524</v>
      </c>
      <c r="S797" s="6">
        <f t="shared" si="378"/>
        <v>-15.79488256197423</v>
      </c>
      <c r="T797" s="83">
        <f t="shared" si="386"/>
        <v>0</v>
      </c>
      <c r="U797" s="91">
        <f t="shared" si="392"/>
        <v>88222.38313858847</v>
      </c>
      <c r="V797" s="91">
        <f t="shared" si="387"/>
        <v>231.87815019519903</v>
      </c>
      <c r="W797" s="1">
        <f t="shared" si="399"/>
        <v>0</v>
      </c>
      <c r="X797" s="1">
        <f t="shared" si="399"/>
        <v>0</v>
      </c>
      <c r="Y797" s="1">
        <f t="shared" si="399"/>
        <v>0</v>
      </c>
      <c r="Z797" s="1">
        <f t="shared" si="399"/>
        <v>0</v>
      </c>
      <c r="AA797" s="1">
        <f t="shared" si="399"/>
        <v>0</v>
      </c>
      <c r="AB797" s="1">
        <f t="shared" si="399"/>
        <v>1</v>
      </c>
      <c r="AC797" s="1">
        <f t="shared" si="399"/>
        <v>1</v>
      </c>
      <c r="AD797" s="1">
        <f t="shared" si="399"/>
        <v>1</v>
      </c>
      <c r="AE797" s="1">
        <f t="shared" si="399"/>
        <v>1</v>
      </c>
      <c r="AF797" s="1">
        <f t="shared" si="399"/>
        <v>1</v>
      </c>
      <c r="AG797" s="1">
        <f t="shared" si="399"/>
        <v>1</v>
      </c>
      <c r="AH797" s="1">
        <f t="shared" si="399"/>
        <v>1</v>
      </c>
      <c r="AI797" s="44">
        <f t="shared" si="388"/>
        <v>75590.033514061986</v>
      </c>
      <c r="AJ797" s="44">
        <f t="shared" si="379"/>
        <v>75980.586641062735</v>
      </c>
      <c r="AK797" s="44" t="str">
        <f t="shared" si="396"/>
        <v>N</v>
      </c>
      <c r="AL797" s="4">
        <f t="shared" si="380"/>
        <v>107</v>
      </c>
      <c r="AM797" s="82">
        <f t="shared" si="389"/>
        <v>0</v>
      </c>
      <c r="AN797" s="82">
        <f t="shared" si="381"/>
        <v>0</v>
      </c>
      <c r="AO797" s="48">
        <v>0</v>
      </c>
      <c r="AP797" s="91">
        <f t="shared" si="390"/>
        <v>-390.55312700075524</v>
      </c>
      <c r="AQ797" s="91">
        <f t="shared" si="391"/>
        <v>-390.55312700075524</v>
      </c>
    </row>
    <row r="798" spans="1:43">
      <c r="A798" s="190">
        <f t="shared" si="382"/>
        <v>74.720910335386719</v>
      </c>
      <c r="B798" s="82">
        <f t="shared" si="383"/>
        <v>9</v>
      </c>
      <c r="C798" s="83">
        <f t="shared" si="384"/>
        <v>108</v>
      </c>
      <c r="D798" s="14">
        <f t="shared" si="370"/>
        <v>2.6283369587845051E-3</v>
      </c>
      <c r="E798" s="16">
        <f t="shared" si="371"/>
        <v>0</v>
      </c>
      <c r="F798" s="127"/>
      <c r="G798" s="88">
        <f t="shared" si="372"/>
        <v>0</v>
      </c>
      <c r="H798" s="89">
        <f t="shared" si="385"/>
        <v>4.1666666666666666E-3</v>
      </c>
      <c r="I798" s="219"/>
      <c r="J798" s="219"/>
      <c r="K798" s="6">
        <f t="shared" si="393"/>
        <v>75590.033514061986</v>
      </c>
      <c r="M798" s="6">
        <f t="shared" si="373"/>
        <v>198.67607880076849</v>
      </c>
      <c r="N798" s="6">
        <f t="shared" si="374"/>
        <v>-85.520918861418906</v>
      </c>
      <c r="O798" s="90">
        <f t="shared" si="375"/>
        <v>390.55312700075513</v>
      </c>
      <c r="P798" s="91">
        <f t="shared" si="376"/>
        <v>0</v>
      </c>
      <c r="Q798" s="6">
        <f t="shared" si="377"/>
        <v>315.42995280833884</v>
      </c>
      <c r="R798" s="87">
        <f t="shared" si="395"/>
        <v>-390.55312700075524</v>
      </c>
      <c r="S798" s="6">
        <f t="shared" si="378"/>
        <v>-15.737068234210307</v>
      </c>
      <c r="T798" s="83">
        <f t="shared" si="386"/>
        <v>0</v>
      </c>
      <c r="U798" s="91">
        <f t="shared" si="392"/>
        <v>88063.708161782924</v>
      </c>
      <c r="V798" s="91">
        <f t="shared" si="387"/>
        <v>231.46109888922675</v>
      </c>
      <c r="W798" s="1">
        <f t="shared" si="399"/>
        <v>0</v>
      </c>
      <c r="X798" s="1">
        <f t="shared" si="399"/>
        <v>0</v>
      </c>
      <c r="Y798" s="1">
        <f t="shared" si="399"/>
        <v>0</v>
      </c>
      <c r="Z798" s="1">
        <f t="shared" si="399"/>
        <v>0</v>
      </c>
      <c r="AA798" s="1">
        <f t="shared" si="399"/>
        <v>0</v>
      </c>
      <c r="AB798" s="1">
        <f t="shared" si="399"/>
        <v>1</v>
      </c>
      <c r="AC798" s="1">
        <f t="shared" si="399"/>
        <v>1</v>
      </c>
      <c r="AD798" s="1">
        <f t="shared" si="399"/>
        <v>1</v>
      </c>
      <c r="AE798" s="1">
        <f t="shared" si="399"/>
        <v>1</v>
      </c>
      <c r="AF798" s="1">
        <f t="shared" si="399"/>
        <v>1</v>
      </c>
      <c r="AG798" s="1">
        <f t="shared" si="399"/>
        <v>1</v>
      </c>
      <c r="AH798" s="1">
        <f t="shared" si="399"/>
        <v>1</v>
      </c>
      <c r="AI798" s="44">
        <f t="shared" si="388"/>
        <v>75312.63554700058</v>
      </c>
      <c r="AJ798" s="44">
        <f t="shared" si="379"/>
        <v>75703.188674001329</v>
      </c>
      <c r="AK798" s="44" t="str">
        <f t="shared" si="396"/>
        <v>N</v>
      </c>
      <c r="AL798" s="4">
        <f t="shared" si="380"/>
        <v>108</v>
      </c>
      <c r="AM798" s="82">
        <f t="shared" si="389"/>
        <v>0</v>
      </c>
      <c r="AN798" s="82">
        <f t="shared" si="381"/>
        <v>0</v>
      </c>
      <c r="AO798" s="48">
        <v>0</v>
      </c>
      <c r="AP798" s="91">
        <f t="shared" si="390"/>
        <v>-390.55312700075524</v>
      </c>
      <c r="AQ798" s="91">
        <f t="shared" si="391"/>
        <v>-390.55312700075524</v>
      </c>
    </row>
    <row r="799" spans="1:43">
      <c r="A799" s="190">
        <f t="shared" si="382"/>
        <v>74.804243668720048</v>
      </c>
      <c r="B799" s="82">
        <f t="shared" si="383"/>
        <v>10</v>
      </c>
      <c r="C799" s="83">
        <f t="shared" si="384"/>
        <v>109</v>
      </c>
      <c r="D799" s="14">
        <f t="shared" si="370"/>
        <v>2.6283369587845051E-3</v>
      </c>
      <c r="E799" s="16">
        <f t="shared" si="371"/>
        <v>0</v>
      </c>
      <c r="F799" s="127"/>
      <c r="G799" s="88">
        <f t="shared" si="372"/>
        <v>0</v>
      </c>
      <c r="H799" s="89">
        <f t="shared" si="385"/>
        <v>4.1666666666666666E-3</v>
      </c>
      <c r="I799" s="219"/>
      <c r="J799" s="219"/>
      <c r="K799" s="6">
        <f t="shared" si="393"/>
        <v>75312.63554700058</v>
      </c>
      <c r="M799" s="6">
        <f t="shared" si="373"/>
        <v>197.94698347164933</v>
      </c>
      <c r="N799" s="6">
        <f t="shared" si="374"/>
        <v>-85.207076838462683</v>
      </c>
      <c r="O799" s="90">
        <f t="shared" si="375"/>
        <v>398.36418954077027</v>
      </c>
      <c r="P799" s="91">
        <f t="shared" si="376"/>
        <v>0</v>
      </c>
      <c r="Q799" s="6">
        <f t="shared" si="377"/>
        <v>314.272397723474</v>
      </c>
      <c r="R799" s="87">
        <f t="shared" si="395"/>
        <v>-398.96052428869996</v>
      </c>
      <c r="S799" s="6">
        <f t="shared" si="378"/>
        <v>-15.678290585140557</v>
      </c>
      <c r="T799" s="83">
        <f t="shared" si="386"/>
        <v>0</v>
      </c>
      <c r="U799" s="91">
        <f t="shared" si="392"/>
        <v>87904.616133671399</v>
      </c>
      <c r="V799" s="91">
        <f t="shared" si="387"/>
        <v>231.04295143189324</v>
      </c>
      <c r="W799" s="1">
        <f t="shared" si="399"/>
        <v>0</v>
      </c>
      <c r="X799" s="1">
        <f t="shared" si="399"/>
        <v>0</v>
      </c>
      <c r="Y799" s="1">
        <f t="shared" si="399"/>
        <v>0</v>
      </c>
      <c r="Z799" s="1">
        <f t="shared" si="399"/>
        <v>0</v>
      </c>
      <c r="AA799" s="1">
        <f t="shared" si="399"/>
        <v>0</v>
      </c>
      <c r="AB799" s="1">
        <f t="shared" si="399"/>
        <v>1</v>
      </c>
      <c r="AC799" s="1">
        <f t="shared" si="399"/>
        <v>1</v>
      </c>
      <c r="AD799" s="1">
        <f t="shared" si="399"/>
        <v>1</v>
      </c>
      <c r="AE799" s="1">
        <f t="shared" si="399"/>
        <v>1</v>
      </c>
      <c r="AF799" s="1">
        <f t="shared" si="399"/>
        <v>1</v>
      </c>
      <c r="AG799" s="1">
        <f t="shared" si="399"/>
        <v>1</v>
      </c>
      <c r="AH799" s="1">
        <f t="shared" si="399"/>
        <v>1</v>
      </c>
      <c r="AI799" s="44">
        <f t="shared" si="388"/>
        <v>75026.414929345061</v>
      </c>
      <c r="AJ799" s="44">
        <f t="shared" si="379"/>
        <v>75425.375453633766</v>
      </c>
      <c r="AK799" s="44" t="str">
        <f t="shared" si="396"/>
        <v>N</v>
      </c>
      <c r="AL799" s="4">
        <f t="shared" si="380"/>
        <v>109</v>
      </c>
      <c r="AM799" s="82">
        <f t="shared" si="389"/>
        <v>0</v>
      </c>
      <c r="AN799" s="82">
        <f t="shared" si="381"/>
        <v>0</v>
      </c>
      <c r="AO799" s="48">
        <v>0</v>
      </c>
      <c r="AP799" s="91">
        <f t="shared" si="390"/>
        <v>-398.96052428869996</v>
      </c>
      <c r="AQ799" s="91">
        <f t="shared" si="391"/>
        <v>-398.96052428869996</v>
      </c>
    </row>
    <row r="800" spans="1:43">
      <c r="A800" s="190">
        <f t="shared" si="382"/>
        <v>74.887577002053376</v>
      </c>
      <c r="B800" s="82">
        <f t="shared" si="383"/>
        <v>10</v>
      </c>
      <c r="C800" s="83">
        <f t="shared" si="384"/>
        <v>110</v>
      </c>
      <c r="D800" s="14">
        <f t="shared" si="370"/>
        <v>2.6283369587845051E-3</v>
      </c>
      <c r="E800" s="16">
        <f t="shared" si="371"/>
        <v>0</v>
      </c>
      <c r="F800" s="127"/>
      <c r="G800" s="88">
        <f t="shared" si="372"/>
        <v>0</v>
      </c>
      <c r="H800" s="89">
        <f t="shared" si="385"/>
        <v>4.1666666666666666E-3</v>
      </c>
      <c r="I800" s="219"/>
      <c r="J800" s="219"/>
      <c r="K800" s="6">
        <f t="shared" si="393"/>
        <v>75026.414929345061</v>
      </c>
      <c r="M800" s="6">
        <f t="shared" si="373"/>
        <v>197.19469924389918</v>
      </c>
      <c r="N800" s="6">
        <f t="shared" si="374"/>
        <v>-84.883253060630523</v>
      </c>
      <c r="O800" s="90">
        <f t="shared" si="375"/>
        <v>398.36418954077027</v>
      </c>
      <c r="P800" s="91">
        <f t="shared" si="376"/>
        <v>0</v>
      </c>
      <c r="Q800" s="6">
        <f t="shared" si="377"/>
        <v>313.07802656470142</v>
      </c>
      <c r="R800" s="87">
        <f t="shared" si="395"/>
        <v>-398.36418954077033</v>
      </c>
      <c r="S800" s="6">
        <f t="shared" si="378"/>
        <v>-15.618610362206672</v>
      </c>
      <c r="T800" s="83">
        <f t="shared" si="386"/>
        <v>0</v>
      </c>
      <c r="U800" s="91">
        <f t="shared" si="392"/>
        <v>87736.698560814591</v>
      </c>
      <c r="V800" s="91">
        <f t="shared" si="387"/>
        <v>230.6016074691243</v>
      </c>
      <c r="W800" s="1">
        <f t="shared" si="399"/>
        <v>0</v>
      </c>
      <c r="X800" s="1">
        <f t="shared" si="399"/>
        <v>0</v>
      </c>
      <c r="Y800" s="1">
        <f t="shared" si="399"/>
        <v>0</v>
      </c>
      <c r="Z800" s="1">
        <f t="shared" si="399"/>
        <v>0</v>
      </c>
      <c r="AA800" s="1">
        <f t="shared" si="399"/>
        <v>0</v>
      </c>
      <c r="AB800" s="1">
        <f t="shared" si="399"/>
        <v>1</v>
      </c>
      <c r="AC800" s="1">
        <f t="shared" si="399"/>
        <v>1</v>
      </c>
      <c r="AD800" s="1">
        <f t="shared" si="399"/>
        <v>1</v>
      </c>
      <c r="AE800" s="1">
        <f t="shared" si="399"/>
        <v>1</v>
      </c>
      <c r="AF800" s="1">
        <f t="shared" si="399"/>
        <v>1</v>
      </c>
      <c r="AG800" s="1">
        <f t="shared" si="399"/>
        <v>1</v>
      </c>
      <c r="AH800" s="1">
        <f t="shared" si="399"/>
        <v>1</v>
      </c>
      <c r="AI800" s="44">
        <f t="shared" si="388"/>
        <v>74740.362185987571</v>
      </c>
      <c r="AJ800" s="44">
        <f t="shared" si="379"/>
        <v>75138.726375528335</v>
      </c>
      <c r="AK800" s="44" t="str">
        <f t="shared" si="396"/>
        <v>N</v>
      </c>
      <c r="AL800" s="4">
        <f t="shared" si="380"/>
        <v>110</v>
      </c>
      <c r="AM800" s="82">
        <f t="shared" si="389"/>
        <v>0</v>
      </c>
      <c r="AN800" s="82">
        <f t="shared" si="381"/>
        <v>0</v>
      </c>
      <c r="AO800" s="48">
        <v>0</v>
      </c>
      <c r="AP800" s="91">
        <f t="shared" si="390"/>
        <v>-398.36418954077033</v>
      </c>
      <c r="AQ800" s="91">
        <f t="shared" si="391"/>
        <v>-398.36418954077033</v>
      </c>
    </row>
    <row r="801" spans="1:43">
      <c r="A801" s="190">
        <f t="shared" si="382"/>
        <v>74.970910335386719</v>
      </c>
      <c r="B801" s="82">
        <f t="shared" si="383"/>
        <v>10</v>
      </c>
      <c r="C801" s="83">
        <f t="shared" si="384"/>
        <v>111</v>
      </c>
      <c r="D801" s="14">
        <f t="shared" si="370"/>
        <v>2.6283369587845051E-3</v>
      </c>
      <c r="E801" s="16">
        <f t="shared" si="371"/>
        <v>0</v>
      </c>
      <c r="F801" s="127"/>
      <c r="G801" s="88">
        <f t="shared" si="372"/>
        <v>0</v>
      </c>
      <c r="H801" s="89">
        <f t="shared" si="385"/>
        <v>4.1666666666666666E-3</v>
      </c>
      <c r="I801" s="219"/>
      <c r="J801" s="219"/>
      <c r="K801" s="6">
        <f t="shared" si="393"/>
        <v>74740.362185987571</v>
      </c>
      <c r="M801" s="6">
        <f t="shared" si="373"/>
        <v>196.44285624637101</v>
      </c>
      <c r="N801" s="6">
        <f t="shared" si="374"/>
        <v>-84.559619212125739</v>
      </c>
      <c r="O801" s="90">
        <f t="shared" si="375"/>
        <v>398.36418954077027</v>
      </c>
      <c r="P801" s="91">
        <f t="shared" si="376"/>
        <v>0</v>
      </c>
      <c r="Q801" s="6">
        <f t="shared" si="377"/>
        <v>311.88435592925754</v>
      </c>
      <c r="R801" s="87">
        <f t="shared" si="395"/>
        <v>-398.36418954077033</v>
      </c>
      <c r="S801" s="6">
        <f t="shared" si="378"/>
        <v>-15.558902989936467</v>
      </c>
      <c r="T801" s="83">
        <f t="shared" si="386"/>
        <v>0</v>
      </c>
      <c r="U801" s="91">
        <f t="shared" si="392"/>
        <v>87568.935978742957</v>
      </c>
      <c r="V801" s="91">
        <f t="shared" si="387"/>
        <v>230.16067087436429</v>
      </c>
      <c r="W801" s="1">
        <f t="shared" ref="W801:AH810" si="400">IF($B801&lt;=W$78,1,0)</f>
        <v>0</v>
      </c>
      <c r="X801" s="1">
        <f t="shared" si="400"/>
        <v>0</v>
      </c>
      <c r="Y801" s="1">
        <f t="shared" si="400"/>
        <v>0</v>
      </c>
      <c r="Z801" s="1">
        <f t="shared" si="400"/>
        <v>0</v>
      </c>
      <c r="AA801" s="1">
        <f t="shared" si="400"/>
        <v>0</v>
      </c>
      <c r="AB801" s="1">
        <f t="shared" si="400"/>
        <v>1</v>
      </c>
      <c r="AC801" s="1">
        <f t="shared" si="400"/>
        <v>1</v>
      </c>
      <c r="AD801" s="1">
        <f t="shared" si="400"/>
        <v>1</v>
      </c>
      <c r="AE801" s="1">
        <f t="shared" si="400"/>
        <v>1</v>
      </c>
      <c r="AF801" s="1">
        <f t="shared" si="400"/>
        <v>1</v>
      </c>
      <c r="AG801" s="1">
        <f t="shared" si="400"/>
        <v>1</v>
      </c>
      <c r="AH801" s="1">
        <f t="shared" si="400"/>
        <v>1</v>
      </c>
      <c r="AI801" s="44">
        <f t="shared" si="388"/>
        <v>74453.88123348105</v>
      </c>
      <c r="AJ801" s="44">
        <f t="shared" si="379"/>
        <v>74852.245423021814</v>
      </c>
      <c r="AK801" s="44" t="str">
        <f t="shared" si="396"/>
        <v>N</v>
      </c>
      <c r="AL801" s="4">
        <f t="shared" si="380"/>
        <v>111</v>
      </c>
      <c r="AM801" s="82">
        <f t="shared" si="389"/>
        <v>0</v>
      </c>
      <c r="AN801" s="82">
        <f t="shared" si="381"/>
        <v>0</v>
      </c>
      <c r="AO801" s="48">
        <v>0</v>
      </c>
      <c r="AP801" s="91">
        <f t="shared" si="390"/>
        <v>-398.36418954077033</v>
      </c>
      <c r="AQ801" s="91">
        <f t="shared" si="391"/>
        <v>-398.36418954077033</v>
      </c>
    </row>
    <row r="802" spans="1:43">
      <c r="A802" s="190">
        <f t="shared" si="382"/>
        <v>75.054243668720048</v>
      </c>
      <c r="B802" s="82">
        <f t="shared" si="383"/>
        <v>10</v>
      </c>
      <c r="C802" s="83">
        <f t="shared" si="384"/>
        <v>112</v>
      </c>
      <c r="D802" s="14">
        <f t="shared" si="370"/>
        <v>2.6283369587845051E-3</v>
      </c>
      <c r="E802" s="16">
        <f t="shared" si="371"/>
        <v>0</v>
      </c>
      <c r="F802" s="127"/>
      <c r="G802" s="88">
        <f t="shared" si="372"/>
        <v>0</v>
      </c>
      <c r="H802" s="89">
        <f t="shared" si="385"/>
        <v>4.1666666666666666E-3</v>
      </c>
      <c r="I802" s="219"/>
      <c r="J802" s="219"/>
      <c r="K802" s="6">
        <f t="shared" si="393"/>
        <v>74453.88123348105</v>
      </c>
      <c r="M802" s="6">
        <f t="shared" si="373"/>
        <v>195.68988777091033</v>
      </c>
      <c r="N802" s="6">
        <f t="shared" si="374"/>
        <v>-84.235500897108793</v>
      </c>
      <c r="O802" s="90">
        <f t="shared" si="375"/>
        <v>398.36418954077027</v>
      </c>
      <c r="P802" s="91">
        <f t="shared" si="376"/>
        <v>0</v>
      </c>
      <c r="Q802" s="6">
        <f t="shared" si="377"/>
        <v>310.68889841814524</v>
      </c>
      <c r="R802" s="87">
        <f t="shared" si="395"/>
        <v>-398.36418954077033</v>
      </c>
      <c r="S802" s="6">
        <f t="shared" si="378"/>
        <v>-15.499106238194594</v>
      </c>
      <c r="T802" s="83">
        <f t="shared" si="386"/>
        <v>0</v>
      </c>
      <c r="U802" s="91">
        <f t="shared" si="392"/>
        <v>87400.732460076557</v>
      </c>
      <c r="V802" s="91">
        <f t="shared" si="387"/>
        <v>229.71857534965579</v>
      </c>
      <c r="W802" s="1">
        <f t="shared" si="400"/>
        <v>0</v>
      </c>
      <c r="X802" s="1">
        <f t="shared" si="400"/>
        <v>0</v>
      </c>
      <c r="Y802" s="1">
        <f t="shared" si="400"/>
        <v>0</v>
      </c>
      <c r="Z802" s="1">
        <f t="shared" si="400"/>
        <v>0</v>
      </c>
      <c r="AA802" s="1">
        <f t="shared" si="400"/>
        <v>0</v>
      </c>
      <c r="AB802" s="1">
        <f t="shared" si="400"/>
        <v>1</v>
      </c>
      <c r="AC802" s="1">
        <f t="shared" si="400"/>
        <v>1</v>
      </c>
      <c r="AD802" s="1">
        <f t="shared" si="400"/>
        <v>1</v>
      </c>
      <c r="AE802" s="1">
        <f t="shared" si="400"/>
        <v>1</v>
      </c>
      <c r="AF802" s="1">
        <f t="shared" si="400"/>
        <v>1</v>
      </c>
      <c r="AG802" s="1">
        <f t="shared" si="400"/>
        <v>1</v>
      </c>
      <c r="AH802" s="1">
        <f t="shared" si="400"/>
        <v>1</v>
      </c>
      <c r="AI802" s="44">
        <f t="shared" si="388"/>
        <v>74166.971430814097</v>
      </c>
      <c r="AJ802" s="44">
        <f t="shared" si="379"/>
        <v>74565.335620354861</v>
      </c>
      <c r="AK802" s="44" t="str">
        <f t="shared" si="396"/>
        <v>N</v>
      </c>
      <c r="AL802" s="4">
        <f t="shared" si="380"/>
        <v>112</v>
      </c>
      <c r="AM802" s="82">
        <f t="shared" si="389"/>
        <v>0</v>
      </c>
      <c r="AN802" s="82">
        <f t="shared" si="381"/>
        <v>0</v>
      </c>
      <c r="AO802" s="48">
        <v>0</v>
      </c>
      <c r="AP802" s="91">
        <f t="shared" si="390"/>
        <v>-398.36418954077033</v>
      </c>
      <c r="AQ802" s="91">
        <f t="shared" si="391"/>
        <v>-398.36418954077033</v>
      </c>
    </row>
    <row r="803" spans="1:43">
      <c r="A803" s="190">
        <f t="shared" si="382"/>
        <v>75.137577002053376</v>
      </c>
      <c r="B803" s="82">
        <f t="shared" si="383"/>
        <v>10</v>
      </c>
      <c r="C803" s="83">
        <f t="shared" si="384"/>
        <v>113</v>
      </c>
      <c r="D803" s="14">
        <f t="shared" si="370"/>
        <v>2.6283369587845051E-3</v>
      </c>
      <c r="E803" s="16">
        <f t="shared" si="371"/>
        <v>0</v>
      </c>
      <c r="F803" s="127"/>
      <c r="G803" s="88">
        <f t="shared" si="372"/>
        <v>0</v>
      </c>
      <c r="H803" s="89">
        <f t="shared" si="385"/>
        <v>4.1666666666666666E-3</v>
      </c>
      <c r="I803" s="219"/>
      <c r="J803" s="219"/>
      <c r="K803" s="6">
        <f t="shared" si="393"/>
        <v>74166.971430814097</v>
      </c>
      <c r="M803" s="6">
        <f t="shared" si="373"/>
        <v>194.93579213272321</v>
      </c>
      <c r="N803" s="6">
        <f t="shared" si="374"/>
        <v>-83.910897390353341</v>
      </c>
      <c r="O803" s="90">
        <f t="shared" si="375"/>
        <v>398.36418954077027</v>
      </c>
      <c r="P803" s="91">
        <f t="shared" si="376"/>
        <v>0</v>
      </c>
      <c r="Q803" s="6">
        <f t="shared" si="377"/>
        <v>309.49165135648525</v>
      </c>
      <c r="R803" s="87">
        <f t="shared" si="395"/>
        <v>-398.36418954077033</v>
      </c>
      <c r="S803" s="6">
        <f t="shared" si="378"/>
        <v>-15.439219973183672</v>
      </c>
      <c r="T803" s="83">
        <f t="shared" si="386"/>
        <v>0</v>
      </c>
      <c r="U803" s="91">
        <f t="shared" si="392"/>
        <v>87232.086845885453</v>
      </c>
      <c r="V803" s="91">
        <f t="shared" si="387"/>
        <v>229.2753178489404</v>
      </c>
      <c r="W803" s="1">
        <f t="shared" si="400"/>
        <v>0</v>
      </c>
      <c r="X803" s="1">
        <f t="shared" si="400"/>
        <v>0</v>
      </c>
      <c r="Y803" s="1">
        <f t="shared" si="400"/>
        <v>0</v>
      </c>
      <c r="Z803" s="1">
        <f t="shared" si="400"/>
        <v>0</v>
      </c>
      <c r="AA803" s="1">
        <f t="shared" si="400"/>
        <v>0</v>
      </c>
      <c r="AB803" s="1">
        <f t="shared" si="400"/>
        <v>1</v>
      </c>
      <c r="AC803" s="1">
        <f t="shared" si="400"/>
        <v>1</v>
      </c>
      <c r="AD803" s="1">
        <f t="shared" si="400"/>
        <v>1</v>
      </c>
      <c r="AE803" s="1">
        <f t="shared" si="400"/>
        <v>1</v>
      </c>
      <c r="AF803" s="1">
        <f t="shared" si="400"/>
        <v>1</v>
      </c>
      <c r="AG803" s="1">
        <f t="shared" si="400"/>
        <v>1</v>
      </c>
      <c r="AH803" s="1">
        <f t="shared" si="400"/>
        <v>1</v>
      </c>
      <c r="AI803" s="44">
        <f t="shared" si="388"/>
        <v>73879.632136015702</v>
      </c>
      <c r="AJ803" s="44">
        <f t="shared" si="379"/>
        <v>74277.996325556465</v>
      </c>
      <c r="AK803" s="44" t="str">
        <f t="shared" si="396"/>
        <v>N</v>
      </c>
      <c r="AL803" s="4">
        <f t="shared" si="380"/>
        <v>113</v>
      </c>
      <c r="AM803" s="82">
        <f t="shared" si="389"/>
        <v>0</v>
      </c>
      <c r="AN803" s="82">
        <f t="shared" si="381"/>
        <v>0</v>
      </c>
      <c r="AO803" s="48">
        <v>0</v>
      </c>
      <c r="AP803" s="91">
        <f t="shared" si="390"/>
        <v>-398.36418954077033</v>
      </c>
      <c r="AQ803" s="91">
        <f t="shared" si="391"/>
        <v>-398.36418954077033</v>
      </c>
    </row>
    <row r="804" spans="1:43">
      <c r="A804" s="190">
        <f t="shared" si="382"/>
        <v>75.220910335386719</v>
      </c>
      <c r="B804" s="82">
        <f t="shared" si="383"/>
        <v>10</v>
      </c>
      <c r="C804" s="83">
        <f t="shared" si="384"/>
        <v>114</v>
      </c>
      <c r="D804" s="14">
        <f t="shared" si="370"/>
        <v>2.6283369587845051E-3</v>
      </c>
      <c r="E804" s="16">
        <f t="shared" si="371"/>
        <v>0</v>
      </c>
      <c r="F804" s="127"/>
      <c r="G804" s="88">
        <f t="shared" si="372"/>
        <v>0</v>
      </c>
      <c r="H804" s="89">
        <f t="shared" si="385"/>
        <v>4.1666666666666666E-3</v>
      </c>
      <c r="I804" s="219"/>
      <c r="J804" s="219"/>
      <c r="K804" s="6">
        <f t="shared" si="393"/>
        <v>73879.632136015702</v>
      </c>
      <c r="M804" s="6">
        <f t="shared" si="373"/>
        <v>194.18056764449349</v>
      </c>
      <c r="N804" s="6">
        <f t="shared" si="374"/>
        <v>-83.585807965547374</v>
      </c>
      <c r="O804" s="90">
        <f t="shared" si="375"/>
        <v>398.36418954077027</v>
      </c>
      <c r="P804" s="91">
        <f t="shared" si="376"/>
        <v>0</v>
      </c>
      <c r="Q804" s="6">
        <f t="shared" si="377"/>
        <v>308.29261206539439</v>
      </c>
      <c r="R804" s="87">
        <f t="shared" si="395"/>
        <v>-398.36418954077033</v>
      </c>
      <c r="S804" s="6">
        <f t="shared" si="378"/>
        <v>-15.379244060906039</v>
      </c>
      <c r="T804" s="83">
        <f t="shared" si="386"/>
        <v>0</v>
      </c>
      <c r="U804" s="91">
        <f t="shared" si="392"/>
        <v>87062.997974193626</v>
      </c>
      <c r="V804" s="91">
        <f t="shared" si="387"/>
        <v>228.83089531815361</v>
      </c>
      <c r="W804" s="1">
        <f t="shared" si="400"/>
        <v>0</v>
      </c>
      <c r="X804" s="1">
        <f t="shared" si="400"/>
        <v>0</v>
      </c>
      <c r="Y804" s="1">
        <f t="shared" si="400"/>
        <v>0</v>
      </c>
      <c r="Z804" s="1">
        <f t="shared" si="400"/>
        <v>0</v>
      </c>
      <c r="AA804" s="1">
        <f t="shared" si="400"/>
        <v>0</v>
      </c>
      <c r="AB804" s="1">
        <f t="shared" si="400"/>
        <v>1</v>
      </c>
      <c r="AC804" s="1">
        <f t="shared" si="400"/>
        <v>1</v>
      </c>
      <c r="AD804" s="1">
        <f t="shared" si="400"/>
        <v>1</v>
      </c>
      <c r="AE804" s="1">
        <f t="shared" si="400"/>
        <v>1</v>
      </c>
      <c r="AF804" s="1">
        <f t="shared" si="400"/>
        <v>1</v>
      </c>
      <c r="AG804" s="1">
        <f t="shared" si="400"/>
        <v>1</v>
      </c>
      <c r="AH804" s="1">
        <f t="shared" si="400"/>
        <v>1</v>
      </c>
      <c r="AI804" s="44">
        <f t="shared" si="388"/>
        <v>73591.862706153886</v>
      </c>
      <c r="AJ804" s="44">
        <f t="shared" si="379"/>
        <v>73990.22689569465</v>
      </c>
      <c r="AK804" s="44" t="str">
        <f t="shared" si="396"/>
        <v>N</v>
      </c>
      <c r="AL804" s="4">
        <f t="shared" si="380"/>
        <v>114</v>
      </c>
      <c r="AM804" s="82">
        <f t="shared" si="389"/>
        <v>0</v>
      </c>
      <c r="AN804" s="82">
        <f t="shared" si="381"/>
        <v>0</v>
      </c>
      <c r="AO804" s="48">
        <v>0</v>
      </c>
      <c r="AP804" s="91">
        <f t="shared" si="390"/>
        <v>-398.36418954077033</v>
      </c>
      <c r="AQ804" s="91">
        <f t="shared" si="391"/>
        <v>-398.36418954077033</v>
      </c>
    </row>
    <row r="805" spans="1:43">
      <c r="A805" s="190">
        <f t="shared" si="382"/>
        <v>75.304243668720048</v>
      </c>
      <c r="B805" s="82">
        <f t="shared" si="383"/>
        <v>10</v>
      </c>
      <c r="C805" s="83">
        <f t="shared" si="384"/>
        <v>115</v>
      </c>
      <c r="D805" s="14">
        <f t="shared" si="370"/>
        <v>2.6283369587845051E-3</v>
      </c>
      <c r="E805" s="16">
        <f t="shared" si="371"/>
        <v>0</v>
      </c>
      <c r="F805" s="127"/>
      <c r="G805" s="88">
        <f t="shared" si="372"/>
        <v>0</v>
      </c>
      <c r="H805" s="89">
        <f t="shared" si="385"/>
        <v>4.1666666666666666E-3</v>
      </c>
      <c r="I805" s="219"/>
      <c r="J805" s="219"/>
      <c r="K805" s="6">
        <f t="shared" si="393"/>
        <v>73591.862706153886</v>
      </c>
      <c r="M805" s="6">
        <f t="shared" si="373"/>
        <v>193.42421261637935</v>
      </c>
      <c r="N805" s="6">
        <f t="shared" si="374"/>
        <v>-83.260231895291611</v>
      </c>
      <c r="O805" s="90">
        <f t="shared" si="375"/>
        <v>398.36418954077027</v>
      </c>
      <c r="P805" s="91">
        <f t="shared" si="376"/>
        <v>0</v>
      </c>
      <c r="Q805" s="6">
        <f t="shared" si="377"/>
        <v>307.09177786197904</v>
      </c>
      <c r="R805" s="87">
        <f t="shared" si="395"/>
        <v>-398.36418954077033</v>
      </c>
      <c r="S805" s="6">
        <f t="shared" si="378"/>
        <v>-15.319178367163429</v>
      </c>
      <c r="T805" s="83">
        <f t="shared" si="386"/>
        <v>0</v>
      </c>
      <c r="U805" s="91">
        <f t="shared" si="392"/>
        <v>86893.464679971017</v>
      </c>
      <c r="V805" s="91">
        <f t="shared" si="387"/>
        <v>228.38530469520384</v>
      </c>
      <c r="W805" s="1">
        <f t="shared" si="400"/>
        <v>0</v>
      </c>
      <c r="X805" s="1">
        <f t="shared" si="400"/>
        <v>0</v>
      </c>
      <c r="Y805" s="1">
        <f t="shared" si="400"/>
        <v>0</v>
      </c>
      <c r="Z805" s="1">
        <f t="shared" si="400"/>
        <v>0</v>
      </c>
      <c r="AA805" s="1">
        <f t="shared" si="400"/>
        <v>0</v>
      </c>
      <c r="AB805" s="1">
        <f t="shared" si="400"/>
        <v>1</v>
      </c>
      <c r="AC805" s="1">
        <f t="shared" si="400"/>
        <v>1</v>
      </c>
      <c r="AD805" s="1">
        <f t="shared" si="400"/>
        <v>1</v>
      </c>
      <c r="AE805" s="1">
        <f t="shared" si="400"/>
        <v>1</v>
      </c>
      <c r="AF805" s="1">
        <f t="shared" si="400"/>
        <v>1</v>
      </c>
      <c r="AG805" s="1">
        <f t="shared" si="400"/>
        <v>1</v>
      </c>
      <c r="AH805" s="1">
        <f t="shared" si="400"/>
        <v>1</v>
      </c>
      <c r="AI805" s="44">
        <f t="shared" si="388"/>
        <v>73303.662497334211</v>
      </c>
      <c r="AJ805" s="44">
        <f t="shared" si="379"/>
        <v>73702.026686874975</v>
      </c>
      <c r="AK805" s="44" t="str">
        <f t="shared" si="396"/>
        <v>N</v>
      </c>
      <c r="AL805" s="4">
        <f t="shared" si="380"/>
        <v>115</v>
      </c>
      <c r="AM805" s="82">
        <f t="shared" si="389"/>
        <v>0</v>
      </c>
      <c r="AN805" s="82">
        <f t="shared" si="381"/>
        <v>0</v>
      </c>
      <c r="AO805" s="48">
        <v>0</v>
      </c>
      <c r="AP805" s="91">
        <f t="shared" si="390"/>
        <v>-398.36418954077033</v>
      </c>
      <c r="AQ805" s="91">
        <f t="shared" si="391"/>
        <v>-398.36418954077033</v>
      </c>
    </row>
    <row r="806" spans="1:43">
      <c r="A806" s="190">
        <f t="shared" si="382"/>
        <v>75.387577002053376</v>
      </c>
      <c r="B806" s="82">
        <f t="shared" si="383"/>
        <v>10</v>
      </c>
      <c r="C806" s="83">
        <f t="shared" si="384"/>
        <v>116</v>
      </c>
      <c r="D806" s="14">
        <f t="shared" si="370"/>
        <v>2.6283369587845051E-3</v>
      </c>
      <c r="E806" s="16">
        <f t="shared" si="371"/>
        <v>0</v>
      </c>
      <c r="F806" s="127"/>
      <c r="G806" s="88">
        <f t="shared" si="372"/>
        <v>0</v>
      </c>
      <c r="H806" s="89">
        <f t="shared" si="385"/>
        <v>4.1666666666666666E-3</v>
      </c>
      <c r="I806" s="219"/>
      <c r="J806" s="219"/>
      <c r="K806" s="6">
        <f t="shared" si="393"/>
        <v>73303.662497334211</v>
      </c>
      <c r="M806" s="6">
        <f t="shared" si="373"/>
        <v>192.66672535600918</v>
      </c>
      <c r="N806" s="6">
        <f t="shared" si="374"/>
        <v>-82.934168451097932</v>
      </c>
      <c r="O806" s="90">
        <f t="shared" si="375"/>
        <v>398.36418954077027</v>
      </c>
      <c r="P806" s="91">
        <f t="shared" si="376"/>
        <v>0</v>
      </c>
      <c r="Q806" s="6">
        <f t="shared" si="377"/>
        <v>305.88914605932968</v>
      </c>
      <c r="R806" s="87">
        <f t="shared" si="395"/>
        <v>-398.36418954077033</v>
      </c>
      <c r="S806" s="6">
        <f t="shared" si="378"/>
        <v>-15.259022757556702</v>
      </c>
      <c r="T806" s="83">
        <f t="shared" si="386"/>
        <v>0</v>
      </c>
      <c r="U806" s="91">
        <f t="shared" si="392"/>
        <v>86723.485795125453</v>
      </c>
      <c r="V806" s="91">
        <f t="shared" si="387"/>
        <v>227.93854290995125</v>
      </c>
      <c r="W806" s="1">
        <f t="shared" si="400"/>
        <v>0</v>
      </c>
      <c r="X806" s="1">
        <f t="shared" si="400"/>
        <v>0</v>
      </c>
      <c r="Y806" s="1">
        <f t="shared" si="400"/>
        <v>0</v>
      </c>
      <c r="Z806" s="1">
        <f t="shared" si="400"/>
        <v>0</v>
      </c>
      <c r="AA806" s="1">
        <f t="shared" si="400"/>
        <v>0</v>
      </c>
      <c r="AB806" s="1">
        <f t="shared" si="400"/>
        <v>1</v>
      </c>
      <c r="AC806" s="1">
        <f t="shared" si="400"/>
        <v>1</v>
      </c>
      <c r="AD806" s="1">
        <f t="shared" si="400"/>
        <v>1</v>
      </c>
      <c r="AE806" s="1">
        <f t="shared" si="400"/>
        <v>1</v>
      </c>
      <c r="AF806" s="1">
        <f t="shared" si="400"/>
        <v>1</v>
      </c>
      <c r="AG806" s="1">
        <f t="shared" si="400"/>
        <v>1</v>
      </c>
      <c r="AH806" s="1">
        <f t="shared" si="400"/>
        <v>1</v>
      </c>
      <c r="AI806" s="44">
        <f t="shared" si="388"/>
        <v>73015.030864698361</v>
      </c>
      <c r="AJ806" s="44">
        <f t="shared" si="379"/>
        <v>73413.395054239125</v>
      </c>
      <c r="AK806" s="44" t="str">
        <f t="shared" si="396"/>
        <v>N</v>
      </c>
      <c r="AL806" s="4">
        <f t="shared" si="380"/>
        <v>116</v>
      </c>
      <c r="AM806" s="82">
        <f t="shared" si="389"/>
        <v>0</v>
      </c>
      <c r="AN806" s="82">
        <f t="shared" si="381"/>
        <v>0</v>
      </c>
      <c r="AO806" s="48">
        <v>0</v>
      </c>
      <c r="AP806" s="91">
        <f t="shared" si="390"/>
        <v>-398.36418954077033</v>
      </c>
      <c r="AQ806" s="91">
        <f t="shared" si="391"/>
        <v>-398.36418954077033</v>
      </c>
    </row>
    <row r="807" spans="1:43">
      <c r="A807" s="190">
        <f t="shared" si="382"/>
        <v>75.470910335386719</v>
      </c>
      <c r="B807" s="82">
        <f t="shared" si="383"/>
        <v>10</v>
      </c>
      <c r="C807" s="83">
        <f t="shared" si="384"/>
        <v>117</v>
      </c>
      <c r="D807" s="14">
        <f t="shared" si="370"/>
        <v>2.6283369587845051E-3</v>
      </c>
      <c r="E807" s="16">
        <f t="shared" si="371"/>
        <v>0</v>
      </c>
      <c r="F807" s="127"/>
      <c r="G807" s="88">
        <f t="shared" si="372"/>
        <v>0</v>
      </c>
      <c r="H807" s="89">
        <f t="shared" si="385"/>
        <v>4.1666666666666666E-3</v>
      </c>
      <c r="I807" s="219"/>
      <c r="J807" s="219"/>
      <c r="K807" s="6">
        <f t="shared" si="393"/>
        <v>73015.030864698361</v>
      </c>
      <c r="M807" s="6">
        <f t="shared" si="373"/>
        <v>191.90810416847808</v>
      </c>
      <c r="N807" s="6">
        <f t="shared" si="374"/>
        <v>-82.607616903387637</v>
      </c>
      <c r="O807" s="90">
        <f t="shared" si="375"/>
        <v>398.36418954077027</v>
      </c>
      <c r="P807" s="91">
        <f t="shared" si="376"/>
        <v>0</v>
      </c>
      <c r="Q807" s="6">
        <f t="shared" si="377"/>
        <v>304.68471396651438</v>
      </c>
      <c r="R807" s="87">
        <f t="shared" si="395"/>
        <v>-398.36418954077033</v>
      </c>
      <c r="S807" s="6">
        <f t="shared" si="378"/>
        <v>-15.198777097485515</v>
      </c>
      <c r="T807" s="83">
        <f t="shared" si="386"/>
        <v>0</v>
      </c>
      <c r="U807" s="91">
        <f t="shared" si="392"/>
        <v>86553.060148494638</v>
      </c>
      <c r="V807" s="91">
        <f t="shared" si="387"/>
        <v>227.49060688418675</v>
      </c>
      <c r="W807" s="1">
        <f t="shared" si="400"/>
        <v>0</v>
      </c>
      <c r="X807" s="1">
        <f t="shared" si="400"/>
        <v>0</v>
      </c>
      <c r="Y807" s="1">
        <f t="shared" si="400"/>
        <v>0</v>
      </c>
      <c r="Z807" s="1">
        <f t="shared" si="400"/>
        <v>0</v>
      </c>
      <c r="AA807" s="1">
        <f t="shared" si="400"/>
        <v>0</v>
      </c>
      <c r="AB807" s="1">
        <f t="shared" si="400"/>
        <v>1</v>
      </c>
      <c r="AC807" s="1">
        <f t="shared" si="400"/>
        <v>1</v>
      </c>
      <c r="AD807" s="1">
        <f t="shared" si="400"/>
        <v>1</v>
      </c>
      <c r="AE807" s="1">
        <f t="shared" si="400"/>
        <v>1</v>
      </c>
      <c r="AF807" s="1">
        <f t="shared" si="400"/>
        <v>1</v>
      </c>
      <c r="AG807" s="1">
        <f t="shared" si="400"/>
        <v>1</v>
      </c>
      <c r="AH807" s="1">
        <f t="shared" si="400"/>
        <v>1</v>
      </c>
      <c r="AI807" s="44">
        <f t="shared" si="388"/>
        <v>72725.96716242269</v>
      </c>
      <c r="AJ807" s="44">
        <f t="shared" si="379"/>
        <v>73124.331351963454</v>
      </c>
      <c r="AK807" s="44" t="str">
        <f t="shared" si="396"/>
        <v>N</v>
      </c>
      <c r="AL807" s="4">
        <f t="shared" si="380"/>
        <v>117</v>
      </c>
      <c r="AM807" s="82">
        <f t="shared" si="389"/>
        <v>0</v>
      </c>
      <c r="AN807" s="82">
        <f t="shared" si="381"/>
        <v>0</v>
      </c>
      <c r="AO807" s="48">
        <v>0</v>
      </c>
      <c r="AP807" s="91">
        <f t="shared" si="390"/>
        <v>-398.36418954077033</v>
      </c>
      <c r="AQ807" s="91">
        <f t="shared" si="391"/>
        <v>-398.36418954077033</v>
      </c>
    </row>
    <row r="808" spans="1:43">
      <c r="A808" s="190">
        <f t="shared" si="382"/>
        <v>75.554243668720048</v>
      </c>
      <c r="B808" s="82">
        <f t="shared" si="383"/>
        <v>10</v>
      </c>
      <c r="C808" s="83">
        <f t="shared" si="384"/>
        <v>118</v>
      </c>
      <c r="D808" s="14">
        <f t="shared" si="370"/>
        <v>2.6283369587845051E-3</v>
      </c>
      <c r="E808" s="16">
        <f t="shared" si="371"/>
        <v>0</v>
      </c>
      <c r="F808" s="127"/>
      <c r="G808" s="88">
        <f t="shared" si="372"/>
        <v>0</v>
      </c>
      <c r="H808" s="89">
        <f t="shared" si="385"/>
        <v>4.1666666666666666E-3</v>
      </c>
      <c r="I808" s="219"/>
      <c r="J808" s="219"/>
      <c r="K808" s="6">
        <f t="shared" si="393"/>
        <v>72725.96716242269</v>
      </c>
      <c r="M808" s="6">
        <f t="shared" si="373"/>
        <v>191.14834735634383</v>
      </c>
      <c r="N808" s="6">
        <f t="shared" si="374"/>
        <v>-82.280576521489934</v>
      </c>
      <c r="O808" s="90">
        <f t="shared" si="375"/>
        <v>398.36418954077027</v>
      </c>
      <c r="P808" s="91">
        <f t="shared" si="376"/>
        <v>0</v>
      </c>
      <c r="Q808" s="6">
        <f t="shared" si="377"/>
        <v>303.47847888857308</v>
      </c>
      <c r="R808" s="87">
        <f t="shared" si="395"/>
        <v>-398.36418954077033</v>
      </c>
      <c r="S808" s="6">
        <f t="shared" si="378"/>
        <v>-15.13844125214804</v>
      </c>
      <c r="T808" s="83">
        <f t="shared" si="386"/>
        <v>0</v>
      </c>
      <c r="U808" s="91">
        <f t="shared" si="392"/>
        <v>86382.186565838056</v>
      </c>
      <c r="V808" s="91">
        <f t="shared" si="387"/>
        <v>227.04149353161054</v>
      </c>
      <c r="W808" s="1">
        <f t="shared" si="400"/>
        <v>0</v>
      </c>
      <c r="X808" s="1">
        <f t="shared" si="400"/>
        <v>0</v>
      </c>
      <c r="Y808" s="1">
        <f t="shared" si="400"/>
        <v>0</v>
      </c>
      <c r="Z808" s="1">
        <f t="shared" si="400"/>
        <v>0</v>
      </c>
      <c r="AA808" s="1">
        <f t="shared" si="400"/>
        <v>0</v>
      </c>
      <c r="AB808" s="1">
        <f t="shared" si="400"/>
        <v>1</v>
      </c>
      <c r="AC808" s="1">
        <f t="shared" si="400"/>
        <v>1</v>
      </c>
      <c r="AD808" s="1">
        <f t="shared" si="400"/>
        <v>1</v>
      </c>
      <c r="AE808" s="1">
        <f t="shared" si="400"/>
        <v>1</v>
      </c>
      <c r="AF808" s="1">
        <f t="shared" si="400"/>
        <v>1</v>
      </c>
      <c r="AG808" s="1">
        <f t="shared" si="400"/>
        <v>1</v>
      </c>
      <c r="AH808" s="1">
        <f t="shared" si="400"/>
        <v>1</v>
      </c>
      <c r="AI808" s="44">
        <f t="shared" si="388"/>
        <v>72436.470743716782</v>
      </c>
      <c r="AJ808" s="44">
        <f t="shared" si="379"/>
        <v>72834.834933257545</v>
      </c>
      <c r="AK808" s="44" t="str">
        <f t="shared" si="396"/>
        <v>N</v>
      </c>
      <c r="AL808" s="4">
        <f t="shared" si="380"/>
        <v>118</v>
      </c>
      <c r="AM808" s="82">
        <f t="shared" si="389"/>
        <v>0</v>
      </c>
      <c r="AN808" s="82">
        <f t="shared" si="381"/>
        <v>0</v>
      </c>
      <c r="AO808" s="48">
        <v>0</v>
      </c>
      <c r="AP808" s="91">
        <f t="shared" si="390"/>
        <v>-398.36418954077033</v>
      </c>
      <c r="AQ808" s="91">
        <f t="shared" si="391"/>
        <v>-398.36418954077033</v>
      </c>
    </row>
    <row r="809" spans="1:43">
      <c r="A809" s="190">
        <f t="shared" si="382"/>
        <v>75.637577002053376</v>
      </c>
      <c r="B809" s="82">
        <f t="shared" si="383"/>
        <v>10</v>
      </c>
      <c r="C809" s="83">
        <f t="shared" si="384"/>
        <v>119</v>
      </c>
      <c r="D809" s="14">
        <f t="shared" si="370"/>
        <v>2.6283369587845051E-3</v>
      </c>
      <c r="E809" s="16">
        <f t="shared" si="371"/>
        <v>0</v>
      </c>
      <c r="F809" s="127"/>
      <c r="G809" s="88">
        <f t="shared" si="372"/>
        <v>0</v>
      </c>
      <c r="H809" s="89">
        <f t="shared" si="385"/>
        <v>4.1666666666666666E-3</v>
      </c>
      <c r="I809" s="219"/>
      <c r="J809" s="219"/>
      <c r="K809" s="6">
        <f t="shared" si="393"/>
        <v>72436.470743716782</v>
      </c>
      <c r="M809" s="6">
        <f t="shared" si="373"/>
        <v>190.38745321962335</v>
      </c>
      <c r="N809" s="6">
        <f t="shared" si="374"/>
        <v>-81.953046573640208</v>
      </c>
      <c r="O809" s="90">
        <f t="shared" si="375"/>
        <v>398.36418954077027</v>
      </c>
      <c r="P809" s="91">
        <f t="shared" si="376"/>
        <v>0</v>
      </c>
      <c r="Q809" s="6">
        <f t="shared" si="377"/>
        <v>302.27043812651146</v>
      </c>
      <c r="R809" s="87">
        <f t="shared" si="395"/>
        <v>-398.36418954077033</v>
      </c>
      <c r="S809" s="6">
        <f t="shared" si="378"/>
        <v>-15.07801508654066</v>
      </c>
      <c r="T809" s="83">
        <f t="shared" si="386"/>
        <v>0</v>
      </c>
      <c r="U809" s="91">
        <f t="shared" si="392"/>
        <v>86210.8638698289</v>
      </c>
      <c r="V809" s="91">
        <f t="shared" si="387"/>
        <v>226.59119975781107</v>
      </c>
      <c r="W809" s="1">
        <f t="shared" si="400"/>
        <v>0</v>
      </c>
      <c r="X809" s="1">
        <f t="shared" si="400"/>
        <v>0</v>
      </c>
      <c r="Y809" s="1">
        <f t="shared" si="400"/>
        <v>0</v>
      </c>
      <c r="Z809" s="1">
        <f t="shared" si="400"/>
        <v>0</v>
      </c>
      <c r="AA809" s="1">
        <f t="shared" si="400"/>
        <v>0</v>
      </c>
      <c r="AB809" s="1">
        <f t="shared" si="400"/>
        <v>1</v>
      </c>
      <c r="AC809" s="1">
        <f t="shared" si="400"/>
        <v>1</v>
      </c>
      <c r="AD809" s="1">
        <f t="shared" si="400"/>
        <v>1</v>
      </c>
      <c r="AE809" s="1">
        <f t="shared" si="400"/>
        <v>1</v>
      </c>
      <c r="AF809" s="1">
        <f t="shared" si="400"/>
        <v>1</v>
      </c>
      <c r="AG809" s="1">
        <f t="shared" si="400"/>
        <v>1</v>
      </c>
      <c r="AH809" s="1">
        <f t="shared" si="400"/>
        <v>1</v>
      </c>
      <c r="AI809" s="44">
        <f t="shared" si="388"/>
        <v>72146.540960821992</v>
      </c>
      <c r="AJ809" s="44">
        <f t="shared" si="379"/>
        <v>72544.905150362756</v>
      </c>
      <c r="AK809" s="44" t="str">
        <f t="shared" si="396"/>
        <v>N</v>
      </c>
      <c r="AL809" s="4">
        <f t="shared" si="380"/>
        <v>119</v>
      </c>
      <c r="AM809" s="82">
        <f t="shared" si="389"/>
        <v>0</v>
      </c>
      <c r="AN809" s="82">
        <f t="shared" si="381"/>
        <v>0</v>
      </c>
      <c r="AO809" s="48">
        <v>0</v>
      </c>
      <c r="AP809" s="91">
        <f t="shared" si="390"/>
        <v>-398.36418954077033</v>
      </c>
      <c r="AQ809" s="91">
        <f t="shared" si="391"/>
        <v>-398.36418954077033</v>
      </c>
    </row>
    <row r="810" spans="1:43">
      <c r="A810" s="190">
        <f t="shared" si="382"/>
        <v>75.720910335386719</v>
      </c>
      <c r="B810" s="82">
        <f t="shared" si="383"/>
        <v>10</v>
      </c>
      <c r="C810" s="83">
        <f t="shared" si="384"/>
        <v>120</v>
      </c>
      <c r="D810" s="14">
        <f t="shared" si="370"/>
        <v>2.6283369587845051E-3</v>
      </c>
      <c r="E810" s="16">
        <f t="shared" si="371"/>
        <v>0</v>
      </c>
      <c r="F810" s="127"/>
      <c r="G810" s="88">
        <f t="shared" si="372"/>
        <v>0</v>
      </c>
      <c r="H810" s="89">
        <f t="shared" si="385"/>
        <v>4.1666666666666666E-3</v>
      </c>
      <c r="I810" s="219"/>
      <c r="J810" s="219"/>
      <c r="K810" s="6">
        <f t="shared" si="393"/>
        <v>72146.540960821992</v>
      </c>
      <c r="M810" s="6">
        <f t="shared" si="373"/>
        <v>189.6254200557886</v>
      </c>
      <c r="N810" s="6">
        <f t="shared" si="374"/>
        <v>-81.625026326978443</v>
      </c>
      <c r="O810" s="90">
        <f t="shared" si="375"/>
        <v>398.36418954077027</v>
      </c>
      <c r="P810" s="91">
        <f t="shared" si="376"/>
        <v>0</v>
      </c>
      <c r="Q810" s="6">
        <f t="shared" si="377"/>
        <v>301.06058897729503</v>
      </c>
      <c r="R810" s="87">
        <f t="shared" si="395"/>
        <v>-398.36418954077033</v>
      </c>
      <c r="S810" s="6">
        <f t="shared" si="378"/>
        <v>-15.017498465457658</v>
      </c>
      <c r="T810" s="83">
        <f t="shared" si="386"/>
        <v>0</v>
      </c>
      <c r="U810" s="91">
        <f t="shared" si="392"/>
        <v>86039.090880045944</v>
      </c>
      <c r="V810" s="91">
        <f t="shared" si="387"/>
        <v>226.1397224602436</v>
      </c>
      <c r="W810" s="1">
        <f t="shared" si="400"/>
        <v>0</v>
      </c>
      <c r="X810" s="1">
        <f t="shared" si="400"/>
        <v>0</v>
      </c>
      <c r="Y810" s="1">
        <f t="shared" si="400"/>
        <v>0</v>
      </c>
      <c r="Z810" s="1">
        <f t="shared" si="400"/>
        <v>0</v>
      </c>
      <c r="AA810" s="1">
        <f t="shared" si="400"/>
        <v>0</v>
      </c>
      <c r="AB810" s="1">
        <f t="shared" si="400"/>
        <v>1</v>
      </c>
      <c r="AC810" s="1">
        <f t="shared" si="400"/>
        <v>1</v>
      </c>
      <c r="AD810" s="1">
        <f t="shared" si="400"/>
        <v>1</v>
      </c>
      <c r="AE810" s="1">
        <f t="shared" si="400"/>
        <v>1</v>
      </c>
      <c r="AF810" s="1">
        <f t="shared" si="400"/>
        <v>1</v>
      </c>
      <c r="AG810" s="1">
        <f t="shared" si="400"/>
        <v>1</v>
      </c>
      <c r="AH810" s="1">
        <f t="shared" si="400"/>
        <v>1</v>
      </c>
      <c r="AI810" s="44">
        <f t="shared" si="388"/>
        <v>71856.177165010042</v>
      </c>
      <c r="AJ810" s="44">
        <f t="shared" si="379"/>
        <v>72254.541354550805</v>
      </c>
      <c r="AK810" s="44" t="str">
        <f t="shared" si="396"/>
        <v>N</v>
      </c>
      <c r="AL810" s="4">
        <f t="shared" si="380"/>
        <v>120</v>
      </c>
      <c r="AM810" s="82">
        <f t="shared" si="389"/>
        <v>0</v>
      </c>
      <c r="AN810" s="82">
        <f t="shared" si="381"/>
        <v>0</v>
      </c>
      <c r="AO810" s="48">
        <v>0</v>
      </c>
      <c r="AP810" s="91">
        <f t="shared" si="390"/>
        <v>-398.36418954077033</v>
      </c>
      <c r="AQ810" s="91">
        <f t="shared" si="391"/>
        <v>-398.36418954077033</v>
      </c>
    </row>
    <row r="811" spans="1:43">
      <c r="A811" s="190">
        <f t="shared" si="382"/>
        <v>75.804243668720048</v>
      </c>
      <c r="B811" s="82">
        <f t="shared" si="383"/>
        <v>11</v>
      </c>
      <c r="C811" s="83">
        <f t="shared" si="384"/>
        <v>121</v>
      </c>
      <c r="D811" s="14">
        <f t="shared" si="370"/>
        <v>2.6283369587845051E-3</v>
      </c>
      <c r="E811" s="16">
        <f t="shared" si="371"/>
        <v>0</v>
      </c>
      <c r="F811" s="127"/>
      <c r="G811" s="88">
        <f t="shared" si="372"/>
        <v>0</v>
      </c>
      <c r="H811" s="89">
        <f t="shared" si="385"/>
        <v>4.1666666666666666E-3</v>
      </c>
      <c r="I811" s="219"/>
      <c r="J811" s="219"/>
      <c r="K811" s="6">
        <f t="shared" si="393"/>
        <v>71856.177165010042</v>
      </c>
      <c r="M811" s="6">
        <f t="shared" si="373"/>
        <v>188.86224615976309</v>
      </c>
      <c r="N811" s="6">
        <f t="shared" si="374"/>
        <v>-81.296515047547558</v>
      </c>
      <c r="O811" s="90">
        <f t="shared" si="375"/>
        <v>406.3314733315857</v>
      </c>
      <c r="P811" s="91">
        <f t="shared" si="376"/>
        <v>0</v>
      </c>
      <c r="Q811" s="6">
        <f t="shared" si="377"/>
        <v>299.84892873384274</v>
      </c>
      <c r="R811" s="87">
        <f t="shared" si="395"/>
        <v>-406.93973477447395</v>
      </c>
      <c r="S811" s="6">
        <f t="shared" si="378"/>
        <v>-14.95599694233441</v>
      </c>
      <c r="T811" s="83">
        <f t="shared" si="386"/>
        <v>0</v>
      </c>
      <c r="U811" s="91">
        <f t="shared" si="392"/>
        <v>85866.866412965421</v>
      </c>
      <c r="V811" s="91">
        <f t="shared" si="387"/>
        <v>225.68705852820889</v>
      </c>
      <c r="W811" s="1">
        <f t="shared" ref="W811:AH820" si="401">IF($B811&lt;=W$78,1,0)</f>
        <v>0</v>
      </c>
      <c r="X811" s="1">
        <f t="shared" si="401"/>
        <v>0</v>
      </c>
      <c r="Y811" s="1">
        <f t="shared" si="401"/>
        <v>0</v>
      </c>
      <c r="Z811" s="1">
        <f t="shared" si="401"/>
        <v>0</v>
      </c>
      <c r="AA811" s="1">
        <f t="shared" si="401"/>
        <v>0</v>
      </c>
      <c r="AB811" s="1">
        <f t="shared" si="401"/>
        <v>0</v>
      </c>
      <c r="AC811" s="1">
        <f t="shared" si="401"/>
        <v>1</v>
      </c>
      <c r="AD811" s="1">
        <f t="shared" si="401"/>
        <v>1</v>
      </c>
      <c r="AE811" s="1">
        <f t="shared" si="401"/>
        <v>1</v>
      </c>
      <c r="AF811" s="1">
        <f t="shared" si="401"/>
        <v>1</v>
      </c>
      <c r="AG811" s="1">
        <f t="shared" si="401"/>
        <v>1</v>
      </c>
      <c r="AH811" s="1">
        <f t="shared" si="401"/>
        <v>1</v>
      </c>
      <c r="AI811" s="44">
        <f t="shared" si="388"/>
        <v>71556.803161347794</v>
      </c>
      <c r="AJ811" s="44">
        <f t="shared" si="379"/>
        <v>71963.742896122261</v>
      </c>
      <c r="AK811" s="44" t="str">
        <f t="shared" si="396"/>
        <v>N</v>
      </c>
      <c r="AL811" s="4">
        <f t="shared" si="380"/>
        <v>121</v>
      </c>
      <c r="AM811" s="82">
        <f t="shared" si="389"/>
        <v>0</v>
      </c>
      <c r="AN811" s="82">
        <f t="shared" si="381"/>
        <v>0</v>
      </c>
      <c r="AO811" s="48">
        <v>0</v>
      </c>
      <c r="AP811" s="91">
        <f t="shared" si="390"/>
        <v>-406.93973477447395</v>
      </c>
      <c r="AQ811" s="91">
        <f t="shared" si="391"/>
        <v>-406.93973477447395</v>
      </c>
    </row>
    <row r="812" spans="1:43">
      <c r="A812" s="190">
        <f t="shared" si="382"/>
        <v>75.887577002053376</v>
      </c>
      <c r="B812" s="82">
        <f t="shared" si="383"/>
        <v>11</v>
      </c>
      <c r="C812" s="83">
        <f t="shared" si="384"/>
        <v>122</v>
      </c>
      <c r="D812" s="14">
        <f t="shared" si="370"/>
        <v>2.6283369587845051E-3</v>
      </c>
      <c r="E812" s="16">
        <f t="shared" si="371"/>
        <v>0</v>
      </c>
      <c r="F812" s="127"/>
      <c r="G812" s="88">
        <f t="shared" si="372"/>
        <v>0</v>
      </c>
      <c r="H812" s="89">
        <f t="shared" si="385"/>
        <v>4.1666666666666666E-3</v>
      </c>
      <c r="I812" s="219"/>
      <c r="J812" s="219"/>
      <c r="K812" s="6">
        <f t="shared" si="393"/>
        <v>71556.803161347794</v>
      </c>
      <c r="M812" s="6">
        <f t="shared" si="373"/>
        <v>188.07539040143831</v>
      </c>
      <c r="N812" s="6">
        <f t="shared" si="374"/>
        <v>-80.957809815042879</v>
      </c>
      <c r="O812" s="90">
        <f t="shared" si="375"/>
        <v>406.3314733315857</v>
      </c>
      <c r="P812" s="91">
        <f t="shared" si="376"/>
        <v>0</v>
      </c>
      <c r="Q812" s="6">
        <f t="shared" si="377"/>
        <v>298.59966975805918</v>
      </c>
      <c r="R812" s="87">
        <f t="shared" si="395"/>
        <v>-406.33147333158576</v>
      </c>
      <c r="S812" s="6">
        <f t="shared" si="378"/>
        <v>-14.89357247609701</v>
      </c>
      <c r="T812" s="83">
        <f t="shared" si="386"/>
        <v>0</v>
      </c>
      <c r="U812" s="91">
        <f t="shared" si="392"/>
        <v>85685.61373671917</v>
      </c>
      <c r="V812" s="91">
        <f t="shared" si="387"/>
        <v>225.21066542035229</v>
      </c>
      <c r="W812" s="1">
        <f t="shared" si="401"/>
        <v>0</v>
      </c>
      <c r="X812" s="1">
        <f t="shared" si="401"/>
        <v>0</v>
      </c>
      <c r="Y812" s="1">
        <f t="shared" si="401"/>
        <v>0</v>
      </c>
      <c r="Z812" s="1">
        <f t="shared" si="401"/>
        <v>0</v>
      </c>
      <c r="AA812" s="1">
        <f t="shared" si="401"/>
        <v>0</v>
      </c>
      <c r="AB812" s="1">
        <f t="shared" si="401"/>
        <v>0</v>
      </c>
      <c r="AC812" s="1">
        <f t="shared" si="401"/>
        <v>1</v>
      </c>
      <c r="AD812" s="1">
        <f t="shared" si="401"/>
        <v>1</v>
      </c>
      <c r="AE812" s="1">
        <f t="shared" si="401"/>
        <v>1</v>
      </c>
      <c r="AF812" s="1">
        <f t="shared" si="401"/>
        <v>1</v>
      </c>
      <c r="AG812" s="1">
        <f t="shared" si="401"/>
        <v>1</v>
      </c>
      <c r="AH812" s="1">
        <f t="shared" si="401"/>
        <v>1</v>
      </c>
      <c r="AI812" s="44">
        <f t="shared" si="388"/>
        <v>71257.589268602605</v>
      </c>
      <c r="AJ812" s="44">
        <f t="shared" si="379"/>
        <v>71663.920741934198</v>
      </c>
      <c r="AK812" s="44" t="str">
        <f t="shared" si="396"/>
        <v>N</v>
      </c>
      <c r="AL812" s="4">
        <f t="shared" si="380"/>
        <v>122</v>
      </c>
      <c r="AM812" s="82">
        <f t="shared" si="389"/>
        <v>0</v>
      </c>
      <c r="AN812" s="82">
        <f t="shared" si="381"/>
        <v>0</v>
      </c>
      <c r="AO812" s="48">
        <v>0</v>
      </c>
      <c r="AP812" s="91">
        <f t="shared" si="390"/>
        <v>-406.33147333158576</v>
      </c>
      <c r="AQ812" s="91">
        <f t="shared" si="391"/>
        <v>-406.33147333158576</v>
      </c>
    </row>
    <row r="813" spans="1:43">
      <c r="A813" s="190">
        <f t="shared" si="382"/>
        <v>75.970910335386719</v>
      </c>
      <c r="B813" s="82">
        <f t="shared" si="383"/>
        <v>11</v>
      </c>
      <c r="C813" s="83">
        <f t="shared" si="384"/>
        <v>123</v>
      </c>
      <c r="D813" s="14">
        <f t="shared" si="370"/>
        <v>2.6283369587845051E-3</v>
      </c>
      <c r="E813" s="16">
        <f t="shared" si="371"/>
        <v>0</v>
      </c>
      <c r="F813" s="127"/>
      <c r="G813" s="88">
        <f t="shared" si="372"/>
        <v>0</v>
      </c>
      <c r="H813" s="89">
        <f t="shared" si="385"/>
        <v>4.1666666666666666E-3</v>
      </c>
      <c r="I813" s="219"/>
      <c r="J813" s="219"/>
      <c r="K813" s="6">
        <f t="shared" si="393"/>
        <v>71257.589268602605</v>
      </c>
      <c r="M813" s="6">
        <f t="shared" si="373"/>
        <v>187.28895546855435</v>
      </c>
      <c r="N813" s="6">
        <f t="shared" si="374"/>
        <v>-80.619285728545293</v>
      </c>
      <c r="O813" s="90">
        <f t="shared" si="375"/>
        <v>406.3314733315857</v>
      </c>
      <c r="P813" s="91">
        <f t="shared" si="376"/>
        <v>0</v>
      </c>
      <c r="Q813" s="6">
        <f t="shared" si="377"/>
        <v>297.35107890976087</v>
      </c>
      <c r="R813" s="87">
        <f t="shared" si="395"/>
        <v>-406.33147333158576</v>
      </c>
      <c r="S813" s="6">
        <f t="shared" si="378"/>
        <v>-14.831117996294216</v>
      </c>
      <c r="T813" s="83">
        <f t="shared" si="386"/>
        <v>0</v>
      </c>
      <c r="U813" s="91">
        <f t="shared" si="392"/>
        <v>85504.492928807929</v>
      </c>
      <c r="V813" s="91">
        <f t="shared" si="387"/>
        <v>224.73461890691425</v>
      </c>
      <c r="W813" s="1">
        <f t="shared" si="401"/>
        <v>0</v>
      </c>
      <c r="X813" s="1">
        <f t="shared" si="401"/>
        <v>0</v>
      </c>
      <c r="Y813" s="1">
        <f t="shared" si="401"/>
        <v>0</v>
      </c>
      <c r="Z813" s="1">
        <f t="shared" si="401"/>
        <v>0</v>
      </c>
      <c r="AA813" s="1">
        <f t="shared" si="401"/>
        <v>0</v>
      </c>
      <c r="AB813" s="1">
        <f t="shared" si="401"/>
        <v>0</v>
      </c>
      <c r="AC813" s="1">
        <f t="shared" si="401"/>
        <v>1</v>
      </c>
      <c r="AD813" s="1">
        <f t="shared" si="401"/>
        <v>1</v>
      </c>
      <c r="AE813" s="1">
        <f t="shared" si="401"/>
        <v>1</v>
      </c>
      <c r="AF813" s="1">
        <f t="shared" si="401"/>
        <v>1</v>
      </c>
      <c r="AG813" s="1">
        <f t="shared" si="401"/>
        <v>1</v>
      </c>
      <c r="AH813" s="1">
        <f t="shared" si="401"/>
        <v>1</v>
      </c>
      <c r="AI813" s="44">
        <f t="shared" si="388"/>
        <v>70957.927465011016</v>
      </c>
      <c r="AJ813" s="44">
        <f t="shared" si="379"/>
        <v>71364.258938342609</v>
      </c>
      <c r="AK813" s="44" t="str">
        <f t="shared" si="396"/>
        <v>N</v>
      </c>
      <c r="AL813" s="4">
        <f t="shared" si="380"/>
        <v>123</v>
      </c>
      <c r="AM813" s="82">
        <f t="shared" si="389"/>
        <v>0</v>
      </c>
      <c r="AN813" s="82">
        <f t="shared" si="381"/>
        <v>0</v>
      </c>
      <c r="AO813" s="48">
        <v>0</v>
      </c>
      <c r="AP813" s="91">
        <f t="shared" si="390"/>
        <v>-406.33147333158576</v>
      </c>
      <c r="AQ813" s="91">
        <f t="shared" si="391"/>
        <v>-406.33147333158576</v>
      </c>
    </row>
    <row r="814" spans="1:43">
      <c r="A814" s="190">
        <f t="shared" si="382"/>
        <v>76.054243668720048</v>
      </c>
      <c r="B814" s="82">
        <f t="shared" si="383"/>
        <v>11</v>
      </c>
      <c r="C814" s="83">
        <f t="shared" si="384"/>
        <v>124</v>
      </c>
      <c r="D814" s="14">
        <f t="shared" si="370"/>
        <v>2.6283369587845051E-3</v>
      </c>
      <c r="E814" s="16">
        <f t="shared" si="371"/>
        <v>0</v>
      </c>
      <c r="F814" s="127"/>
      <c r="G814" s="88">
        <f t="shared" si="372"/>
        <v>0</v>
      </c>
      <c r="H814" s="89">
        <f t="shared" si="385"/>
        <v>4.1666666666666666E-3</v>
      </c>
      <c r="I814" s="219"/>
      <c r="J814" s="219"/>
      <c r="K814" s="6">
        <f t="shared" si="393"/>
        <v>70957.927465011016</v>
      </c>
      <c r="M814" s="6">
        <f t="shared" si="373"/>
        <v>186.50134327503855</v>
      </c>
      <c r="N814" s="6">
        <f t="shared" si="374"/>
        <v>-80.280254885463904</v>
      </c>
      <c r="O814" s="90">
        <f t="shared" si="375"/>
        <v>406.3314733315857</v>
      </c>
      <c r="P814" s="91">
        <f t="shared" si="376"/>
        <v>0</v>
      </c>
      <c r="Q814" s="6">
        <f t="shared" si="377"/>
        <v>296.10061897250245</v>
      </c>
      <c r="R814" s="87">
        <f t="shared" si="395"/>
        <v>-406.33147333158576</v>
      </c>
      <c r="S814" s="6">
        <f t="shared" si="378"/>
        <v>-14.768570024713171</v>
      </c>
      <c r="T814" s="83">
        <f t="shared" si="386"/>
        <v>0</v>
      </c>
      <c r="U814" s="91">
        <f t="shared" si="392"/>
        <v>85322.896074383258</v>
      </c>
      <c r="V814" s="91">
        <f t="shared" si="387"/>
        <v>224.25732118283088</v>
      </c>
      <c r="W814" s="1">
        <f t="shared" si="401"/>
        <v>0</v>
      </c>
      <c r="X814" s="1">
        <f t="shared" si="401"/>
        <v>0</v>
      </c>
      <c r="Y814" s="1">
        <f t="shared" si="401"/>
        <v>0</v>
      </c>
      <c r="Z814" s="1">
        <f t="shared" si="401"/>
        <v>0</v>
      </c>
      <c r="AA814" s="1">
        <f t="shared" si="401"/>
        <v>0</v>
      </c>
      <c r="AB814" s="1">
        <f t="shared" si="401"/>
        <v>0</v>
      </c>
      <c r="AC814" s="1">
        <f t="shared" si="401"/>
        <v>1</v>
      </c>
      <c r="AD814" s="1">
        <f t="shared" si="401"/>
        <v>1</v>
      </c>
      <c r="AE814" s="1">
        <f t="shared" si="401"/>
        <v>1</v>
      </c>
      <c r="AF814" s="1">
        <f t="shared" si="401"/>
        <v>1</v>
      </c>
      <c r="AG814" s="1">
        <f t="shared" si="401"/>
        <v>1</v>
      </c>
      <c r="AH814" s="1">
        <f t="shared" si="401"/>
        <v>1</v>
      </c>
      <c r="AI814" s="44">
        <f t="shared" si="388"/>
        <v>70657.817080068999</v>
      </c>
      <c r="AJ814" s="44">
        <f t="shared" si="379"/>
        <v>71064.148553400591</v>
      </c>
      <c r="AK814" s="44" t="str">
        <f t="shared" si="396"/>
        <v>N</v>
      </c>
      <c r="AL814" s="4">
        <f t="shared" si="380"/>
        <v>124</v>
      </c>
      <c r="AM814" s="82">
        <f t="shared" si="389"/>
        <v>0</v>
      </c>
      <c r="AN814" s="82">
        <f t="shared" si="381"/>
        <v>0</v>
      </c>
      <c r="AO814" s="48">
        <v>0</v>
      </c>
      <c r="AP814" s="91">
        <f t="shared" si="390"/>
        <v>-406.33147333158576</v>
      </c>
      <c r="AQ814" s="91">
        <f t="shared" si="391"/>
        <v>-406.33147333158576</v>
      </c>
    </row>
    <row r="815" spans="1:43">
      <c r="A815" s="190">
        <f t="shared" si="382"/>
        <v>76.137577002053376</v>
      </c>
      <c r="B815" s="82">
        <f t="shared" si="383"/>
        <v>11</v>
      </c>
      <c r="C815" s="83">
        <f t="shared" si="384"/>
        <v>125</v>
      </c>
      <c r="D815" s="14">
        <f t="shared" si="370"/>
        <v>2.6283369587845051E-3</v>
      </c>
      <c r="E815" s="16">
        <f t="shared" si="371"/>
        <v>0</v>
      </c>
      <c r="F815" s="127"/>
      <c r="G815" s="88">
        <f t="shared" si="372"/>
        <v>0</v>
      </c>
      <c r="H815" s="89">
        <f t="shared" si="385"/>
        <v>4.1666666666666666E-3</v>
      </c>
      <c r="I815" s="219"/>
      <c r="J815" s="219"/>
      <c r="K815" s="6">
        <f t="shared" si="393"/>
        <v>70657.817080068999</v>
      </c>
      <c r="M815" s="6">
        <f t="shared" si="373"/>
        <v>185.71255205858043</v>
      </c>
      <c r="N815" s="6">
        <f t="shared" si="374"/>
        <v>-79.940716527205041</v>
      </c>
      <c r="O815" s="90">
        <f t="shared" si="375"/>
        <v>406.3314733315857</v>
      </c>
      <c r="P815" s="91">
        <f t="shared" si="376"/>
        <v>0</v>
      </c>
      <c r="Q815" s="6">
        <f t="shared" si="377"/>
        <v>294.84828714833492</v>
      </c>
      <c r="R815" s="87">
        <f t="shared" si="395"/>
        <v>-406.33147333158576</v>
      </c>
      <c r="S815" s="6">
        <f t="shared" si="378"/>
        <v>-14.705928421400547</v>
      </c>
      <c r="T815" s="83">
        <f t="shared" si="386"/>
        <v>0</v>
      </c>
      <c r="U815" s="91">
        <f t="shared" si="392"/>
        <v>85140.821922234492</v>
      </c>
      <c r="V815" s="91">
        <f t="shared" si="387"/>
        <v>223.77876895949893</v>
      </c>
      <c r="W815" s="1">
        <f t="shared" si="401"/>
        <v>0</v>
      </c>
      <c r="X815" s="1">
        <f t="shared" si="401"/>
        <v>0</v>
      </c>
      <c r="Y815" s="1">
        <f t="shared" si="401"/>
        <v>0</v>
      </c>
      <c r="Z815" s="1">
        <f t="shared" si="401"/>
        <v>0</v>
      </c>
      <c r="AA815" s="1">
        <f t="shared" si="401"/>
        <v>0</v>
      </c>
      <c r="AB815" s="1">
        <f t="shared" si="401"/>
        <v>0</v>
      </c>
      <c r="AC815" s="1">
        <f t="shared" si="401"/>
        <v>1</v>
      </c>
      <c r="AD815" s="1">
        <f t="shared" si="401"/>
        <v>1</v>
      </c>
      <c r="AE815" s="1">
        <f t="shared" si="401"/>
        <v>1</v>
      </c>
      <c r="AF815" s="1">
        <f t="shared" si="401"/>
        <v>1</v>
      </c>
      <c r="AG815" s="1">
        <f t="shared" si="401"/>
        <v>1</v>
      </c>
      <c r="AH815" s="1">
        <f t="shared" si="401"/>
        <v>1</v>
      </c>
      <c r="AI815" s="44">
        <f t="shared" si="388"/>
        <v>70357.25744226879</v>
      </c>
      <c r="AJ815" s="44">
        <f t="shared" si="379"/>
        <v>70763.588915600383</v>
      </c>
      <c r="AK815" s="44" t="str">
        <f t="shared" si="396"/>
        <v>N</v>
      </c>
      <c r="AL815" s="4">
        <f t="shared" si="380"/>
        <v>125</v>
      </c>
      <c r="AM815" s="82">
        <f t="shared" si="389"/>
        <v>0</v>
      </c>
      <c r="AN815" s="82">
        <f t="shared" si="381"/>
        <v>0</v>
      </c>
      <c r="AO815" s="48">
        <v>0</v>
      </c>
      <c r="AP815" s="91">
        <f t="shared" si="390"/>
        <v>-406.33147333158576</v>
      </c>
      <c r="AQ815" s="91">
        <f t="shared" si="391"/>
        <v>-406.33147333158576</v>
      </c>
    </row>
    <row r="816" spans="1:43">
      <c r="A816" s="190">
        <f t="shared" si="382"/>
        <v>76.220910335386719</v>
      </c>
      <c r="B816" s="82">
        <f t="shared" si="383"/>
        <v>11</v>
      </c>
      <c r="C816" s="83">
        <f t="shared" si="384"/>
        <v>126</v>
      </c>
      <c r="D816" s="14">
        <f t="shared" si="370"/>
        <v>2.6283369587845051E-3</v>
      </c>
      <c r="E816" s="16">
        <f t="shared" si="371"/>
        <v>0</v>
      </c>
      <c r="F816" s="127"/>
      <c r="G816" s="88">
        <f t="shared" si="372"/>
        <v>0</v>
      </c>
      <c r="H816" s="89">
        <f t="shared" si="385"/>
        <v>4.1666666666666666E-3</v>
      </c>
      <c r="I816" s="219"/>
      <c r="J816" s="219"/>
      <c r="K816" s="6">
        <f t="shared" si="393"/>
        <v>70357.25744226879</v>
      </c>
      <c r="M816" s="6">
        <f t="shared" si="373"/>
        <v>184.92258005423125</v>
      </c>
      <c r="N816" s="6">
        <f t="shared" si="374"/>
        <v>-79.600669894039484</v>
      </c>
      <c r="O816" s="90">
        <f t="shared" si="375"/>
        <v>406.3314733315857</v>
      </c>
      <c r="P816" s="91">
        <f t="shared" si="376"/>
        <v>0</v>
      </c>
      <c r="Q816" s="6">
        <f t="shared" si="377"/>
        <v>293.5940806351208</v>
      </c>
      <c r="R816" s="87">
        <f t="shared" si="395"/>
        <v>-406.33147333158576</v>
      </c>
      <c r="S816" s="6">
        <f t="shared" si="378"/>
        <v>-14.643193046193506</v>
      </c>
      <c r="T816" s="83">
        <f t="shared" si="386"/>
        <v>0</v>
      </c>
      <c r="U816" s="91">
        <f t="shared" si="392"/>
        <v>84958.269217862398</v>
      </c>
      <c r="V816" s="91">
        <f t="shared" si="387"/>
        <v>223.29895893967171</v>
      </c>
      <c r="W816" s="1">
        <f t="shared" si="401"/>
        <v>0</v>
      </c>
      <c r="X816" s="1">
        <f t="shared" si="401"/>
        <v>0</v>
      </c>
      <c r="Y816" s="1">
        <f t="shared" si="401"/>
        <v>0</v>
      </c>
      <c r="Z816" s="1">
        <f t="shared" si="401"/>
        <v>0</v>
      </c>
      <c r="AA816" s="1">
        <f t="shared" si="401"/>
        <v>0</v>
      </c>
      <c r="AB816" s="1">
        <f t="shared" si="401"/>
        <v>0</v>
      </c>
      <c r="AC816" s="1">
        <f t="shared" si="401"/>
        <v>1</v>
      </c>
      <c r="AD816" s="1">
        <f t="shared" si="401"/>
        <v>1</v>
      </c>
      <c r="AE816" s="1">
        <f t="shared" si="401"/>
        <v>1</v>
      </c>
      <c r="AF816" s="1">
        <f t="shared" si="401"/>
        <v>1</v>
      </c>
      <c r="AG816" s="1">
        <f t="shared" si="401"/>
        <v>1</v>
      </c>
      <c r="AH816" s="1">
        <f t="shared" si="401"/>
        <v>1</v>
      </c>
      <c r="AI816" s="44">
        <f t="shared" si="388"/>
        <v>70056.247879097398</v>
      </c>
      <c r="AJ816" s="44">
        <f t="shared" si="379"/>
        <v>70462.579352428991</v>
      </c>
      <c r="AK816" s="44" t="str">
        <f t="shared" si="396"/>
        <v>N</v>
      </c>
      <c r="AL816" s="4">
        <f t="shared" si="380"/>
        <v>126</v>
      </c>
      <c r="AM816" s="82">
        <f t="shared" si="389"/>
        <v>0</v>
      </c>
      <c r="AN816" s="82">
        <f t="shared" si="381"/>
        <v>0</v>
      </c>
      <c r="AO816" s="48">
        <v>0</v>
      </c>
      <c r="AP816" s="91">
        <f t="shared" si="390"/>
        <v>-406.33147333158576</v>
      </c>
      <c r="AQ816" s="91">
        <f t="shared" si="391"/>
        <v>-406.33147333158576</v>
      </c>
    </row>
    <row r="817" spans="1:43">
      <c r="A817" s="190">
        <f t="shared" si="382"/>
        <v>76.304243668720048</v>
      </c>
      <c r="B817" s="82">
        <f t="shared" si="383"/>
        <v>11</v>
      </c>
      <c r="C817" s="83">
        <f t="shared" si="384"/>
        <v>127</v>
      </c>
      <c r="D817" s="14">
        <f t="shared" si="370"/>
        <v>2.6283369587845051E-3</v>
      </c>
      <c r="E817" s="16">
        <f t="shared" si="371"/>
        <v>0</v>
      </c>
      <c r="F817" s="127"/>
      <c r="G817" s="88">
        <f t="shared" si="372"/>
        <v>0</v>
      </c>
      <c r="H817" s="89">
        <f t="shared" si="385"/>
        <v>4.1666666666666666E-3</v>
      </c>
      <c r="I817" s="219"/>
      <c r="J817" s="219"/>
      <c r="K817" s="6">
        <f t="shared" si="393"/>
        <v>70056.247879097398</v>
      </c>
      <c r="M817" s="6">
        <f t="shared" si="373"/>
        <v>184.1314254944003</v>
      </c>
      <c r="N817" s="6">
        <f t="shared" si="374"/>
        <v>-79.260114225100622</v>
      </c>
      <c r="O817" s="90">
        <f t="shared" si="375"/>
        <v>406.3314733315857</v>
      </c>
      <c r="P817" s="91">
        <f t="shared" si="376"/>
        <v>0</v>
      </c>
      <c r="Q817" s="6">
        <f t="shared" si="377"/>
        <v>292.33799662652785</v>
      </c>
      <c r="R817" s="87">
        <f t="shared" si="395"/>
        <v>-406.33147333158576</v>
      </c>
      <c r="S817" s="6">
        <f t="shared" si="378"/>
        <v>-14.580363758719395</v>
      </c>
      <c r="T817" s="83">
        <f t="shared" si="386"/>
        <v>0</v>
      </c>
      <c r="U817" s="91">
        <f t="shared" si="392"/>
        <v>84775.23670347048</v>
      </c>
      <c r="V817" s="91">
        <f t="shared" si="387"/>
        <v>222.81788781743614</v>
      </c>
      <c r="W817" s="1">
        <f t="shared" si="401"/>
        <v>0</v>
      </c>
      <c r="X817" s="1">
        <f t="shared" si="401"/>
        <v>0</v>
      </c>
      <c r="Y817" s="1">
        <f t="shared" si="401"/>
        <v>0</v>
      </c>
      <c r="Z817" s="1">
        <f t="shared" si="401"/>
        <v>0</v>
      </c>
      <c r="AA817" s="1">
        <f t="shared" si="401"/>
        <v>0</v>
      </c>
      <c r="AB817" s="1">
        <f t="shared" si="401"/>
        <v>0</v>
      </c>
      <c r="AC817" s="1">
        <f t="shared" si="401"/>
        <v>1</v>
      </c>
      <c r="AD817" s="1">
        <f t="shared" si="401"/>
        <v>1</v>
      </c>
      <c r="AE817" s="1">
        <f t="shared" si="401"/>
        <v>1</v>
      </c>
      <c r="AF817" s="1">
        <f t="shared" si="401"/>
        <v>1</v>
      </c>
      <c r="AG817" s="1">
        <f t="shared" si="401"/>
        <v>1</v>
      </c>
      <c r="AH817" s="1">
        <f t="shared" si="401"/>
        <v>1</v>
      </c>
      <c r="AI817" s="44">
        <f t="shared" si="388"/>
        <v>69754.787717035098</v>
      </c>
      <c r="AJ817" s="44">
        <f t="shared" si="379"/>
        <v>70161.119190366691</v>
      </c>
      <c r="AK817" s="44" t="str">
        <f t="shared" si="396"/>
        <v>N</v>
      </c>
      <c r="AL817" s="4">
        <f t="shared" si="380"/>
        <v>127</v>
      </c>
      <c r="AM817" s="82">
        <f t="shared" si="389"/>
        <v>0</v>
      </c>
      <c r="AN817" s="82">
        <f t="shared" si="381"/>
        <v>0</v>
      </c>
      <c r="AO817" s="48">
        <v>0</v>
      </c>
      <c r="AP817" s="91">
        <f t="shared" si="390"/>
        <v>-406.33147333158576</v>
      </c>
      <c r="AQ817" s="91">
        <f t="shared" si="391"/>
        <v>-406.33147333158576</v>
      </c>
    </row>
    <row r="818" spans="1:43">
      <c r="A818" s="190">
        <f t="shared" si="382"/>
        <v>76.387577002053376</v>
      </c>
      <c r="B818" s="82">
        <f t="shared" si="383"/>
        <v>11</v>
      </c>
      <c r="C818" s="83">
        <f t="shared" si="384"/>
        <v>128</v>
      </c>
      <c r="D818" s="14">
        <f t="shared" si="370"/>
        <v>2.6283369587845051E-3</v>
      </c>
      <c r="E818" s="16">
        <f t="shared" si="371"/>
        <v>0</v>
      </c>
      <c r="F818" s="127"/>
      <c r="G818" s="88">
        <f t="shared" si="372"/>
        <v>0</v>
      </c>
      <c r="H818" s="89">
        <f t="shared" si="385"/>
        <v>4.1666666666666666E-3</v>
      </c>
      <c r="I818" s="219"/>
      <c r="J818" s="219"/>
      <c r="K818" s="6">
        <f t="shared" si="393"/>
        <v>69754.787717035098</v>
      </c>
      <c r="M818" s="6">
        <f t="shared" si="373"/>
        <v>183.33908660885078</v>
      </c>
      <c r="N818" s="6">
        <f t="shared" si="374"/>
        <v>-78.919048758382928</v>
      </c>
      <c r="O818" s="90">
        <f t="shared" si="375"/>
        <v>406.3314733315857</v>
      </c>
      <c r="P818" s="91">
        <f t="shared" si="376"/>
        <v>0</v>
      </c>
      <c r="Q818" s="6">
        <f t="shared" si="377"/>
        <v>291.08003231202315</v>
      </c>
      <c r="R818" s="87">
        <f t="shared" si="395"/>
        <v>-406.33147333158576</v>
      </c>
      <c r="S818" s="6">
        <f t="shared" si="378"/>
        <v>-14.51744041839542</v>
      </c>
      <c r="T818" s="83">
        <f t="shared" si="386"/>
        <v>0</v>
      </c>
      <c r="U818" s="91">
        <f t="shared" si="392"/>
        <v>84591.723117956324</v>
      </c>
      <c r="V818" s="91">
        <f t="shared" si="387"/>
        <v>222.33555227819025</v>
      </c>
      <c r="W818" s="1">
        <f t="shared" si="401"/>
        <v>0</v>
      </c>
      <c r="X818" s="1">
        <f t="shared" si="401"/>
        <v>0</v>
      </c>
      <c r="Y818" s="1">
        <f t="shared" si="401"/>
        <v>0</v>
      </c>
      <c r="Z818" s="1">
        <f t="shared" si="401"/>
        <v>0</v>
      </c>
      <c r="AA818" s="1">
        <f t="shared" si="401"/>
        <v>0</v>
      </c>
      <c r="AB818" s="1">
        <f t="shared" si="401"/>
        <v>0</v>
      </c>
      <c r="AC818" s="1">
        <f t="shared" si="401"/>
        <v>1</v>
      </c>
      <c r="AD818" s="1">
        <f t="shared" si="401"/>
        <v>1</v>
      </c>
      <c r="AE818" s="1">
        <f t="shared" si="401"/>
        <v>1</v>
      </c>
      <c r="AF818" s="1">
        <f t="shared" si="401"/>
        <v>1</v>
      </c>
      <c r="AG818" s="1">
        <f t="shared" si="401"/>
        <v>1</v>
      </c>
      <c r="AH818" s="1">
        <f t="shared" si="401"/>
        <v>1</v>
      </c>
      <c r="AI818" s="44">
        <f t="shared" si="388"/>
        <v>69452.876281553967</v>
      </c>
      <c r="AJ818" s="44">
        <f t="shared" si="379"/>
        <v>69859.20775488556</v>
      </c>
      <c r="AK818" s="44" t="str">
        <f t="shared" si="396"/>
        <v>N</v>
      </c>
      <c r="AL818" s="4">
        <f t="shared" si="380"/>
        <v>128</v>
      </c>
      <c r="AM818" s="82">
        <f t="shared" si="389"/>
        <v>0</v>
      </c>
      <c r="AN818" s="82">
        <f t="shared" si="381"/>
        <v>0</v>
      </c>
      <c r="AO818" s="48">
        <v>0</v>
      </c>
      <c r="AP818" s="91">
        <f t="shared" si="390"/>
        <v>-406.33147333158576</v>
      </c>
      <c r="AQ818" s="91">
        <f t="shared" si="391"/>
        <v>-406.33147333158576</v>
      </c>
    </row>
    <row r="819" spans="1:43">
      <c r="A819" s="190">
        <f t="shared" si="382"/>
        <v>76.470910335386719</v>
      </c>
      <c r="B819" s="82">
        <f t="shared" si="383"/>
        <v>11</v>
      </c>
      <c r="C819" s="83">
        <f t="shared" si="384"/>
        <v>129</v>
      </c>
      <c r="D819" s="14">
        <f t="shared" ref="D819:D882" si="402">Growth_Rate_2_Monthly</f>
        <v>2.6283369587845051E-3</v>
      </c>
      <c r="E819" s="16">
        <f t="shared" ref="E819:E882" si="403">IF(Gtee_Flag="on",1,0)</f>
        <v>0</v>
      </c>
      <c r="F819" s="127"/>
      <c r="G819" s="88">
        <f t="shared" ref="G819:G882" si="404">IF(B819&lt;=8,VLOOKUP(Product_Code,Product_Parameters,B819+5,FALSE),0)</f>
        <v>0</v>
      </c>
      <c r="H819" s="89">
        <f t="shared" si="385"/>
        <v>4.1666666666666666E-3</v>
      </c>
      <c r="I819" s="219"/>
      <c r="J819" s="219"/>
      <c r="K819" s="6">
        <f t="shared" si="393"/>
        <v>69452.876281553967</v>
      </c>
      <c r="M819" s="6">
        <f t="shared" ref="M819:M882" si="405">(K819+L819)*D819</f>
        <v>182.54556162469603</v>
      </c>
      <c r="N819" s="6">
        <f t="shared" ref="N819:N882" si="406">-(($K819+(L819)+M819/2)*(External_Fund_Charge_Monthly+Fund_Charge_Monthly+Gtee_Charge_Monthly*$E819))</f>
        <v>-78.577472730740169</v>
      </c>
      <c r="O819" s="90">
        <f t="shared" ref="O819:O882" si="407">IF(C819&gt;=Regular_Income_Start_Month,
MIN(Regular_Income_Amount/12*(1+Income_Escalation_Rate_Annual)^($B819-1),AJ819),0)</f>
        <v>406.3314733315857</v>
      </c>
      <c r="P819" s="91">
        <f t="shared" ref="P819:P882" si="408">MAX(IF(C819&gt;=Regular_Income_Start_Month,
MIN(IF(Income_Type="Fixed Percent",$C$51,0)/12*(K819+L819+M819+N819),AJ819),0),0)</f>
        <v>0</v>
      </c>
      <c r="Q819" s="6">
        <f t="shared" ref="Q819:Q882" si="409">MAX(IF(C819&gt;=Regular_Income_Start_Month,
MIN(H819*(K819+L819+M819+N819),AJ819),0),0)</f>
        <v>289.82018487686628</v>
      </c>
      <c r="R819" s="87">
        <f t="shared" si="395"/>
        <v>-406.33147333158576</v>
      </c>
      <c r="S819" s="6">
        <f t="shared" ref="S819:S882" si="410">-(($K819+I819+M819/2+N819/2+R819/2)*(Ongoing_Commission_Monthly)+(I819)*new_upfront_commission)</f>
        <v>-14.45442288442835</v>
      </c>
      <c r="T819" s="83">
        <f t="shared" si="386"/>
        <v>0</v>
      </c>
      <c r="U819" s="91">
        <f t="shared" si="392"/>
        <v>84407.727196902924</v>
      </c>
      <c r="V819" s="91">
        <f t="shared" si="387"/>
        <v>221.85194899862</v>
      </c>
      <c r="W819" s="1">
        <f t="shared" si="401"/>
        <v>0</v>
      </c>
      <c r="X819" s="1">
        <f t="shared" si="401"/>
        <v>0</v>
      </c>
      <c r="Y819" s="1">
        <f t="shared" si="401"/>
        <v>0</v>
      </c>
      <c r="Z819" s="1">
        <f t="shared" si="401"/>
        <v>0</v>
      </c>
      <c r="AA819" s="1">
        <f t="shared" si="401"/>
        <v>0</v>
      </c>
      <c r="AB819" s="1">
        <f t="shared" si="401"/>
        <v>0</v>
      </c>
      <c r="AC819" s="1">
        <f t="shared" si="401"/>
        <v>1</v>
      </c>
      <c r="AD819" s="1">
        <f t="shared" si="401"/>
        <v>1</v>
      </c>
      <c r="AE819" s="1">
        <f t="shared" si="401"/>
        <v>1</v>
      </c>
      <c r="AF819" s="1">
        <f t="shared" si="401"/>
        <v>1</v>
      </c>
      <c r="AG819" s="1">
        <f t="shared" si="401"/>
        <v>1</v>
      </c>
      <c r="AH819" s="1">
        <f t="shared" si="401"/>
        <v>1</v>
      </c>
      <c r="AI819" s="44">
        <f t="shared" si="388"/>
        <v>69150.512897116321</v>
      </c>
      <c r="AJ819" s="44">
        <f t="shared" ref="AJ819:AJ882" si="411">MAX(0,SUM(K819:N819)-$C$66)</f>
        <v>69556.844370447914</v>
      </c>
      <c r="AK819" s="44" t="str">
        <f t="shared" si="396"/>
        <v>N</v>
      </c>
      <c r="AL819" s="4">
        <f t="shared" ref="AL819:AL882" si="412">C819</f>
        <v>129</v>
      </c>
      <c r="AM819" s="82">
        <f t="shared" si="389"/>
        <v>0</v>
      </c>
      <c r="AN819" s="82">
        <f t="shared" ref="AN819:AN882" si="413">IF(AND(B819=Fund_Zero_Year_2,K820=0,K819&gt;0),-U819,IF(AND(B819+1=Fund_Zero_Year_2,K820=0,K819&gt;0),-U819,0))</f>
        <v>0</v>
      </c>
      <c r="AO819" s="48">
        <v>0</v>
      </c>
      <c r="AP819" s="91">
        <f t="shared" si="390"/>
        <v>-406.33147333158576</v>
      </c>
      <c r="AQ819" s="91">
        <f t="shared" si="391"/>
        <v>-406.33147333158576</v>
      </c>
    </row>
    <row r="820" spans="1:43">
      <c r="A820" s="190">
        <f t="shared" ref="A820:A883" si="414">$C$43+C819/12</f>
        <v>76.554243668720048</v>
      </c>
      <c r="B820" s="82">
        <f t="shared" ref="B820:B883" si="415">INT((C820-1)/12)+1</f>
        <v>11</v>
      </c>
      <c r="C820" s="83">
        <f t="shared" ref="C820:C883" si="416">C819+1</f>
        <v>130</v>
      </c>
      <c r="D820" s="14">
        <f t="shared" si="402"/>
        <v>2.6283369587845051E-3</v>
      </c>
      <c r="E820" s="16">
        <f t="shared" si="403"/>
        <v>0</v>
      </c>
      <c r="F820" s="127"/>
      <c r="G820" s="88">
        <f t="shared" si="404"/>
        <v>0</v>
      </c>
      <c r="H820" s="89">
        <f t="shared" ref="H820:H883" si="417">IF((K819+L819+M819+N819+R819)&gt;=2000000,VLOOKUP("&gt;=2000000",Default_IncomeRate_table,3,FALSE),
IF($A820&lt;71,VLOOKUP("&lt;71",Default_IncomeRate_table,3,FALSE),
IF($A820&gt;=71,VLOOKUP("&gt;=71",Default_IncomeRate_table,3,FALSE),"")))</f>
        <v>4.1666666666666666E-3</v>
      </c>
      <c r="I820" s="219"/>
      <c r="J820" s="219"/>
      <c r="K820" s="6">
        <f t="shared" si="393"/>
        <v>69150.512897116321</v>
      </c>
      <c r="M820" s="6">
        <f t="shared" si="405"/>
        <v>181.75084876639542</v>
      </c>
      <c r="N820" s="6">
        <f t="shared" si="406"/>
        <v>-78.235385377883716</v>
      </c>
      <c r="O820" s="90">
        <f t="shared" si="407"/>
        <v>406.3314733315857</v>
      </c>
      <c r="P820" s="91">
        <f t="shared" si="408"/>
        <v>0</v>
      </c>
      <c r="Q820" s="6">
        <f t="shared" si="409"/>
        <v>288.55845150210354</v>
      </c>
      <c r="R820" s="87">
        <f t="shared" si="395"/>
        <v>-406.33147333158576</v>
      </c>
      <c r="S820" s="6">
        <f t="shared" si="410"/>
        <v>-14.391311015814191</v>
      </c>
      <c r="T820" s="83">
        <f t="shared" ref="T820:T883" si="418">SUM(K820:N820,R820)*$G820</f>
        <v>0</v>
      </c>
      <c r="U820" s="91">
        <f t="shared" si="392"/>
        <v>84223.247672569953</v>
      </c>
      <c r="V820" s="91">
        <f t="shared" ref="V820:V883" si="419">U820*D820</f>
        <v>221.36707464667666</v>
      </c>
      <c r="W820" s="1">
        <f t="shared" si="401"/>
        <v>0</v>
      </c>
      <c r="X820" s="1">
        <f t="shared" si="401"/>
        <v>0</v>
      </c>
      <c r="Y820" s="1">
        <f t="shared" si="401"/>
        <v>0</v>
      </c>
      <c r="Z820" s="1">
        <f t="shared" si="401"/>
        <v>0</v>
      </c>
      <c r="AA820" s="1">
        <f t="shared" si="401"/>
        <v>0</v>
      </c>
      <c r="AB820" s="1">
        <f t="shared" si="401"/>
        <v>0</v>
      </c>
      <c r="AC820" s="1">
        <f t="shared" si="401"/>
        <v>1</v>
      </c>
      <c r="AD820" s="1">
        <f t="shared" si="401"/>
        <v>1</v>
      </c>
      <c r="AE820" s="1">
        <f t="shared" si="401"/>
        <v>1</v>
      </c>
      <c r="AF820" s="1">
        <f t="shared" si="401"/>
        <v>1</v>
      </c>
      <c r="AG820" s="1">
        <f t="shared" si="401"/>
        <v>1</v>
      </c>
      <c r="AH820" s="1">
        <f t="shared" si="401"/>
        <v>1</v>
      </c>
      <c r="AI820" s="44">
        <f t="shared" ref="AI820:AI883" si="420">SUM(K820:N820,R820)</f>
        <v>68847.696887173253</v>
      </c>
      <c r="AJ820" s="44">
        <f t="shared" si="411"/>
        <v>69254.028360504846</v>
      </c>
      <c r="AK820" s="44" t="str">
        <f t="shared" si="396"/>
        <v>N</v>
      </c>
      <c r="AL820" s="4">
        <f t="shared" si="412"/>
        <v>130</v>
      </c>
      <c r="AM820" s="82">
        <f t="shared" ref="AM820:AM883" si="421">I820</f>
        <v>0</v>
      </c>
      <c r="AN820" s="82">
        <f t="shared" si="413"/>
        <v>0</v>
      </c>
      <c r="AO820" s="48">
        <v>0</v>
      </c>
      <c r="AP820" s="91">
        <f t="shared" ref="AP820:AP883" si="422">$R820+AN820+AM820</f>
        <v>-406.33147333158576</v>
      </c>
      <c r="AQ820" s="91">
        <f t="shared" ref="AQ820:AQ883" si="423">$R820+AO820+AM820</f>
        <v>-406.33147333158576</v>
      </c>
    </row>
    <row r="821" spans="1:43">
      <c r="A821" s="190">
        <f t="shared" si="414"/>
        <v>76.637577002053376</v>
      </c>
      <c r="B821" s="82">
        <f t="shared" si="415"/>
        <v>11</v>
      </c>
      <c r="C821" s="83">
        <f t="shared" si="416"/>
        <v>131</v>
      </c>
      <c r="D821" s="14">
        <f t="shared" si="402"/>
        <v>2.6283369587845051E-3</v>
      </c>
      <c r="E821" s="16">
        <f t="shared" si="403"/>
        <v>0</v>
      </c>
      <c r="F821" s="127"/>
      <c r="G821" s="88">
        <f t="shared" si="404"/>
        <v>0</v>
      </c>
      <c r="H821" s="89">
        <f t="shared" si="417"/>
        <v>4.1666666666666666E-3</v>
      </c>
      <c r="I821" s="219"/>
      <c r="J821" s="219"/>
      <c r="K821" s="6">
        <f t="shared" si="393"/>
        <v>68847.696887173253</v>
      </c>
      <c r="M821" s="6">
        <f t="shared" si="405"/>
        <v>180.9549462557504</v>
      </c>
      <c r="N821" s="6">
        <f t="shared" si="406"/>
        <v>-77.892785934380868</v>
      </c>
      <c r="O821" s="90">
        <f t="shared" si="407"/>
        <v>406.3314733315857</v>
      </c>
      <c r="P821" s="91">
        <f t="shared" si="408"/>
        <v>0</v>
      </c>
      <c r="Q821" s="6">
        <f t="shared" si="409"/>
        <v>287.29482936456088</v>
      </c>
      <c r="R821" s="87">
        <f t="shared" si="395"/>
        <v>-406.33147333158576</v>
      </c>
      <c r="S821" s="6">
        <f t="shared" si="410"/>
        <v>-14.328104671337876</v>
      </c>
      <c r="T821" s="83">
        <f t="shared" si="418"/>
        <v>0</v>
      </c>
      <c r="U821" s="91">
        <f t="shared" ref="U821:U884" si="424">IF(K821=0,0,SUM(U820,R820,V820))</f>
        <v>84038.283273885041</v>
      </c>
      <c r="V821" s="91">
        <f t="shared" si="419"/>
        <v>220.88092588155376</v>
      </c>
      <c r="W821" s="1">
        <f t="shared" ref="W821:AH830" si="425">IF($B821&lt;=W$78,1,0)</f>
        <v>0</v>
      </c>
      <c r="X821" s="1">
        <f t="shared" si="425"/>
        <v>0</v>
      </c>
      <c r="Y821" s="1">
        <f t="shared" si="425"/>
        <v>0</v>
      </c>
      <c r="Z821" s="1">
        <f t="shared" si="425"/>
        <v>0</v>
      </c>
      <c r="AA821" s="1">
        <f t="shared" si="425"/>
        <v>0</v>
      </c>
      <c r="AB821" s="1">
        <f t="shared" si="425"/>
        <v>0</v>
      </c>
      <c r="AC821" s="1">
        <f t="shared" si="425"/>
        <v>1</v>
      </c>
      <c r="AD821" s="1">
        <f t="shared" si="425"/>
        <v>1</v>
      </c>
      <c r="AE821" s="1">
        <f t="shared" si="425"/>
        <v>1</v>
      </c>
      <c r="AF821" s="1">
        <f t="shared" si="425"/>
        <v>1</v>
      </c>
      <c r="AG821" s="1">
        <f t="shared" si="425"/>
        <v>1</v>
      </c>
      <c r="AH821" s="1">
        <f t="shared" si="425"/>
        <v>1</v>
      </c>
      <c r="AI821" s="44">
        <f t="shared" si="420"/>
        <v>68544.427574163026</v>
      </c>
      <c r="AJ821" s="44">
        <f t="shared" si="411"/>
        <v>68950.759047494619</v>
      </c>
      <c r="AK821" s="44" t="str">
        <f t="shared" si="396"/>
        <v>N</v>
      </c>
      <c r="AL821" s="4">
        <f t="shared" si="412"/>
        <v>131</v>
      </c>
      <c r="AM821" s="82">
        <f t="shared" si="421"/>
        <v>0</v>
      </c>
      <c r="AN821" s="82">
        <f t="shared" si="413"/>
        <v>0</v>
      </c>
      <c r="AO821" s="48">
        <v>0</v>
      </c>
      <c r="AP821" s="91">
        <f t="shared" si="422"/>
        <v>-406.33147333158576</v>
      </c>
      <c r="AQ821" s="91">
        <f t="shared" si="423"/>
        <v>-406.33147333158576</v>
      </c>
    </row>
    <row r="822" spans="1:43">
      <c r="A822" s="190">
        <f t="shared" si="414"/>
        <v>76.720910335386719</v>
      </c>
      <c r="B822" s="82">
        <f t="shared" si="415"/>
        <v>11</v>
      </c>
      <c r="C822" s="83">
        <f t="shared" si="416"/>
        <v>132</v>
      </c>
      <c r="D822" s="14">
        <f t="shared" si="402"/>
        <v>2.6283369587845051E-3</v>
      </c>
      <c r="E822" s="16">
        <f t="shared" si="403"/>
        <v>0</v>
      </c>
      <c r="F822" s="127"/>
      <c r="G822" s="88">
        <f t="shared" si="404"/>
        <v>0</v>
      </c>
      <c r="H822" s="89">
        <f t="shared" si="417"/>
        <v>4.1666666666666666E-3</v>
      </c>
      <c r="I822" s="219"/>
      <c r="J822" s="219"/>
      <c r="K822" s="6">
        <f t="shared" si="393"/>
        <v>68544.427574163026</v>
      </c>
      <c r="M822" s="6">
        <f t="shared" si="405"/>
        <v>180.15785231190043</v>
      </c>
      <c r="N822" s="6">
        <f t="shared" si="406"/>
        <v>-77.549673633653015</v>
      </c>
      <c r="O822" s="90">
        <f t="shared" si="407"/>
        <v>406.3314733315857</v>
      </c>
      <c r="P822" s="91">
        <f t="shared" si="408"/>
        <v>0</v>
      </c>
      <c r="Q822" s="6">
        <f t="shared" si="409"/>
        <v>286.02931563683865</v>
      </c>
      <c r="R822" s="87">
        <f t="shared" si="395"/>
        <v>-406.33147333158576</v>
      </c>
      <c r="S822" s="6">
        <f t="shared" si="410"/>
        <v>-14.264803709572929</v>
      </c>
      <c r="T822" s="83">
        <f t="shared" si="418"/>
        <v>0</v>
      </c>
      <c r="U822" s="91">
        <f t="shared" si="424"/>
        <v>83852.832726435008</v>
      </c>
      <c r="V822" s="91">
        <f t="shared" si="419"/>
        <v>220.39349935366403</v>
      </c>
      <c r="W822" s="1">
        <f t="shared" si="425"/>
        <v>0</v>
      </c>
      <c r="X822" s="1">
        <f t="shared" si="425"/>
        <v>0</v>
      </c>
      <c r="Y822" s="1">
        <f t="shared" si="425"/>
        <v>0</v>
      </c>
      <c r="Z822" s="1">
        <f t="shared" si="425"/>
        <v>0</v>
      </c>
      <c r="AA822" s="1">
        <f t="shared" si="425"/>
        <v>0</v>
      </c>
      <c r="AB822" s="1">
        <f t="shared" si="425"/>
        <v>0</v>
      </c>
      <c r="AC822" s="1">
        <f t="shared" si="425"/>
        <v>1</v>
      </c>
      <c r="AD822" s="1">
        <f t="shared" si="425"/>
        <v>1</v>
      </c>
      <c r="AE822" s="1">
        <f t="shared" si="425"/>
        <v>1</v>
      </c>
      <c r="AF822" s="1">
        <f t="shared" si="425"/>
        <v>1</v>
      </c>
      <c r="AG822" s="1">
        <f t="shared" si="425"/>
        <v>1</v>
      </c>
      <c r="AH822" s="1">
        <f t="shared" si="425"/>
        <v>1</v>
      </c>
      <c r="AI822" s="44">
        <f t="shared" si="420"/>
        <v>68240.704279509679</v>
      </c>
      <c r="AJ822" s="44">
        <f t="shared" si="411"/>
        <v>68647.035752841271</v>
      </c>
      <c r="AK822" s="44" t="str">
        <f t="shared" si="396"/>
        <v>N</v>
      </c>
      <c r="AL822" s="4">
        <f t="shared" si="412"/>
        <v>132</v>
      </c>
      <c r="AM822" s="82">
        <f t="shared" si="421"/>
        <v>0</v>
      </c>
      <c r="AN822" s="82">
        <f t="shared" si="413"/>
        <v>0</v>
      </c>
      <c r="AO822" s="48">
        <v>0</v>
      </c>
      <c r="AP822" s="91">
        <f t="shared" si="422"/>
        <v>-406.33147333158576</v>
      </c>
      <c r="AQ822" s="91">
        <f t="shared" si="423"/>
        <v>-406.33147333158576</v>
      </c>
    </row>
    <row r="823" spans="1:43">
      <c r="A823" s="190">
        <f t="shared" si="414"/>
        <v>76.804243668720048</v>
      </c>
      <c r="B823" s="82">
        <f t="shared" si="415"/>
        <v>12</v>
      </c>
      <c r="C823" s="83">
        <f t="shared" si="416"/>
        <v>133</v>
      </c>
      <c r="D823" s="14">
        <f t="shared" si="402"/>
        <v>2.6283369587845051E-3</v>
      </c>
      <c r="E823" s="16">
        <f t="shared" si="403"/>
        <v>0</v>
      </c>
      <c r="F823" s="127"/>
      <c r="G823" s="88">
        <f t="shared" si="404"/>
        <v>0</v>
      </c>
      <c r="H823" s="89">
        <f t="shared" si="417"/>
        <v>4.1666666666666666E-3</v>
      </c>
      <c r="I823" s="219"/>
      <c r="J823" s="219"/>
      <c r="K823" s="6">
        <f t="shared" ref="K823:K886" si="426">SUM(K822:M822,N822,R822)</f>
        <v>68240.704279509679</v>
      </c>
      <c r="M823" s="6">
        <f t="shared" si="405"/>
        <v>179.35956515131923</v>
      </c>
      <c r="N823" s="6">
        <f t="shared" si="406"/>
        <v>-77.206047707974079</v>
      </c>
      <c r="O823" s="90">
        <f t="shared" si="407"/>
        <v>414.45810279821734</v>
      </c>
      <c r="P823" s="91">
        <f t="shared" si="408"/>
        <v>0</v>
      </c>
      <c r="Q823" s="6">
        <f t="shared" si="409"/>
        <v>284.76190748730426</v>
      </c>
      <c r="R823" s="87">
        <f t="shared" si="395"/>
        <v>-415.07852946996343</v>
      </c>
      <c r="S823" s="6">
        <f t="shared" si="410"/>
        <v>-14.200495791501538</v>
      </c>
      <c r="T823" s="83">
        <f t="shared" si="418"/>
        <v>0</v>
      </c>
      <c r="U823" s="91">
        <f t="shared" si="424"/>
        <v>83666.894752457083</v>
      </c>
      <c r="V823" s="91">
        <f t="shared" si="419"/>
        <v>219.90479170461631</v>
      </c>
      <c r="W823" s="1">
        <f t="shared" si="425"/>
        <v>0</v>
      </c>
      <c r="X823" s="1">
        <f t="shared" si="425"/>
        <v>0</v>
      </c>
      <c r="Y823" s="1">
        <f t="shared" si="425"/>
        <v>0</v>
      </c>
      <c r="Z823" s="1">
        <f t="shared" si="425"/>
        <v>0</v>
      </c>
      <c r="AA823" s="1">
        <f t="shared" si="425"/>
        <v>0</v>
      </c>
      <c r="AB823" s="1">
        <f t="shared" si="425"/>
        <v>0</v>
      </c>
      <c r="AC823" s="1">
        <f t="shared" si="425"/>
        <v>1</v>
      </c>
      <c r="AD823" s="1">
        <f t="shared" si="425"/>
        <v>1</v>
      </c>
      <c r="AE823" s="1">
        <f t="shared" si="425"/>
        <v>1</v>
      </c>
      <c r="AF823" s="1">
        <f t="shared" si="425"/>
        <v>1</v>
      </c>
      <c r="AG823" s="1">
        <f t="shared" si="425"/>
        <v>1</v>
      </c>
      <c r="AH823" s="1">
        <f t="shared" si="425"/>
        <v>1</v>
      </c>
      <c r="AI823" s="44">
        <f t="shared" si="420"/>
        <v>67927.779267483056</v>
      </c>
      <c r="AJ823" s="44">
        <f t="shared" si="411"/>
        <v>68342.857796953016</v>
      </c>
      <c r="AK823" s="44" t="str">
        <f t="shared" si="396"/>
        <v>N</v>
      </c>
      <c r="AL823" s="4">
        <f t="shared" si="412"/>
        <v>133</v>
      </c>
      <c r="AM823" s="82">
        <f t="shared" si="421"/>
        <v>0</v>
      </c>
      <c r="AN823" s="82">
        <f t="shared" si="413"/>
        <v>0</v>
      </c>
      <c r="AO823" s="48">
        <v>0</v>
      </c>
      <c r="AP823" s="91">
        <f t="shared" si="422"/>
        <v>-415.07852946996343</v>
      </c>
      <c r="AQ823" s="91">
        <f t="shared" si="423"/>
        <v>-415.07852946996343</v>
      </c>
    </row>
    <row r="824" spans="1:43">
      <c r="A824" s="190">
        <f t="shared" si="414"/>
        <v>76.887577002053376</v>
      </c>
      <c r="B824" s="82">
        <f t="shared" si="415"/>
        <v>12</v>
      </c>
      <c r="C824" s="83">
        <f t="shared" si="416"/>
        <v>134</v>
      </c>
      <c r="D824" s="14">
        <f t="shared" si="402"/>
        <v>2.6283369587845051E-3</v>
      </c>
      <c r="E824" s="16">
        <f t="shared" si="403"/>
        <v>0</v>
      </c>
      <c r="F824" s="127"/>
      <c r="G824" s="88">
        <f t="shared" si="404"/>
        <v>0</v>
      </c>
      <c r="H824" s="89">
        <f t="shared" si="417"/>
        <v>4.1666666666666666E-3</v>
      </c>
      <c r="I824" s="219"/>
      <c r="J824" s="219"/>
      <c r="K824" s="6">
        <f t="shared" si="426"/>
        <v>67927.779267483056</v>
      </c>
      <c r="M824" s="6">
        <f t="shared" si="405"/>
        <v>178.53709277688156</v>
      </c>
      <c r="N824" s="6">
        <f t="shared" si="406"/>
        <v>-76.852011159514817</v>
      </c>
      <c r="O824" s="90">
        <f t="shared" si="407"/>
        <v>414.45810279821734</v>
      </c>
      <c r="P824" s="91">
        <f t="shared" si="408"/>
        <v>0</v>
      </c>
      <c r="Q824" s="6">
        <f t="shared" si="409"/>
        <v>283.45610145458511</v>
      </c>
      <c r="R824" s="87">
        <f t="shared" si="395"/>
        <v>-414.45810279821745</v>
      </c>
      <c r="S824" s="6">
        <f t="shared" si="410"/>
        <v>-14.135244111701141</v>
      </c>
      <c r="T824" s="83">
        <f t="shared" si="418"/>
        <v>0</v>
      </c>
      <c r="U824" s="91">
        <f t="shared" si="424"/>
        <v>83471.721014691735</v>
      </c>
      <c r="V824" s="91">
        <f t="shared" si="419"/>
        <v>219.39180935626354</v>
      </c>
      <c r="W824" s="1">
        <f t="shared" si="425"/>
        <v>0</v>
      </c>
      <c r="X824" s="1">
        <f t="shared" si="425"/>
        <v>0</v>
      </c>
      <c r="Y824" s="1">
        <f t="shared" si="425"/>
        <v>0</v>
      </c>
      <c r="Z824" s="1">
        <f t="shared" si="425"/>
        <v>0</v>
      </c>
      <c r="AA824" s="1">
        <f t="shared" si="425"/>
        <v>0</v>
      </c>
      <c r="AB824" s="1">
        <f t="shared" si="425"/>
        <v>0</v>
      </c>
      <c r="AC824" s="1">
        <f t="shared" si="425"/>
        <v>1</v>
      </c>
      <c r="AD824" s="1">
        <f t="shared" si="425"/>
        <v>1</v>
      </c>
      <c r="AE824" s="1">
        <f t="shared" si="425"/>
        <v>1</v>
      </c>
      <c r="AF824" s="1">
        <f t="shared" si="425"/>
        <v>1</v>
      </c>
      <c r="AG824" s="1">
        <f t="shared" si="425"/>
        <v>1</v>
      </c>
      <c r="AH824" s="1">
        <f t="shared" si="425"/>
        <v>1</v>
      </c>
      <c r="AI824" s="44">
        <f t="shared" si="420"/>
        <v>67615.006246302204</v>
      </c>
      <c r="AJ824" s="44">
        <f t="shared" si="411"/>
        <v>68029.464349100424</v>
      </c>
      <c r="AK824" s="44" t="str">
        <f t="shared" si="396"/>
        <v>N</v>
      </c>
      <c r="AL824" s="4">
        <f t="shared" si="412"/>
        <v>134</v>
      </c>
      <c r="AM824" s="82">
        <f t="shared" si="421"/>
        <v>0</v>
      </c>
      <c r="AN824" s="82">
        <f t="shared" si="413"/>
        <v>0</v>
      </c>
      <c r="AO824" s="48">
        <v>0</v>
      </c>
      <c r="AP824" s="91">
        <f t="shared" si="422"/>
        <v>-414.45810279821745</v>
      </c>
      <c r="AQ824" s="91">
        <f t="shared" si="423"/>
        <v>-414.45810279821745</v>
      </c>
    </row>
    <row r="825" spans="1:43">
      <c r="A825" s="190">
        <f t="shared" si="414"/>
        <v>76.970910335386719</v>
      </c>
      <c r="B825" s="82">
        <f t="shared" si="415"/>
        <v>12</v>
      </c>
      <c r="C825" s="83">
        <f t="shared" si="416"/>
        <v>135</v>
      </c>
      <c r="D825" s="14">
        <f t="shared" si="402"/>
        <v>2.6283369587845051E-3</v>
      </c>
      <c r="E825" s="16">
        <f t="shared" si="403"/>
        <v>0</v>
      </c>
      <c r="F825" s="127"/>
      <c r="G825" s="88">
        <f t="shared" si="404"/>
        <v>0</v>
      </c>
      <c r="H825" s="89">
        <f t="shared" si="417"/>
        <v>4.1666666666666666E-3</v>
      </c>
      <c r="I825" s="219"/>
      <c r="J825" s="219"/>
      <c r="K825" s="6">
        <f t="shared" si="426"/>
        <v>67615.006246302204</v>
      </c>
      <c r="M825" s="6">
        <f t="shared" si="405"/>
        <v>177.71501988560127</v>
      </c>
      <c r="N825" s="6">
        <f t="shared" si="406"/>
        <v>-76.498146570190713</v>
      </c>
      <c r="O825" s="90">
        <f t="shared" si="407"/>
        <v>414.45810279821734</v>
      </c>
      <c r="P825" s="91">
        <f t="shared" si="408"/>
        <v>0</v>
      </c>
      <c r="Q825" s="6">
        <f t="shared" si="409"/>
        <v>282.15092966507336</v>
      </c>
      <c r="R825" s="87">
        <f t="shared" si="395"/>
        <v>-414.45810279821745</v>
      </c>
      <c r="S825" s="6">
        <f t="shared" si="410"/>
        <v>-14.069959454779033</v>
      </c>
      <c r="T825" s="83">
        <f t="shared" si="418"/>
        <v>0</v>
      </c>
      <c r="U825" s="91">
        <f t="shared" si="424"/>
        <v>83276.654721249783</v>
      </c>
      <c r="V825" s="91">
        <f t="shared" si="419"/>
        <v>218.87910940779696</v>
      </c>
      <c r="W825" s="1">
        <f t="shared" si="425"/>
        <v>0</v>
      </c>
      <c r="X825" s="1">
        <f t="shared" si="425"/>
        <v>0</v>
      </c>
      <c r="Y825" s="1">
        <f t="shared" si="425"/>
        <v>0</v>
      </c>
      <c r="Z825" s="1">
        <f t="shared" si="425"/>
        <v>0</v>
      </c>
      <c r="AA825" s="1">
        <f t="shared" si="425"/>
        <v>0</v>
      </c>
      <c r="AB825" s="1">
        <f t="shared" si="425"/>
        <v>0</v>
      </c>
      <c r="AC825" s="1">
        <f t="shared" si="425"/>
        <v>1</v>
      </c>
      <c r="AD825" s="1">
        <f t="shared" si="425"/>
        <v>1</v>
      </c>
      <c r="AE825" s="1">
        <f t="shared" si="425"/>
        <v>1</v>
      </c>
      <c r="AF825" s="1">
        <f t="shared" si="425"/>
        <v>1</v>
      </c>
      <c r="AG825" s="1">
        <f t="shared" si="425"/>
        <v>1</v>
      </c>
      <c r="AH825" s="1">
        <f t="shared" si="425"/>
        <v>1</v>
      </c>
      <c r="AI825" s="44">
        <f t="shared" si="420"/>
        <v>67301.765016819394</v>
      </c>
      <c r="AJ825" s="44">
        <f t="shared" si="411"/>
        <v>67716.223119617614</v>
      </c>
      <c r="AK825" s="44" t="str">
        <f t="shared" si="396"/>
        <v>N</v>
      </c>
      <c r="AL825" s="4">
        <f t="shared" si="412"/>
        <v>135</v>
      </c>
      <c r="AM825" s="82">
        <f t="shared" si="421"/>
        <v>0</v>
      </c>
      <c r="AN825" s="82">
        <f t="shared" si="413"/>
        <v>0</v>
      </c>
      <c r="AO825" s="48">
        <v>0</v>
      </c>
      <c r="AP825" s="91">
        <f t="shared" si="422"/>
        <v>-414.45810279821745</v>
      </c>
      <c r="AQ825" s="91">
        <f t="shared" si="423"/>
        <v>-414.45810279821745</v>
      </c>
    </row>
    <row r="826" spans="1:43">
      <c r="A826" s="190">
        <f t="shared" si="414"/>
        <v>77.054243668720048</v>
      </c>
      <c r="B826" s="82">
        <f t="shared" si="415"/>
        <v>12</v>
      </c>
      <c r="C826" s="83">
        <f t="shared" si="416"/>
        <v>136</v>
      </c>
      <c r="D826" s="14">
        <f t="shared" si="402"/>
        <v>2.6283369587845051E-3</v>
      </c>
      <c r="E826" s="16">
        <f t="shared" si="403"/>
        <v>0</v>
      </c>
      <c r="F826" s="127"/>
      <c r="G826" s="88">
        <f t="shared" si="404"/>
        <v>0</v>
      </c>
      <c r="H826" s="89">
        <f t="shared" si="417"/>
        <v>4.1666666666666666E-3</v>
      </c>
      <c r="I826" s="219"/>
      <c r="J826" s="219"/>
      <c r="K826" s="6">
        <f t="shared" si="426"/>
        <v>67301.765016819394</v>
      </c>
      <c r="M826" s="6">
        <f t="shared" si="405"/>
        <v>176.89171638513648</v>
      </c>
      <c r="N826" s="6">
        <f t="shared" si="406"/>
        <v>-76.143752260183348</v>
      </c>
      <c r="O826" s="90">
        <f t="shared" si="407"/>
        <v>414.45810279821734</v>
      </c>
      <c r="P826" s="91">
        <f t="shared" si="408"/>
        <v>0</v>
      </c>
      <c r="Q826" s="6">
        <f t="shared" si="409"/>
        <v>280.8438040872681</v>
      </c>
      <c r="R826" s="87">
        <f t="shared" si="395"/>
        <v>-414.45810279821745</v>
      </c>
      <c r="S826" s="6">
        <f t="shared" si="410"/>
        <v>-14.004577069420353</v>
      </c>
      <c r="T826" s="83">
        <f t="shared" si="418"/>
        <v>0</v>
      </c>
      <c r="U826" s="91">
        <f t="shared" si="424"/>
        <v>83081.075727859366</v>
      </c>
      <c r="V826" s="91">
        <f t="shared" si="419"/>
        <v>218.36506191110706</v>
      </c>
      <c r="W826" s="1">
        <f t="shared" si="425"/>
        <v>0</v>
      </c>
      <c r="X826" s="1">
        <f t="shared" si="425"/>
        <v>0</v>
      </c>
      <c r="Y826" s="1">
        <f t="shared" si="425"/>
        <v>0</v>
      </c>
      <c r="Z826" s="1">
        <f t="shared" si="425"/>
        <v>0</v>
      </c>
      <c r="AA826" s="1">
        <f t="shared" si="425"/>
        <v>0</v>
      </c>
      <c r="AB826" s="1">
        <f t="shared" si="425"/>
        <v>0</v>
      </c>
      <c r="AC826" s="1">
        <f t="shared" si="425"/>
        <v>1</v>
      </c>
      <c r="AD826" s="1">
        <f t="shared" si="425"/>
        <v>1</v>
      </c>
      <c r="AE826" s="1">
        <f t="shared" si="425"/>
        <v>1</v>
      </c>
      <c r="AF826" s="1">
        <f t="shared" si="425"/>
        <v>1</v>
      </c>
      <c r="AG826" s="1">
        <f t="shared" si="425"/>
        <v>1</v>
      </c>
      <c r="AH826" s="1">
        <f t="shared" si="425"/>
        <v>1</v>
      </c>
      <c r="AI826" s="44">
        <f t="shared" si="420"/>
        <v>66988.054878146126</v>
      </c>
      <c r="AJ826" s="44">
        <f t="shared" si="411"/>
        <v>67402.512980944346</v>
      </c>
      <c r="AK826" s="44" t="str">
        <f t="shared" si="396"/>
        <v>N</v>
      </c>
      <c r="AL826" s="4">
        <f t="shared" si="412"/>
        <v>136</v>
      </c>
      <c r="AM826" s="82">
        <f t="shared" si="421"/>
        <v>0</v>
      </c>
      <c r="AN826" s="82">
        <f t="shared" si="413"/>
        <v>0</v>
      </c>
      <c r="AO826" s="48">
        <v>0</v>
      </c>
      <c r="AP826" s="91">
        <f t="shared" si="422"/>
        <v>-414.45810279821745</v>
      </c>
      <c r="AQ826" s="91">
        <f t="shared" si="423"/>
        <v>-414.45810279821745</v>
      </c>
    </row>
    <row r="827" spans="1:43">
      <c r="A827" s="190">
        <f t="shared" si="414"/>
        <v>77.137577002053376</v>
      </c>
      <c r="B827" s="82">
        <f t="shared" si="415"/>
        <v>12</v>
      </c>
      <c r="C827" s="83">
        <f t="shared" si="416"/>
        <v>137</v>
      </c>
      <c r="D827" s="14">
        <f t="shared" si="402"/>
        <v>2.6283369587845051E-3</v>
      </c>
      <c r="E827" s="16">
        <f t="shared" si="403"/>
        <v>0</v>
      </c>
      <c r="F827" s="127"/>
      <c r="G827" s="88">
        <f t="shared" si="404"/>
        <v>0</v>
      </c>
      <c r="H827" s="89">
        <f t="shared" si="417"/>
        <v>4.1666666666666666E-3</v>
      </c>
      <c r="I827" s="219"/>
      <c r="J827" s="219"/>
      <c r="K827" s="6">
        <f t="shared" si="426"/>
        <v>66988.054878146126</v>
      </c>
      <c r="M827" s="6">
        <f t="shared" si="405"/>
        <v>176.06718043331611</v>
      </c>
      <c r="N827" s="6">
        <f t="shared" si="406"/>
        <v>-75.788827436522695</v>
      </c>
      <c r="O827" s="90">
        <f t="shared" si="407"/>
        <v>414.45810279821734</v>
      </c>
      <c r="P827" s="91">
        <f t="shared" si="408"/>
        <v>0</v>
      </c>
      <c r="Q827" s="6">
        <f t="shared" si="409"/>
        <v>279.53472179642881</v>
      </c>
      <c r="R827" s="87">
        <f t="shared" si="395"/>
        <v>-414.45810279821745</v>
      </c>
      <c r="S827" s="6">
        <f t="shared" si="410"/>
        <v>-13.939096809329669</v>
      </c>
      <c r="T827" s="83">
        <f t="shared" si="418"/>
        <v>0</v>
      </c>
      <c r="U827" s="91">
        <f t="shared" si="424"/>
        <v>82884.98268697226</v>
      </c>
      <c r="V827" s="91">
        <f t="shared" si="419"/>
        <v>217.84966332438304</v>
      </c>
      <c r="W827" s="1">
        <f t="shared" si="425"/>
        <v>0</v>
      </c>
      <c r="X827" s="1">
        <f t="shared" si="425"/>
        <v>0</v>
      </c>
      <c r="Y827" s="1">
        <f t="shared" si="425"/>
        <v>0</v>
      </c>
      <c r="Z827" s="1">
        <f t="shared" si="425"/>
        <v>0</v>
      </c>
      <c r="AA827" s="1">
        <f t="shared" si="425"/>
        <v>0</v>
      </c>
      <c r="AB827" s="1">
        <f t="shared" si="425"/>
        <v>0</v>
      </c>
      <c r="AC827" s="1">
        <f t="shared" si="425"/>
        <v>1</v>
      </c>
      <c r="AD827" s="1">
        <f t="shared" si="425"/>
        <v>1</v>
      </c>
      <c r="AE827" s="1">
        <f t="shared" si="425"/>
        <v>1</v>
      </c>
      <c r="AF827" s="1">
        <f t="shared" si="425"/>
        <v>1</v>
      </c>
      <c r="AG827" s="1">
        <f t="shared" si="425"/>
        <v>1</v>
      </c>
      <c r="AH827" s="1">
        <f t="shared" si="425"/>
        <v>1</v>
      </c>
      <c r="AI827" s="44">
        <f t="shared" si="420"/>
        <v>66673.875128344691</v>
      </c>
      <c r="AJ827" s="44">
        <f t="shared" si="411"/>
        <v>67088.333231142911</v>
      </c>
      <c r="AK827" s="44" t="str">
        <f t="shared" si="396"/>
        <v>N</v>
      </c>
      <c r="AL827" s="4">
        <f t="shared" si="412"/>
        <v>137</v>
      </c>
      <c r="AM827" s="82">
        <f t="shared" si="421"/>
        <v>0</v>
      </c>
      <c r="AN827" s="82">
        <f t="shared" si="413"/>
        <v>0</v>
      </c>
      <c r="AO827" s="48">
        <v>0</v>
      </c>
      <c r="AP827" s="91">
        <f t="shared" si="422"/>
        <v>-414.45810279821745</v>
      </c>
      <c r="AQ827" s="91">
        <f t="shared" si="423"/>
        <v>-414.45810279821745</v>
      </c>
    </row>
    <row r="828" spans="1:43">
      <c r="A828" s="190">
        <f t="shared" si="414"/>
        <v>77.220910335386719</v>
      </c>
      <c r="B828" s="82">
        <f t="shared" si="415"/>
        <v>12</v>
      </c>
      <c r="C828" s="83">
        <f t="shared" si="416"/>
        <v>138</v>
      </c>
      <c r="D828" s="14">
        <f t="shared" si="402"/>
        <v>2.6283369587845051E-3</v>
      </c>
      <c r="E828" s="16">
        <f t="shared" si="403"/>
        <v>0</v>
      </c>
      <c r="F828" s="127"/>
      <c r="G828" s="88">
        <f t="shared" si="404"/>
        <v>0</v>
      </c>
      <c r="H828" s="89">
        <f t="shared" si="417"/>
        <v>4.1666666666666666E-3</v>
      </c>
      <c r="I828" s="219"/>
      <c r="J828" s="219"/>
      <c r="K828" s="6">
        <f t="shared" si="426"/>
        <v>66673.875128344691</v>
      </c>
      <c r="M828" s="6">
        <f t="shared" si="405"/>
        <v>175.24141018521135</v>
      </c>
      <c r="N828" s="6">
        <f t="shared" si="406"/>
        <v>-75.433371305051722</v>
      </c>
      <c r="O828" s="90">
        <f t="shared" si="407"/>
        <v>414.45810279821734</v>
      </c>
      <c r="P828" s="91">
        <f t="shared" si="408"/>
        <v>0</v>
      </c>
      <c r="Q828" s="6">
        <f t="shared" si="409"/>
        <v>278.22367986343681</v>
      </c>
      <c r="R828" s="87">
        <f t="shared" si="395"/>
        <v>-414.45810279821745</v>
      </c>
      <c r="S828" s="6">
        <f t="shared" si="410"/>
        <v>-13.873518527992541</v>
      </c>
      <c r="T828" s="83">
        <f t="shared" si="418"/>
        <v>0</v>
      </c>
      <c r="U828" s="91">
        <f t="shared" si="424"/>
        <v>82688.374247498417</v>
      </c>
      <c r="V828" s="91">
        <f t="shared" si="419"/>
        <v>217.33291009650497</v>
      </c>
      <c r="W828" s="1">
        <f t="shared" si="425"/>
        <v>0</v>
      </c>
      <c r="X828" s="1">
        <f t="shared" si="425"/>
        <v>0</v>
      </c>
      <c r="Y828" s="1">
        <f t="shared" si="425"/>
        <v>0</v>
      </c>
      <c r="Z828" s="1">
        <f t="shared" si="425"/>
        <v>0</v>
      </c>
      <c r="AA828" s="1">
        <f t="shared" si="425"/>
        <v>0</v>
      </c>
      <c r="AB828" s="1">
        <f t="shared" si="425"/>
        <v>0</v>
      </c>
      <c r="AC828" s="1">
        <f t="shared" si="425"/>
        <v>1</v>
      </c>
      <c r="AD828" s="1">
        <f t="shared" si="425"/>
        <v>1</v>
      </c>
      <c r="AE828" s="1">
        <f t="shared" si="425"/>
        <v>1</v>
      </c>
      <c r="AF828" s="1">
        <f t="shared" si="425"/>
        <v>1</v>
      </c>
      <c r="AG828" s="1">
        <f t="shared" si="425"/>
        <v>1</v>
      </c>
      <c r="AH828" s="1">
        <f t="shared" si="425"/>
        <v>1</v>
      </c>
      <c r="AI828" s="44">
        <f t="shared" si="420"/>
        <v>66359.225064426617</v>
      </c>
      <c r="AJ828" s="44">
        <f t="shared" si="411"/>
        <v>66773.683167224837</v>
      </c>
      <c r="AK828" s="44" t="str">
        <f t="shared" si="396"/>
        <v>N</v>
      </c>
      <c r="AL828" s="4">
        <f t="shared" si="412"/>
        <v>138</v>
      </c>
      <c r="AM828" s="82">
        <f t="shared" si="421"/>
        <v>0</v>
      </c>
      <c r="AN828" s="82">
        <f t="shared" si="413"/>
        <v>0</v>
      </c>
      <c r="AO828" s="48">
        <v>0</v>
      </c>
      <c r="AP828" s="91">
        <f t="shared" si="422"/>
        <v>-414.45810279821745</v>
      </c>
      <c r="AQ828" s="91">
        <f t="shared" si="423"/>
        <v>-414.45810279821745</v>
      </c>
    </row>
    <row r="829" spans="1:43">
      <c r="A829" s="190">
        <f t="shared" si="414"/>
        <v>77.304243668720048</v>
      </c>
      <c r="B829" s="82">
        <f t="shared" si="415"/>
        <v>12</v>
      </c>
      <c r="C829" s="83">
        <f t="shared" si="416"/>
        <v>139</v>
      </c>
      <c r="D829" s="14">
        <f t="shared" si="402"/>
        <v>2.6283369587845051E-3</v>
      </c>
      <c r="E829" s="16">
        <f t="shared" si="403"/>
        <v>0</v>
      </c>
      <c r="F829" s="127"/>
      <c r="G829" s="88">
        <f t="shared" si="404"/>
        <v>0</v>
      </c>
      <c r="H829" s="89">
        <f t="shared" si="417"/>
        <v>4.1666666666666666E-3</v>
      </c>
      <c r="I829" s="219"/>
      <c r="J829" s="219"/>
      <c r="K829" s="6">
        <f t="shared" si="426"/>
        <v>66359.225064426617</v>
      </c>
      <c r="M829" s="6">
        <f t="shared" si="405"/>
        <v>174.41440379313156</v>
      </c>
      <c r="N829" s="6">
        <f t="shared" si="406"/>
        <v>-75.077383070424588</v>
      </c>
      <c r="O829" s="90">
        <f t="shared" si="407"/>
        <v>414.45810279821734</v>
      </c>
      <c r="P829" s="91">
        <f t="shared" si="408"/>
        <v>0</v>
      </c>
      <c r="Q829" s="6">
        <f t="shared" si="409"/>
        <v>276.91067535478879</v>
      </c>
      <c r="R829" s="87">
        <f t="shared" si="395"/>
        <v>-414.45810279821745</v>
      </c>
      <c r="S829" s="6">
        <f t="shared" si="410"/>
        <v>-13.807842078675217</v>
      </c>
      <c r="T829" s="83">
        <f t="shared" si="418"/>
        <v>0</v>
      </c>
      <c r="U829" s="91">
        <f t="shared" si="424"/>
        <v>82491.249054796703</v>
      </c>
      <c r="V829" s="91">
        <f t="shared" si="419"/>
        <v>216.81479866701955</v>
      </c>
      <c r="W829" s="1">
        <f t="shared" si="425"/>
        <v>0</v>
      </c>
      <c r="X829" s="1">
        <f t="shared" si="425"/>
        <v>0</v>
      </c>
      <c r="Y829" s="1">
        <f t="shared" si="425"/>
        <v>0</v>
      </c>
      <c r="Z829" s="1">
        <f t="shared" si="425"/>
        <v>0</v>
      </c>
      <c r="AA829" s="1">
        <f t="shared" si="425"/>
        <v>0</v>
      </c>
      <c r="AB829" s="1">
        <f t="shared" si="425"/>
        <v>0</v>
      </c>
      <c r="AC829" s="1">
        <f t="shared" si="425"/>
        <v>1</v>
      </c>
      <c r="AD829" s="1">
        <f t="shared" si="425"/>
        <v>1</v>
      </c>
      <c r="AE829" s="1">
        <f t="shared" si="425"/>
        <v>1</v>
      </c>
      <c r="AF829" s="1">
        <f t="shared" si="425"/>
        <v>1</v>
      </c>
      <c r="AG829" s="1">
        <f t="shared" si="425"/>
        <v>1</v>
      </c>
      <c r="AH829" s="1">
        <f t="shared" si="425"/>
        <v>1</v>
      </c>
      <c r="AI829" s="44">
        <f t="shared" si="420"/>
        <v>66044.103982351095</v>
      </c>
      <c r="AJ829" s="44">
        <f t="shared" si="411"/>
        <v>66458.562085149315</v>
      </c>
      <c r="AK829" s="44" t="str">
        <f t="shared" si="396"/>
        <v>N</v>
      </c>
      <c r="AL829" s="4">
        <f t="shared" si="412"/>
        <v>139</v>
      </c>
      <c r="AM829" s="82">
        <f t="shared" si="421"/>
        <v>0</v>
      </c>
      <c r="AN829" s="82">
        <f t="shared" si="413"/>
        <v>0</v>
      </c>
      <c r="AO829" s="48">
        <v>0</v>
      </c>
      <c r="AP829" s="91">
        <f t="shared" si="422"/>
        <v>-414.45810279821745</v>
      </c>
      <c r="AQ829" s="91">
        <f t="shared" si="423"/>
        <v>-414.45810279821745</v>
      </c>
    </row>
    <row r="830" spans="1:43">
      <c r="A830" s="190">
        <f t="shared" si="414"/>
        <v>77.387577002053376</v>
      </c>
      <c r="B830" s="82">
        <f t="shared" si="415"/>
        <v>12</v>
      </c>
      <c r="C830" s="83">
        <f t="shared" si="416"/>
        <v>140</v>
      </c>
      <c r="D830" s="14">
        <f t="shared" si="402"/>
        <v>2.6283369587845051E-3</v>
      </c>
      <c r="E830" s="16">
        <f t="shared" si="403"/>
        <v>0</v>
      </c>
      <c r="F830" s="127"/>
      <c r="G830" s="88">
        <f t="shared" si="404"/>
        <v>0</v>
      </c>
      <c r="H830" s="89">
        <f t="shared" si="417"/>
        <v>4.1666666666666666E-3</v>
      </c>
      <c r="I830" s="219"/>
      <c r="J830" s="219"/>
      <c r="K830" s="6">
        <f t="shared" si="426"/>
        <v>66044.103982351095</v>
      </c>
      <c r="M830" s="6">
        <f t="shared" si="405"/>
        <v>173.58615940662031</v>
      </c>
      <c r="N830" s="6">
        <f t="shared" si="406"/>
        <v>-74.720861936104797</v>
      </c>
      <c r="O830" s="90">
        <f t="shared" si="407"/>
        <v>414.45810279821734</v>
      </c>
      <c r="P830" s="91">
        <f t="shared" si="408"/>
        <v>0</v>
      </c>
      <c r="Q830" s="6">
        <f t="shared" si="409"/>
        <v>275.59570533259006</v>
      </c>
      <c r="R830" s="87">
        <f t="shared" si="395"/>
        <v>-414.45810279821745</v>
      </c>
      <c r="S830" s="6">
        <f t="shared" si="410"/>
        <v>-13.742067314424277</v>
      </c>
      <c r="T830" s="83">
        <f t="shared" si="418"/>
        <v>0</v>
      </c>
      <c r="U830" s="91">
        <f t="shared" si="424"/>
        <v>82293.605750665505</v>
      </c>
      <c r="V830" s="91">
        <f t="shared" si="419"/>
        <v>216.29532546611523</v>
      </c>
      <c r="W830" s="1">
        <f t="shared" si="425"/>
        <v>0</v>
      </c>
      <c r="X830" s="1">
        <f t="shared" si="425"/>
        <v>0</v>
      </c>
      <c r="Y830" s="1">
        <f t="shared" si="425"/>
        <v>0</v>
      </c>
      <c r="Z830" s="1">
        <f t="shared" si="425"/>
        <v>0</v>
      </c>
      <c r="AA830" s="1">
        <f t="shared" si="425"/>
        <v>0</v>
      </c>
      <c r="AB830" s="1">
        <f t="shared" si="425"/>
        <v>0</v>
      </c>
      <c r="AC830" s="1">
        <f t="shared" si="425"/>
        <v>1</v>
      </c>
      <c r="AD830" s="1">
        <f t="shared" si="425"/>
        <v>1</v>
      </c>
      <c r="AE830" s="1">
        <f t="shared" si="425"/>
        <v>1</v>
      </c>
      <c r="AF830" s="1">
        <f t="shared" si="425"/>
        <v>1</v>
      </c>
      <c r="AG830" s="1">
        <f t="shared" si="425"/>
        <v>1</v>
      </c>
      <c r="AH830" s="1">
        <f t="shared" si="425"/>
        <v>1</v>
      </c>
      <c r="AI830" s="44">
        <f t="shared" si="420"/>
        <v>65728.511177023393</v>
      </c>
      <c r="AJ830" s="44">
        <f t="shared" si="411"/>
        <v>66142.969279821613</v>
      </c>
      <c r="AK830" s="44" t="str">
        <f t="shared" si="396"/>
        <v>N</v>
      </c>
      <c r="AL830" s="4">
        <f t="shared" si="412"/>
        <v>140</v>
      </c>
      <c r="AM830" s="82">
        <f t="shared" si="421"/>
        <v>0</v>
      </c>
      <c r="AN830" s="82">
        <f t="shared" si="413"/>
        <v>0</v>
      </c>
      <c r="AO830" s="48">
        <v>0</v>
      </c>
      <c r="AP830" s="91">
        <f t="shared" si="422"/>
        <v>-414.45810279821745</v>
      </c>
      <c r="AQ830" s="91">
        <f t="shared" si="423"/>
        <v>-414.45810279821745</v>
      </c>
    </row>
    <row r="831" spans="1:43">
      <c r="A831" s="190">
        <f t="shared" si="414"/>
        <v>77.470910335386719</v>
      </c>
      <c r="B831" s="82">
        <f t="shared" si="415"/>
        <v>12</v>
      </c>
      <c r="C831" s="83">
        <f t="shared" si="416"/>
        <v>141</v>
      </c>
      <c r="D831" s="14">
        <f t="shared" si="402"/>
        <v>2.6283369587845051E-3</v>
      </c>
      <c r="E831" s="16">
        <f t="shared" si="403"/>
        <v>0</v>
      </c>
      <c r="F831" s="127"/>
      <c r="G831" s="88">
        <f t="shared" si="404"/>
        <v>0</v>
      </c>
      <c r="H831" s="89">
        <f t="shared" si="417"/>
        <v>4.1666666666666666E-3</v>
      </c>
      <c r="I831" s="219"/>
      <c r="J831" s="219"/>
      <c r="K831" s="6">
        <f t="shared" si="426"/>
        <v>65728.511177023393</v>
      </c>
      <c r="M831" s="6">
        <f t="shared" si="405"/>
        <v>172.75667517245103</v>
      </c>
      <c r="N831" s="6">
        <f t="shared" si="406"/>
        <v>-74.363807104363559</v>
      </c>
      <c r="O831" s="90">
        <f t="shared" si="407"/>
        <v>414.45810279821734</v>
      </c>
      <c r="P831" s="91">
        <f t="shared" si="408"/>
        <v>0</v>
      </c>
      <c r="Q831" s="6">
        <f t="shared" si="409"/>
        <v>274.27876685454783</v>
      </c>
      <c r="R831" s="87">
        <f t="shared" si="395"/>
        <v>-414.45810279821745</v>
      </c>
      <c r="S831" s="6">
        <f t="shared" si="410"/>
        <v>-13.676194088066334</v>
      </c>
      <c r="T831" s="83">
        <f t="shared" si="418"/>
        <v>0</v>
      </c>
      <c r="U831" s="91">
        <f t="shared" si="424"/>
        <v>82095.442973333396</v>
      </c>
      <c r="V831" s="91">
        <f t="shared" si="419"/>
        <v>215.77448691459787</v>
      </c>
      <c r="W831" s="1">
        <f t="shared" ref="W831:AH840" si="427">IF($B831&lt;=W$78,1,0)</f>
        <v>0</v>
      </c>
      <c r="X831" s="1">
        <f t="shared" si="427"/>
        <v>0</v>
      </c>
      <c r="Y831" s="1">
        <f t="shared" si="427"/>
        <v>0</v>
      </c>
      <c r="Z831" s="1">
        <f t="shared" si="427"/>
        <v>0</v>
      </c>
      <c r="AA831" s="1">
        <f t="shared" si="427"/>
        <v>0</v>
      </c>
      <c r="AB831" s="1">
        <f t="shared" si="427"/>
        <v>0</v>
      </c>
      <c r="AC831" s="1">
        <f t="shared" si="427"/>
        <v>1</v>
      </c>
      <c r="AD831" s="1">
        <f t="shared" si="427"/>
        <v>1</v>
      </c>
      <c r="AE831" s="1">
        <f t="shared" si="427"/>
        <v>1</v>
      </c>
      <c r="AF831" s="1">
        <f t="shared" si="427"/>
        <v>1</v>
      </c>
      <c r="AG831" s="1">
        <f t="shared" si="427"/>
        <v>1</v>
      </c>
      <c r="AH831" s="1">
        <f t="shared" si="427"/>
        <v>1</v>
      </c>
      <c r="AI831" s="44">
        <f t="shared" si="420"/>
        <v>65412.445942293256</v>
      </c>
      <c r="AJ831" s="44">
        <f t="shared" si="411"/>
        <v>65826.904045091476</v>
      </c>
      <c r="AK831" s="44" t="str">
        <f t="shared" si="396"/>
        <v>N</v>
      </c>
      <c r="AL831" s="4">
        <f t="shared" si="412"/>
        <v>141</v>
      </c>
      <c r="AM831" s="82">
        <f t="shared" si="421"/>
        <v>0</v>
      </c>
      <c r="AN831" s="82">
        <f t="shared" si="413"/>
        <v>0</v>
      </c>
      <c r="AO831" s="48">
        <v>0</v>
      </c>
      <c r="AP831" s="91">
        <f t="shared" si="422"/>
        <v>-414.45810279821745</v>
      </c>
      <c r="AQ831" s="91">
        <f t="shared" si="423"/>
        <v>-414.45810279821745</v>
      </c>
    </row>
    <row r="832" spans="1:43">
      <c r="A832" s="190">
        <f t="shared" si="414"/>
        <v>77.554243668720048</v>
      </c>
      <c r="B832" s="82">
        <f t="shared" si="415"/>
        <v>12</v>
      </c>
      <c r="C832" s="83">
        <f t="shared" si="416"/>
        <v>142</v>
      </c>
      <c r="D832" s="14">
        <f t="shared" si="402"/>
        <v>2.6283369587845051E-3</v>
      </c>
      <c r="E832" s="16">
        <f t="shared" si="403"/>
        <v>0</v>
      </c>
      <c r="F832" s="127"/>
      <c r="G832" s="88">
        <f t="shared" si="404"/>
        <v>0</v>
      </c>
      <c r="H832" s="89">
        <f t="shared" si="417"/>
        <v>4.1666666666666666E-3</v>
      </c>
      <c r="I832" s="219"/>
      <c r="J832" s="219"/>
      <c r="K832" s="6">
        <f t="shared" si="426"/>
        <v>65412.445942293256</v>
      </c>
      <c r="M832" s="6">
        <f t="shared" si="405"/>
        <v>171.92594923462289</v>
      </c>
      <c r="N832" s="6">
        <f t="shared" si="406"/>
        <v>-74.006217776277822</v>
      </c>
      <c r="O832" s="90">
        <f t="shared" si="407"/>
        <v>414.45810279821734</v>
      </c>
      <c r="P832" s="91">
        <f t="shared" si="408"/>
        <v>0</v>
      </c>
      <c r="Q832" s="6">
        <f t="shared" si="409"/>
        <v>272.95985697396497</v>
      </c>
      <c r="R832" s="87">
        <f t="shared" ref="R832:R895" si="428">-MIN(MAX(O832,P832,Q832,-R820*1.02),AJ832)</f>
        <v>-414.45810279821745</v>
      </c>
      <c r="S832" s="6">
        <f t="shared" si="410"/>
        <v>-13.610222252207661</v>
      </c>
      <c r="T832" s="83">
        <f t="shared" si="418"/>
        <v>0</v>
      </c>
      <c r="U832" s="91">
        <f t="shared" si="424"/>
        <v>81896.759357449773</v>
      </c>
      <c r="V832" s="91">
        <f t="shared" si="419"/>
        <v>215.25227942386599</v>
      </c>
      <c r="W832" s="1">
        <f t="shared" si="427"/>
        <v>0</v>
      </c>
      <c r="X832" s="1">
        <f t="shared" si="427"/>
        <v>0</v>
      </c>
      <c r="Y832" s="1">
        <f t="shared" si="427"/>
        <v>0</v>
      </c>
      <c r="Z832" s="1">
        <f t="shared" si="427"/>
        <v>0</v>
      </c>
      <c r="AA832" s="1">
        <f t="shared" si="427"/>
        <v>0</v>
      </c>
      <c r="AB832" s="1">
        <f t="shared" si="427"/>
        <v>0</v>
      </c>
      <c r="AC832" s="1">
        <f t="shared" si="427"/>
        <v>1</v>
      </c>
      <c r="AD832" s="1">
        <f t="shared" si="427"/>
        <v>1</v>
      </c>
      <c r="AE832" s="1">
        <f t="shared" si="427"/>
        <v>1</v>
      </c>
      <c r="AF832" s="1">
        <f t="shared" si="427"/>
        <v>1</v>
      </c>
      <c r="AG832" s="1">
        <f t="shared" si="427"/>
        <v>1</v>
      </c>
      <c r="AH832" s="1">
        <f t="shared" si="427"/>
        <v>1</v>
      </c>
      <c r="AI832" s="44">
        <f t="shared" si="420"/>
        <v>65095.907570953372</v>
      </c>
      <c r="AJ832" s="44">
        <f t="shared" si="411"/>
        <v>65510.365673751592</v>
      </c>
      <c r="AK832" s="44" t="str">
        <f t="shared" ref="AK832:AK895" si="429">IF(R832=0,0,IF(R832&gt;R820,"Y","N"))</f>
        <v>N</v>
      </c>
      <c r="AL832" s="4">
        <f t="shared" si="412"/>
        <v>142</v>
      </c>
      <c r="AM832" s="82">
        <f t="shared" si="421"/>
        <v>0</v>
      </c>
      <c r="AN832" s="82">
        <f t="shared" si="413"/>
        <v>0</v>
      </c>
      <c r="AO832" s="48">
        <v>0</v>
      </c>
      <c r="AP832" s="91">
        <f t="shared" si="422"/>
        <v>-414.45810279821745</v>
      </c>
      <c r="AQ832" s="91">
        <f t="shared" si="423"/>
        <v>-414.45810279821745</v>
      </c>
    </row>
    <row r="833" spans="1:43">
      <c r="A833" s="190">
        <f t="shared" si="414"/>
        <v>77.637577002053376</v>
      </c>
      <c r="B833" s="82">
        <f t="shared" si="415"/>
        <v>12</v>
      </c>
      <c r="C833" s="83">
        <f t="shared" si="416"/>
        <v>143</v>
      </c>
      <c r="D833" s="14">
        <f t="shared" si="402"/>
        <v>2.6283369587845051E-3</v>
      </c>
      <c r="E833" s="16">
        <f t="shared" si="403"/>
        <v>0</v>
      </c>
      <c r="F833" s="127"/>
      <c r="G833" s="88">
        <f t="shared" si="404"/>
        <v>0</v>
      </c>
      <c r="H833" s="89">
        <f t="shared" si="417"/>
        <v>4.1666666666666666E-3</v>
      </c>
      <c r="I833" s="219"/>
      <c r="J833" s="219"/>
      <c r="K833" s="6">
        <f t="shared" si="426"/>
        <v>65095.907570953372</v>
      </c>
      <c r="M833" s="6">
        <f t="shared" si="405"/>
        <v>171.09397973435682</v>
      </c>
      <c r="N833" s="6">
        <f t="shared" si="406"/>
        <v>-73.648093151728645</v>
      </c>
      <c r="O833" s="90">
        <f t="shared" si="407"/>
        <v>414.45810279821734</v>
      </c>
      <c r="P833" s="91">
        <f t="shared" si="408"/>
        <v>0</v>
      </c>
      <c r="Q833" s="6">
        <f t="shared" si="409"/>
        <v>271.63897273973333</v>
      </c>
      <c r="R833" s="87">
        <f t="shared" si="428"/>
        <v>-414.45810279821745</v>
      </c>
      <c r="S833" s="6">
        <f t="shared" si="410"/>
        <v>-13.54415165923392</v>
      </c>
      <c r="T833" s="83">
        <f t="shared" si="418"/>
        <v>0</v>
      </c>
      <c r="U833" s="91">
        <f t="shared" si="424"/>
        <v>81697.553534075414</v>
      </c>
      <c r="V833" s="91">
        <f t="shared" si="419"/>
        <v>214.72869939588608</v>
      </c>
      <c r="W833" s="1">
        <f t="shared" si="427"/>
        <v>0</v>
      </c>
      <c r="X833" s="1">
        <f t="shared" si="427"/>
        <v>0</v>
      </c>
      <c r="Y833" s="1">
        <f t="shared" si="427"/>
        <v>0</v>
      </c>
      <c r="Z833" s="1">
        <f t="shared" si="427"/>
        <v>0</v>
      </c>
      <c r="AA833" s="1">
        <f t="shared" si="427"/>
        <v>0</v>
      </c>
      <c r="AB833" s="1">
        <f t="shared" si="427"/>
        <v>0</v>
      </c>
      <c r="AC833" s="1">
        <f t="shared" si="427"/>
        <v>1</v>
      </c>
      <c r="AD833" s="1">
        <f t="shared" si="427"/>
        <v>1</v>
      </c>
      <c r="AE833" s="1">
        <f t="shared" si="427"/>
        <v>1</v>
      </c>
      <c r="AF833" s="1">
        <f t="shared" si="427"/>
        <v>1</v>
      </c>
      <c r="AG833" s="1">
        <f t="shared" si="427"/>
        <v>1</v>
      </c>
      <c r="AH833" s="1">
        <f t="shared" si="427"/>
        <v>1</v>
      </c>
      <c r="AI833" s="44">
        <f t="shared" si="420"/>
        <v>64778.895354737782</v>
      </c>
      <c r="AJ833" s="44">
        <f t="shared" si="411"/>
        <v>65193.353457536003</v>
      </c>
      <c r="AK833" s="44" t="str">
        <f t="shared" si="429"/>
        <v>N</v>
      </c>
      <c r="AL833" s="4">
        <f t="shared" si="412"/>
        <v>143</v>
      </c>
      <c r="AM833" s="82">
        <f t="shared" si="421"/>
        <v>0</v>
      </c>
      <c r="AN833" s="82">
        <f t="shared" si="413"/>
        <v>0</v>
      </c>
      <c r="AO833" s="48">
        <v>0</v>
      </c>
      <c r="AP833" s="91">
        <f t="shared" si="422"/>
        <v>-414.45810279821745</v>
      </c>
      <c r="AQ833" s="91">
        <f t="shared" si="423"/>
        <v>-414.45810279821745</v>
      </c>
    </row>
    <row r="834" spans="1:43">
      <c r="A834" s="190">
        <f t="shared" si="414"/>
        <v>77.720910335386719</v>
      </c>
      <c r="B834" s="82">
        <f t="shared" si="415"/>
        <v>12</v>
      </c>
      <c r="C834" s="83">
        <f t="shared" si="416"/>
        <v>144</v>
      </c>
      <c r="D834" s="14">
        <f t="shared" si="402"/>
        <v>2.6283369587845051E-3</v>
      </c>
      <c r="E834" s="16">
        <f t="shared" si="403"/>
        <v>0</v>
      </c>
      <c r="F834" s="127"/>
      <c r="G834" s="88">
        <f t="shared" si="404"/>
        <v>0</v>
      </c>
      <c r="H834" s="89">
        <f t="shared" si="417"/>
        <v>4.1666666666666666E-3</v>
      </c>
      <c r="I834" s="219"/>
      <c r="J834" s="219"/>
      <c r="K834" s="6">
        <f t="shared" si="426"/>
        <v>64778.895354737782</v>
      </c>
      <c r="M834" s="6">
        <f t="shared" si="405"/>
        <v>170.26076481009122</v>
      </c>
      <c r="N834" s="6">
        <f t="shared" si="406"/>
        <v>-73.289432429399312</v>
      </c>
      <c r="O834" s="90">
        <f t="shared" si="407"/>
        <v>414.45810279821734</v>
      </c>
      <c r="P834" s="91">
        <f t="shared" si="408"/>
        <v>0</v>
      </c>
      <c r="Q834" s="6">
        <f t="shared" si="409"/>
        <v>270.31611119632697</v>
      </c>
      <c r="R834" s="87">
        <f t="shared" si="428"/>
        <v>-414.45810279821745</v>
      </c>
      <c r="S834" s="6">
        <f t="shared" si="410"/>
        <v>-13.477982161309784</v>
      </c>
      <c r="T834" s="83">
        <f t="shared" si="418"/>
        <v>0</v>
      </c>
      <c r="U834" s="91">
        <f t="shared" si="424"/>
        <v>81497.824130673078</v>
      </c>
      <c r="V834" s="91">
        <f t="shared" si="419"/>
        <v>214.20374322316772</v>
      </c>
      <c r="W834" s="1">
        <f t="shared" si="427"/>
        <v>0</v>
      </c>
      <c r="X834" s="1">
        <f t="shared" si="427"/>
        <v>0</v>
      </c>
      <c r="Y834" s="1">
        <f t="shared" si="427"/>
        <v>0</v>
      </c>
      <c r="Z834" s="1">
        <f t="shared" si="427"/>
        <v>0</v>
      </c>
      <c r="AA834" s="1">
        <f t="shared" si="427"/>
        <v>0</v>
      </c>
      <c r="AB834" s="1">
        <f t="shared" si="427"/>
        <v>0</v>
      </c>
      <c r="AC834" s="1">
        <f t="shared" si="427"/>
        <v>1</v>
      </c>
      <c r="AD834" s="1">
        <f t="shared" si="427"/>
        <v>1</v>
      </c>
      <c r="AE834" s="1">
        <f t="shared" si="427"/>
        <v>1</v>
      </c>
      <c r="AF834" s="1">
        <f t="shared" si="427"/>
        <v>1</v>
      </c>
      <c r="AG834" s="1">
        <f t="shared" si="427"/>
        <v>1</v>
      </c>
      <c r="AH834" s="1">
        <f t="shared" si="427"/>
        <v>1</v>
      </c>
      <c r="AI834" s="44">
        <f t="shared" si="420"/>
        <v>64461.408584320248</v>
      </c>
      <c r="AJ834" s="44">
        <f t="shared" si="411"/>
        <v>64875.866687118469</v>
      </c>
      <c r="AK834" s="44" t="str">
        <f t="shared" si="429"/>
        <v>N</v>
      </c>
      <c r="AL834" s="4">
        <f t="shared" si="412"/>
        <v>144</v>
      </c>
      <c r="AM834" s="82">
        <f t="shared" si="421"/>
        <v>0</v>
      </c>
      <c r="AN834" s="82">
        <f t="shared" si="413"/>
        <v>0</v>
      </c>
      <c r="AO834" s="48">
        <v>0</v>
      </c>
      <c r="AP834" s="91">
        <f t="shared" si="422"/>
        <v>-414.45810279821745</v>
      </c>
      <c r="AQ834" s="91">
        <f t="shared" si="423"/>
        <v>-414.45810279821745</v>
      </c>
    </row>
    <row r="835" spans="1:43">
      <c r="A835" s="190">
        <f t="shared" si="414"/>
        <v>77.804243668720048</v>
      </c>
      <c r="B835" s="82">
        <f t="shared" si="415"/>
        <v>13</v>
      </c>
      <c r="C835" s="83">
        <f t="shared" si="416"/>
        <v>145</v>
      </c>
      <c r="D835" s="14">
        <f t="shared" si="402"/>
        <v>2.6283369587845051E-3</v>
      </c>
      <c r="E835" s="16">
        <f t="shared" si="403"/>
        <v>0</v>
      </c>
      <c r="F835" s="127"/>
      <c r="G835" s="88">
        <f t="shared" si="404"/>
        <v>0</v>
      </c>
      <c r="H835" s="89">
        <f t="shared" si="417"/>
        <v>4.1666666666666666E-3</v>
      </c>
      <c r="I835" s="219"/>
      <c r="J835" s="219"/>
      <c r="K835" s="6">
        <f t="shared" si="426"/>
        <v>64461.408584320248</v>
      </c>
      <c r="M835" s="6">
        <f t="shared" si="405"/>
        <v>169.42630259747767</v>
      </c>
      <c r="N835" s="6">
        <f t="shared" si="406"/>
        <v>-72.930234806773555</v>
      </c>
      <c r="O835" s="90">
        <f t="shared" si="407"/>
        <v>422.74726485418171</v>
      </c>
      <c r="P835" s="91">
        <f t="shared" si="408"/>
        <v>0</v>
      </c>
      <c r="Q835" s="6">
        <f t="shared" si="409"/>
        <v>268.99126938379567</v>
      </c>
      <c r="R835" s="87">
        <f t="shared" si="428"/>
        <v>-423.38010005936269</v>
      </c>
      <c r="S835" s="6">
        <f t="shared" si="410"/>
        <v>-13.410783169051388</v>
      </c>
      <c r="T835" s="83">
        <f t="shared" si="418"/>
        <v>0</v>
      </c>
      <c r="U835" s="91">
        <f t="shared" si="424"/>
        <v>81297.569771098031</v>
      </c>
      <c r="V835" s="91">
        <f t="shared" si="419"/>
        <v>213.67740728873892</v>
      </c>
      <c r="W835" s="1">
        <f t="shared" si="427"/>
        <v>0</v>
      </c>
      <c r="X835" s="1">
        <f t="shared" si="427"/>
        <v>0</v>
      </c>
      <c r="Y835" s="1">
        <f t="shared" si="427"/>
        <v>0</v>
      </c>
      <c r="Z835" s="1">
        <f t="shared" si="427"/>
        <v>0</v>
      </c>
      <c r="AA835" s="1">
        <f t="shared" si="427"/>
        <v>0</v>
      </c>
      <c r="AB835" s="1">
        <f t="shared" si="427"/>
        <v>0</v>
      </c>
      <c r="AC835" s="1">
        <f t="shared" si="427"/>
        <v>1</v>
      </c>
      <c r="AD835" s="1">
        <f t="shared" si="427"/>
        <v>1</v>
      </c>
      <c r="AE835" s="1">
        <f t="shared" si="427"/>
        <v>1</v>
      </c>
      <c r="AF835" s="1">
        <f t="shared" si="427"/>
        <v>1</v>
      </c>
      <c r="AG835" s="1">
        <f t="shared" si="427"/>
        <v>1</v>
      </c>
      <c r="AH835" s="1">
        <f t="shared" si="427"/>
        <v>1</v>
      </c>
      <c r="AI835" s="44">
        <f t="shared" si="420"/>
        <v>64134.524552051596</v>
      </c>
      <c r="AJ835" s="44">
        <f t="shared" si="411"/>
        <v>64557.904652110956</v>
      </c>
      <c r="AK835" s="44" t="str">
        <f t="shared" si="429"/>
        <v>N</v>
      </c>
      <c r="AL835" s="4">
        <f t="shared" si="412"/>
        <v>145</v>
      </c>
      <c r="AM835" s="82">
        <f t="shared" si="421"/>
        <v>0</v>
      </c>
      <c r="AN835" s="82">
        <f t="shared" si="413"/>
        <v>0</v>
      </c>
      <c r="AO835" s="48">
        <v>0</v>
      </c>
      <c r="AP835" s="91">
        <f t="shared" si="422"/>
        <v>-423.38010005936269</v>
      </c>
      <c r="AQ835" s="91">
        <f t="shared" si="423"/>
        <v>-423.38010005936269</v>
      </c>
    </row>
    <row r="836" spans="1:43">
      <c r="A836" s="190">
        <f t="shared" si="414"/>
        <v>77.887577002053376</v>
      </c>
      <c r="B836" s="82">
        <f t="shared" si="415"/>
        <v>13</v>
      </c>
      <c r="C836" s="83">
        <f t="shared" si="416"/>
        <v>146</v>
      </c>
      <c r="D836" s="14">
        <f t="shared" si="402"/>
        <v>2.6283369587845051E-3</v>
      </c>
      <c r="E836" s="16">
        <f t="shared" si="403"/>
        <v>0</v>
      </c>
      <c r="F836" s="127"/>
      <c r="G836" s="88">
        <f t="shared" si="404"/>
        <v>0</v>
      </c>
      <c r="H836" s="89">
        <f t="shared" si="417"/>
        <v>4.1666666666666666E-3</v>
      </c>
      <c r="I836" s="219"/>
      <c r="J836" s="219"/>
      <c r="K836" s="6">
        <f t="shared" si="426"/>
        <v>64134.524552051596</v>
      </c>
      <c r="M836" s="6">
        <f t="shared" si="405"/>
        <v>168.56714121422948</v>
      </c>
      <c r="N836" s="6">
        <f t="shared" si="406"/>
        <v>-72.560405326600886</v>
      </c>
      <c r="O836" s="90">
        <f t="shared" si="407"/>
        <v>422.74726485418171</v>
      </c>
      <c r="P836" s="91">
        <f t="shared" si="408"/>
        <v>0</v>
      </c>
      <c r="Q836" s="6">
        <f t="shared" si="409"/>
        <v>267.62721369974679</v>
      </c>
      <c r="R836" s="87">
        <f t="shared" si="428"/>
        <v>-422.74726485418182</v>
      </c>
      <c r="S836" s="6">
        <f t="shared" si="410"/>
        <v>-13.342619137336667</v>
      </c>
      <c r="T836" s="83">
        <f t="shared" si="418"/>
        <v>0</v>
      </c>
      <c r="U836" s="91">
        <f t="shared" si="424"/>
        <v>81087.867078327399</v>
      </c>
      <c r="V836" s="91">
        <f t="shared" si="419"/>
        <v>213.12623795097323</v>
      </c>
      <c r="W836" s="1">
        <f t="shared" si="427"/>
        <v>0</v>
      </c>
      <c r="X836" s="1">
        <f t="shared" si="427"/>
        <v>0</v>
      </c>
      <c r="Y836" s="1">
        <f t="shared" si="427"/>
        <v>0</v>
      </c>
      <c r="Z836" s="1">
        <f t="shared" si="427"/>
        <v>0</v>
      </c>
      <c r="AA836" s="1">
        <f t="shared" si="427"/>
        <v>0</v>
      </c>
      <c r="AB836" s="1">
        <f t="shared" si="427"/>
        <v>0</v>
      </c>
      <c r="AC836" s="1">
        <f t="shared" si="427"/>
        <v>1</v>
      </c>
      <c r="AD836" s="1">
        <f t="shared" si="427"/>
        <v>1</v>
      </c>
      <c r="AE836" s="1">
        <f t="shared" si="427"/>
        <v>1</v>
      </c>
      <c r="AF836" s="1">
        <f t="shared" si="427"/>
        <v>1</v>
      </c>
      <c r="AG836" s="1">
        <f t="shared" si="427"/>
        <v>1</v>
      </c>
      <c r="AH836" s="1">
        <f t="shared" si="427"/>
        <v>1</v>
      </c>
      <c r="AI836" s="44">
        <f t="shared" si="420"/>
        <v>63807.784023085049</v>
      </c>
      <c r="AJ836" s="44">
        <f t="shared" si="411"/>
        <v>64230.53128793923</v>
      </c>
      <c r="AK836" s="44" t="str">
        <f t="shared" si="429"/>
        <v>N</v>
      </c>
      <c r="AL836" s="4">
        <f t="shared" si="412"/>
        <v>146</v>
      </c>
      <c r="AM836" s="82">
        <f t="shared" si="421"/>
        <v>0</v>
      </c>
      <c r="AN836" s="82">
        <f t="shared" si="413"/>
        <v>0</v>
      </c>
      <c r="AO836" s="48">
        <v>0</v>
      </c>
      <c r="AP836" s="91">
        <f t="shared" si="422"/>
        <v>-422.74726485418182</v>
      </c>
      <c r="AQ836" s="91">
        <f t="shared" si="423"/>
        <v>-422.74726485418182</v>
      </c>
    </row>
    <row r="837" spans="1:43">
      <c r="A837" s="190">
        <f t="shared" si="414"/>
        <v>77.970910335386719</v>
      </c>
      <c r="B837" s="82">
        <f t="shared" si="415"/>
        <v>13</v>
      </c>
      <c r="C837" s="83">
        <f t="shared" si="416"/>
        <v>147</v>
      </c>
      <c r="D837" s="14">
        <f t="shared" si="402"/>
        <v>2.6283369587845051E-3</v>
      </c>
      <c r="E837" s="16">
        <f t="shared" si="403"/>
        <v>0</v>
      </c>
      <c r="F837" s="127"/>
      <c r="G837" s="88">
        <f t="shared" si="404"/>
        <v>0</v>
      </c>
      <c r="H837" s="89">
        <f t="shared" si="417"/>
        <v>4.1666666666666666E-3</v>
      </c>
      <c r="I837" s="219"/>
      <c r="J837" s="219"/>
      <c r="K837" s="6">
        <f t="shared" si="426"/>
        <v>63807.784023085049</v>
      </c>
      <c r="M837" s="6">
        <f t="shared" si="405"/>
        <v>167.7083570060139</v>
      </c>
      <c r="N837" s="6">
        <f t="shared" si="406"/>
        <v>-72.190738202941162</v>
      </c>
      <c r="O837" s="90">
        <f t="shared" si="407"/>
        <v>422.74726485418171</v>
      </c>
      <c r="P837" s="91">
        <f t="shared" si="408"/>
        <v>0</v>
      </c>
      <c r="Q837" s="6">
        <f t="shared" si="409"/>
        <v>266.26375684120052</v>
      </c>
      <c r="R837" s="87">
        <f t="shared" si="428"/>
        <v>-422.74726485418182</v>
      </c>
      <c r="S837" s="6">
        <f t="shared" si="410"/>
        <v>-13.274419062868624</v>
      </c>
      <c r="T837" s="83">
        <f t="shared" si="418"/>
        <v>0</v>
      </c>
      <c r="U837" s="91">
        <f t="shared" si="424"/>
        <v>80878.246051424183</v>
      </c>
      <c r="V837" s="91">
        <f t="shared" si="419"/>
        <v>212.57528325862515</v>
      </c>
      <c r="W837" s="1">
        <f t="shared" si="427"/>
        <v>0</v>
      </c>
      <c r="X837" s="1">
        <f t="shared" si="427"/>
        <v>0</v>
      </c>
      <c r="Y837" s="1">
        <f t="shared" si="427"/>
        <v>0</v>
      </c>
      <c r="Z837" s="1">
        <f t="shared" si="427"/>
        <v>0</v>
      </c>
      <c r="AA837" s="1">
        <f t="shared" si="427"/>
        <v>0</v>
      </c>
      <c r="AB837" s="1">
        <f t="shared" si="427"/>
        <v>0</v>
      </c>
      <c r="AC837" s="1">
        <f t="shared" si="427"/>
        <v>1</v>
      </c>
      <c r="AD837" s="1">
        <f t="shared" si="427"/>
        <v>1</v>
      </c>
      <c r="AE837" s="1">
        <f t="shared" si="427"/>
        <v>1</v>
      </c>
      <c r="AF837" s="1">
        <f t="shared" si="427"/>
        <v>1</v>
      </c>
      <c r="AG837" s="1">
        <f t="shared" si="427"/>
        <v>1</v>
      </c>
      <c r="AH837" s="1">
        <f t="shared" si="427"/>
        <v>1</v>
      </c>
      <c r="AI837" s="44">
        <f t="shared" si="420"/>
        <v>63480.554377033943</v>
      </c>
      <c r="AJ837" s="44">
        <f t="shared" si="411"/>
        <v>63903.301641888123</v>
      </c>
      <c r="AK837" s="44" t="str">
        <f t="shared" si="429"/>
        <v>N</v>
      </c>
      <c r="AL837" s="4">
        <f t="shared" si="412"/>
        <v>147</v>
      </c>
      <c r="AM837" s="82">
        <f t="shared" si="421"/>
        <v>0</v>
      </c>
      <c r="AN837" s="82">
        <f t="shared" si="413"/>
        <v>0</v>
      </c>
      <c r="AO837" s="48">
        <v>0</v>
      </c>
      <c r="AP837" s="91">
        <f t="shared" si="422"/>
        <v>-422.74726485418182</v>
      </c>
      <c r="AQ837" s="91">
        <f t="shared" si="423"/>
        <v>-422.74726485418182</v>
      </c>
    </row>
    <row r="838" spans="1:43">
      <c r="A838" s="190">
        <f t="shared" si="414"/>
        <v>78.054243668720048</v>
      </c>
      <c r="B838" s="82">
        <f t="shared" si="415"/>
        <v>13</v>
      </c>
      <c r="C838" s="83">
        <f t="shared" si="416"/>
        <v>148</v>
      </c>
      <c r="D838" s="14">
        <f t="shared" si="402"/>
        <v>2.6283369587845051E-3</v>
      </c>
      <c r="E838" s="16">
        <f t="shared" si="403"/>
        <v>0</v>
      </c>
      <c r="F838" s="127"/>
      <c r="G838" s="88">
        <f t="shared" si="404"/>
        <v>0</v>
      </c>
      <c r="H838" s="89">
        <f t="shared" si="417"/>
        <v>4.1666666666666666E-3</v>
      </c>
      <c r="I838" s="219"/>
      <c r="J838" s="219"/>
      <c r="K838" s="6">
        <f t="shared" si="426"/>
        <v>63480.554377033943</v>
      </c>
      <c r="M838" s="6">
        <f t="shared" si="405"/>
        <v>166.84828723328781</v>
      </c>
      <c r="N838" s="6">
        <f t="shared" si="406"/>
        <v>-71.820517702856563</v>
      </c>
      <c r="O838" s="90">
        <f t="shared" si="407"/>
        <v>422.74726485418171</v>
      </c>
      <c r="P838" s="91">
        <f t="shared" si="408"/>
        <v>0</v>
      </c>
      <c r="Q838" s="6">
        <f t="shared" si="409"/>
        <v>264.89825894401821</v>
      </c>
      <c r="R838" s="87">
        <f t="shared" si="428"/>
        <v>-422.74726485418182</v>
      </c>
      <c r="S838" s="6">
        <f t="shared" si="410"/>
        <v>-13.206116895704284</v>
      </c>
      <c r="T838" s="83">
        <f t="shared" si="418"/>
        <v>0</v>
      </c>
      <c r="U838" s="91">
        <f t="shared" si="424"/>
        <v>80668.074069828624</v>
      </c>
      <c r="V838" s="91">
        <f t="shared" si="419"/>
        <v>212.02288047169657</v>
      </c>
      <c r="W838" s="1">
        <f t="shared" si="427"/>
        <v>0</v>
      </c>
      <c r="X838" s="1">
        <f t="shared" si="427"/>
        <v>0</v>
      </c>
      <c r="Y838" s="1">
        <f t="shared" si="427"/>
        <v>0</v>
      </c>
      <c r="Z838" s="1">
        <f t="shared" si="427"/>
        <v>0</v>
      </c>
      <c r="AA838" s="1">
        <f t="shared" si="427"/>
        <v>0</v>
      </c>
      <c r="AB838" s="1">
        <f t="shared" si="427"/>
        <v>0</v>
      </c>
      <c r="AC838" s="1">
        <f t="shared" si="427"/>
        <v>1</v>
      </c>
      <c r="AD838" s="1">
        <f t="shared" si="427"/>
        <v>1</v>
      </c>
      <c r="AE838" s="1">
        <f t="shared" si="427"/>
        <v>1</v>
      </c>
      <c r="AF838" s="1">
        <f t="shared" si="427"/>
        <v>1</v>
      </c>
      <c r="AG838" s="1">
        <f t="shared" si="427"/>
        <v>1</v>
      </c>
      <c r="AH838" s="1">
        <f t="shared" si="427"/>
        <v>1</v>
      </c>
      <c r="AI838" s="44">
        <f t="shared" si="420"/>
        <v>63152.834881710194</v>
      </c>
      <c r="AJ838" s="44">
        <f t="shared" si="411"/>
        <v>63575.582146564375</v>
      </c>
      <c r="AK838" s="44" t="str">
        <f t="shared" si="429"/>
        <v>N</v>
      </c>
      <c r="AL838" s="4">
        <f t="shared" si="412"/>
        <v>148</v>
      </c>
      <c r="AM838" s="82">
        <f t="shared" si="421"/>
        <v>0</v>
      </c>
      <c r="AN838" s="82">
        <f t="shared" si="413"/>
        <v>0</v>
      </c>
      <c r="AO838" s="48">
        <v>0</v>
      </c>
      <c r="AP838" s="91">
        <f t="shared" si="422"/>
        <v>-422.74726485418182</v>
      </c>
      <c r="AQ838" s="91">
        <f t="shared" si="423"/>
        <v>-422.74726485418182</v>
      </c>
    </row>
    <row r="839" spans="1:43">
      <c r="A839" s="190">
        <f t="shared" si="414"/>
        <v>78.137577002053376</v>
      </c>
      <c r="B839" s="82">
        <f t="shared" si="415"/>
        <v>13</v>
      </c>
      <c r="C839" s="83">
        <f t="shared" si="416"/>
        <v>149</v>
      </c>
      <c r="D839" s="14">
        <f t="shared" si="402"/>
        <v>2.6283369587845051E-3</v>
      </c>
      <c r="E839" s="16">
        <f t="shared" si="403"/>
        <v>0</v>
      </c>
      <c r="F839" s="127"/>
      <c r="G839" s="88">
        <f t="shared" si="404"/>
        <v>0</v>
      </c>
      <c r="H839" s="89">
        <f t="shared" si="417"/>
        <v>4.1666666666666666E-3</v>
      </c>
      <c r="I839" s="219"/>
      <c r="J839" s="219"/>
      <c r="K839" s="6">
        <f t="shared" si="426"/>
        <v>63152.834881710194</v>
      </c>
      <c r="M839" s="6">
        <f t="shared" si="405"/>
        <v>165.98692997161419</v>
      </c>
      <c r="N839" s="6">
        <f t="shared" si="406"/>
        <v>-71.44974299796543</v>
      </c>
      <c r="O839" s="90">
        <f t="shared" si="407"/>
        <v>422.74726485418171</v>
      </c>
      <c r="P839" s="91">
        <f t="shared" si="408"/>
        <v>0</v>
      </c>
      <c r="Q839" s="6">
        <f t="shared" si="409"/>
        <v>263.53071695284933</v>
      </c>
      <c r="R839" s="87">
        <f t="shared" si="428"/>
        <v>-422.74726485418182</v>
      </c>
      <c r="S839" s="6">
        <f t="shared" si="410"/>
        <v>-13.1377124830151</v>
      </c>
      <c r="T839" s="83">
        <f t="shared" si="418"/>
        <v>0</v>
      </c>
      <c r="U839" s="91">
        <f t="shared" si="424"/>
        <v>80457.349685446126</v>
      </c>
      <c r="V839" s="91">
        <f t="shared" si="419"/>
        <v>211.46902578410692</v>
      </c>
      <c r="W839" s="1">
        <f t="shared" si="427"/>
        <v>0</v>
      </c>
      <c r="X839" s="1">
        <f t="shared" si="427"/>
        <v>0</v>
      </c>
      <c r="Y839" s="1">
        <f t="shared" si="427"/>
        <v>0</v>
      </c>
      <c r="Z839" s="1">
        <f t="shared" si="427"/>
        <v>0</v>
      </c>
      <c r="AA839" s="1">
        <f t="shared" si="427"/>
        <v>0</v>
      </c>
      <c r="AB839" s="1">
        <f t="shared" si="427"/>
        <v>0</v>
      </c>
      <c r="AC839" s="1">
        <f t="shared" si="427"/>
        <v>1</v>
      </c>
      <c r="AD839" s="1">
        <f t="shared" si="427"/>
        <v>1</v>
      </c>
      <c r="AE839" s="1">
        <f t="shared" si="427"/>
        <v>1</v>
      </c>
      <c r="AF839" s="1">
        <f t="shared" si="427"/>
        <v>1</v>
      </c>
      <c r="AG839" s="1">
        <f t="shared" si="427"/>
        <v>1</v>
      </c>
      <c r="AH839" s="1">
        <f t="shared" si="427"/>
        <v>1</v>
      </c>
      <c r="AI839" s="44">
        <f t="shared" si="420"/>
        <v>62824.624803829662</v>
      </c>
      <c r="AJ839" s="44">
        <f t="shared" si="411"/>
        <v>63247.372068683842</v>
      </c>
      <c r="AK839" s="44" t="str">
        <f t="shared" si="429"/>
        <v>N</v>
      </c>
      <c r="AL839" s="4">
        <f t="shared" si="412"/>
        <v>149</v>
      </c>
      <c r="AM839" s="82">
        <f t="shared" si="421"/>
        <v>0</v>
      </c>
      <c r="AN839" s="82">
        <f t="shared" si="413"/>
        <v>0</v>
      </c>
      <c r="AO839" s="48">
        <v>0</v>
      </c>
      <c r="AP839" s="91">
        <f t="shared" si="422"/>
        <v>-422.74726485418182</v>
      </c>
      <c r="AQ839" s="91">
        <f t="shared" si="423"/>
        <v>-422.74726485418182</v>
      </c>
    </row>
    <row r="840" spans="1:43">
      <c r="A840" s="190">
        <f t="shared" si="414"/>
        <v>78.220910335386719</v>
      </c>
      <c r="B840" s="82">
        <f t="shared" si="415"/>
        <v>13</v>
      </c>
      <c r="C840" s="83">
        <f t="shared" si="416"/>
        <v>150</v>
      </c>
      <c r="D840" s="14">
        <f t="shared" si="402"/>
        <v>2.6283369587845051E-3</v>
      </c>
      <c r="E840" s="16">
        <f t="shared" si="403"/>
        <v>0</v>
      </c>
      <c r="F840" s="127"/>
      <c r="G840" s="88">
        <f t="shared" si="404"/>
        <v>0</v>
      </c>
      <c r="H840" s="89">
        <f t="shared" si="417"/>
        <v>4.1666666666666666E-3</v>
      </c>
      <c r="I840" s="219"/>
      <c r="J840" s="219"/>
      <c r="K840" s="6">
        <f t="shared" si="426"/>
        <v>62824.624803829662</v>
      </c>
      <c r="M840" s="6">
        <f t="shared" si="405"/>
        <v>165.12428329367523</v>
      </c>
      <c r="N840" s="6">
        <f t="shared" si="406"/>
        <v>-71.078413258646023</v>
      </c>
      <c r="O840" s="90">
        <f t="shared" si="407"/>
        <v>422.74726485418171</v>
      </c>
      <c r="P840" s="91">
        <f t="shared" si="408"/>
        <v>0</v>
      </c>
      <c r="Q840" s="6">
        <f t="shared" si="409"/>
        <v>262.16112780776956</v>
      </c>
      <c r="R840" s="87">
        <f t="shared" si="428"/>
        <v>-422.74726485418182</v>
      </c>
      <c r="S840" s="6">
        <f t="shared" si="410"/>
        <v>-13.069205671743743</v>
      </c>
      <c r="T840" s="83">
        <f t="shared" si="418"/>
        <v>0</v>
      </c>
      <c r="U840" s="91">
        <f t="shared" si="424"/>
        <v>80246.071446376052</v>
      </c>
      <c r="V840" s="91">
        <f t="shared" si="419"/>
        <v>210.91371537977216</v>
      </c>
      <c r="W840" s="1">
        <f t="shared" si="427"/>
        <v>0</v>
      </c>
      <c r="X840" s="1">
        <f t="shared" si="427"/>
        <v>0</v>
      </c>
      <c r="Y840" s="1">
        <f t="shared" si="427"/>
        <v>0</v>
      </c>
      <c r="Z840" s="1">
        <f t="shared" si="427"/>
        <v>0</v>
      </c>
      <c r="AA840" s="1">
        <f t="shared" si="427"/>
        <v>0</v>
      </c>
      <c r="AB840" s="1">
        <f t="shared" si="427"/>
        <v>0</v>
      </c>
      <c r="AC840" s="1">
        <f t="shared" si="427"/>
        <v>1</v>
      </c>
      <c r="AD840" s="1">
        <f t="shared" si="427"/>
        <v>1</v>
      </c>
      <c r="AE840" s="1">
        <f t="shared" si="427"/>
        <v>1</v>
      </c>
      <c r="AF840" s="1">
        <f t="shared" si="427"/>
        <v>1</v>
      </c>
      <c r="AG840" s="1">
        <f t="shared" si="427"/>
        <v>1</v>
      </c>
      <c r="AH840" s="1">
        <f t="shared" si="427"/>
        <v>1</v>
      </c>
      <c r="AI840" s="44">
        <f t="shared" si="420"/>
        <v>62495.923409010509</v>
      </c>
      <c r="AJ840" s="44">
        <f t="shared" si="411"/>
        <v>62918.67067386469</v>
      </c>
      <c r="AK840" s="44" t="str">
        <f t="shared" si="429"/>
        <v>N</v>
      </c>
      <c r="AL840" s="4">
        <f t="shared" si="412"/>
        <v>150</v>
      </c>
      <c r="AM840" s="82">
        <f t="shared" si="421"/>
        <v>0</v>
      </c>
      <c r="AN840" s="82">
        <f t="shared" si="413"/>
        <v>0</v>
      </c>
      <c r="AO840" s="48">
        <v>0</v>
      </c>
      <c r="AP840" s="91">
        <f t="shared" si="422"/>
        <v>-422.74726485418182</v>
      </c>
      <c r="AQ840" s="91">
        <f t="shared" si="423"/>
        <v>-422.74726485418182</v>
      </c>
    </row>
    <row r="841" spans="1:43">
      <c r="A841" s="190">
        <f t="shared" si="414"/>
        <v>78.304243668720048</v>
      </c>
      <c r="B841" s="82">
        <f t="shared" si="415"/>
        <v>13</v>
      </c>
      <c r="C841" s="83">
        <f t="shared" si="416"/>
        <v>151</v>
      </c>
      <c r="D841" s="14">
        <f t="shared" si="402"/>
        <v>2.6283369587845051E-3</v>
      </c>
      <c r="E841" s="16">
        <f t="shared" si="403"/>
        <v>0</v>
      </c>
      <c r="F841" s="127"/>
      <c r="G841" s="88">
        <f t="shared" si="404"/>
        <v>0</v>
      </c>
      <c r="H841" s="89">
        <f t="shared" si="417"/>
        <v>4.1666666666666666E-3</v>
      </c>
      <c r="I841" s="219"/>
      <c r="J841" s="219"/>
      <c r="K841" s="6">
        <f t="shared" si="426"/>
        <v>62495.923409010509</v>
      </c>
      <c r="M841" s="6">
        <f t="shared" si="405"/>
        <v>164.26034526926804</v>
      </c>
      <c r="N841" s="6">
        <f t="shared" si="406"/>
        <v>-70.706527654034758</v>
      </c>
      <c r="O841" s="90">
        <f t="shared" si="407"/>
        <v>422.74726485418171</v>
      </c>
      <c r="P841" s="91">
        <f t="shared" si="408"/>
        <v>0</v>
      </c>
      <c r="Q841" s="6">
        <f t="shared" si="409"/>
        <v>260.7894884442739</v>
      </c>
      <c r="R841" s="87">
        <f t="shared" si="428"/>
        <v>-422.74726485418182</v>
      </c>
      <c r="S841" s="6">
        <f t="shared" si="410"/>
        <v>-13.000596308603757</v>
      </c>
      <c r="T841" s="83">
        <f t="shared" si="418"/>
        <v>0</v>
      </c>
      <c r="U841" s="91">
        <f t="shared" si="424"/>
        <v>80034.237896901643</v>
      </c>
      <c r="V841" s="91">
        <f t="shared" si="419"/>
        <v>210.35694543257804</v>
      </c>
      <c r="W841" s="1">
        <f t="shared" ref="W841:AH850" si="430">IF($B841&lt;=W$78,1,0)</f>
        <v>0</v>
      </c>
      <c r="X841" s="1">
        <f t="shared" si="430"/>
        <v>0</v>
      </c>
      <c r="Y841" s="1">
        <f t="shared" si="430"/>
        <v>0</v>
      </c>
      <c r="Z841" s="1">
        <f t="shared" si="430"/>
        <v>0</v>
      </c>
      <c r="AA841" s="1">
        <f t="shared" si="430"/>
        <v>0</v>
      </c>
      <c r="AB841" s="1">
        <f t="shared" si="430"/>
        <v>0</v>
      </c>
      <c r="AC841" s="1">
        <f t="shared" si="430"/>
        <v>1</v>
      </c>
      <c r="AD841" s="1">
        <f t="shared" si="430"/>
        <v>1</v>
      </c>
      <c r="AE841" s="1">
        <f t="shared" si="430"/>
        <v>1</v>
      </c>
      <c r="AF841" s="1">
        <f t="shared" si="430"/>
        <v>1</v>
      </c>
      <c r="AG841" s="1">
        <f t="shared" si="430"/>
        <v>1</v>
      </c>
      <c r="AH841" s="1">
        <f t="shared" si="430"/>
        <v>1</v>
      </c>
      <c r="AI841" s="44">
        <f t="shared" si="420"/>
        <v>62166.729961771562</v>
      </c>
      <c r="AJ841" s="44">
        <f t="shared" si="411"/>
        <v>62589.477226625742</v>
      </c>
      <c r="AK841" s="44" t="str">
        <f t="shared" si="429"/>
        <v>N</v>
      </c>
      <c r="AL841" s="4">
        <f t="shared" si="412"/>
        <v>151</v>
      </c>
      <c r="AM841" s="82">
        <f t="shared" si="421"/>
        <v>0</v>
      </c>
      <c r="AN841" s="82">
        <f t="shared" si="413"/>
        <v>0</v>
      </c>
      <c r="AO841" s="48">
        <v>0</v>
      </c>
      <c r="AP841" s="91">
        <f t="shared" si="422"/>
        <v>-422.74726485418182</v>
      </c>
      <c r="AQ841" s="91">
        <f t="shared" si="423"/>
        <v>-422.74726485418182</v>
      </c>
    </row>
    <row r="842" spans="1:43">
      <c r="A842" s="190">
        <f t="shared" si="414"/>
        <v>78.387577002053376</v>
      </c>
      <c r="B842" s="82">
        <f t="shared" si="415"/>
        <v>13</v>
      </c>
      <c r="C842" s="83">
        <f t="shared" si="416"/>
        <v>152</v>
      </c>
      <c r="D842" s="14">
        <f t="shared" si="402"/>
        <v>2.6283369587845051E-3</v>
      </c>
      <c r="E842" s="16">
        <f t="shared" si="403"/>
        <v>0</v>
      </c>
      <c r="F842" s="127"/>
      <c r="G842" s="88">
        <f t="shared" si="404"/>
        <v>0</v>
      </c>
      <c r="H842" s="89">
        <f t="shared" si="417"/>
        <v>4.1666666666666666E-3</v>
      </c>
      <c r="I842" s="219"/>
      <c r="J842" s="219"/>
      <c r="K842" s="6">
        <f t="shared" si="426"/>
        <v>62166.729961771562</v>
      </c>
      <c r="M842" s="6">
        <f t="shared" si="405"/>
        <v>163.39511396530025</v>
      </c>
      <c r="N842" s="6">
        <f t="shared" si="406"/>
        <v>-70.334085352024189</v>
      </c>
      <c r="O842" s="90">
        <f t="shared" si="407"/>
        <v>422.74726485418171</v>
      </c>
      <c r="P842" s="91">
        <f t="shared" si="408"/>
        <v>0</v>
      </c>
      <c r="Q842" s="6">
        <f t="shared" si="409"/>
        <v>259.41579579327015</v>
      </c>
      <c r="R842" s="87">
        <f t="shared" si="428"/>
        <v>-422.74726485418182</v>
      </c>
      <c r="S842" s="6">
        <f t="shared" si="410"/>
        <v>-12.931884240079235</v>
      </c>
      <c r="T842" s="83">
        <f t="shared" si="418"/>
        <v>0</v>
      </c>
      <c r="U842" s="91">
        <f t="shared" si="424"/>
        <v>79821.847577480032</v>
      </c>
      <c r="V842" s="91">
        <f t="shared" si="419"/>
        <v>209.79871210635417</v>
      </c>
      <c r="W842" s="1">
        <f t="shared" si="430"/>
        <v>0</v>
      </c>
      <c r="X842" s="1">
        <f t="shared" si="430"/>
        <v>0</v>
      </c>
      <c r="Y842" s="1">
        <f t="shared" si="430"/>
        <v>0</v>
      </c>
      <c r="Z842" s="1">
        <f t="shared" si="430"/>
        <v>0</v>
      </c>
      <c r="AA842" s="1">
        <f t="shared" si="430"/>
        <v>0</v>
      </c>
      <c r="AB842" s="1">
        <f t="shared" si="430"/>
        <v>0</v>
      </c>
      <c r="AC842" s="1">
        <f t="shared" si="430"/>
        <v>1</v>
      </c>
      <c r="AD842" s="1">
        <f t="shared" si="430"/>
        <v>1</v>
      </c>
      <c r="AE842" s="1">
        <f t="shared" si="430"/>
        <v>1</v>
      </c>
      <c r="AF842" s="1">
        <f t="shared" si="430"/>
        <v>1</v>
      </c>
      <c r="AG842" s="1">
        <f t="shared" si="430"/>
        <v>1</v>
      </c>
      <c r="AH842" s="1">
        <f t="shared" si="430"/>
        <v>1</v>
      </c>
      <c r="AI842" s="44">
        <f t="shared" si="420"/>
        <v>61837.043725530653</v>
      </c>
      <c r="AJ842" s="44">
        <f t="shared" si="411"/>
        <v>62259.790990384834</v>
      </c>
      <c r="AK842" s="44" t="str">
        <f t="shared" si="429"/>
        <v>N</v>
      </c>
      <c r="AL842" s="4">
        <f t="shared" si="412"/>
        <v>152</v>
      </c>
      <c r="AM842" s="82">
        <f t="shared" si="421"/>
        <v>0</v>
      </c>
      <c r="AN842" s="82">
        <f t="shared" si="413"/>
        <v>0</v>
      </c>
      <c r="AO842" s="48">
        <v>0</v>
      </c>
      <c r="AP842" s="91">
        <f t="shared" si="422"/>
        <v>-422.74726485418182</v>
      </c>
      <c r="AQ842" s="91">
        <f t="shared" si="423"/>
        <v>-422.74726485418182</v>
      </c>
    </row>
    <row r="843" spans="1:43">
      <c r="A843" s="190">
        <f t="shared" si="414"/>
        <v>78.470910335386719</v>
      </c>
      <c r="B843" s="82">
        <f t="shared" si="415"/>
        <v>13</v>
      </c>
      <c r="C843" s="83">
        <f t="shared" si="416"/>
        <v>153</v>
      </c>
      <c r="D843" s="14">
        <f t="shared" si="402"/>
        <v>2.6283369587845051E-3</v>
      </c>
      <c r="E843" s="16">
        <f t="shared" si="403"/>
        <v>0</v>
      </c>
      <c r="F843" s="127"/>
      <c r="G843" s="88">
        <f t="shared" si="404"/>
        <v>0</v>
      </c>
      <c r="H843" s="89">
        <f t="shared" si="417"/>
        <v>4.1666666666666666E-3</v>
      </c>
      <c r="I843" s="219"/>
      <c r="J843" s="219"/>
      <c r="K843" s="6">
        <f t="shared" si="426"/>
        <v>61837.043725530653</v>
      </c>
      <c r="M843" s="6">
        <f t="shared" si="405"/>
        <v>162.52858744578569</v>
      </c>
      <c r="N843" s="6">
        <f t="shared" si="406"/>
        <v>-69.961085519261317</v>
      </c>
      <c r="O843" s="90">
        <f t="shared" si="407"/>
        <v>422.74726485418171</v>
      </c>
      <c r="P843" s="91">
        <f t="shared" si="408"/>
        <v>0</v>
      </c>
      <c r="Q843" s="6">
        <f t="shared" si="409"/>
        <v>258.04004678107157</v>
      </c>
      <c r="R843" s="87">
        <f t="shared" si="428"/>
        <v>-422.74726485418182</v>
      </c>
      <c r="S843" s="6">
        <f t="shared" si="410"/>
        <v>-12.863069312424448</v>
      </c>
      <c r="T843" s="83">
        <f t="shared" si="418"/>
        <v>0</v>
      </c>
      <c r="U843" s="91">
        <f t="shared" si="424"/>
        <v>79608.899024732193</v>
      </c>
      <c r="V843" s="91">
        <f t="shared" si="419"/>
        <v>209.23901155484737</v>
      </c>
      <c r="W843" s="1">
        <f t="shared" si="430"/>
        <v>0</v>
      </c>
      <c r="X843" s="1">
        <f t="shared" si="430"/>
        <v>0</v>
      </c>
      <c r="Y843" s="1">
        <f t="shared" si="430"/>
        <v>0</v>
      </c>
      <c r="Z843" s="1">
        <f t="shared" si="430"/>
        <v>0</v>
      </c>
      <c r="AA843" s="1">
        <f t="shared" si="430"/>
        <v>0</v>
      </c>
      <c r="AB843" s="1">
        <f t="shared" si="430"/>
        <v>0</v>
      </c>
      <c r="AC843" s="1">
        <f t="shared" si="430"/>
        <v>1</v>
      </c>
      <c r="AD843" s="1">
        <f t="shared" si="430"/>
        <v>1</v>
      </c>
      <c r="AE843" s="1">
        <f t="shared" si="430"/>
        <v>1</v>
      </c>
      <c r="AF843" s="1">
        <f t="shared" si="430"/>
        <v>1</v>
      </c>
      <c r="AG843" s="1">
        <f t="shared" si="430"/>
        <v>1</v>
      </c>
      <c r="AH843" s="1">
        <f t="shared" si="430"/>
        <v>1</v>
      </c>
      <c r="AI843" s="44">
        <f t="shared" si="420"/>
        <v>61506.863962602998</v>
      </c>
      <c r="AJ843" s="44">
        <f t="shared" si="411"/>
        <v>61929.611227457179</v>
      </c>
      <c r="AK843" s="44" t="str">
        <f t="shared" si="429"/>
        <v>N</v>
      </c>
      <c r="AL843" s="4">
        <f t="shared" si="412"/>
        <v>153</v>
      </c>
      <c r="AM843" s="82">
        <f t="shared" si="421"/>
        <v>0</v>
      </c>
      <c r="AN843" s="82">
        <f t="shared" si="413"/>
        <v>0</v>
      </c>
      <c r="AO843" s="48">
        <v>0</v>
      </c>
      <c r="AP843" s="91">
        <f t="shared" si="422"/>
        <v>-422.74726485418182</v>
      </c>
      <c r="AQ843" s="91">
        <f t="shared" si="423"/>
        <v>-422.74726485418182</v>
      </c>
    </row>
    <row r="844" spans="1:43">
      <c r="A844" s="190">
        <f t="shared" si="414"/>
        <v>78.554243668720048</v>
      </c>
      <c r="B844" s="82">
        <f t="shared" si="415"/>
        <v>13</v>
      </c>
      <c r="C844" s="83">
        <f t="shared" si="416"/>
        <v>154</v>
      </c>
      <c r="D844" s="14">
        <f t="shared" si="402"/>
        <v>2.6283369587845051E-3</v>
      </c>
      <c r="E844" s="16">
        <f t="shared" si="403"/>
        <v>0</v>
      </c>
      <c r="F844" s="127"/>
      <c r="G844" s="88">
        <f t="shared" si="404"/>
        <v>0</v>
      </c>
      <c r="H844" s="89">
        <f t="shared" si="417"/>
        <v>4.1666666666666666E-3</v>
      </c>
      <c r="I844" s="219"/>
      <c r="J844" s="219"/>
      <c r="K844" s="6">
        <f t="shared" si="426"/>
        <v>61506.863962602998</v>
      </c>
      <c r="M844" s="6">
        <f t="shared" si="405"/>
        <v>161.66076377184024</v>
      </c>
      <c r="N844" s="6">
        <f t="shared" si="406"/>
        <v>-69.587527321145615</v>
      </c>
      <c r="O844" s="90">
        <f t="shared" si="407"/>
        <v>422.74726485418171</v>
      </c>
      <c r="P844" s="91">
        <f t="shared" si="408"/>
        <v>0</v>
      </c>
      <c r="Q844" s="6">
        <f t="shared" si="409"/>
        <v>256.66223832939039</v>
      </c>
      <c r="R844" s="87">
        <f t="shared" si="428"/>
        <v>-422.74726485418182</v>
      </c>
      <c r="S844" s="6">
        <f t="shared" si="410"/>
        <v>-12.794151371663531</v>
      </c>
      <c r="T844" s="83">
        <f t="shared" si="418"/>
        <v>0</v>
      </c>
      <c r="U844" s="91">
        <f t="shared" si="424"/>
        <v>79395.390771432852</v>
      </c>
      <c r="V844" s="91">
        <f t="shared" si="419"/>
        <v>208.67783992169518</v>
      </c>
      <c r="W844" s="1">
        <f t="shared" si="430"/>
        <v>0</v>
      </c>
      <c r="X844" s="1">
        <f t="shared" si="430"/>
        <v>0</v>
      </c>
      <c r="Y844" s="1">
        <f t="shared" si="430"/>
        <v>0</v>
      </c>
      <c r="Z844" s="1">
        <f t="shared" si="430"/>
        <v>0</v>
      </c>
      <c r="AA844" s="1">
        <f t="shared" si="430"/>
        <v>0</v>
      </c>
      <c r="AB844" s="1">
        <f t="shared" si="430"/>
        <v>0</v>
      </c>
      <c r="AC844" s="1">
        <f t="shared" si="430"/>
        <v>1</v>
      </c>
      <c r="AD844" s="1">
        <f t="shared" si="430"/>
        <v>1</v>
      </c>
      <c r="AE844" s="1">
        <f t="shared" si="430"/>
        <v>1</v>
      </c>
      <c r="AF844" s="1">
        <f t="shared" si="430"/>
        <v>1</v>
      </c>
      <c r="AG844" s="1">
        <f t="shared" si="430"/>
        <v>1</v>
      </c>
      <c r="AH844" s="1">
        <f t="shared" si="430"/>
        <v>1</v>
      </c>
      <c r="AI844" s="44">
        <f t="shared" si="420"/>
        <v>61176.189934199516</v>
      </c>
      <c r="AJ844" s="44">
        <f t="shared" si="411"/>
        <v>61598.937199053697</v>
      </c>
      <c r="AK844" s="44" t="str">
        <f t="shared" si="429"/>
        <v>N</v>
      </c>
      <c r="AL844" s="4">
        <f t="shared" si="412"/>
        <v>154</v>
      </c>
      <c r="AM844" s="82">
        <f t="shared" si="421"/>
        <v>0</v>
      </c>
      <c r="AN844" s="82">
        <f t="shared" si="413"/>
        <v>0</v>
      </c>
      <c r="AO844" s="48">
        <v>0</v>
      </c>
      <c r="AP844" s="91">
        <f t="shared" si="422"/>
        <v>-422.74726485418182</v>
      </c>
      <c r="AQ844" s="91">
        <f t="shared" si="423"/>
        <v>-422.74726485418182</v>
      </c>
    </row>
    <row r="845" spans="1:43">
      <c r="A845" s="190">
        <f t="shared" si="414"/>
        <v>78.637577002053376</v>
      </c>
      <c r="B845" s="82">
        <f t="shared" si="415"/>
        <v>13</v>
      </c>
      <c r="C845" s="83">
        <f t="shared" si="416"/>
        <v>155</v>
      </c>
      <c r="D845" s="14">
        <f t="shared" si="402"/>
        <v>2.6283369587845051E-3</v>
      </c>
      <c r="E845" s="16">
        <f t="shared" si="403"/>
        <v>0</v>
      </c>
      <c r="F845" s="127"/>
      <c r="G845" s="88">
        <f t="shared" si="404"/>
        <v>0</v>
      </c>
      <c r="H845" s="89">
        <f t="shared" si="417"/>
        <v>4.1666666666666666E-3</v>
      </c>
      <c r="I845" s="219"/>
      <c r="J845" s="219"/>
      <c r="K845" s="6">
        <f t="shared" si="426"/>
        <v>61176.189934199516</v>
      </c>
      <c r="M845" s="6">
        <f t="shared" si="405"/>
        <v>160.79164100167722</v>
      </c>
      <c r="N845" s="6">
        <f t="shared" si="406"/>
        <v>-69.213409921827193</v>
      </c>
      <c r="O845" s="90">
        <f t="shared" si="407"/>
        <v>422.74726485418171</v>
      </c>
      <c r="P845" s="91">
        <f t="shared" si="408"/>
        <v>0</v>
      </c>
      <c r="Q845" s="6">
        <f t="shared" si="409"/>
        <v>255.28236735533071</v>
      </c>
      <c r="R845" s="87">
        <f t="shared" si="428"/>
        <v>-422.74726485418182</v>
      </c>
      <c r="S845" s="6">
        <f t="shared" si="410"/>
        <v>-12.725130263590112</v>
      </c>
      <c r="T845" s="83">
        <f t="shared" si="418"/>
        <v>0</v>
      </c>
      <c r="U845" s="91">
        <f t="shared" si="424"/>
        <v>79181.321346500365</v>
      </c>
      <c r="V845" s="91">
        <f t="shared" si="419"/>
        <v>208.11519334039937</v>
      </c>
      <c r="W845" s="1">
        <f t="shared" si="430"/>
        <v>0</v>
      </c>
      <c r="X845" s="1">
        <f t="shared" si="430"/>
        <v>0</v>
      </c>
      <c r="Y845" s="1">
        <f t="shared" si="430"/>
        <v>0</v>
      </c>
      <c r="Z845" s="1">
        <f t="shared" si="430"/>
        <v>0</v>
      </c>
      <c r="AA845" s="1">
        <f t="shared" si="430"/>
        <v>0</v>
      </c>
      <c r="AB845" s="1">
        <f t="shared" si="430"/>
        <v>0</v>
      </c>
      <c r="AC845" s="1">
        <f t="shared" si="430"/>
        <v>1</v>
      </c>
      <c r="AD845" s="1">
        <f t="shared" si="430"/>
        <v>1</v>
      </c>
      <c r="AE845" s="1">
        <f t="shared" si="430"/>
        <v>1</v>
      </c>
      <c r="AF845" s="1">
        <f t="shared" si="430"/>
        <v>1</v>
      </c>
      <c r="AG845" s="1">
        <f t="shared" si="430"/>
        <v>1</v>
      </c>
      <c r="AH845" s="1">
        <f t="shared" si="430"/>
        <v>1</v>
      </c>
      <c r="AI845" s="44">
        <f t="shared" si="420"/>
        <v>60845.020900425188</v>
      </c>
      <c r="AJ845" s="44">
        <f t="shared" si="411"/>
        <v>61267.768165279369</v>
      </c>
      <c r="AK845" s="44" t="str">
        <f t="shared" si="429"/>
        <v>N</v>
      </c>
      <c r="AL845" s="4">
        <f t="shared" si="412"/>
        <v>155</v>
      </c>
      <c r="AM845" s="82">
        <f t="shared" si="421"/>
        <v>0</v>
      </c>
      <c r="AN845" s="82">
        <f t="shared" si="413"/>
        <v>0</v>
      </c>
      <c r="AO845" s="48">
        <v>0</v>
      </c>
      <c r="AP845" s="91">
        <f t="shared" si="422"/>
        <v>-422.74726485418182</v>
      </c>
      <c r="AQ845" s="91">
        <f t="shared" si="423"/>
        <v>-422.74726485418182</v>
      </c>
    </row>
    <row r="846" spans="1:43">
      <c r="A846" s="190">
        <f t="shared" si="414"/>
        <v>78.720910335386719</v>
      </c>
      <c r="B846" s="82">
        <f t="shared" si="415"/>
        <v>13</v>
      </c>
      <c r="C846" s="83">
        <f t="shared" si="416"/>
        <v>156</v>
      </c>
      <c r="D846" s="14">
        <f t="shared" si="402"/>
        <v>2.6283369587845051E-3</v>
      </c>
      <c r="E846" s="16">
        <f t="shared" si="403"/>
        <v>0</v>
      </c>
      <c r="F846" s="127"/>
      <c r="G846" s="88">
        <f t="shared" si="404"/>
        <v>0</v>
      </c>
      <c r="H846" s="89">
        <f t="shared" si="417"/>
        <v>4.1666666666666666E-3</v>
      </c>
      <c r="I846" s="219"/>
      <c r="J846" s="219"/>
      <c r="K846" s="6">
        <f t="shared" si="426"/>
        <v>60845.020900425188</v>
      </c>
      <c r="M846" s="6">
        <f t="shared" si="405"/>
        <v>159.92121719060319</v>
      </c>
      <c r="N846" s="6">
        <f t="shared" si="406"/>
        <v>-68.83873248420494</v>
      </c>
      <c r="O846" s="90">
        <f t="shared" si="407"/>
        <v>422.74726485418171</v>
      </c>
      <c r="P846" s="91">
        <f t="shared" si="408"/>
        <v>0</v>
      </c>
      <c r="Q846" s="6">
        <f t="shared" si="409"/>
        <v>253.90043077138162</v>
      </c>
      <c r="R846" s="87">
        <f t="shared" si="428"/>
        <v>-422.74726485418182</v>
      </c>
      <c r="S846" s="6">
        <f t="shared" si="410"/>
        <v>-12.656005833766983</v>
      </c>
      <c r="T846" s="83">
        <f t="shared" si="418"/>
        <v>0</v>
      </c>
      <c r="U846" s="91">
        <f t="shared" si="424"/>
        <v>78966.68927498658</v>
      </c>
      <c r="V846" s="91">
        <f t="shared" si="419"/>
        <v>207.55106793429923</v>
      </c>
      <c r="W846" s="1">
        <f t="shared" si="430"/>
        <v>0</v>
      </c>
      <c r="X846" s="1">
        <f t="shared" si="430"/>
        <v>0</v>
      </c>
      <c r="Y846" s="1">
        <f t="shared" si="430"/>
        <v>0</v>
      </c>
      <c r="Z846" s="1">
        <f t="shared" si="430"/>
        <v>0</v>
      </c>
      <c r="AA846" s="1">
        <f t="shared" si="430"/>
        <v>0</v>
      </c>
      <c r="AB846" s="1">
        <f t="shared" si="430"/>
        <v>0</v>
      </c>
      <c r="AC846" s="1">
        <f t="shared" si="430"/>
        <v>1</v>
      </c>
      <c r="AD846" s="1">
        <f t="shared" si="430"/>
        <v>1</v>
      </c>
      <c r="AE846" s="1">
        <f t="shared" si="430"/>
        <v>1</v>
      </c>
      <c r="AF846" s="1">
        <f t="shared" si="430"/>
        <v>1</v>
      </c>
      <c r="AG846" s="1">
        <f t="shared" si="430"/>
        <v>1</v>
      </c>
      <c r="AH846" s="1">
        <f t="shared" si="430"/>
        <v>1</v>
      </c>
      <c r="AI846" s="44">
        <f t="shared" si="420"/>
        <v>60513.356120277407</v>
      </c>
      <c r="AJ846" s="44">
        <f t="shared" si="411"/>
        <v>60936.103385131588</v>
      </c>
      <c r="AK846" s="44" t="str">
        <f t="shared" si="429"/>
        <v>N</v>
      </c>
      <c r="AL846" s="4">
        <f t="shared" si="412"/>
        <v>156</v>
      </c>
      <c r="AM846" s="82">
        <f t="shared" si="421"/>
        <v>0</v>
      </c>
      <c r="AN846" s="82">
        <f t="shared" si="413"/>
        <v>0</v>
      </c>
      <c r="AO846" s="48">
        <v>0</v>
      </c>
      <c r="AP846" s="91">
        <f t="shared" si="422"/>
        <v>-422.74726485418182</v>
      </c>
      <c r="AQ846" s="91">
        <f t="shared" si="423"/>
        <v>-422.74726485418182</v>
      </c>
    </row>
    <row r="847" spans="1:43">
      <c r="A847" s="190">
        <f t="shared" si="414"/>
        <v>78.804243668720048</v>
      </c>
      <c r="B847" s="82">
        <f t="shared" si="415"/>
        <v>14</v>
      </c>
      <c r="C847" s="83">
        <f t="shared" si="416"/>
        <v>157</v>
      </c>
      <c r="D847" s="14">
        <f t="shared" si="402"/>
        <v>2.6283369587845051E-3</v>
      </c>
      <c r="E847" s="16">
        <f t="shared" si="403"/>
        <v>0</v>
      </c>
      <c r="F847" s="127"/>
      <c r="G847" s="88">
        <f t="shared" si="404"/>
        <v>0</v>
      </c>
      <c r="H847" s="89">
        <f t="shared" si="417"/>
        <v>4.1666666666666666E-3</v>
      </c>
      <c r="I847" s="219"/>
      <c r="J847" s="219"/>
      <c r="K847" s="6">
        <f t="shared" si="426"/>
        <v>60513.356120277407</v>
      </c>
      <c r="M847" s="6">
        <f t="shared" si="405"/>
        <v>159.04949039101365</v>
      </c>
      <c r="N847" s="6">
        <f t="shared" si="406"/>
        <v>-68.46349416992463</v>
      </c>
      <c r="O847" s="90">
        <f t="shared" si="407"/>
        <v>431.20221015126532</v>
      </c>
      <c r="P847" s="91">
        <f t="shared" si="408"/>
        <v>0</v>
      </c>
      <c r="Q847" s="6">
        <f t="shared" si="409"/>
        <v>252.51642548541039</v>
      </c>
      <c r="R847" s="87">
        <f t="shared" si="428"/>
        <v>-431.84770206054998</v>
      </c>
      <c r="S847" s="6">
        <f t="shared" si="410"/>
        <v>-12.585828877371977</v>
      </c>
      <c r="T847" s="83">
        <f t="shared" si="418"/>
        <v>0</v>
      </c>
      <c r="U847" s="91">
        <f t="shared" si="424"/>
        <v>78751.493078066691</v>
      </c>
      <c r="V847" s="91">
        <f t="shared" si="419"/>
        <v>206.98545981654482</v>
      </c>
      <c r="W847" s="1">
        <f t="shared" si="430"/>
        <v>0</v>
      </c>
      <c r="X847" s="1">
        <f t="shared" si="430"/>
        <v>0</v>
      </c>
      <c r="Y847" s="1">
        <f t="shared" si="430"/>
        <v>0</v>
      </c>
      <c r="Z847" s="1">
        <f t="shared" si="430"/>
        <v>0</v>
      </c>
      <c r="AA847" s="1">
        <f t="shared" si="430"/>
        <v>0</v>
      </c>
      <c r="AB847" s="1">
        <f t="shared" si="430"/>
        <v>0</v>
      </c>
      <c r="AC847" s="1">
        <f t="shared" si="430"/>
        <v>1</v>
      </c>
      <c r="AD847" s="1">
        <f t="shared" si="430"/>
        <v>1</v>
      </c>
      <c r="AE847" s="1">
        <f t="shared" si="430"/>
        <v>1</v>
      </c>
      <c r="AF847" s="1">
        <f t="shared" si="430"/>
        <v>1</v>
      </c>
      <c r="AG847" s="1">
        <f t="shared" si="430"/>
        <v>1</v>
      </c>
      <c r="AH847" s="1">
        <f t="shared" si="430"/>
        <v>1</v>
      </c>
      <c r="AI847" s="44">
        <f t="shared" si="420"/>
        <v>60172.094414437946</v>
      </c>
      <c r="AJ847" s="44">
        <f t="shared" si="411"/>
        <v>60603.942116498496</v>
      </c>
      <c r="AK847" s="44" t="str">
        <f t="shared" si="429"/>
        <v>N</v>
      </c>
      <c r="AL847" s="4">
        <f t="shared" si="412"/>
        <v>157</v>
      </c>
      <c r="AM847" s="82">
        <f t="shared" si="421"/>
        <v>0</v>
      </c>
      <c r="AN847" s="82">
        <f t="shared" si="413"/>
        <v>0</v>
      </c>
      <c r="AO847" s="48">
        <v>0</v>
      </c>
      <c r="AP847" s="91">
        <f t="shared" si="422"/>
        <v>-431.84770206054998</v>
      </c>
      <c r="AQ847" s="91">
        <f t="shared" si="423"/>
        <v>-431.84770206054998</v>
      </c>
    </row>
    <row r="848" spans="1:43">
      <c r="A848" s="190">
        <f t="shared" si="414"/>
        <v>78.887577002053376</v>
      </c>
      <c r="B848" s="82">
        <f t="shared" si="415"/>
        <v>14</v>
      </c>
      <c r="C848" s="83">
        <f t="shared" si="416"/>
        <v>158</v>
      </c>
      <c r="D848" s="14">
        <f t="shared" si="402"/>
        <v>2.6283369587845051E-3</v>
      </c>
      <c r="E848" s="16">
        <f t="shared" si="403"/>
        <v>0</v>
      </c>
      <c r="F848" s="127"/>
      <c r="G848" s="88">
        <f t="shared" si="404"/>
        <v>0</v>
      </c>
      <c r="H848" s="89">
        <f t="shared" si="417"/>
        <v>4.1666666666666666E-3</v>
      </c>
      <c r="I848" s="219"/>
      <c r="J848" s="219"/>
      <c r="K848" s="6">
        <f t="shared" si="426"/>
        <v>60172.094414437946</v>
      </c>
      <c r="M848" s="6">
        <f t="shared" si="405"/>
        <v>158.15253963693795</v>
      </c>
      <c r="N848" s="6">
        <f t="shared" si="406"/>
        <v>-68.077398102773444</v>
      </c>
      <c r="O848" s="90">
        <f t="shared" si="407"/>
        <v>431.20221015126532</v>
      </c>
      <c r="P848" s="91">
        <f t="shared" si="408"/>
        <v>0</v>
      </c>
      <c r="Q848" s="6">
        <f t="shared" si="409"/>
        <v>251.0923731498838</v>
      </c>
      <c r="R848" s="87">
        <f t="shared" si="428"/>
        <v>-431.20221015126549</v>
      </c>
      <c r="S848" s="6">
        <f t="shared" si="410"/>
        <v>-12.514665134724478</v>
      </c>
      <c r="T848" s="83">
        <f t="shared" si="418"/>
        <v>0</v>
      </c>
      <c r="U848" s="91">
        <f t="shared" si="424"/>
        <v>78526.630835822682</v>
      </c>
      <c r="V848" s="91">
        <f t="shared" si="419"/>
        <v>206.39444607461974</v>
      </c>
      <c r="W848" s="1">
        <f t="shared" si="430"/>
        <v>0</v>
      </c>
      <c r="X848" s="1">
        <f t="shared" si="430"/>
        <v>0</v>
      </c>
      <c r="Y848" s="1">
        <f t="shared" si="430"/>
        <v>0</v>
      </c>
      <c r="Z848" s="1">
        <f t="shared" si="430"/>
        <v>0</v>
      </c>
      <c r="AA848" s="1">
        <f t="shared" si="430"/>
        <v>0</v>
      </c>
      <c r="AB848" s="1">
        <f t="shared" si="430"/>
        <v>0</v>
      </c>
      <c r="AC848" s="1">
        <f t="shared" si="430"/>
        <v>1</v>
      </c>
      <c r="AD848" s="1">
        <f t="shared" si="430"/>
        <v>1</v>
      </c>
      <c r="AE848" s="1">
        <f t="shared" si="430"/>
        <v>1</v>
      </c>
      <c r="AF848" s="1">
        <f t="shared" si="430"/>
        <v>1</v>
      </c>
      <c r="AG848" s="1">
        <f t="shared" si="430"/>
        <v>1</v>
      </c>
      <c r="AH848" s="1">
        <f t="shared" si="430"/>
        <v>1</v>
      </c>
      <c r="AI848" s="44">
        <f t="shared" si="420"/>
        <v>59830.967345820849</v>
      </c>
      <c r="AJ848" s="44">
        <f t="shared" si="411"/>
        <v>60262.169555972112</v>
      </c>
      <c r="AK848" s="44" t="str">
        <f t="shared" si="429"/>
        <v>N</v>
      </c>
      <c r="AL848" s="4">
        <f t="shared" si="412"/>
        <v>158</v>
      </c>
      <c r="AM848" s="82">
        <f t="shared" si="421"/>
        <v>0</v>
      </c>
      <c r="AN848" s="82">
        <f t="shared" si="413"/>
        <v>0</v>
      </c>
      <c r="AO848" s="48">
        <v>0</v>
      </c>
      <c r="AP848" s="91">
        <f t="shared" si="422"/>
        <v>-431.20221015126549</v>
      </c>
      <c r="AQ848" s="91">
        <f t="shared" si="423"/>
        <v>-431.20221015126549</v>
      </c>
    </row>
    <row r="849" spans="1:43">
      <c r="A849" s="190">
        <f t="shared" si="414"/>
        <v>78.970910335386719</v>
      </c>
      <c r="B849" s="82">
        <f t="shared" si="415"/>
        <v>14</v>
      </c>
      <c r="C849" s="83">
        <f t="shared" si="416"/>
        <v>159</v>
      </c>
      <c r="D849" s="14">
        <f t="shared" si="402"/>
        <v>2.6283369587845051E-3</v>
      </c>
      <c r="E849" s="16">
        <f t="shared" si="403"/>
        <v>0</v>
      </c>
      <c r="F849" s="127"/>
      <c r="G849" s="88">
        <f t="shared" si="404"/>
        <v>0</v>
      </c>
      <c r="H849" s="89">
        <f t="shared" si="417"/>
        <v>4.1666666666666666E-3</v>
      </c>
      <c r="I849" s="219"/>
      <c r="J849" s="219"/>
      <c r="K849" s="6">
        <f t="shared" si="426"/>
        <v>59830.967345820849</v>
      </c>
      <c r="M849" s="6">
        <f t="shared" si="405"/>
        <v>157.2559427548498</v>
      </c>
      <c r="N849" s="6">
        <f t="shared" si="406"/>
        <v>-67.691454361245547</v>
      </c>
      <c r="O849" s="90">
        <f t="shared" si="407"/>
        <v>431.20221015126532</v>
      </c>
      <c r="P849" s="91">
        <f t="shared" si="408"/>
        <v>0</v>
      </c>
      <c r="Q849" s="6">
        <f t="shared" si="409"/>
        <v>249.66888264256022</v>
      </c>
      <c r="R849" s="87">
        <f t="shared" si="428"/>
        <v>-431.20221015126549</v>
      </c>
      <c r="S849" s="6">
        <f t="shared" si="410"/>
        <v>-12.443462178799981</v>
      </c>
      <c r="T849" s="83">
        <f t="shared" si="418"/>
        <v>0</v>
      </c>
      <c r="U849" s="91">
        <f t="shared" si="424"/>
        <v>78301.823071746025</v>
      </c>
      <c r="V849" s="91">
        <f t="shared" si="419"/>
        <v>205.80357551967535</v>
      </c>
      <c r="W849" s="1">
        <f t="shared" si="430"/>
        <v>0</v>
      </c>
      <c r="X849" s="1">
        <f t="shared" si="430"/>
        <v>0</v>
      </c>
      <c r="Y849" s="1">
        <f t="shared" si="430"/>
        <v>0</v>
      </c>
      <c r="Z849" s="1">
        <f t="shared" si="430"/>
        <v>0</v>
      </c>
      <c r="AA849" s="1">
        <f t="shared" si="430"/>
        <v>0</v>
      </c>
      <c r="AB849" s="1">
        <f t="shared" si="430"/>
        <v>0</v>
      </c>
      <c r="AC849" s="1">
        <f t="shared" si="430"/>
        <v>1</v>
      </c>
      <c r="AD849" s="1">
        <f t="shared" si="430"/>
        <v>1</v>
      </c>
      <c r="AE849" s="1">
        <f t="shared" si="430"/>
        <v>1</v>
      </c>
      <c r="AF849" s="1">
        <f t="shared" si="430"/>
        <v>1</v>
      </c>
      <c r="AG849" s="1">
        <f t="shared" si="430"/>
        <v>1</v>
      </c>
      <c r="AH849" s="1">
        <f t="shared" si="430"/>
        <v>1</v>
      </c>
      <c r="AI849" s="44">
        <f t="shared" si="420"/>
        <v>59489.32962406319</v>
      </c>
      <c r="AJ849" s="44">
        <f t="shared" si="411"/>
        <v>59920.531834214453</v>
      </c>
      <c r="AK849" s="44" t="str">
        <f t="shared" si="429"/>
        <v>N</v>
      </c>
      <c r="AL849" s="4">
        <f t="shared" si="412"/>
        <v>159</v>
      </c>
      <c r="AM849" s="82">
        <f t="shared" si="421"/>
        <v>0</v>
      </c>
      <c r="AN849" s="82">
        <f t="shared" si="413"/>
        <v>0</v>
      </c>
      <c r="AO849" s="48">
        <v>0</v>
      </c>
      <c r="AP849" s="91">
        <f t="shared" si="422"/>
        <v>-431.20221015126549</v>
      </c>
      <c r="AQ849" s="91">
        <f t="shared" si="423"/>
        <v>-431.20221015126549</v>
      </c>
    </row>
    <row r="850" spans="1:43">
      <c r="A850" s="190">
        <f t="shared" si="414"/>
        <v>79.054243668720048</v>
      </c>
      <c r="B850" s="82">
        <f t="shared" si="415"/>
        <v>14</v>
      </c>
      <c r="C850" s="83">
        <f t="shared" si="416"/>
        <v>160</v>
      </c>
      <c r="D850" s="14">
        <f t="shared" si="402"/>
        <v>2.6283369587845051E-3</v>
      </c>
      <c r="E850" s="16">
        <f t="shared" si="403"/>
        <v>0</v>
      </c>
      <c r="F850" s="127"/>
      <c r="G850" s="88">
        <f t="shared" si="404"/>
        <v>0</v>
      </c>
      <c r="H850" s="89">
        <f t="shared" si="417"/>
        <v>4.1666666666666666E-3</v>
      </c>
      <c r="I850" s="219"/>
      <c r="J850" s="219"/>
      <c r="K850" s="6">
        <f t="shared" si="426"/>
        <v>59489.32962406319</v>
      </c>
      <c r="M850" s="6">
        <f t="shared" si="405"/>
        <v>156.35800370423922</v>
      </c>
      <c r="N850" s="6">
        <f t="shared" si="406"/>
        <v>-67.304932877867699</v>
      </c>
      <c r="O850" s="90">
        <f t="shared" si="407"/>
        <v>431.20221015126532</v>
      </c>
      <c r="P850" s="91">
        <f t="shared" si="408"/>
        <v>0</v>
      </c>
      <c r="Q850" s="6">
        <f t="shared" si="409"/>
        <v>248.24326122870653</v>
      </c>
      <c r="R850" s="87">
        <f t="shared" si="428"/>
        <v>-431.20221015126549</v>
      </c>
      <c r="S850" s="6">
        <f t="shared" si="410"/>
        <v>-12.372152634989604</v>
      </c>
      <c r="T850" s="83">
        <f t="shared" si="418"/>
        <v>0</v>
      </c>
      <c r="U850" s="91">
        <f t="shared" si="424"/>
        <v>78076.42443711443</v>
      </c>
      <c r="V850" s="91">
        <f t="shared" si="419"/>
        <v>205.21115195781357</v>
      </c>
      <c r="W850" s="1">
        <f t="shared" si="430"/>
        <v>0</v>
      </c>
      <c r="X850" s="1">
        <f t="shared" si="430"/>
        <v>0</v>
      </c>
      <c r="Y850" s="1">
        <f t="shared" si="430"/>
        <v>0</v>
      </c>
      <c r="Z850" s="1">
        <f t="shared" si="430"/>
        <v>0</v>
      </c>
      <c r="AA850" s="1">
        <f t="shared" si="430"/>
        <v>0</v>
      </c>
      <c r="AB850" s="1">
        <f t="shared" si="430"/>
        <v>0</v>
      </c>
      <c r="AC850" s="1">
        <f t="shared" si="430"/>
        <v>1</v>
      </c>
      <c r="AD850" s="1">
        <f t="shared" si="430"/>
        <v>1</v>
      </c>
      <c r="AE850" s="1">
        <f t="shared" si="430"/>
        <v>1</v>
      </c>
      <c r="AF850" s="1">
        <f t="shared" si="430"/>
        <v>1</v>
      </c>
      <c r="AG850" s="1">
        <f t="shared" si="430"/>
        <v>1</v>
      </c>
      <c r="AH850" s="1">
        <f t="shared" si="430"/>
        <v>1</v>
      </c>
      <c r="AI850" s="44">
        <f t="shared" si="420"/>
        <v>59147.180484738303</v>
      </c>
      <c r="AJ850" s="44">
        <f t="shared" si="411"/>
        <v>59578.382694889566</v>
      </c>
      <c r="AK850" s="44" t="str">
        <f t="shared" si="429"/>
        <v>N</v>
      </c>
      <c r="AL850" s="4">
        <f t="shared" si="412"/>
        <v>160</v>
      </c>
      <c r="AM850" s="82">
        <f t="shared" si="421"/>
        <v>0</v>
      </c>
      <c r="AN850" s="82">
        <f t="shared" si="413"/>
        <v>0</v>
      </c>
      <c r="AO850" s="48">
        <v>0</v>
      </c>
      <c r="AP850" s="91">
        <f t="shared" si="422"/>
        <v>-431.20221015126549</v>
      </c>
      <c r="AQ850" s="91">
        <f t="shared" si="423"/>
        <v>-431.20221015126549</v>
      </c>
    </row>
    <row r="851" spans="1:43">
      <c r="A851" s="190">
        <f t="shared" si="414"/>
        <v>79.137577002053376</v>
      </c>
      <c r="B851" s="82">
        <f t="shared" si="415"/>
        <v>14</v>
      </c>
      <c r="C851" s="83">
        <f t="shared" si="416"/>
        <v>161</v>
      </c>
      <c r="D851" s="14">
        <f t="shared" si="402"/>
        <v>2.6283369587845051E-3</v>
      </c>
      <c r="E851" s="16">
        <f t="shared" si="403"/>
        <v>0</v>
      </c>
      <c r="F851" s="127"/>
      <c r="G851" s="88">
        <f t="shared" si="404"/>
        <v>0</v>
      </c>
      <c r="H851" s="89">
        <f t="shared" si="417"/>
        <v>4.1666666666666666E-3</v>
      </c>
      <c r="I851" s="219"/>
      <c r="J851" s="219"/>
      <c r="K851" s="6">
        <f t="shared" si="426"/>
        <v>59147.180484738303</v>
      </c>
      <c r="M851" s="6">
        <f t="shared" si="405"/>
        <v>155.45872047593531</v>
      </c>
      <c r="N851" s="6">
        <f t="shared" si="406"/>
        <v>-66.917832787784192</v>
      </c>
      <c r="O851" s="90">
        <f t="shared" si="407"/>
        <v>431.20221015126532</v>
      </c>
      <c r="P851" s="91">
        <f t="shared" si="408"/>
        <v>0</v>
      </c>
      <c r="Q851" s="6">
        <f t="shared" si="409"/>
        <v>246.81550571844357</v>
      </c>
      <c r="R851" s="87">
        <f t="shared" si="428"/>
        <v>-431.20221015126549</v>
      </c>
      <c r="S851" s="6">
        <f t="shared" si="410"/>
        <v>-12.300736343735684</v>
      </c>
      <c r="T851" s="83">
        <f t="shared" si="418"/>
        <v>0</v>
      </c>
      <c r="U851" s="91">
        <f t="shared" si="424"/>
        <v>77850.433378920978</v>
      </c>
      <c r="V851" s="91">
        <f t="shared" si="419"/>
        <v>204.61717130720888</v>
      </c>
      <c r="W851" s="1">
        <f t="shared" ref="W851:AH860" si="431">IF($B851&lt;=W$78,1,0)</f>
        <v>0</v>
      </c>
      <c r="X851" s="1">
        <f t="shared" si="431"/>
        <v>0</v>
      </c>
      <c r="Y851" s="1">
        <f t="shared" si="431"/>
        <v>0</v>
      </c>
      <c r="Z851" s="1">
        <f t="shared" si="431"/>
        <v>0</v>
      </c>
      <c r="AA851" s="1">
        <f t="shared" si="431"/>
        <v>0</v>
      </c>
      <c r="AB851" s="1">
        <f t="shared" si="431"/>
        <v>0</v>
      </c>
      <c r="AC851" s="1">
        <f t="shared" si="431"/>
        <v>1</v>
      </c>
      <c r="AD851" s="1">
        <f t="shared" si="431"/>
        <v>1</v>
      </c>
      <c r="AE851" s="1">
        <f t="shared" si="431"/>
        <v>1</v>
      </c>
      <c r="AF851" s="1">
        <f t="shared" si="431"/>
        <v>1</v>
      </c>
      <c r="AG851" s="1">
        <f t="shared" si="431"/>
        <v>1</v>
      </c>
      <c r="AH851" s="1">
        <f t="shared" si="431"/>
        <v>1</v>
      </c>
      <c r="AI851" s="44">
        <f t="shared" si="420"/>
        <v>58804.519162275195</v>
      </c>
      <c r="AJ851" s="44">
        <f t="shared" si="411"/>
        <v>59235.721372426458</v>
      </c>
      <c r="AK851" s="44" t="str">
        <f t="shared" si="429"/>
        <v>N</v>
      </c>
      <c r="AL851" s="4">
        <f t="shared" si="412"/>
        <v>161</v>
      </c>
      <c r="AM851" s="82">
        <f t="shared" si="421"/>
        <v>0</v>
      </c>
      <c r="AN851" s="82">
        <f t="shared" si="413"/>
        <v>0</v>
      </c>
      <c r="AO851" s="48">
        <v>0</v>
      </c>
      <c r="AP851" s="91">
        <f t="shared" si="422"/>
        <v>-431.20221015126549</v>
      </c>
      <c r="AQ851" s="91">
        <f t="shared" si="423"/>
        <v>-431.20221015126549</v>
      </c>
    </row>
    <row r="852" spans="1:43">
      <c r="A852" s="190">
        <f t="shared" si="414"/>
        <v>79.220910335386719</v>
      </c>
      <c r="B852" s="82">
        <f t="shared" si="415"/>
        <v>14</v>
      </c>
      <c r="C852" s="83">
        <f t="shared" si="416"/>
        <v>162</v>
      </c>
      <c r="D852" s="14">
        <f t="shared" si="402"/>
        <v>2.6283369587845051E-3</v>
      </c>
      <c r="E852" s="16">
        <f t="shared" si="403"/>
        <v>0</v>
      </c>
      <c r="F852" s="127"/>
      <c r="G852" s="88">
        <f t="shared" si="404"/>
        <v>0</v>
      </c>
      <c r="H852" s="89">
        <f t="shared" si="417"/>
        <v>4.1666666666666666E-3</v>
      </c>
      <c r="I852" s="219"/>
      <c r="J852" s="219"/>
      <c r="K852" s="6">
        <f t="shared" si="426"/>
        <v>58804.519162275195</v>
      </c>
      <c r="M852" s="6">
        <f t="shared" si="405"/>
        <v>154.55809105775955</v>
      </c>
      <c r="N852" s="6">
        <f t="shared" si="406"/>
        <v>-66.530153224844696</v>
      </c>
      <c r="O852" s="90">
        <f t="shared" si="407"/>
        <v>431.20221015126532</v>
      </c>
      <c r="P852" s="91">
        <f t="shared" si="408"/>
        <v>0</v>
      </c>
      <c r="Q852" s="6">
        <f t="shared" si="409"/>
        <v>245.38561291711716</v>
      </c>
      <c r="R852" s="87">
        <f t="shared" si="428"/>
        <v>-431.20221015126549</v>
      </c>
      <c r="S852" s="6">
        <f t="shared" si="410"/>
        <v>-12.229213145241703</v>
      </c>
      <c r="T852" s="83">
        <f t="shared" si="418"/>
        <v>0</v>
      </c>
      <c r="U852" s="91">
        <f t="shared" si="424"/>
        <v>77623.848340076918</v>
      </c>
      <c r="V852" s="91">
        <f t="shared" si="419"/>
        <v>204.02162947530744</v>
      </c>
      <c r="W852" s="1">
        <f t="shared" si="431"/>
        <v>0</v>
      </c>
      <c r="X852" s="1">
        <f t="shared" si="431"/>
        <v>0</v>
      </c>
      <c r="Y852" s="1">
        <f t="shared" si="431"/>
        <v>0</v>
      </c>
      <c r="Z852" s="1">
        <f t="shared" si="431"/>
        <v>0</v>
      </c>
      <c r="AA852" s="1">
        <f t="shared" si="431"/>
        <v>0</v>
      </c>
      <c r="AB852" s="1">
        <f t="shared" si="431"/>
        <v>0</v>
      </c>
      <c r="AC852" s="1">
        <f t="shared" si="431"/>
        <v>1</v>
      </c>
      <c r="AD852" s="1">
        <f t="shared" si="431"/>
        <v>1</v>
      </c>
      <c r="AE852" s="1">
        <f t="shared" si="431"/>
        <v>1</v>
      </c>
      <c r="AF852" s="1">
        <f t="shared" si="431"/>
        <v>1</v>
      </c>
      <c r="AG852" s="1">
        <f t="shared" si="431"/>
        <v>1</v>
      </c>
      <c r="AH852" s="1">
        <f t="shared" si="431"/>
        <v>1</v>
      </c>
      <c r="AI852" s="44">
        <f t="shared" si="420"/>
        <v>58461.344889956854</v>
      </c>
      <c r="AJ852" s="44">
        <f t="shared" si="411"/>
        <v>58892.547100108117</v>
      </c>
      <c r="AK852" s="44" t="str">
        <f t="shared" si="429"/>
        <v>N</v>
      </c>
      <c r="AL852" s="4">
        <f t="shared" si="412"/>
        <v>162</v>
      </c>
      <c r="AM852" s="82">
        <f t="shared" si="421"/>
        <v>0</v>
      </c>
      <c r="AN852" s="82">
        <f t="shared" si="413"/>
        <v>0</v>
      </c>
      <c r="AO852" s="48">
        <v>0</v>
      </c>
      <c r="AP852" s="91">
        <f t="shared" si="422"/>
        <v>-431.20221015126549</v>
      </c>
      <c r="AQ852" s="91">
        <f t="shared" si="423"/>
        <v>-431.20221015126549</v>
      </c>
    </row>
    <row r="853" spans="1:43">
      <c r="A853" s="190">
        <f t="shared" si="414"/>
        <v>79.304243668720048</v>
      </c>
      <c r="B853" s="82">
        <f t="shared" si="415"/>
        <v>14</v>
      </c>
      <c r="C853" s="83">
        <f t="shared" si="416"/>
        <v>163</v>
      </c>
      <c r="D853" s="14">
        <f t="shared" si="402"/>
        <v>2.6283369587845051E-3</v>
      </c>
      <c r="E853" s="16">
        <f t="shared" si="403"/>
        <v>0</v>
      </c>
      <c r="F853" s="127"/>
      <c r="G853" s="88">
        <f t="shared" si="404"/>
        <v>0</v>
      </c>
      <c r="H853" s="89">
        <f t="shared" si="417"/>
        <v>4.1666666666666666E-3</v>
      </c>
      <c r="I853" s="219"/>
      <c r="J853" s="219"/>
      <c r="K853" s="6">
        <f t="shared" si="426"/>
        <v>58461.344889956854</v>
      </c>
      <c r="M853" s="6">
        <f t="shared" si="405"/>
        <v>153.65611343452127</v>
      </c>
      <c r="N853" s="6">
        <f t="shared" si="406"/>
        <v>-66.14189332160224</v>
      </c>
      <c r="O853" s="90">
        <f t="shared" si="407"/>
        <v>431.20221015126532</v>
      </c>
      <c r="P853" s="91">
        <f t="shared" si="408"/>
        <v>0</v>
      </c>
      <c r="Q853" s="6">
        <f t="shared" si="409"/>
        <v>243.95357962529073</v>
      </c>
      <c r="R853" s="87">
        <f t="shared" si="428"/>
        <v>-431.20221015126549</v>
      </c>
      <c r="S853" s="6">
        <f t="shared" si="410"/>
        <v>-12.157582879471937</v>
      </c>
      <c r="T853" s="83">
        <f t="shared" si="418"/>
        <v>0</v>
      </c>
      <c r="U853" s="91">
        <f t="shared" si="424"/>
        <v>77396.667759400952</v>
      </c>
      <c r="V853" s="91">
        <f t="shared" si="419"/>
        <v>203.42452235879867</v>
      </c>
      <c r="W853" s="1">
        <f t="shared" si="431"/>
        <v>0</v>
      </c>
      <c r="X853" s="1">
        <f t="shared" si="431"/>
        <v>0</v>
      </c>
      <c r="Y853" s="1">
        <f t="shared" si="431"/>
        <v>0</v>
      </c>
      <c r="Z853" s="1">
        <f t="shared" si="431"/>
        <v>0</v>
      </c>
      <c r="AA853" s="1">
        <f t="shared" si="431"/>
        <v>0</v>
      </c>
      <c r="AB853" s="1">
        <f t="shared" si="431"/>
        <v>0</v>
      </c>
      <c r="AC853" s="1">
        <f t="shared" si="431"/>
        <v>1</v>
      </c>
      <c r="AD853" s="1">
        <f t="shared" si="431"/>
        <v>1</v>
      </c>
      <c r="AE853" s="1">
        <f t="shared" si="431"/>
        <v>1</v>
      </c>
      <c r="AF853" s="1">
        <f t="shared" si="431"/>
        <v>1</v>
      </c>
      <c r="AG853" s="1">
        <f t="shared" si="431"/>
        <v>1</v>
      </c>
      <c r="AH853" s="1">
        <f t="shared" si="431"/>
        <v>1</v>
      </c>
      <c r="AI853" s="44">
        <f t="shared" si="420"/>
        <v>58117.656899918511</v>
      </c>
      <c r="AJ853" s="44">
        <f t="shared" si="411"/>
        <v>58548.859110069774</v>
      </c>
      <c r="AK853" s="44" t="str">
        <f t="shared" si="429"/>
        <v>N</v>
      </c>
      <c r="AL853" s="4">
        <f t="shared" si="412"/>
        <v>163</v>
      </c>
      <c r="AM853" s="82">
        <f t="shared" si="421"/>
        <v>0</v>
      </c>
      <c r="AN853" s="82">
        <f t="shared" si="413"/>
        <v>0</v>
      </c>
      <c r="AO853" s="48">
        <v>0</v>
      </c>
      <c r="AP853" s="91">
        <f t="shared" si="422"/>
        <v>-431.20221015126549</v>
      </c>
      <c r="AQ853" s="91">
        <f t="shared" si="423"/>
        <v>-431.20221015126549</v>
      </c>
    </row>
    <row r="854" spans="1:43">
      <c r="A854" s="190">
        <f t="shared" si="414"/>
        <v>79.387577002053376</v>
      </c>
      <c r="B854" s="82">
        <f t="shared" si="415"/>
        <v>14</v>
      </c>
      <c r="C854" s="83">
        <f t="shared" si="416"/>
        <v>164</v>
      </c>
      <c r="D854" s="14">
        <f t="shared" si="402"/>
        <v>2.6283369587845051E-3</v>
      </c>
      <c r="E854" s="16">
        <f t="shared" si="403"/>
        <v>0</v>
      </c>
      <c r="F854" s="127"/>
      <c r="G854" s="88">
        <f t="shared" si="404"/>
        <v>0</v>
      </c>
      <c r="H854" s="89">
        <f t="shared" si="417"/>
        <v>4.1666666666666666E-3</v>
      </c>
      <c r="I854" s="219"/>
      <c r="J854" s="219"/>
      <c r="K854" s="6">
        <f t="shared" si="426"/>
        <v>58117.656899918511</v>
      </c>
      <c r="M854" s="6">
        <f t="shared" si="405"/>
        <v>152.75278558801313</v>
      </c>
      <c r="N854" s="6">
        <f t="shared" si="406"/>
        <v>-65.753052209311363</v>
      </c>
      <c r="O854" s="90">
        <f t="shared" si="407"/>
        <v>431.20221015126532</v>
      </c>
      <c r="P854" s="91">
        <f t="shared" si="408"/>
        <v>0</v>
      </c>
      <c r="Q854" s="6">
        <f t="shared" si="409"/>
        <v>242.51940263873837</v>
      </c>
      <c r="R854" s="87">
        <f t="shared" si="428"/>
        <v>-431.20221015126549</v>
      </c>
      <c r="S854" s="6">
        <f t="shared" si="410"/>
        <v>-12.085845386151089</v>
      </c>
      <c r="T854" s="83">
        <f t="shared" si="418"/>
        <v>0</v>
      </c>
      <c r="U854" s="91">
        <f t="shared" si="424"/>
        <v>77168.890071608475</v>
      </c>
      <c r="V854" s="91">
        <f t="shared" si="419"/>
        <v>202.82584584358722</v>
      </c>
      <c r="W854" s="1">
        <f t="shared" si="431"/>
        <v>0</v>
      </c>
      <c r="X854" s="1">
        <f t="shared" si="431"/>
        <v>0</v>
      </c>
      <c r="Y854" s="1">
        <f t="shared" si="431"/>
        <v>0</v>
      </c>
      <c r="Z854" s="1">
        <f t="shared" si="431"/>
        <v>0</v>
      </c>
      <c r="AA854" s="1">
        <f t="shared" si="431"/>
        <v>0</v>
      </c>
      <c r="AB854" s="1">
        <f t="shared" si="431"/>
        <v>0</v>
      </c>
      <c r="AC854" s="1">
        <f t="shared" si="431"/>
        <v>1</v>
      </c>
      <c r="AD854" s="1">
        <f t="shared" si="431"/>
        <v>1</v>
      </c>
      <c r="AE854" s="1">
        <f t="shared" si="431"/>
        <v>1</v>
      </c>
      <c r="AF854" s="1">
        <f t="shared" si="431"/>
        <v>1</v>
      </c>
      <c r="AG854" s="1">
        <f t="shared" si="431"/>
        <v>1</v>
      </c>
      <c r="AH854" s="1">
        <f t="shared" si="431"/>
        <v>1</v>
      </c>
      <c r="AI854" s="44">
        <f t="shared" si="420"/>
        <v>57773.454423145944</v>
      </c>
      <c r="AJ854" s="44">
        <f t="shared" si="411"/>
        <v>58204.656633297207</v>
      </c>
      <c r="AK854" s="44" t="str">
        <f t="shared" si="429"/>
        <v>N</v>
      </c>
      <c r="AL854" s="4">
        <f t="shared" si="412"/>
        <v>164</v>
      </c>
      <c r="AM854" s="82">
        <f t="shared" si="421"/>
        <v>0</v>
      </c>
      <c r="AN854" s="82">
        <f t="shared" si="413"/>
        <v>0</v>
      </c>
      <c r="AO854" s="48">
        <v>0</v>
      </c>
      <c r="AP854" s="91">
        <f t="shared" si="422"/>
        <v>-431.20221015126549</v>
      </c>
      <c r="AQ854" s="91">
        <f t="shared" si="423"/>
        <v>-431.20221015126549</v>
      </c>
    </row>
    <row r="855" spans="1:43">
      <c r="A855" s="190">
        <f t="shared" si="414"/>
        <v>79.470910335386719</v>
      </c>
      <c r="B855" s="82">
        <f t="shared" si="415"/>
        <v>14</v>
      </c>
      <c r="C855" s="83">
        <f t="shared" si="416"/>
        <v>165</v>
      </c>
      <c r="D855" s="14">
        <f t="shared" si="402"/>
        <v>2.6283369587845051E-3</v>
      </c>
      <c r="E855" s="16">
        <f t="shared" si="403"/>
        <v>0</v>
      </c>
      <c r="F855" s="127"/>
      <c r="G855" s="88">
        <f t="shared" si="404"/>
        <v>0</v>
      </c>
      <c r="H855" s="89">
        <f t="shared" si="417"/>
        <v>4.1666666666666666E-3</v>
      </c>
      <c r="I855" s="219"/>
      <c r="J855" s="219"/>
      <c r="K855" s="6">
        <f t="shared" si="426"/>
        <v>57773.454423145944</v>
      </c>
      <c r="M855" s="6">
        <f t="shared" si="405"/>
        <v>151.84810549700663</v>
      </c>
      <c r="N855" s="6">
        <f t="shared" si="406"/>
        <v>-65.363629017926073</v>
      </c>
      <c r="O855" s="90">
        <f t="shared" si="407"/>
        <v>431.20221015126532</v>
      </c>
      <c r="P855" s="91">
        <f t="shared" si="408"/>
        <v>0</v>
      </c>
      <c r="Q855" s="6">
        <f t="shared" si="409"/>
        <v>241.08307874843757</v>
      </c>
      <c r="R855" s="87">
        <f t="shared" si="428"/>
        <v>-431.20221015126549</v>
      </c>
      <c r="S855" s="6">
        <f t="shared" si="410"/>
        <v>-12.014000504763944</v>
      </c>
      <c r="T855" s="83">
        <f t="shared" si="418"/>
        <v>0</v>
      </c>
      <c r="U855" s="91">
        <f t="shared" si="424"/>
        <v>76940.513707300794</v>
      </c>
      <c r="V855" s="91">
        <f t="shared" si="419"/>
        <v>202.22559580476451</v>
      </c>
      <c r="W855" s="1">
        <f t="shared" si="431"/>
        <v>0</v>
      </c>
      <c r="X855" s="1">
        <f t="shared" si="431"/>
        <v>0</v>
      </c>
      <c r="Y855" s="1">
        <f t="shared" si="431"/>
        <v>0</v>
      </c>
      <c r="Z855" s="1">
        <f t="shared" si="431"/>
        <v>0</v>
      </c>
      <c r="AA855" s="1">
        <f t="shared" si="431"/>
        <v>0</v>
      </c>
      <c r="AB855" s="1">
        <f t="shared" si="431"/>
        <v>0</v>
      </c>
      <c r="AC855" s="1">
        <f t="shared" si="431"/>
        <v>1</v>
      </c>
      <c r="AD855" s="1">
        <f t="shared" si="431"/>
        <v>1</v>
      </c>
      <c r="AE855" s="1">
        <f t="shared" si="431"/>
        <v>1</v>
      </c>
      <c r="AF855" s="1">
        <f t="shared" si="431"/>
        <v>1</v>
      </c>
      <c r="AG855" s="1">
        <f t="shared" si="431"/>
        <v>1</v>
      </c>
      <c r="AH855" s="1">
        <f t="shared" si="431"/>
        <v>1</v>
      </c>
      <c r="AI855" s="44">
        <f t="shared" si="420"/>
        <v>57428.736689473757</v>
      </c>
      <c r="AJ855" s="44">
        <f t="shared" si="411"/>
        <v>57859.93889962502</v>
      </c>
      <c r="AK855" s="44" t="str">
        <f t="shared" si="429"/>
        <v>N</v>
      </c>
      <c r="AL855" s="4">
        <f t="shared" si="412"/>
        <v>165</v>
      </c>
      <c r="AM855" s="82">
        <f t="shared" si="421"/>
        <v>0</v>
      </c>
      <c r="AN855" s="82">
        <f t="shared" si="413"/>
        <v>0</v>
      </c>
      <c r="AO855" s="48">
        <v>0</v>
      </c>
      <c r="AP855" s="91">
        <f t="shared" si="422"/>
        <v>-431.20221015126549</v>
      </c>
      <c r="AQ855" s="91">
        <f t="shared" si="423"/>
        <v>-431.20221015126549</v>
      </c>
    </row>
    <row r="856" spans="1:43">
      <c r="A856" s="190">
        <f t="shared" si="414"/>
        <v>79.554243668720048</v>
      </c>
      <c r="B856" s="82">
        <f t="shared" si="415"/>
        <v>14</v>
      </c>
      <c r="C856" s="83">
        <f t="shared" si="416"/>
        <v>166</v>
      </c>
      <c r="D856" s="14">
        <f t="shared" si="402"/>
        <v>2.6283369587845051E-3</v>
      </c>
      <c r="E856" s="16">
        <f t="shared" si="403"/>
        <v>0</v>
      </c>
      <c r="F856" s="127"/>
      <c r="G856" s="88">
        <f t="shared" si="404"/>
        <v>0</v>
      </c>
      <c r="H856" s="89">
        <f t="shared" si="417"/>
        <v>4.1666666666666666E-3</v>
      </c>
      <c r="I856" s="219"/>
      <c r="J856" s="219"/>
      <c r="K856" s="6">
        <f t="shared" si="426"/>
        <v>57428.736689473757</v>
      </c>
      <c r="M856" s="6">
        <f t="shared" si="405"/>
        <v>150.94207113724758</v>
      </c>
      <c r="N856" s="6">
        <f t="shared" si="406"/>
        <v>-64.973622876098048</v>
      </c>
      <c r="O856" s="90">
        <f t="shared" si="407"/>
        <v>431.20221015126532</v>
      </c>
      <c r="P856" s="91">
        <f t="shared" si="408"/>
        <v>0</v>
      </c>
      <c r="Q856" s="6">
        <f t="shared" si="409"/>
        <v>239.6446047405621</v>
      </c>
      <c r="R856" s="87">
        <f t="shared" si="428"/>
        <v>-431.20221015126549</v>
      </c>
      <c r="S856" s="6">
        <f t="shared" si="410"/>
        <v>-11.942048074555</v>
      </c>
      <c r="T856" s="83">
        <f t="shared" si="418"/>
        <v>0</v>
      </c>
      <c r="U856" s="91">
        <f t="shared" si="424"/>
        <v>76711.537092954284</v>
      </c>
      <c r="V856" s="91">
        <f t="shared" si="419"/>
        <v>201.62376810658023</v>
      </c>
      <c r="W856" s="1">
        <f t="shared" si="431"/>
        <v>0</v>
      </c>
      <c r="X856" s="1">
        <f t="shared" si="431"/>
        <v>0</v>
      </c>
      <c r="Y856" s="1">
        <f t="shared" si="431"/>
        <v>0</v>
      </c>
      <c r="Z856" s="1">
        <f t="shared" si="431"/>
        <v>0</v>
      </c>
      <c r="AA856" s="1">
        <f t="shared" si="431"/>
        <v>0</v>
      </c>
      <c r="AB856" s="1">
        <f t="shared" si="431"/>
        <v>0</v>
      </c>
      <c r="AC856" s="1">
        <f t="shared" si="431"/>
        <v>1</v>
      </c>
      <c r="AD856" s="1">
        <f t="shared" si="431"/>
        <v>1</v>
      </c>
      <c r="AE856" s="1">
        <f t="shared" si="431"/>
        <v>1</v>
      </c>
      <c r="AF856" s="1">
        <f t="shared" si="431"/>
        <v>1</v>
      </c>
      <c r="AG856" s="1">
        <f t="shared" si="431"/>
        <v>1</v>
      </c>
      <c r="AH856" s="1">
        <f t="shared" si="431"/>
        <v>1</v>
      </c>
      <c r="AI856" s="44">
        <f t="shared" si="420"/>
        <v>57083.502927583642</v>
      </c>
      <c r="AJ856" s="44">
        <f t="shared" si="411"/>
        <v>57514.705137734905</v>
      </c>
      <c r="AK856" s="44" t="str">
        <f t="shared" si="429"/>
        <v>N</v>
      </c>
      <c r="AL856" s="4">
        <f t="shared" si="412"/>
        <v>166</v>
      </c>
      <c r="AM856" s="82">
        <f t="shared" si="421"/>
        <v>0</v>
      </c>
      <c r="AN856" s="82">
        <f t="shared" si="413"/>
        <v>0</v>
      </c>
      <c r="AO856" s="48">
        <v>0</v>
      </c>
      <c r="AP856" s="91">
        <f t="shared" si="422"/>
        <v>-431.20221015126549</v>
      </c>
      <c r="AQ856" s="91">
        <f t="shared" si="423"/>
        <v>-431.20221015126549</v>
      </c>
    </row>
    <row r="857" spans="1:43">
      <c r="A857" s="190">
        <f t="shared" si="414"/>
        <v>79.637577002053376</v>
      </c>
      <c r="B857" s="82">
        <f t="shared" si="415"/>
        <v>14</v>
      </c>
      <c r="C857" s="83">
        <f t="shared" si="416"/>
        <v>167</v>
      </c>
      <c r="D857" s="14">
        <f t="shared" si="402"/>
        <v>2.6283369587845051E-3</v>
      </c>
      <c r="E857" s="16">
        <f t="shared" si="403"/>
        <v>0</v>
      </c>
      <c r="F857" s="127"/>
      <c r="G857" s="88">
        <f t="shared" si="404"/>
        <v>0</v>
      </c>
      <c r="H857" s="89">
        <f t="shared" si="417"/>
        <v>4.1666666666666666E-3</v>
      </c>
      <c r="I857" s="219"/>
      <c r="J857" s="219"/>
      <c r="K857" s="6">
        <f t="shared" si="426"/>
        <v>57083.502927583642</v>
      </c>
      <c r="M857" s="6">
        <f t="shared" si="405"/>
        <v>150.03468048145157</v>
      </c>
      <c r="N857" s="6">
        <f t="shared" si="406"/>
        <v>-64.583032911174499</v>
      </c>
      <c r="O857" s="90">
        <f t="shared" si="407"/>
        <v>431.20221015126532</v>
      </c>
      <c r="P857" s="91">
        <f t="shared" si="408"/>
        <v>0</v>
      </c>
      <c r="Q857" s="6">
        <f t="shared" si="409"/>
        <v>238.20397739647467</v>
      </c>
      <c r="R857" s="87">
        <f t="shared" si="428"/>
        <v>-431.20221015126549</v>
      </c>
      <c r="S857" s="6">
        <f t="shared" si="410"/>
        <v>-11.86998793452811</v>
      </c>
      <c r="T857" s="83">
        <f t="shared" si="418"/>
        <v>0</v>
      </c>
      <c r="U857" s="91">
        <f t="shared" si="424"/>
        <v>76481.958650909597</v>
      </c>
      <c r="V857" s="91">
        <f t="shared" si="419"/>
        <v>201.02035860241401</v>
      </c>
      <c r="W857" s="1">
        <f t="shared" si="431"/>
        <v>0</v>
      </c>
      <c r="X857" s="1">
        <f t="shared" si="431"/>
        <v>0</v>
      </c>
      <c r="Y857" s="1">
        <f t="shared" si="431"/>
        <v>0</v>
      </c>
      <c r="Z857" s="1">
        <f t="shared" si="431"/>
        <v>0</v>
      </c>
      <c r="AA857" s="1">
        <f t="shared" si="431"/>
        <v>0</v>
      </c>
      <c r="AB857" s="1">
        <f t="shared" si="431"/>
        <v>0</v>
      </c>
      <c r="AC857" s="1">
        <f t="shared" si="431"/>
        <v>1</v>
      </c>
      <c r="AD857" s="1">
        <f t="shared" si="431"/>
        <v>1</v>
      </c>
      <c r="AE857" s="1">
        <f t="shared" si="431"/>
        <v>1</v>
      </c>
      <c r="AF857" s="1">
        <f t="shared" si="431"/>
        <v>1</v>
      </c>
      <c r="AG857" s="1">
        <f t="shared" si="431"/>
        <v>1</v>
      </c>
      <c r="AH857" s="1">
        <f t="shared" si="431"/>
        <v>1</v>
      </c>
      <c r="AI857" s="44">
        <f t="shared" si="420"/>
        <v>56737.752365002656</v>
      </c>
      <c r="AJ857" s="44">
        <f t="shared" si="411"/>
        <v>57168.954575153919</v>
      </c>
      <c r="AK857" s="44" t="str">
        <f t="shared" si="429"/>
        <v>N</v>
      </c>
      <c r="AL857" s="4">
        <f t="shared" si="412"/>
        <v>167</v>
      </c>
      <c r="AM857" s="82">
        <f t="shared" si="421"/>
        <v>0</v>
      </c>
      <c r="AN857" s="82">
        <f t="shared" si="413"/>
        <v>0</v>
      </c>
      <c r="AO857" s="48">
        <v>0</v>
      </c>
      <c r="AP857" s="91">
        <f t="shared" si="422"/>
        <v>-431.20221015126549</v>
      </c>
      <c r="AQ857" s="91">
        <f t="shared" si="423"/>
        <v>-431.20221015126549</v>
      </c>
    </row>
    <row r="858" spans="1:43">
      <c r="A858" s="190">
        <f t="shared" si="414"/>
        <v>79.720910335386719</v>
      </c>
      <c r="B858" s="82">
        <f t="shared" si="415"/>
        <v>14</v>
      </c>
      <c r="C858" s="83">
        <f t="shared" si="416"/>
        <v>168</v>
      </c>
      <c r="D858" s="14">
        <f t="shared" si="402"/>
        <v>2.6283369587845051E-3</v>
      </c>
      <c r="E858" s="16">
        <f t="shared" si="403"/>
        <v>0</v>
      </c>
      <c r="F858" s="127"/>
      <c r="G858" s="88">
        <f t="shared" si="404"/>
        <v>0</v>
      </c>
      <c r="H858" s="89">
        <f t="shared" si="417"/>
        <v>4.1666666666666666E-3</v>
      </c>
      <c r="I858" s="219"/>
      <c r="J858" s="219"/>
      <c r="K858" s="6">
        <f t="shared" si="426"/>
        <v>56737.752365002656</v>
      </c>
      <c r="M858" s="6">
        <f t="shared" si="405"/>
        <v>149.12593149929944</v>
      </c>
      <c r="N858" s="6">
        <f t="shared" si="406"/>
        <v>-64.191858249196372</v>
      </c>
      <c r="O858" s="90">
        <f t="shared" si="407"/>
        <v>431.20221015126532</v>
      </c>
      <c r="P858" s="91">
        <f t="shared" si="408"/>
        <v>0</v>
      </c>
      <c r="Q858" s="6">
        <f t="shared" si="409"/>
        <v>236.76119349271983</v>
      </c>
      <c r="R858" s="87">
        <f t="shared" si="428"/>
        <v>-431.20221015126549</v>
      </c>
      <c r="S858" s="6">
        <f t="shared" si="410"/>
        <v>-11.797819923446125</v>
      </c>
      <c r="T858" s="83">
        <f t="shared" si="418"/>
        <v>0</v>
      </c>
      <c r="U858" s="91">
        <f t="shared" si="424"/>
        <v>76251.776799360741</v>
      </c>
      <c r="V858" s="91">
        <f t="shared" si="419"/>
        <v>200.41536313474668</v>
      </c>
      <c r="W858" s="1">
        <f t="shared" si="431"/>
        <v>0</v>
      </c>
      <c r="X858" s="1">
        <f t="shared" si="431"/>
        <v>0</v>
      </c>
      <c r="Y858" s="1">
        <f t="shared" si="431"/>
        <v>0</v>
      </c>
      <c r="Z858" s="1">
        <f t="shared" si="431"/>
        <v>0</v>
      </c>
      <c r="AA858" s="1">
        <f t="shared" si="431"/>
        <v>0</v>
      </c>
      <c r="AB858" s="1">
        <f t="shared" si="431"/>
        <v>0</v>
      </c>
      <c r="AC858" s="1">
        <f t="shared" si="431"/>
        <v>1</v>
      </c>
      <c r="AD858" s="1">
        <f t="shared" si="431"/>
        <v>1</v>
      </c>
      <c r="AE858" s="1">
        <f t="shared" si="431"/>
        <v>1</v>
      </c>
      <c r="AF858" s="1">
        <f t="shared" si="431"/>
        <v>1</v>
      </c>
      <c r="AG858" s="1">
        <f t="shared" si="431"/>
        <v>1</v>
      </c>
      <c r="AH858" s="1">
        <f t="shared" si="431"/>
        <v>1</v>
      </c>
      <c r="AI858" s="44">
        <f t="shared" si="420"/>
        <v>56391.484228101493</v>
      </c>
      <c r="AJ858" s="44">
        <f t="shared" si="411"/>
        <v>56822.686438252756</v>
      </c>
      <c r="AK858" s="44" t="str">
        <f t="shared" si="429"/>
        <v>N</v>
      </c>
      <c r="AL858" s="4">
        <f t="shared" si="412"/>
        <v>168</v>
      </c>
      <c r="AM858" s="82">
        <f t="shared" si="421"/>
        <v>0</v>
      </c>
      <c r="AN858" s="82">
        <f t="shared" si="413"/>
        <v>0</v>
      </c>
      <c r="AO858" s="48">
        <v>0</v>
      </c>
      <c r="AP858" s="91">
        <f t="shared" si="422"/>
        <v>-431.20221015126549</v>
      </c>
      <c r="AQ858" s="91">
        <f t="shared" si="423"/>
        <v>-431.20221015126549</v>
      </c>
    </row>
    <row r="859" spans="1:43">
      <c r="A859" s="190">
        <f t="shared" si="414"/>
        <v>79.804243668720048</v>
      </c>
      <c r="B859" s="82">
        <f t="shared" si="415"/>
        <v>15</v>
      </c>
      <c r="C859" s="83">
        <f t="shared" si="416"/>
        <v>169</v>
      </c>
      <c r="D859" s="14">
        <f t="shared" si="402"/>
        <v>2.6283369587845051E-3</v>
      </c>
      <c r="E859" s="16">
        <f t="shared" si="403"/>
        <v>0</v>
      </c>
      <c r="F859" s="127"/>
      <c r="G859" s="88">
        <f t="shared" si="404"/>
        <v>0</v>
      </c>
      <c r="H859" s="89">
        <f t="shared" si="417"/>
        <v>4.1666666666666666E-3</v>
      </c>
      <c r="I859" s="219"/>
      <c r="J859" s="219"/>
      <c r="K859" s="6">
        <f t="shared" si="426"/>
        <v>56391.484228101493</v>
      </c>
      <c r="M859" s="6">
        <f t="shared" si="405"/>
        <v>148.21582215743265</v>
      </c>
      <c r="N859" s="6">
        <f t="shared" si="406"/>
        <v>-63.800098014896307</v>
      </c>
      <c r="O859" s="90">
        <f t="shared" si="407"/>
        <v>439.82625435429071</v>
      </c>
      <c r="P859" s="91">
        <f t="shared" si="408"/>
        <v>0</v>
      </c>
      <c r="Q859" s="6">
        <f t="shared" si="409"/>
        <v>235.31624980101682</v>
      </c>
      <c r="R859" s="87">
        <f t="shared" si="428"/>
        <v>-440.484656101761</v>
      </c>
      <c r="S859" s="6">
        <f t="shared" si="410"/>
        <v>-11.724575848673673</v>
      </c>
      <c r="T859" s="83">
        <f t="shared" si="418"/>
        <v>0</v>
      </c>
      <c r="U859" s="91">
        <f t="shared" si="424"/>
        <v>76020.989952344215</v>
      </c>
      <c r="V859" s="91">
        <f t="shared" si="419"/>
        <v>199.80877753513181</v>
      </c>
      <c r="W859" s="1">
        <f t="shared" si="431"/>
        <v>0</v>
      </c>
      <c r="X859" s="1">
        <f t="shared" si="431"/>
        <v>0</v>
      </c>
      <c r="Y859" s="1">
        <f t="shared" si="431"/>
        <v>0</v>
      </c>
      <c r="Z859" s="1">
        <f t="shared" si="431"/>
        <v>0</v>
      </c>
      <c r="AA859" s="1">
        <f t="shared" si="431"/>
        <v>0</v>
      </c>
      <c r="AB859" s="1">
        <f t="shared" si="431"/>
        <v>0</v>
      </c>
      <c r="AC859" s="1">
        <f t="shared" si="431"/>
        <v>1</v>
      </c>
      <c r="AD859" s="1">
        <f t="shared" si="431"/>
        <v>1</v>
      </c>
      <c r="AE859" s="1">
        <f t="shared" si="431"/>
        <v>1</v>
      </c>
      <c r="AF859" s="1">
        <f t="shared" si="431"/>
        <v>1</v>
      </c>
      <c r="AG859" s="1">
        <f t="shared" si="431"/>
        <v>1</v>
      </c>
      <c r="AH859" s="1">
        <f t="shared" si="431"/>
        <v>1</v>
      </c>
      <c r="AI859" s="44">
        <f t="shared" si="420"/>
        <v>56035.415296142273</v>
      </c>
      <c r="AJ859" s="44">
        <f t="shared" si="411"/>
        <v>56475.899952244035</v>
      </c>
      <c r="AK859" s="44" t="str">
        <f t="shared" si="429"/>
        <v>N</v>
      </c>
      <c r="AL859" s="4">
        <f t="shared" si="412"/>
        <v>169</v>
      </c>
      <c r="AM859" s="82">
        <f t="shared" si="421"/>
        <v>0</v>
      </c>
      <c r="AN859" s="82">
        <f t="shared" si="413"/>
        <v>0</v>
      </c>
      <c r="AO859" s="48">
        <v>0</v>
      </c>
      <c r="AP859" s="91">
        <f t="shared" si="422"/>
        <v>-440.484656101761</v>
      </c>
      <c r="AQ859" s="91">
        <f t="shared" si="423"/>
        <v>-440.484656101761</v>
      </c>
    </row>
    <row r="860" spans="1:43">
      <c r="A860" s="190">
        <f t="shared" si="414"/>
        <v>79.887577002053376</v>
      </c>
      <c r="B860" s="82">
        <f t="shared" si="415"/>
        <v>15</v>
      </c>
      <c r="C860" s="83">
        <f t="shared" si="416"/>
        <v>170</v>
      </c>
      <c r="D860" s="14">
        <f t="shared" si="402"/>
        <v>2.6283369587845051E-3</v>
      </c>
      <c r="E860" s="16">
        <f t="shared" si="403"/>
        <v>0</v>
      </c>
      <c r="F860" s="127"/>
      <c r="G860" s="88">
        <f t="shared" si="404"/>
        <v>0</v>
      </c>
      <c r="H860" s="89">
        <f t="shared" si="417"/>
        <v>4.1666666666666666E-3</v>
      </c>
      <c r="I860" s="219"/>
      <c r="J860" s="219"/>
      <c r="K860" s="6">
        <f t="shared" si="426"/>
        <v>56035.415296142273</v>
      </c>
      <c r="M860" s="6">
        <f t="shared" si="405"/>
        <v>147.27995302368933</v>
      </c>
      <c r="N860" s="6">
        <f t="shared" si="406"/>
        <v>-63.397249374361017</v>
      </c>
      <c r="O860" s="90">
        <f t="shared" si="407"/>
        <v>439.82625435429071</v>
      </c>
      <c r="P860" s="91">
        <f t="shared" si="408"/>
        <v>0</v>
      </c>
      <c r="Q860" s="6">
        <f t="shared" si="409"/>
        <v>233.830408332465</v>
      </c>
      <c r="R860" s="87">
        <f t="shared" si="428"/>
        <v>-439.82625435429082</v>
      </c>
      <c r="S860" s="6">
        <f t="shared" si="410"/>
        <v>-11.650322761614216</v>
      </c>
      <c r="T860" s="83">
        <f t="shared" si="418"/>
        <v>0</v>
      </c>
      <c r="U860" s="91">
        <f t="shared" si="424"/>
        <v>75780.314073777583</v>
      </c>
      <c r="V860" s="91">
        <f t="shared" si="419"/>
        <v>199.1762002284072</v>
      </c>
      <c r="W860" s="1">
        <f t="shared" si="431"/>
        <v>0</v>
      </c>
      <c r="X860" s="1">
        <f t="shared" si="431"/>
        <v>0</v>
      </c>
      <c r="Y860" s="1">
        <f t="shared" si="431"/>
        <v>0</v>
      </c>
      <c r="Z860" s="1">
        <f t="shared" si="431"/>
        <v>0</v>
      </c>
      <c r="AA860" s="1">
        <f t="shared" si="431"/>
        <v>0</v>
      </c>
      <c r="AB860" s="1">
        <f t="shared" si="431"/>
        <v>0</v>
      </c>
      <c r="AC860" s="1">
        <f t="shared" si="431"/>
        <v>1</v>
      </c>
      <c r="AD860" s="1">
        <f t="shared" si="431"/>
        <v>1</v>
      </c>
      <c r="AE860" s="1">
        <f t="shared" si="431"/>
        <v>1</v>
      </c>
      <c r="AF860" s="1">
        <f t="shared" si="431"/>
        <v>1</v>
      </c>
      <c r="AG860" s="1">
        <f t="shared" si="431"/>
        <v>1</v>
      </c>
      <c r="AH860" s="1">
        <f t="shared" si="431"/>
        <v>1</v>
      </c>
      <c r="AI860" s="44">
        <f t="shared" si="420"/>
        <v>55679.471745437309</v>
      </c>
      <c r="AJ860" s="44">
        <f t="shared" si="411"/>
        <v>56119.297999791597</v>
      </c>
      <c r="AK860" s="44" t="str">
        <f t="shared" si="429"/>
        <v>N</v>
      </c>
      <c r="AL860" s="4">
        <f t="shared" si="412"/>
        <v>170</v>
      </c>
      <c r="AM860" s="82">
        <f t="shared" si="421"/>
        <v>0</v>
      </c>
      <c r="AN860" s="82">
        <f t="shared" si="413"/>
        <v>0</v>
      </c>
      <c r="AO860" s="48">
        <v>0</v>
      </c>
      <c r="AP860" s="91">
        <f t="shared" si="422"/>
        <v>-439.82625435429082</v>
      </c>
      <c r="AQ860" s="91">
        <f t="shared" si="423"/>
        <v>-439.82625435429082</v>
      </c>
    </row>
    <row r="861" spans="1:43">
      <c r="A861" s="190">
        <f t="shared" si="414"/>
        <v>79.970910335386719</v>
      </c>
      <c r="B861" s="82">
        <f t="shared" si="415"/>
        <v>15</v>
      </c>
      <c r="C861" s="83">
        <f t="shared" si="416"/>
        <v>171</v>
      </c>
      <c r="D861" s="14">
        <f t="shared" si="402"/>
        <v>2.6283369587845051E-3</v>
      </c>
      <c r="E861" s="16">
        <f t="shared" si="403"/>
        <v>0</v>
      </c>
      <c r="F861" s="127"/>
      <c r="G861" s="88">
        <f t="shared" si="404"/>
        <v>0</v>
      </c>
      <c r="H861" s="89">
        <f t="shared" si="417"/>
        <v>4.1666666666666666E-3</v>
      </c>
      <c r="I861" s="219"/>
      <c r="J861" s="219"/>
      <c r="K861" s="6">
        <f t="shared" si="426"/>
        <v>55679.471745437309</v>
      </c>
      <c r="M861" s="6">
        <f t="shared" si="405"/>
        <v>146.34441343413047</v>
      </c>
      <c r="N861" s="6">
        <f t="shared" si="406"/>
        <v>-62.994542587448137</v>
      </c>
      <c r="O861" s="90">
        <f t="shared" si="407"/>
        <v>439.82625435429071</v>
      </c>
      <c r="P861" s="91">
        <f t="shared" si="408"/>
        <v>0</v>
      </c>
      <c r="Q861" s="6">
        <f t="shared" si="409"/>
        <v>232.34509006784998</v>
      </c>
      <c r="R861" s="87">
        <f t="shared" si="428"/>
        <v>-439.82625435429082</v>
      </c>
      <c r="S861" s="6">
        <f t="shared" si="410"/>
        <v>-11.576027182974858</v>
      </c>
      <c r="T861" s="83">
        <f t="shared" si="418"/>
        <v>0</v>
      </c>
      <c r="U861" s="91">
        <f t="shared" si="424"/>
        <v>75539.664019651696</v>
      </c>
      <c r="V861" s="91">
        <f t="shared" si="419"/>
        <v>198.54369079701465</v>
      </c>
      <c r="W861" s="1">
        <f t="shared" ref="W861:AH870" si="432">IF($B861&lt;=W$78,1,0)</f>
        <v>0</v>
      </c>
      <c r="X861" s="1">
        <f t="shared" si="432"/>
        <v>0</v>
      </c>
      <c r="Y861" s="1">
        <f t="shared" si="432"/>
        <v>0</v>
      </c>
      <c r="Z861" s="1">
        <f t="shared" si="432"/>
        <v>0</v>
      </c>
      <c r="AA861" s="1">
        <f t="shared" si="432"/>
        <v>0</v>
      </c>
      <c r="AB861" s="1">
        <f t="shared" si="432"/>
        <v>0</v>
      </c>
      <c r="AC861" s="1">
        <f t="shared" si="432"/>
        <v>1</v>
      </c>
      <c r="AD861" s="1">
        <f t="shared" si="432"/>
        <v>1</v>
      </c>
      <c r="AE861" s="1">
        <f t="shared" si="432"/>
        <v>1</v>
      </c>
      <c r="AF861" s="1">
        <f t="shared" si="432"/>
        <v>1</v>
      </c>
      <c r="AG861" s="1">
        <f t="shared" si="432"/>
        <v>1</v>
      </c>
      <c r="AH861" s="1">
        <f t="shared" si="432"/>
        <v>1</v>
      </c>
      <c r="AI861" s="44">
        <f t="shared" si="420"/>
        <v>55322.995361929708</v>
      </c>
      <c r="AJ861" s="44">
        <f t="shared" si="411"/>
        <v>55762.821616283996</v>
      </c>
      <c r="AK861" s="44" t="str">
        <f t="shared" si="429"/>
        <v>N</v>
      </c>
      <c r="AL861" s="4">
        <f t="shared" si="412"/>
        <v>171</v>
      </c>
      <c r="AM861" s="82">
        <f t="shared" si="421"/>
        <v>0</v>
      </c>
      <c r="AN861" s="82">
        <f t="shared" si="413"/>
        <v>0</v>
      </c>
      <c r="AO861" s="48">
        <v>0</v>
      </c>
      <c r="AP861" s="91">
        <f t="shared" si="422"/>
        <v>-439.82625435429082</v>
      </c>
      <c r="AQ861" s="91">
        <f t="shared" si="423"/>
        <v>-439.82625435429082</v>
      </c>
    </row>
    <row r="862" spans="1:43">
      <c r="A862" s="190">
        <f t="shared" si="414"/>
        <v>80.054243668720048</v>
      </c>
      <c r="B862" s="82">
        <f t="shared" si="415"/>
        <v>15</v>
      </c>
      <c r="C862" s="83">
        <f t="shared" si="416"/>
        <v>172</v>
      </c>
      <c r="D862" s="14">
        <f t="shared" si="402"/>
        <v>2.6283369587845051E-3</v>
      </c>
      <c r="E862" s="16">
        <f t="shared" si="403"/>
        <v>0</v>
      </c>
      <c r="F862" s="127"/>
      <c r="G862" s="88">
        <f t="shared" si="404"/>
        <v>0</v>
      </c>
      <c r="H862" s="89">
        <f t="shared" si="417"/>
        <v>4.1666666666666666E-3</v>
      </c>
      <c r="I862" s="219"/>
      <c r="J862" s="219"/>
      <c r="K862" s="6">
        <f t="shared" si="426"/>
        <v>55322.995361929708</v>
      </c>
      <c r="M862" s="6">
        <f t="shared" si="405"/>
        <v>145.40747338042362</v>
      </c>
      <c r="N862" s="6">
        <f t="shared" si="406"/>
        <v>-62.591232965098335</v>
      </c>
      <c r="O862" s="90">
        <f t="shared" si="407"/>
        <v>439.82625435429071</v>
      </c>
      <c r="P862" s="91">
        <f t="shared" si="408"/>
        <v>0</v>
      </c>
      <c r="Q862" s="6">
        <f t="shared" si="409"/>
        <v>230.8575483431043</v>
      </c>
      <c r="R862" s="87">
        <f t="shared" si="428"/>
        <v>-439.82625435429082</v>
      </c>
      <c r="S862" s="6">
        <f t="shared" si="410"/>
        <v>-11.501620386921081</v>
      </c>
      <c r="T862" s="83">
        <f t="shared" si="418"/>
        <v>0</v>
      </c>
      <c r="U862" s="91">
        <f t="shared" si="424"/>
        <v>75298.381456094416</v>
      </c>
      <c r="V862" s="91">
        <f t="shared" si="419"/>
        <v>197.90951891770678</v>
      </c>
      <c r="W862" s="1">
        <f t="shared" si="432"/>
        <v>0</v>
      </c>
      <c r="X862" s="1">
        <f t="shared" si="432"/>
        <v>0</v>
      </c>
      <c r="Y862" s="1">
        <f t="shared" si="432"/>
        <v>0</v>
      </c>
      <c r="Z862" s="1">
        <f t="shared" si="432"/>
        <v>0</v>
      </c>
      <c r="AA862" s="1">
        <f t="shared" si="432"/>
        <v>0</v>
      </c>
      <c r="AB862" s="1">
        <f t="shared" si="432"/>
        <v>0</v>
      </c>
      <c r="AC862" s="1">
        <f t="shared" si="432"/>
        <v>1</v>
      </c>
      <c r="AD862" s="1">
        <f t="shared" si="432"/>
        <v>1</v>
      </c>
      <c r="AE862" s="1">
        <f t="shared" si="432"/>
        <v>1</v>
      </c>
      <c r="AF862" s="1">
        <f t="shared" si="432"/>
        <v>1</v>
      </c>
      <c r="AG862" s="1">
        <f t="shared" si="432"/>
        <v>1</v>
      </c>
      <c r="AH862" s="1">
        <f t="shared" si="432"/>
        <v>1</v>
      </c>
      <c r="AI862" s="44">
        <f t="shared" si="420"/>
        <v>54965.985347990747</v>
      </c>
      <c r="AJ862" s="44">
        <f t="shared" si="411"/>
        <v>55405.811602345035</v>
      </c>
      <c r="AK862" s="44" t="str">
        <f t="shared" si="429"/>
        <v>N</v>
      </c>
      <c r="AL862" s="4">
        <f t="shared" si="412"/>
        <v>172</v>
      </c>
      <c r="AM862" s="82">
        <f t="shared" si="421"/>
        <v>0</v>
      </c>
      <c r="AN862" s="82">
        <f t="shared" si="413"/>
        <v>0</v>
      </c>
      <c r="AO862" s="48">
        <v>0</v>
      </c>
      <c r="AP862" s="91">
        <f t="shared" si="422"/>
        <v>-439.82625435429082</v>
      </c>
      <c r="AQ862" s="91">
        <f t="shared" si="423"/>
        <v>-439.82625435429082</v>
      </c>
    </row>
    <row r="863" spans="1:43">
      <c r="A863" s="190">
        <f t="shared" si="414"/>
        <v>80.137577002053376</v>
      </c>
      <c r="B863" s="82">
        <f t="shared" si="415"/>
        <v>15</v>
      </c>
      <c r="C863" s="83">
        <f t="shared" si="416"/>
        <v>173</v>
      </c>
      <c r="D863" s="14">
        <f t="shared" si="402"/>
        <v>2.6283369587845051E-3</v>
      </c>
      <c r="E863" s="16">
        <f t="shared" si="403"/>
        <v>0</v>
      </c>
      <c r="F863" s="127"/>
      <c r="G863" s="88">
        <f t="shared" si="404"/>
        <v>0</v>
      </c>
      <c r="H863" s="89">
        <f t="shared" si="417"/>
        <v>4.1666666666666666E-3</v>
      </c>
      <c r="I863" s="219"/>
      <c r="J863" s="219"/>
      <c r="K863" s="6">
        <f t="shared" si="426"/>
        <v>54965.985347990747</v>
      </c>
      <c r="M863" s="6">
        <f t="shared" si="405"/>
        <v>144.46913076613166</v>
      </c>
      <c r="N863" s="6">
        <f t="shared" si="406"/>
        <v>-62.187319604891812</v>
      </c>
      <c r="O863" s="90">
        <f t="shared" si="407"/>
        <v>439.82625435429071</v>
      </c>
      <c r="P863" s="91">
        <f t="shared" si="408"/>
        <v>0</v>
      </c>
      <c r="Q863" s="6">
        <f t="shared" si="409"/>
        <v>229.36777982979996</v>
      </c>
      <c r="R863" s="87">
        <f t="shared" si="428"/>
        <v>-439.82625435429082</v>
      </c>
      <c r="S863" s="6">
        <f t="shared" si="410"/>
        <v>-11.427102206964996</v>
      </c>
      <c r="T863" s="83">
        <f t="shared" si="418"/>
        <v>0</v>
      </c>
      <c r="U863" s="91">
        <f t="shared" si="424"/>
        <v>75056.464720657823</v>
      </c>
      <c r="V863" s="91">
        <f t="shared" si="419"/>
        <v>197.2736802210103</v>
      </c>
      <c r="W863" s="1">
        <f t="shared" si="432"/>
        <v>0</v>
      </c>
      <c r="X863" s="1">
        <f t="shared" si="432"/>
        <v>0</v>
      </c>
      <c r="Y863" s="1">
        <f t="shared" si="432"/>
        <v>0</v>
      </c>
      <c r="Z863" s="1">
        <f t="shared" si="432"/>
        <v>0</v>
      </c>
      <c r="AA863" s="1">
        <f t="shared" si="432"/>
        <v>0</v>
      </c>
      <c r="AB863" s="1">
        <f t="shared" si="432"/>
        <v>0</v>
      </c>
      <c r="AC863" s="1">
        <f t="shared" si="432"/>
        <v>1</v>
      </c>
      <c r="AD863" s="1">
        <f t="shared" si="432"/>
        <v>1</v>
      </c>
      <c r="AE863" s="1">
        <f t="shared" si="432"/>
        <v>1</v>
      </c>
      <c r="AF863" s="1">
        <f t="shared" si="432"/>
        <v>1</v>
      </c>
      <c r="AG863" s="1">
        <f t="shared" si="432"/>
        <v>1</v>
      </c>
      <c r="AH863" s="1">
        <f t="shared" si="432"/>
        <v>1</v>
      </c>
      <c r="AI863" s="44">
        <f t="shared" si="420"/>
        <v>54608.440904797702</v>
      </c>
      <c r="AJ863" s="44">
        <f t="shared" si="411"/>
        <v>55048.26715915199</v>
      </c>
      <c r="AK863" s="44" t="str">
        <f t="shared" si="429"/>
        <v>N</v>
      </c>
      <c r="AL863" s="4">
        <f t="shared" si="412"/>
        <v>173</v>
      </c>
      <c r="AM863" s="82">
        <f t="shared" si="421"/>
        <v>0</v>
      </c>
      <c r="AN863" s="82">
        <f t="shared" si="413"/>
        <v>0</v>
      </c>
      <c r="AO863" s="48">
        <v>0</v>
      </c>
      <c r="AP863" s="91">
        <f t="shared" si="422"/>
        <v>-439.82625435429082</v>
      </c>
      <c r="AQ863" s="91">
        <f t="shared" si="423"/>
        <v>-439.82625435429082</v>
      </c>
    </row>
    <row r="864" spans="1:43">
      <c r="A864" s="190">
        <f t="shared" si="414"/>
        <v>80.220910335386719</v>
      </c>
      <c r="B864" s="82">
        <f t="shared" si="415"/>
        <v>15</v>
      </c>
      <c r="C864" s="83">
        <f t="shared" si="416"/>
        <v>174</v>
      </c>
      <c r="D864" s="14">
        <f t="shared" si="402"/>
        <v>2.6283369587845051E-3</v>
      </c>
      <c r="E864" s="16">
        <f t="shared" si="403"/>
        <v>0</v>
      </c>
      <c r="F864" s="127"/>
      <c r="G864" s="88">
        <f t="shared" si="404"/>
        <v>0</v>
      </c>
      <c r="H864" s="89">
        <f t="shared" si="417"/>
        <v>4.1666666666666666E-3</v>
      </c>
      <c r="I864" s="219"/>
      <c r="J864" s="219"/>
      <c r="K864" s="6">
        <f t="shared" si="426"/>
        <v>54608.440904797702</v>
      </c>
      <c r="M864" s="6">
        <f t="shared" si="405"/>
        <v>143.52938349167937</v>
      </c>
      <c r="N864" s="6">
        <f t="shared" si="406"/>
        <v>-61.782801603057948</v>
      </c>
      <c r="O864" s="90">
        <f t="shared" si="407"/>
        <v>439.82625435429071</v>
      </c>
      <c r="P864" s="91">
        <f t="shared" si="408"/>
        <v>0</v>
      </c>
      <c r="Q864" s="6">
        <f t="shared" si="409"/>
        <v>227.87578119452635</v>
      </c>
      <c r="R864" s="87">
        <f t="shared" si="428"/>
        <v>-439.82625435429082</v>
      </c>
      <c r="S864" s="6">
        <f t="shared" si="410"/>
        <v>-11.352472476369508</v>
      </c>
      <c r="T864" s="83">
        <f t="shared" si="418"/>
        <v>0</v>
      </c>
      <c r="U864" s="91">
        <f t="shared" si="424"/>
        <v>74813.912146524541</v>
      </c>
      <c r="V864" s="91">
        <f t="shared" si="419"/>
        <v>196.63617032596747</v>
      </c>
      <c r="W864" s="1">
        <f t="shared" si="432"/>
        <v>0</v>
      </c>
      <c r="X864" s="1">
        <f t="shared" si="432"/>
        <v>0</v>
      </c>
      <c r="Y864" s="1">
        <f t="shared" si="432"/>
        <v>0</v>
      </c>
      <c r="Z864" s="1">
        <f t="shared" si="432"/>
        <v>0</v>
      </c>
      <c r="AA864" s="1">
        <f t="shared" si="432"/>
        <v>0</v>
      </c>
      <c r="AB864" s="1">
        <f t="shared" si="432"/>
        <v>0</v>
      </c>
      <c r="AC864" s="1">
        <f t="shared" si="432"/>
        <v>1</v>
      </c>
      <c r="AD864" s="1">
        <f t="shared" si="432"/>
        <v>1</v>
      </c>
      <c r="AE864" s="1">
        <f t="shared" si="432"/>
        <v>1</v>
      </c>
      <c r="AF864" s="1">
        <f t="shared" si="432"/>
        <v>1</v>
      </c>
      <c r="AG864" s="1">
        <f t="shared" si="432"/>
        <v>1</v>
      </c>
      <c r="AH864" s="1">
        <f t="shared" si="432"/>
        <v>1</v>
      </c>
      <c r="AI864" s="44">
        <f t="shared" si="420"/>
        <v>54250.361232332041</v>
      </c>
      <c r="AJ864" s="44">
        <f t="shared" si="411"/>
        <v>54690.187486686329</v>
      </c>
      <c r="AK864" s="44" t="str">
        <f t="shared" si="429"/>
        <v>N</v>
      </c>
      <c r="AL864" s="4">
        <f t="shared" si="412"/>
        <v>174</v>
      </c>
      <c r="AM864" s="82">
        <f t="shared" si="421"/>
        <v>0</v>
      </c>
      <c r="AN864" s="82">
        <f t="shared" si="413"/>
        <v>0</v>
      </c>
      <c r="AO864" s="48">
        <v>0</v>
      </c>
      <c r="AP864" s="91">
        <f t="shared" si="422"/>
        <v>-439.82625435429082</v>
      </c>
      <c r="AQ864" s="91">
        <f t="shared" si="423"/>
        <v>-439.82625435429082</v>
      </c>
    </row>
    <row r="865" spans="1:43">
      <c r="A865" s="190">
        <f t="shared" si="414"/>
        <v>80.304243668720048</v>
      </c>
      <c r="B865" s="82">
        <f t="shared" si="415"/>
        <v>15</v>
      </c>
      <c r="C865" s="83">
        <f t="shared" si="416"/>
        <v>175</v>
      </c>
      <c r="D865" s="14">
        <f t="shared" si="402"/>
        <v>2.6283369587845051E-3</v>
      </c>
      <c r="E865" s="16">
        <f t="shared" si="403"/>
        <v>0</v>
      </c>
      <c r="F865" s="127"/>
      <c r="G865" s="88">
        <f t="shared" si="404"/>
        <v>0</v>
      </c>
      <c r="H865" s="89">
        <f t="shared" si="417"/>
        <v>4.1666666666666666E-3</v>
      </c>
      <c r="I865" s="219"/>
      <c r="J865" s="219"/>
      <c r="K865" s="6">
        <f t="shared" si="426"/>
        <v>54250.361232332041</v>
      </c>
      <c r="M865" s="6">
        <f t="shared" si="405"/>
        <v>142.58822945434841</v>
      </c>
      <c r="N865" s="6">
        <f t="shared" si="406"/>
        <v>-61.377678054473172</v>
      </c>
      <c r="O865" s="90">
        <f t="shared" si="407"/>
        <v>439.82625435429071</v>
      </c>
      <c r="P865" s="91">
        <f t="shared" si="408"/>
        <v>0</v>
      </c>
      <c r="Q865" s="6">
        <f t="shared" si="409"/>
        <v>226.38154909888297</v>
      </c>
      <c r="R865" s="87">
        <f t="shared" si="428"/>
        <v>-439.82625435429082</v>
      </c>
      <c r="S865" s="6">
        <f t="shared" si="410"/>
        <v>-11.277731028147908</v>
      </c>
      <c r="T865" s="83">
        <f t="shared" si="418"/>
        <v>0</v>
      </c>
      <c r="U865" s="91">
        <f t="shared" si="424"/>
        <v>74570.722062496206</v>
      </c>
      <c r="V865" s="91">
        <f t="shared" si="419"/>
        <v>195.99698484010588</v>
      </c>
      <c r="W865" s="1">
        <f t="shared" si="432"/>
        <v>0</v>
      </c>
      <c r="X865" s="1">
        <f t="shared" si="432"/>
        <v>0</v>
      </c>
      <c r="Y865" s="1">
        <f t="shared" si="432"/>
        <v>0</v>
      </c>
      <c r="Z865" s="1">
        <f t="shared" si="432"/>
        <v>0</v>
      </c>
      <c r="AA865" s="1">
        <f t="shared" si="432"/>
        <v>0</v>
      </c>
      <c r="AB865" s="1">
        <f t="shared" si="432"/>
        <v>0</v>
      </c>
      <c r="AC865" s="1">
        <f t="shared" si="432"/>
        <v>1</v>
      </c>
      <c r="AD865" s="1">
        <f t="shared" si="432"/>
        <v>1</v>
      </c>
      <c r="AE865" s="1">
        <f t="shared" si="432"/>
        <v>1</v>
      </c>
      <c r="AF865" s="1">
        <f t="shared" si="432"/>
        <v>1</v>
      </c>
      <c r="AG865" s="1">
        <f t="shared" si="432"/>
        <v>1</v>
      </c>
      <c r="AH865" s="1">
        <f t="shared" si="432"/>
        <v>1</v>
      </c>
      <c r="AI865" s="44">
        <f t="shared" si="420"/>
        <v>53891.745529377629</v>
      </c>
      <c r="AJ865" s="44">
        <f t="shared" si="411"/>
        <v>54331.571783731917</v>
      </c>
      <c r="AK865" s="44" t="str">
        <f t="shared" si="429"/>
        <v>N</v>
      </c>
      <c r="AL865" s="4">
        <f t="shared" si="412"/>
        <v>175</v>
      </c>
      <c r="AM865" s="82">
        <f t="shared" si="421"/>
        <v>0</v>
      </c>
      <c r="AN865" s="82">
        <f t="shared" si="413"/>
        <v>0</v>
      </c>
      <c r="AO865" s="48">
        <v>0</v>
      </c>
      <c r="AP865" s="91">
        <f t="shared" si="422"/>
        <v>-439.82625435429082</v>
      </c>
      <c r="AQ865" s="91">
        <f t="shared" si="423"/>
        <v>-439.82625435429082</v>
      </c>
    </row>
    <row r="866" spans="1:43">
      <c r="A866" s="190">
        <f t="shared" si="414"/>
        <v>80.387577002053376</v>
      </c>
      <c r="B866" s="82">
        <f t="shared" si="415"/>
        <v>15</v>
      </c>
      <c r="C866" s="83">
        <f t="shared" si="416"/>
        <v>176</v>
      </c>
      <c r="D866" s="14">
        <f t="shared" si="402"/>
        <v>2.6283369587845051E-3</v>
      </c>
      <c r="E866" s="16">
        <f t="shared" si="403"/>
        <v>0</v>
      </c>
      <c r="F866" s="127"/>
      <c r="G866" s="88">
        <f t="shared" si="404"/>
        <v>0</v>
      </c>
      <c r="H866" s="89">
        <f t="shared" si="417"/>
        <v>4.1666666666666666E-3</v>
      </c>
      <c r="I866" s="219"/>
      <c r="J866" s="219"/>
      <c r="K866" s="6">
        <f t="shared" si="426"/>
        <v>53891.745529377629</v>
      </c>
      <c r="M866" s="6">
        <f t="shared" si="405"/>
        <v>141.64566654827286</v>
      </c>
      <c r="N866" s="6">
        <f t="shared" si="406"/>
        <v>-60.971948052658973</v>
      </c>
      <c r="O866" s="90">
        <f t="shared" si="407"/>
        <v>439.82625435429071</v>
      </c>
      <c r="P866" s="91">
        <f t="shared" si="408"/>
        <v>0</v>
      </c>
      <c r="Q866" s="6">
        <f t="shared" si="409"/>
        <v>224.88508019947182</v>
      </c>
      <c r="R866" s="87">
        <f t="shared" si="428"/>
        <v>-439.82625435429082</v>
      </c>
      <c r="S866" s="6">
        <f t="shared" si="410"/>
        <v>-11.202877695063522</v>
      </c>
      <c r="T866" s="83">
        <f t="shared" si="418"/>
        <v>0</v>
      </c>
      <c r="U866" s="91">
        <f t="shared" si="424"/>
        <v>74326.89279298202</v>
      </c>
      <c r="V866" s="91">
        <f t="shared" si="419"/>
        <v>195.35611935940832</v>
      </c>
      <c r="W866" s="1">
        <f t="shared" si="432"/>
        <v>0</v>
      </c>
      <c r="X866" s="1">
        <f t="shared" si="432"/>
        <v>0</v>
      </c>
      <c r="Y866" s="1">
        <f t="shared" si="432"/>
        <v>0</v>
      </c>
      <c r="Z866" s="1">
        <f t="shared" si="432"/>
        <v>0</v>
      </c>
      <c r="AA866" s="1">
        <f t="shared" si="432"/>
        <v>0</v>
      </c>
      <c r="AB866" s="1">
        <f t="shared" si="432"/>
        <v>0</v>
      </c>
      <c r="AC866" s="1">
        <f t="shared" si="432"/>
        <v>1</v>
      </c>
      <c r="AD866" s="1">
        <f t="shared" si="432"/>
        <v>1</v>
      </c>
      <c r="AE866" s="1">
        <f t="shared" si="432"/>
        <v>1</v>
      </c>
      <c r="AF866" s="1">
        <f t="shared" si="432"/>
        <v>1</v>
      </c>
      <c r="AG866" s="1">
        <f t="shared" si="432"/>
        <v>1</v>
      </c>
      <c r="AH866" s="1">
        <f t="shared" si="432"/>
        <v>1</v>
      </c>
      <c r="AI866" s="44">
        <f t="shared" si="420"/>
        <v>53532.592993518949</v>
      </c>
      <c r="AJ866" s="44">
        <f t="shared" si="411"/>
        <v>53972.419247873237</v>
      </c>
      <c r="AK866" s="44" t="str">
        <f t="shared" si="429"/>
        <v>N</v>
      </c>
      <c r="AL866" s="4">
        <f t="shared" si="412"/>
        <v>176</v>
      </c>
      <c r="AM866" s="82">
        <f t="shared" si="421"/>
        <v>0</v>
      </c>
      <c r="AN866" s="82">
        <f t="shared" si="413"/>
        <v>0</v>
      </c>
      <c r="AO866" s="48">
        <v>0</v>
      </c>
      <c r="AP866" s="91">
        <f t="shared" si="422"/>
        <v>-439.82625435429082</v>
      </c>
      <c r="AQ866" s="91">
        <f t="shared" si="423"/>
        <v>-439.82625435429082</v>
      </c>
    </row>
    <row r="867" spans="1:43">
      <c r="A867" s="190">
        <f t="shared" si="414"/>
        <v>80.470910335386719</v>
      </c>
      <c r="B867" s="82">
        <f t="shared" si="415"/>
        <v>15</v>
      </c>
      <c r="C867" s="83">
        <f t="shared" si="416"/>
        <v>177</v>
      </c>
      <c r="D867" s="14">
        <f t="shared" si="402"/>
        <v>2.6283369587845051E-3</v>
      </c>
      <c r="E867" s="16">
        <f t="shared" si="403"/>
        <v>0</v>
      </c>
      <c r="F867" s="127"/>
      <c r="G867" s="88">
        <f t="shared" si="404"/>
        <v>0</v>
      </c>
      <c r="H867" s="89">
        <f t="shared" si="417"/>
        <v>4.1666666666666666E-3</v>
      </c>
      <c r="I867" s="219"/>
      <c r="J867" s="219"/>
      <c r="K867" s="6">
        <f t="shared" si="426"/>
        <v>53532.592993518949</v>
      </c>
      <c r="M867" s="6">
        <f t="shared" si="405"/>
        <v>140.70169266443429</v>
      </c>
      <c r="N867" s="6">
        <f t="shared" si="406"/>
        <v>-60.565610689779923</v>
      </c>
      <c r="O867" s="90">
        <f t="shared" si="407"/>
        <v>439.82625435429071</v>
      </c>
      <c r="P867" s="91">
        <f t="shared" si="408"/>
        <v>0</v>
      </c>
      <c r="Q867" s="6">
        <f t="shared" si="409"/>
        <v>223.38637114789</v>
      </c>
      <c r="R867" s="87">
        <f t="shared" si="428"/>
        <v>-439.82625435429082</v>
      </c>
      <c r="S867" s="6">
        <f t="shared" si="410"/>
        <v>-11.127912309629329</v>
      </c>
      <c r="T867" s="83">
        <f t="shared" si="418"/>
        <v>0</v>
      </c>
      <c r="U867" s="91">
        <f t="shared" si="424"/>
        <v>74082.422657987132</v>
      </c>
      <c r="V867" s="91">
        <f t="shared" si="419"/>
        <v>194.7135694682822</v>
      </c>
      <c r="W867" s="1">
        <f t="shared" si="432"/>
        <v>0</v>
      </c>
      <c r="X867" s="1">
        <f t="shared" si="432"/>
        <v>0</v>
      </c>
      <c r="Y867" s="1">
        <f t="shared" si="432"/>
        <v>0</v>
      </c>
      <c r="Z867" s="1">
        <f t="shared" si="432"/>
        <v>0</v>
      </c>
      <c r="AA867" s="1">
        <f t="shared" si="432"/>
        <v>0</v>
      </c>
      <c r="AB867" s="1">
        <f t="shared" si="432"/>
        <v>0</v>
      </c>
      <c r="AC867" s="1">
        <f t="shared" si="432"/>
        <v>1</v>
      </c>
      <c r="AD867" s="1">
        <f t="shared" si="432"/>
        <v>1</v>
      </c>
      <c r="AE867" s="1">
        <f t="shared" si="432"/>
        <v>1</v>
      </c>
      <c r="AF867" s="1">
        <f t="shared" si="432"/>
        <v>1</v>
      </c>
      <c r="AG867" s="1">
        <f t="shared" si="432"/>
        <v>1</v>
      </c>
      <c r="AH867" s="1">
        <f t="shared" si="432"/>
        <v>1</v>
      </c>
      <c r="AI867" s="44">
        <f t="shared" si="420"/>
        <v>53172.902821139316</v>
      </c>
      <c r="AJ867" s="44">
        <f t="shared" si="411"/>
        <v>53612.729075493604</v>
      </c>
      <c r="AK867" s="44" t="str">
        <f t="shared" si="429"/>
        <v>N</v>
      </c>
      <c r="AL867" s="4">
        <f t="shared" si="412"/>
        <v>177</v>
      </c>
      <c r="AM867" s="82">
        <f t="shared" si="421"/>
        <v>0</v>
      </c>
      <c r="AN867" s="82">
        <f t="shared" si="413"/>
        <v>0</v>
      </c>
      <c r="AO867" s="48">
        <v>0</v>
      </c>
      <c r="AP867" s="91">
        <f t="shared" si="422"/>
        <v>-439.82625435429082</v>
      </c>
      <c r="AQ867" s="91">
        <f t="shared" si="423"/>
        <v>-439.82625435429082</v>
      </c>
    </row>
    <row r="868" spans="1:43">
      <c r="A868" s="190">
        <f t="shared" si="414"/>
        <v>80.554243668720048</v>
      </c>
      <c r="B868" s="82">
        <f t="shared" si="415"/>
        <v>15</v>
      </c>
      <c r="C868" s="83">
        <f t="shared" si="416"/>
        <v>178</v>
      </c>
      <c r="D868" s="14">
        <f t="shared" si="402"/>
        <v>2.6283369587845051E-3</v>
      </c>
      <c r="E868" s="16">
        <f t="shared" si="403"/>
        <v>0</v>
      </c>
      <c r="F868" s="127"/>
      <c r="G868" s="88">
        <f t="shared" si="404"/>
        <v>0</v>
      </c>
      <c r="H868" s="89">
        <f t="shared" si="417"/>
        <v>4.1666666666666666E-3</v>
      </c>
      <c r="I868" s="219"/>
      <c r="J868" s="219"/>
      <c r="K868" s="6">
        <f t="shared" si="426"/>
        <v>53172.902821139316</v>
      </c>
      <c r="M868" s="6">
        <f t="shared" si="405"/>
        <v>139.75630569065734</v>
      </c>
      <c r="N868" s="6">
        <f t="shared" si="406"/>
        <v>-60.158665056641581</v>
      </c>
      <c r="O868" s="90">
        <f t="shared" si="407"/>
        <v>439.82625435429071</v>
      </c>
      <c r="P868" s="91">
        <f t="shared" si="408"/>
        <v>0</v>
      </c>
      <c r="Q868" s="6">
        <f t="shared" si="409"/>
        <v>221.88541859072222</v>
      </c>
      <c r="R868" s="87">
        <f t="shared" si="428"/>
        <v>-439.82625435429082</v>
      </c>
      <c r="S868" s="6">
        <f t="shared" si="410"/>
        <v>-11.052834704107589</v>
      </c>
      <c r="T868" s="83">
        <f t="shared" si="418"/>
        <v>0</v>
      </c>
      <c r="U868" s="91">
        <f t="shared" si="424"/>
        <v>73837.309973101117</v>
      </c>
      <c r="V868" s="91">
        <f t="shared" si="419"/>
        <v>194.06933073952939</v>
      </c>
      <c r="W868" s="1">
        <f t="shared" si="432"/>
        <v>0</v>
      </c>
      <c r="X868" s="1">
        <f t="shared" si="432"/>
        <v>0</v>
      </c>
      <c r="Y868" s="1">
        <f t="shared" si="432"/>
        <v>0</v>
      </c>
      <c r="Z868" s="1">
        <f t="shared" si="432"/>
        <v>0</v>
      </c>
      <c r="AA868" s="1">
        <f t="shared" si="432"/>
        <v>0</v>
      </c>
      <c r="AB868" s="1">
        <f t="shared" si="432"/>
        <v>0</v>
      </c>
      <c r="AC868" s="1">
        <f t="shared" si="432"/>
        <v>1</v>
      </c>
      <c r="AD868" s="1">
        <f t="shared" si="432"/>
        <v>1</v>
      </c>
      <c r="AE868" s="1">
        <f t="shared" si="432"/>
        <v>1</v>
      </c>
      <c r="AF868" s="1">
        <f t="shared" si="432"/>
        <v>1</v>
      </c>
      <c r="AG868" s="1">
        <f t="shared" si="432"/>
        <v>1</v>
      </c>
      <c r="AH868" s="1">
        <f t="shared" si="432"/>
        <v>1</v>
      </c>
      <c r="AI868" s="44">
        <f t="shared" si="420"/>
        <v>52812.674207419048</v>
      </c>
      <c r="AJ868" s="44">
        <f t="shared" si="411"/>
        <v>53252.500461773336</v>
      </c>
      <c r="AK868" s="44" t="str">
        <f t="shared" si="429"/>
        <v>N</v>
      </c>
      <c r="AL868" s="4">
        <f t="shared" si="412"/>
        <v>178</v>
      </c>
      <c r="AM868" s="82">
        <f t="shared" si="421"/>
        <v>0</v>
      </c>
      <c r="AN868" s="82">
        <f t="shared" si="413"/>
        <v>0</v>
      </c>
      <c r="AO868" s="48">
        <v>0</v>
      </c>
      <c r="AP868" s="91">
        <f t="shared" si="422"/>
        <v>-439.82625435429082</v>
      </c>
      <c r="AQ868" s="91">
        <f t="shared" si="423"/>
        <v>-439.82625435429082</v>
      </c>
    </row>
    <row r="869" spans="1:43">
      <c r="A869" s="190">
        <f t="shared" si="414"/>
        <v>80.637577002053376</v>
      </c>
      <c r="B869" s="82">
        <f t="shared" si="415"/>
        <v>15</v>
      </c>
      <c r="C869" s="83">
        <f t="shared" si="416"/>
        <v>179</v>
      </c>
      <c r="D869" s="14">
        <f t="shared" si="402"/>
        <v>2.6283369587845051E-3</v>
      </c>
      <c r="E869" s="16">
        <f t="shared" si="403"/>
        <v>0</v>
      </c>
      <c r="F869" s="127"/>
      <c r="G869" s="88">
        <f t="shared" si="404"/>
        <v>0</v>
      </c>
      <c r="H869" s="89">
        <f t="shared" si="417"/>
        <v>4.1666666666666666E-3</v>
      </c>
      <c r="I869" s="219"/>
      <c r="J869" s="219"/>
      <c r="K869" s="6">
        <f t="shared" si="426"/>
        <v>52812.674207419048</v>
      </c>
      <c r="M869" s="6">
        <f t="shared" si="405"/>
        <v>138.80950351160465</v>
      </c>
      <c r="N869" s="6">
        <f t="shared" si="406"/>
        <v>-59.751110242688476</v>
      </c>
      <c r="O869" s="90">
        <f t="shared" si="407"/>
        <v>439.82625435429071</v>
      </c>
      <c r="P869" s="91">
        <f t="shared" si="408"/>
        <v>0</v>
      </c>
      <c r="Q869" s="6">
        <f t="shared" si="409"/>
        <v>220.38221916953319</v>
      </c>
      <c r="R869" s="87">
        <f t="shared" si="428"/>
        <v>-439.82625435429082</v>
      </c>
      <c r="S869" s="6">
        <f t="shared" si="410"/>
        <v>-10.977644710509463</v>
      </c>
      <c r="T869" s="83">
        <f t="shared" si="418"/>
        <v>0</v>
      </c>
      <c r="U869" s="91">
        <f t="shared" si="424"/>
        <v>73591.553049486349</v>
      </c>
      <c r="V869" s="91">
        <f t="shared" si="419"/>
        <v>193.42339873431553</v>
      </c>
      <c r="W869" s="1">
        <f t="shared" si="432"/>
        <v>0</v>
      </c>
      <c r="X869" s="1">
        <f t="shared" si="432"/>
        <v>0</v>
      </c>
      <c r="Y869" s="1">
        <f t="shared" si="432"/>
        <v>0</v>
      </c>
      <c r="Z869" s="1">
        <f t="shared" si="432"/>
        <v>0</v>
      </c>
      <c r="AA869" s="1">
        <f t="shared" si="432"/>
        <v>0</v>
      </c>
      <c r="AB869" s="1">
        <f t="shared" si="432"/>
        <v>0</v>
      </c>
      <c r="AC869" s="1">
        <f t="shared" si="432"/>
        <v>1</v>
      </c>
      <c r="AD869" s="1">
        <f t="shared" si="432"/>
        <v>1</v>
      </c>
      <c r="AE869" s="1">
        <f t="shared" si="432"/>
        <v>1</v>
      </c>
      <c r="AF869" s="1">
        <f t="shared" si="432"/>
        <v>1</v>
      </c>
      <c r="AG869" s="1">
        <f t="shared" si="432"/>
        <v>1</v>
      </c>
      <c r="AH869" s="1">
        <f t="shared" si="432"/>
        <v>1</v>
      </c>
      <c r="AI869" s="44">
        <f t="shared" si="420"/>
        <v>52451.906346333679</v>
      </c>
      <c r="AJ869" s="44">
        <f t="shared" si="411"/>
        <v>52891.732600687967</v>
      </c>
      <c r="AK869" s="44" t="str">
        <f t="shared" si="429"/>
        <v>N</v>
      </c>
      <c r="AL869" s="4">
        <f t="shared" si="412"/>
        <v>179</v>
      </c>
      <c r="AM869" s="82">
        <f t="shared" si="421"/>
        <v>0</v>
      </c>
      <c r="AN869" s="82">
        <f t="shared" si="413"/>
        <v>0</v>
      </c>
      <c r="AO869" s="48">
        <v>0</v>
      </c>
      <c r="AP869" s="91">
        <f t="shared" si="422"/>
        <v>-439.82625435429082</v>
      </c>
      <c r="AQ869" s="91">
        <f t="shared" si="423"/>
        <v>-439.82625435429082</v>
      </c>
    </row>
    <row r="870" spans="1:43">
      <c r="A870" s="190">
        <f t="shared" si="414"/>
        <v>80.720910335386719</v>
      </c>
      <c r="B870" s="82">
        <f t="shared" si="415"/>
        <v>15</v>
      </c>
      <c r="C870" s="83">
        <f t="shared" si="416"/>
        <v>180</v>
      </c>
      <c r="D870" s="14">
        <f t="shared" si="402"/>
        <v>2.6283369587845051E-3</v>
      </c>
      <c r="E870" s="16">
        <f t="shared" si="403"/>
        <v>0</v>
      </c>
      <c r="F870" s="127"/>
      <c r="G870" s="88">
        <f t="shared" si="404"/>
        <v>0</v>
      </c>
      <c r="H870" s="89">
        <f t="shared" si="417"/>
        <v>4.1666666666666666E-3</v>
      </c>
      <c r="I870" s="219"/>
      <c r="J870" s="219"/>
      <c r="K870" s="6">
        <f t="shared" si="426"/>
        <v>52451.906346333679</v>
      </c>
      <c r="M870" s="6">
        <f t="shared" si="405"/>
        <v>137.86128400877234</v>
      </c>
      <c r="N870" s="6">
        <f t="shared" si="406"/>
        <v>-59.342945336002074</v>
      </c>
      <c r="O870" s="90">
        <f t="shared" si="407"/>
        <v>439.82625435429071</v>
      </c>
      <c r="P870" s="91">
        <f t="shared" si="408"/>
        <v>0</v>
      </c>
      <c r="Q870" s="6">
        <f t="shared" si="409"/>
        <v>218.87676952086022</v>
      </c>
      <c r="R870" s="87">
        <f t="shared" si="428"/>
        <v>-439.82625435429082</v>
      </c>
      <c r="S870" s="6">
        <f t="shared" si="410"/>
        <v>-10.902342160594641</v>
      </c>
      <c r="T870" s="83">
        <f t="shared" si="418"/>
        <v>0</v>
      </c>
      <c r="U870" s="91">
        <f t="shared" si="424"/>
        <v>73345.150193866371</v>
      </c>
      <c r="V870" s="91">
        <f t="shared" si="419"/>
        <v>192.7757690021395</v>
      </c>
      <c r="W870" s="1">
        <f t="shared" si="432"/>
        <v>0</v>
      </c>
      <c r="X870" s="1">
        <f t="shared" si="432"/>
        <v>0</v>
      </c>
      <c r="Y870" s="1">
        <f t="shared" si="432"/>
        <v>0</v>
      </c>
      <c r="Z870" s="1">
        <f t="shared" si="432"/>
        <v>0</v>
      </c>
      <c r="AA870" s="1">
        <f t="shared" si="432"/>
        <v>0</v>
      </c>
      <c r="AB870" s="1">
        <f t="shared" si="432"/>
        <v>0</v>
      </c>
      <c r="AC870" s="1">
        <f t="shared" si="432"/>
        <v>1</v>
      </c>
      <c r="AD870" s="1">
        <f t="shared" si="432"/>
        <v>1</v>
      </c>
      <c r="AE870" s="1">
        <f t="shared" si="432"/>
        <v>1</v>
      </c>
      <c r="AF870" s="1">
        <f t="shared" si="432"/>
        <v>1</v>
      </c>
      <c r="AG870" s="1">
        <f t="shared" si="432"/>
        <v>1</v>
      </c>
      <c r="AH870" s="1">
        <f t="shared" si="432"/>
        <v>1</v>
      </c>
      <c r="AI870" s="44">
        <f t="shared" si="420"/>
        <v>52090.598430652164</v>
      </c>
      <c r="AJ870" s="44">
        <f t="shared" si="411"/>
        <v>52530.424685006452</v>
      </c>
      <c r="AK870" s="44" t="str">
        <f t="shared" si="429"/>
        <v>N</v>
      </c>
      <c r="AL870" s="4">
        <f t="shared" si="412"/>
        <v>180</v>
      </c>
      <c r="AM870" s="82">
        <f t="shared" si="421"/>
        <v>0</v>
      </c>
      <c r="AN870" s="82">
        <f t="shared" si="413"/>
        <v>0</v>
      </c>
      <c r="AO870" s="48">
        <v>0</v>
      </c>
      <c r="AP870" s="91">
        <f t="shared" si="422"/>
        <v>-439.82625435429082</v>
      </c>
      <c r="AQ870" s="91">
        <f t="shared" si="423"/>
        <v>-439.82625435429082</v>
      </c>
    </row>
    <row r="871" spans="1:43">
      <c r="A871" s="190">
        <f t="shared" si="414"/>
        <v>80.804243668720048</v>
      </c>
      <c r="B871" s="82">
        <f t="shared" si="415"/>
        <v>16</v>
      </c>
      <c r="C871" s="83">
        <f t="shared" si="416"/>
        <v>181</v>
      </c>
      <c r="D871" s="14">
        <f t="shared" si="402"/>
        <v>2.6283369587845051E-3</v>
      </c>
      <c r="E871" s="16">
        <f t="shared" si="403"/>
        <v>0</v>
      </c>
      <c r="F871" s="127"/>
      <c r="G871" s="88">
        <f t="shared" si="404"/>
        <v>0</v>
      </c>
      <c r="H871" s="89">
        <f t="shared" si="417"/>
        <v>4.1666666666666666E-3</v>
      </c>
      <c r="I871" s="219"/>
      <c r="J871" s="219"/>
      <c r="K871" s="6">
        <f t="shared" si="426"/>
        <v>52090.598430652164</v>
      </c>
      <c r="M871" s="6">
        <f t="shared" si="405"/>
        <v>136.91164506048523</v>
      </c>
      <c r="N871" s="6">
        <f t="shared" si="406"/>
        <v>-58.934169423298734</v>
      </c>
      <c r="O871" s="90">
        <f t="shared" si="407"/>
        <v>448.62277944137639</v>
      </c>
      <c r="P871" s="91">
        <f t="shared" si="408"/>
        <v>0</v>
      </c>
      <c r="Q871" s="6">
        <f t="shared" si="409"/>
        <v>217.36906627620561</v>
      </c>
      <c r="R871" s="87">
        <f t="shared" si="428"/>
        <v>-449.29434922379625</v>
      </c>
      <c r="S871" s="6">
        <f t="shared" si="410"/>
        <v>-10.825939494090969</v>
      </c>
      <c r="T871" s="83">
        <f t="shared" si="418"/>
        <v>0</v>
      </c>
      <c r="U871" s="91">
        <f t="shared" si="424"/>
        <v>73098.099708514215</v>
      </c>
      <c r="V871" s="91">
        <f t="shared" si="419"/>
        <v>192.12643708080276</v>
      </c>
      <c r="W871" s="1">
        <f t="shared" ref="W871:AH880" si="433">IF($B871&lt;=W$78,1,0)</f>
        <v>0</v>
      </c>
      <c r="X871" s="1">
        <f t="shared" si="433"/>
        <v>0</v>
      </c>
      <c r="Y871" s="1">
        <f t="shared" si="433"/>
        <v>0</v>
      </c>
      <c r="Z871" s="1">
        <f t="shared" si="433"/>
        <v>0</v>
      </c>
      <c r="AA871" s="1">
        <f t="shared" si="433"/>
        <v>0</v>
      </c>
      <c r="AB871" s="1">
        <f t="shared" si="433"/>
        <v>0</v>
      </c>
      <c r="AC871" s="1">
        <f t="shared" si="433"/>
        <v>0</v>
      </c>
      <c r="AD871" s="1">
        <f t="shared" si="433"/>
        <v>1</v>
      </c>
      <c r="AE871" s="1">
        <f t="shared" si="433"/>
        <v>1</v>
      </c>
      <c r="AF871" s="1">
        <f t="shared" si="433"/>
        <v>1</v>
      </c>
      <c r="AG871" s="1">
        <f t="shared" si="433"/>
        <v>1</v>
      </c>
      <c r="AH871" s="1">
        <f t="shared" si="433"/>
        <v>1</v>
      </c>
      <c r="AI871" s="44">
        <f t="shared" si="420"/>
        <v>51719.281557065551</v>
      </c>
      <c r="AJ871" s="44">
        <f t="shared" si="411"/>
        <v>52168.575906289348</v>
      </c>
      <c r="AK871" s="44" t="str">
        <f t="shared" si="429"/>
        <v>N</v>
      </c>
      <c r="AL871" s="4">
        <f t="shared" si="412"/>
        <v>181</v>
      </c>
      <c r="AM871" s="82">
        <f t="shared" si="421"/>
        <v>0</v>
      </c>
      <c r="AN871" s="82">
        <f t="shared" si="413"/>
        <v>0</v>
      </c>
      <c r="AO871" s="48">
        <v>0</v>
      </c>
      <c r="AP871" s="91">
        <f t="shared" si="422"/>
        <v>-449.29434922379625</v>
      </c>
      <c r="AQ871" s="91">
        <f t="shared" si="423"/>
        <v>-449.29434922379625</v>
      </c>
    </row>
    <row r="872" spans="1:43">
      <c r="A872" s="190">
        <f t="shared" si="414"/>
        <v>80.887577002053376</v>
      </c>
      <c r="B872" s="82">
        <f t="shared" si="415"/>
        <v>16</v>
      </c>
      <c r="C872" s="83">
        <f t="shared" si="416"/>
        <v>182</v>
      </c>
      <c r="D872" s="14">
        <f t="shared" si="402"/>
        <v>2.6283369587845051E-3</v>
      </c>
      <c r="E872" s="16">
        <f t="shared" si="403"/>
        <v>0</v>
      </c>
      <c r="F872" s="127"/>
      <c r="G872" s="88">
        <f t="shared" si="404"/>
        <v>0</v>
      </c>
      <c r="H872" s="89">
        <f t="shared" si="417"/>
        <v>4.1666666666666666E-3</v>
      </c>
      <c r="I872" s="219"/>
      <c r="J872" s="219"/>
      <c r="K872" s="6">
        <f t="shared" si="426"/>
        <v>51719.281557065551</v>
      </c>
      <c r="M872" s="6">
        <f t="shared" si="405"/>
        <v>135.93569919821721</v>
      </c>
      <c r="N872" s="6">
        <f t="shared" si="406"/>
        <v>-58.514069593445249</v>
      </c>
      <c r="O872" s="90">
        <f t="shared" si="407"/>
        <v>448.62277944137639</v>
      </c>
      <c r="P872" s="91">
        <f t="shared" si="408"/>
        <v>0</v>
      </c>
      <c r="Q872" s="6">
        <f t="shared" si="409"/>
        <v>215.81959661112634</v>
      </c>
      <c r="R872" s="87">
        <f t="shared" si="428"/>
        <v>-448.62277944137662</v>
      </c>
      <c r="S872" s="6">
        <f t="shared" si="410"/>
        <v>-10.748505099640241</v>
      </c>
      <c r="T872" s="83">
        <f t="shared" si="418"/>
        <v>0</v>
      </c>
      <c r="U872" s="91">
        <f t="shared" si="424"/>
        <v>72840.931796371224</v>
      </c>
      <c r="V872" s="91">
        <f t="shared" si="419"/>
        <v>191.45051315270391</v>
      </c>
      <c r="W872" s="1">
        <f t="shared" si="433"/>
        <v>0</v>
      </c>
      <c r="X872" s="1">
        <f t="shared" si="433"/>
        <v>0</v>
      </c>
      <c r="Y872" s="1">
        <f t="shared" si="433"/>
        <v>0</v>
      </c>
      <c r="Z872" s="1">
        <f t="shared" si="433"/>
        <v>0</v>
      </c>
      <c r="AA872" s="1">
        <f t="shared" si="433"/>
        <v>0</v>
      </c>
      <c r="AB872" s="1">
        <f t="shared" si="433"/>
        <v>0</v>
      </c>
      <c r="AC872" s="1">
        <f t="shared" si="433"/>
        <v>0</v>
      </c>
      <c r="AD872" s="1">
        <f t="shared" si="433"/>
        <v>1</v>
      </c>
      <c r="AE872" s="1">
        <f t="shared" si="433"/>
        <v>1</v>
      </c>
      <c r="AF872" s="1">
        <f t="shared" si="433"/>
        <v>1</v>
      </c>
      <c r="AG872" s="1">
        <f t="shared" si="433"/>
        <v>1</v>
      </c>
      <c r="AH872" s="1">
        <f t="shared" si="433"/>
        <v>1</v>
      </c>
      <c r="AI872" s="44">
        <f t="shared" si="420"/>
        <v>51348.080407228947</v>
      </c>
      <c r="AJ872" s="44">
        <f t="shared" si="411"/>
        <v>51796.703186670326</v>
      </c>
      <c r="AK872" s="44" t="str">
        <f t="shared" si="429"/>
        <v>N</v>
      </c>
      <c r="AL872" s="4">
        <f t="shared" si="412"/>
        <v>182</v>
      </c>
      <c r="AM872" s="82">
        <f t="shared" si="421"/>
        <v>0</v>
      </c>
      <c r="AN872" s="82">
        <f t="shared" si="413"/>
        <v>0</v>
      </c>
      <c r="AO872" s="48">
        <v>0</v>
      </c>
      <c r="AP872" s="91">
        <f t="shared" si="422"/>
        <v>-448.62277944137662</v>
      </c>
      <c r="AQ872" s="91">
        <f t="shared" si="423"/>
        <v>-448.62277944137662</v>
      </c>
    </row>
    <row r="873" spans="1:43">
      <c r="A873" s="190">
        <f t="shared" si="414"/>
        <v>80.970910335386719</v>
      </c>
      <c r="B873" s="82">
        <f t="shared" si="415"/>
        <v>16</v>
      </c>
      <c r="C873" s="83">
        <f t="shared" si="416"/>
        <v>183</v>
      </c>
      <c r="D873" s="14">
        <f t="shared" si="402"/>
        <v>2.6283369587845051E-3</v>
      </c>
      <c r="E873" s="16">
        <f t="shared" si="403"/>
        <v>0</v>
      </c>
      <c r="F873" s="127"/>
      <c r="G873" s="88">
        <f t="shared" si="404"/>
        <v>0</v>
      </c>
      <c r="H873" s="89">
        <f t="shared" si="417"/>
        <v>4.1666666666666666E-3</v>
      </c>
      <c r="I873" s="219"/>
      <c r="J873" s="219"/>
      <c r="K873" s="6">
        <f t="shared" si="426"/>
        <v>51348.080407228947</v>
      </c>
      <c r="M873" s="6">
        <f t="shared" si="405"/>
        <v>134.96005749695837</v>
      </c>
      <c r="N873" s="6">
        <f t="shared" si="406"/>
        <v>-58.094100690924037</v>
      </c>
      <c r="O873" s="90">
        <f t="shared" si="407"/>
        <v>448.62277944137639</v>
      </c>
      <c r="P873" s="91">
        <f t="shared" si="408"/>
        <v>0</v>
      </c>
      <c r="Q873" s="6">
        <f t="shared" si="409"/>
        <v>214.27060985014575</v>
      </c>
      <c r="R873" s="87">
        <f t="shared" si="428"/>
        <v>-448.62277944137662</v>
      </c>
      <c r="S873" s="6">
        <f t="shared" si="410"/>
        <v>-10.671024824568295</v>
      </c>
      <c r="T873" s="83">
        <f t="shared" si="418"/>
        <v>0</v>
      </c>
      <c r="U873" s="91">
        <f t="shared" si="424"/>
        <v>72583.759530082549</v>
      </c>
      <c r="V873" s="91">
        <f t="shared" si="419"/>
        <v>190.774577780443</v>
      </c>
      <c r="W873" s="1">
        <f t="shared" si="433"/>
        <v>0</v>
      </c>
      <c r="X873" s="1">
        <f t="shared" si="433"/>
        <v>0</v>
      </c>
      <c r="Y873" s="1">
        <f t="shared" si="433"/>
        <v>0</v>
      </c>
      <c r="Z873" s="1">
        <f t="shared" si="433"/>
        <v>0</v>
      </c>
      <c r="AA873" s="1">
        <f t="shared" si="433"/>
        <v>0</v>
      </c>
      <c r="AB873" s="1">
        <f t="shared" si="433"/>
        <v>0</v>
      </c>
      <c r="AC873" s="1">
        <f t="shared" si="433"/>
        <v>0</v>
      </c>
      <c r="AD873" s="1">
        <f t="shared" si="433"/>
        <v>1</v>
      </c>
      <c r="AE873" s="1">
        <f t="shared" si="433"/>
        <v>1</v>
      </c>
      <c r="AF873" s="1">
        <f t="shared" si="433"/>
        <v>1</v>
      </c>
      <c r="AG873" s="1">
        <f t="shared" si="433"/>
        <v>1</v>
      </c>
      <c r="AH873" s="1">
        <f t="shared" si="433"/>
        <v>1</v>
      </c>
      <c r="AI873" s="44">
        <f t="shared" si="420"/>
        <v>50976.3235845936</v>
      </c>
      <c r="AJ873" s="44">
        <f t="shared" si="411"/>
        <v>51424.946364034979</v>
      </c>
      <c r="AK873" s="44" t="str">
        <f t="shared" si="429"/>
        <v>N</v>
      </c>
      <c r="AL873" s="4">
        <f t="shared" si="412"/>
        <v>183</v>
      </c>
      <c r="AM873" s="82">
        <f t="shared" si="421"/>
        <v>0</v>
      </c>
      <c r="AN873" s="82">
        <f t="shared" si="413"/>
        <v>0</v>
      </c>
      <c r="AO873" s="48">
        <v>0</v>
      </c>
      <c r="AP873" s="91">
        <f t="shared" si="422"/>
        <v>-448.62277944137662</v>
      </c>
      <c r="AQ873" s="91">
        <f t="shared" si="423"/>
        <v>-448.62277944137662</v>
      </c>
    </row>
    <row r="874" spans="1:43">
      <c r="A874" s="190">
        <f t="shared" si="414"/>
        <v>81.054243668720048</v>
      </c>
      <c r="B874" s="82">
        <f t="shared" si="415"/>
        <v>16</v>
      </c>
      <c r="C874" s="83">
        <f t="shared" si="416"/>
        <v>184</v>
      </c>
      <c r="D874" s="14">
        <f t="shared" si="402"/>
        <v>2.6283369587845051E-3</v>
      </c>
      <c r="E874" s="16">
        <f t="shared" si="403"/>
        <v>0</v>
      </c>
      <c r="F874" s="127"/>
      <c r="G874" s="88">
        <f t="shared" si="404"/>
        <v>0</v>
      </c>
      <c r="H874" s="89">
        <f t="shared" si="417"/>
        <v>4.1666666666666666E-3</v>
      </c>
      <c r="I874" s="219"/>
      <c r="J874" s="219"/>
      <c r="K874" s="6">
        <f t="shared" si="426"/>
        <v>50976.3235845936</v>
      </c>
      <c r="M874" s="6">
        <f t="shared" si="405"/>
        <v>133.98295530034559</v>
      </c>
      <c r="N874" s="6">
        <f t="shared" si="406"/>
        <v>-57.673503112291385</v>
      </c>
      <c r="O874" s="90">
        <f t="shared" si="407"/>
        <v>448.62277944137639</v>
      </c>
      <c r="P874" s="91">
        <f t="shared" si="408"/>
        <v>0</v>
      </c>
      <c r="Q874" s="6">
        <f t="shared" si="409"/>
        <v>212.71930431992357</v>
      </c>
      <c r="R874" s="87">
        <f t="shared" si="428"/>
        <v>-448.62277944137662</v>
      </c>
      <c r="S874" s="6">
        <f t="shared" si="410"/>
        <v>-10.593428564722826</v>
      </c>
      <c r="T874" s="83">
        <f t="shared" si="418"/>
        <v>0</v>
      </c>
      <c r="U874" s="91">
        <f t="shared" si="424"/>
        <v>72325.911328421615</v>
      </c>
      <c r="V874" s="91">
        <f t="shared" si="419"/>
        <v>190.09686582226146</v>
      </c>
      <c r="W874" s="1">
        <f t="shared" si="433"/>
        <v>0</v>
      </c>
      <c r="X874" s="1">
        <f t="shared" si="433"/>
        <v>0</v>
      </c>
      <c r="Y874" s="1">
        <f t="shared" si="433"/>
        <v>0</v>
      </c>
      <c r="Z874" s="1">
        <f t="shared" si="433"/>
        <v>0</v>
      </c>
      <c r="AA874" s="1">
        <f t="shared" si="433"/>
        <v>0</v>
      </c>
      <c r="AB874" s="1">
        <f t="shared" si="433"/>
        <v>0</v>
      </c>
      <c r="AC874" s="1">
        <f t="shared" si="433"/>
        <v>0</v>
      </c>
      <c r="AD874" s="1">
        <f t="shared" si="433"/>
        <v>1</v>
      </c>
      <c r="AE874" s="1">
        <f t="shared" si="433"/>
        <v>1</v>
      </c>
      <c r="AF874" s="1">
        <f t="shared" si="433"/>
        <v>1</v>
      </c>
      <c r="AG874" s="1">
        <f t="shared" si="433"/>
        <v>1</v>
      </c>
      <c r="AH874" s="1">
        <f t="shared" si="433"/>
        <v>1</v>
      </c>
      <c r="AI874" s="44">
        <f t="shared" si="420"/>
        <v>50604.010257340276</v>
      </c>
      <c r="AJ874" s="44">
        <f t="shared" si="411"/>
        <v>51052.633036781655</v>
      </c>
      <c r="AK874" s="44" t="str">
        <f t="shared" si="429"/>
        <v>N</v>
      </c>
      <c r="AL874" s="4">
        <f t="shared" si="412"/>
        <v>184</v>
      </c>
      <c r="AM874" s="82">
        <f t="shared" si="421"/>
        <v>0</v>
      </c>
      <c r="AN874" s="82">
        <f t="shared" si="413"/>
        <v>0</v>
      </c>
      <c r="AO874" s="48">
        <v>0</v>
      </c>
      <c r="AP874" s="91">
        <f t="shared" si="422"/>
        <v>-448.62277944137662</v>
      </c>
      <c r="AQ874" s="91">
        <f t="shared" si="423"/>
        <v>-448.62277944137662</v>
      </c>
    </row>
    <row r="875" spans="1:43">
      <c r="A875" s="190">
        <f t="shared" si="414"/>
        <v>81.137577002053376</v>
      </c>
      <c r="B875" s="82">
        <f t="shared" si="415"/>
        <v>16</v>
      </c>
      <c r="C875" s="83">
        <f t="shared" si="416"/>
        <v>185</v>
      </c>
      <c r="D875" s="14">
        <f t="shared" si="402"/>
        <v>2.6283369587845051E-3</v>
      </c>
      <c r="E875" s="16">
        <f t="shared" si="403"/>
        <v>0</v>
      </c>
      <c r="F875" s="127"/>
      <c r="G875" s="88">
        <f t="shared" si="404"/>
        <v>0</v>
      </c>
      <c r="H875" s="89">
        <f t="shared" si="417"/>
        <v>4.1666666666666666E-3</v>
      </c>
      <c r="I875" s="219"/>
      <c r="J875" s="219"/>
      <c r="K875" s="6">
        <f t="shared" si="426"/>
        <v>50604.010257340276</v>
      </c>
      <c r="M875" s="6">
        <f t="shared" si="405"/>
        <v>133.00439042207765</v>
      </c>
      <c r="N875" s="6">
        <f t="shared" si="406"/>
        <v>-57.252275916445079</v>
      </c>
      <c r="O875" s="90">
        <f t="shared" si="407"/>
        <v>448.62277944137639</v>
      </c>
      <c r="P875" s="91">
        <f t="shared" si="408"/>
        <v>0</v>
      </c>
      <c r="Q875" s="6">
        <f t="shared" si="409"/>
        <v>211.16567654935798</v>
      </c>
      <c r="R875" s="87">
        <f t="shared" si="428"/>
        <v>-448.62277944137662</v>
      </c>
      <c r="S875" s="6">
        <f t="shared" si="410"/>
        <v>-10.515716146479415</v>
      </c>
      <c r="T875" s="83">
        <f t="shared" si="418"/>
        <v>0</v>
      </c>
      <c r="U875" s="91">
        <f t="shared" si="424"/>
        <v>72067.385414802498</v>
      </c>
      <c r="V875" s="91">
        <f t="shared" si="419"/>
        <v>189.4173726086928</v>
      </c>
      <c r="W875" s="1">
        <f t="shared" si="433"/>
        <v>0</v>
      </c>
      <c r="X875" s="1">
        <f t="shared" si="433"/>
        <v>0</v>
      </c>
      <c r="Y875" s="1">
        <f t="shared" si="433"/>
        <v>0</v>
      </c>
      <c r="Z875" s="1">
        <f t="shared" si="433"/>
        <v>0</v>
      </c>
      <c r="AA875" s="1">
        <f t="shared" si="433"/>
        <v>0</v>
      </c>
      <c r="AB875" s="1">
        <f t="shared" si="433"/>
        <v>0</v>
      </c>
      <c r="AC875" s="1">
        <f t="shared" si="433"/>
        <v>0</v>
      </c>
      <c r="AD875" s="1">
        <f t="shared" si="433"/>
        <v>1</v>
      </c>
      <c r="AE875" s="1">
        <f t="shared" si="433"/>
        <v>1</v>
      </c>
      <c r="AF875" s="1">
        <f t="shared" si="433"/>
        <v>1</v>
      </c>
      <c r="AG875" s="1">
        <f t="shared" si="433"/>
        <v>1</v>
      </c>
      <c r="AH875" s="1">
        <f t="shared" si="433"/>
        <v>1</v>
      </c>
      <c r="AI875" s="44">
        <f t="shared" si="420"/>
        <v>50231.139592404536</v>
      </c>
      <c r="AJ875" s="44">
        <f t="shared" si="411"/>
        <v>50679.762371845914</v>
      </c>
      <c r="AK875" s="44" t="str">
        <f t="shared" si="429"/>
        <v>N</v>
      </c>
      <c r="AL875" s="4">
        <f t="shared" si="412"/>
        <v>185</v>
      </c>
      <c r="AM875" s="82">
        <f t="shared" si="421"/>
        <v>0</v>
      </c>
      <c r="AN875" s="82">
        <f t="shared" si="413"/>
        <v>0</v>
      </c>
      <c r="AO875" s="48">
        <v>0</v>
      </c>
      <c r="AP875" s="91">
        <f t="shared" si="422"/>
        <v>-448.62277944137662</v>
      </c>
      <c r="AQ875" s="91">
        <f t="shared" si="423"/>
        <v>-448.62277944137662</v>
      </c>
    </row>
    <row r="876" spans="1:43">
      <c r="A876" s="190">
        <f t="shared" si="414"/>
        <v>81.220910335386719</v>
      </c>
      <c r="B876" s="82">
        <f t="shared" si="415"/>
        <v>16</v>
      </c>
      <c r="C876" s="83">
        <f t="shared" si="416"/>
        <v>186</v>
      </c>
      <c r="D876" s="14">
        <f t="shared" si="402"/>
        <v>2.6283369587845051E-3</v>
      </c>
      <c r="E876" s="16">
        <f t="shared" si="403"/>
        <v>0</v>
      </c>
      <c r="F876" s="127"/>
      <c r="G876" s="88">
        <f t="shared" si="404"/>
        <v>0</v>
      </c>
      <c r="H876" s="89">
        <f t="shared" si="417"/>
        <v>4.1666666666666666E-3</v>
      </c>
      <c r="I876" s="219"/>
      <c r="J876" s="219"/>
      <c r="K876" s="6">
        <f t="shared" si="426"/>
        <v>50231.139592404536</v>
      </c>
      <c r="M876" s="6">
        <f t="shared" si="405"/>
        <v>132.02436067258049</v>
      </c>
      <c r="N876" s="6">
        <f t="shared" si="406"/>
        <v>-56.83041816087416</v>
      </c>
      <c r="O876" s="90">
        <f t="shared" si="407"/>
        <v>448.62277944137639</v>
      </c>
      <c r="P876" s="91">
        <f t="shared" si="408"/>
        <v>0</v>
      </c>
      <c r="Q876" s="6">
        <f t="shared" si="409"/>
        <v>209.60972306215098</v>
      </c>
      <c r="R876" s="87">
        <f t="shared" si="428"/>
        <v>-448.62277944137662</v>
      </c>
      <c r="S876" s="6">
        <f t="shared" si="410"/>
        <v>-10.437887395953732</v>
      </c>
      <c r="T876" s="83">
        <f t="shared" si="418"/>
        <v>0</v>
      </c>
      <c r="U876" s="91">
        <f t="shared" si="424"/>
        <v>71808.180007969815</v>
      </c>
      <c r="V876" s="91">
        <f t="shared" si="419"/>
        <v>188.7360934579977</v>
      </c>
      <c r="W876" s="1">
        <f t="shared" si="433"/>
        <v>0</v>
      </c>
      <c r="X876" s="1">
        <f t="shared" si="433"/>
        <v>0</v>
      </c>
      <c r="Y876" s="1">
        <f t="shared" si="433"/>
        <v>0</v>
      </c>
      <c r="Z876" s="1">
        <f t="shared" si="433"/>
        <v>0</v>
      </c>
      <c r="AA876" s="1">
        <f t="shared" si="433"/>
        <v>0</v>
      </c>
      <c r="AB876" s="1">
        <f t="shared" si="433"/>
        <v>0</v>
      </c>
      <c r="AC876" s="1">
        <f t="shared" si="433"/>
        <v>0</v>
      </c>
      <c r="AD876" s="1">
        <f t="shared" si="433"/>
        <v>1</v>
      </c>
      <c r="AE876" s="1">
        <f t="shared" si="433"/>
        <v>1</v>
      </c>
      <c r="AF876" s="1">
        <f t="shared" si="433"/>
        <v>1</v>
      </c>
      <c r="AG876" s="1">
        <f t="shared" si="433"/>
        <v>1</v>
      </c>
      <c r="AH876" s="1">
        <f t="shared" si="433"/>
        <v>1</v>
      </c>
      <c r="AI876" s="44">
        <f t="shared" si="420"/>
        <v>49857.710755474858</v>
      </c>
      <c r="AJ876" s="44">
        <f t="shared" si="411"/>
        <v>50306.333534916237</v>
      </c>
      <c r="AK876" s="44" t="str">
        <f t="shared" si="429"/>
        <v>N</v>
      </c>
      <c r="AL876" s="4">
        <f t="shared" si="412"/>
        <v>186</v>
      </c>
      <c r="AM876" s="82">
        <f t="shared" si="421"/>
        <v>0</v>
      </c>
      <c r="AN876" s="82">
        <f t="shared" si="413"/>
        <v>0</v>
      </c>
      <c r="AO876" s="48">
        <v>0</v>
      </c>
      <c r="AP876" s="91">
        <f t="shared" si="422"/>
        <v>-448.62277944137662</v>
      </c>
      <c r="AQ876" s="91">
        <f t="shared" si="423"/>
        <v>-448.62277944137662</v>
      </c>
    </row>
    <row r="877" spans="1:43">
      <c r="A877" s="190">
        <f t="shared" si="414"/>
        <v>81.304243668720048</v>
      </c>
      <c r="B877" s="82">
        <f t="shared" si="415"/>
        <v>16</v>
      </c>
      <c r="C877" s="83">
        <f t="shared" si="416"/>
        <v>187</v>
      </c>
      <c r="D877" s="14">
        <f t="shared" si="402"/>
        <v>2.6283369587845051E-3</v>
      </c>
      <c r="E877" s="16">
        <f t="shared" si="403"/>
        <v>0</v>
      </c>
      <c r="F877" s="127"/>
      <c r="G877" s="88">
        <f t="shared" si="404"/>
        <v>0</v>
      </c>
      <c r="H877" s="89">
        <f t="shared" si="417"/>
        <v>4.1666666666666666E-3</v>
      </c>
      <c r="I877" s="219"/>
      <c r="J877" s="219"/>
      <c r="K877" s="6">
        <f t="shared" si="426"/>
        <v>49857.710755474858</v>
      </c>
      <c r="M877" s="6">
        <f t="shared" si="405"/>
        <v>131.0428638590023</v>
      </c>
      <c r="N877" s="6">
        <f t="shared" si="406"/>
        <v>-56.407928901656724</v>
      </c>
      <c r="O877" s="90">
        <f t="shared" si="407"/>
        <v>448.62277944137639</v>
      </c>
      <c r="P877" s="91">
        <f t="shared" si="408"/>
        <v>0</v>
      </c>
      <c r="Q877" s="6">
        <f t="shared" si="409"/>
        <v>208.05144037680083</v>
      </c>
      <c r="R877" s="87">
        <f t="shared" si="428"/>
        <v>-448.62277944137662</v>
      </c>
      <c r="S877" s="6">
        <f t="shared" si="410"/>
        <v>-10.359942139001152</v>
      </c>
      <c r="T877" s="83">
        <f t="shared" si="418"/>
        <v>0</v>
      </c>
      <c r="U877" s="91">
        <f t="shared" si="424"/>
        <v>71548.293321986435</v>
      </c>
      <c r="V877" s="91">
        <f t="shared" si="419"/>
        <v>188.05302367613155</v>
      </c>
      <c r="W877" s="1">
        <f t="shared" si="433"/>
        <v>0</v>
      </c>
      <c r="X877" s="1">
        <f t="shared" si="433"/>
        <v>0</v>
      </c>
      <c r="Y877" s="1">
        <f t="shared" si="433"/>
        <v>0</v>
      </c>
      <c r="Z877" s="1">
        <f t="shared" si="433"/>
        <v>0</v>
      </c>
      <c r="AA877" s="1">
        <f t="shared" si="433"/>
        <v>0</v>
      </c>
      <c r="AB877" s="1">
        <f t="shared" si="433"/>
        <v>0</v>
      </c>
      <c r="AC877" s="1">
        <f t="shared" si="433"/>
        <v>0</v>
      </c>
      <c r="AD877" s="1">
        <f t="shared" si="433"/>
        <v>1</v>
      </c>
      <c r="AE877" s="1">
        <f t="shared" si="433"/>
        <v>1</v>
      </c>
      <c r="AF877" s="1">
        <f t="shared" si="433"/>
        <v>1</v>
      </c>
      <c r="AG877" s="1">
        <f t="shared" si="433"/>
        <v>1</v>
      </c>
      <c r="AH877" s="1">
        <f t="shared" si="433"/>
        <v>1</v>
      </c>
      <c r="AI877" s="44">
        <f t="shared" si="420"/>
        <v>49483.722910990822</v>
      </c>
      <c r="AJ877" s="44">
        <f t="shared" si="411"/>
        <v>49932.345690432201</v>
      </c>
      <c r="AK877" s="44" t="str">
        <f t="shared" si="429"/>
        <v>N</v>
      </c>
      <c r="AL877" s="4">
        <f t="shared" si="412"/>
        <v>187</v>
      </c>
      <c r="AM877" s="82">
        <f t="shared" si="421"/>
        <v>0</v>
      </c>
      <c r="AN877" s="82">
        <f t="shared" si="413"/>
        <v>0</v>
      </c>
      <c r="AO877" s="48">
        <v>0</v>
      </c>
      <c r="AP877" s="91">
        <f t="shared" si="422"/>
        <v>-448.62277944137662</v>
      </c>
      <c r="AQ877" s="91">
        <f t="shared" si="423"/>
        <v>-448.62277944137662</v>
      </c>
    </row>
    <row r="878" spans="1:43">
      <c r="A878" s="190">
        <f t="shared" si="414"/>
        <v>81.387577002053376</v>
      </c>
      <c r="B878" s="82">
        <f t="shared" si="415"/>
        <v>16</v>
      </c>
      <c r="C878" s="83">
        <f t="shared" si="416"/>
        <v>188</v>
      </c>
      <c r="D878" s="14">
        <f t="shared" si="402"/>
        <v>2.6283369587845051E-3</v>
      </c>
      <c r="E878" s="16">
        <f t="shared" si="403"/>
        <v>0</v>
      </c>
      <c r="F878" s="127"/>
      <c r="G878" s="88">
        <f t="shared" si="404"/>
        <v>0</v>
      </c>
      <c r="H878" s="89">
        <f t="shared" si="417"/>
        <v>4.1666666666666666E-3</v>
      </c>
      <c r="I878" s="219"/>
      <c r="J878" s="219"/>
      <c r="K878" s="6">
        <f t="shared" si="426"/>
        <v>49483.722910990822</v>
      </c>
      <c r="M878" s="6">
        <f t="shared" si="405"/>
        <v>130.05989778520876</v>
      </c>
      <c r="N878" s="6">
        <f t="shared" si="406"/>
        <v>-55.984807193457897</v>
      </c>
      <c r="O878" s="90">
        <f t="shared" si="407"/>
        <v>448.62277944137639</v>
      </c>
      <c r="P878" s="91">
        <f t="shared" si="408"/>
        <v>0</v>
      </c>
      <c r="Q878" s="6">
        <f t="shared" si="409"/>
        <v>206.49082500659404</v>
      </c>
      <c r="R878" s="87">
        <f t="shared" si="428"/>
        <v>-448.62277944137662</v>
      </c>
      <c r="S878" s="6">
        <f t="shared" si="410"/>
        <v>-10.281880201216364</v>
      </c>
      <c r="T878" s="83">
        <f t="shared" si="418"/>
        <v>0</v>
      </c>
      <c r="U878" s="91">
        <f t="shared" si="424"/>
        <v>71287.72356622119</v>
      </c>
      <c r="V878" s="91">
        <f t="shared" si="419"/>
        <v>187.3681585567123</v>
      </c>
      <c r="W878" s="1">
        <f t="shared" si="433"/>
        <v>0</v>
      </c>
      <c r="X878" s="1">
        <f t="shared" si="433"/>
        <v>0</v>
      </c>
      <c r="Y878" s="1">
        <f t="shared" si="433"/>
        <v>0</v>
      </c>
      <c r="Z878" s="1">
        <f t="shared" si="433"/>
        <v>0</v>
      </c>
      <c r="AA878" s="1">
        <f t="shared" si="433"/>
        <v>0</v>
      </c>
      <c r="AB878" s="1">
        <f t="shared" si="433"/>
        <v>0</v>
      </c>
      <c r="AC878" s="1">
        <f t="shared" si="433"/>
        <v>0</v>
      </c>
      <c r="AD878" s="1">
        <f t="shared" si="433"/>
        <v>1</v>
      </c>
      <c r="AE878" s="1">
        <f t="shared" si="433"/>
        <v>1</v>
      </c>
      <c r="AF878" s="1">
        <f t="shared" si="433"/>
        <v>1</v>
      </c>
      <c r="AG878" s="1">
        <f t="shared" si="433"/>
        <v>1</v>
      </c>
      <c r="AH878" s="1">
        <f t="shared" si="433"/>
        <v>1</v>
      </c>
      <c r="AI878" s="44">
        <f t="shared" si="420"/>
        <v>49109.175222141188</v>
      </c>
      <c r="AJ878" s="44">
        <f t="shared" si="411"/>
        <v>49557.798001582567</v>
      </c>
      <c r="AK878" s="44" t="str">
        <f t="shared" si="429"/>
        <v>N</v>
      </c>
      <c r="AL878" s="4">
        <f t="shared" si="412"/>
        <v>188</v>
      </c>
      <c r="AM878" s="82">
        <f t="shared" si="421"/>
        <v>0</v>
      </c>
      <c r="AN878" s="82">
        <f t="shared" si="413"/>
        <v>0</v>
      </c>
      <c r="AO878" s="48">
        <v>0</v>
      </c>
      <c r="AP878" s="91">
        <f t="shared" si="422"/>
        <v>-448.62277944137662</v>
      </c>
      <c r="AQ878" s="91">
        <f t="shared" si="423"/>
        <v>-448.62277944137662</v>
      </c>
    </row>
    <row r="879" spans="1:43">
      <c r="A879" s="190">
        <f t="shared" si="414"/>
        <v>81.470910335386719</v>
      </c>
      <c r="B879" s="82">
        <f t="shared" si="415"/>
        <v>16</v>
      </c>
      <c r="C879" s="83">
        <f t="shared" si="416"/>
        <v>189</v>
      </c>
      <c r="D879" s="14">
        <f t="shared" si="402"/>
        <v>2.6283369587845051E-3</v>
      </c>
      <c r="E879" s="16">
        <f t="shared" si="403"/>
        <v>0</v>
      </c>
      <c r="F879" s="127"/>
      <c r="G879" s="88">
        <f t="shared" si="404"/>
        <v>0</v>
      </c>
      <c r="H879" s="89">
        <f t="shared" si="417"/>
        <v>4.1666666666666666E-3</v>
      </c>
      <c r="I879" s="219"/>
      <c r="J879" s="219"/>
      <c r="K879" s="6">
        <f t="shared" si="426"/>
        <v>49109.175222141188</v>
      </c>
      <c r="M879" s="6">
        <f t="shared" si="405"/>
        <v>129.07546025177794</v>
      </c>
      <c r="N879" s="6">
        <f t="shared" si="406"/>
        <v>-55.561052089527664</v>
      </c>
      <c r="O879" s="90">
        <f t="shared" si="407"/>
        <v>448.62277944137639</v>
      </c>
      <c r="P879" s="91">
        <f t="shared" si="408"/>
        <v>0</v>
      </c>
      <c r="Q879" s="6">
        <f t="shared" si="409"/>
        <v>204.92787345959766</v>
      </c>
      <c r="R879" s="87">
        <f t="shared" si="428"/>
        <v>-448.62277944137662</v>
      </c>
      <c r="S879" s="6">
        <f t="shared" si="410"/>
        <v>-10.20370140793298</v>
      </c>
      <c r="T879" s="83">
        <f t="shared" si="418"/>
        <v>0</v>
      </c>
      <c r="U879" s="91">
        <f t="shared" si="424"/>
        <v>71026.468945336528</v>
      </c>
      <c r="V879" s="91">
        <f t="shared" si="419"/>
        <v>186.68149338098792</v>
      </c>
      <c r="W879" s="1">
        <f t="shared" si="433"/>
        <v>0</v>
      </c>
      <c r="X879" s="1">
        <f t="shared" si="433"/>
        <v>0</v>
      </c>
      <c r="Y879" s="1">
        <f t="shared" si="433"/>
        <v>0</v>
      </c>
      <c r="Z879" s="1">
        <f t="shared" si="433"/>
        <v>0</v>
      </c>
      <c r="AA879" s="1">
        <f t="shared" si="433"/>
        <v>0</v>
      </c>
      <c r="AB879" s="1">
        <f t="shared" si="433"/>
        <v>0</v>
      </c>
      <c r="AC879" s="1">
        <f t="shared" si="433"/>
        <v>0</v>
      </c>
      <c r="AD879" s="1">
        <f t="shared" si="433"/>
        <v>1</v>
      </c>
      <c r="AE879" s="1">
        <f t="shared" si="433"/>
        <v>1</v>
      </c>
      <c r="AF879" s="1">
        <f t="shared" si="433"/>
        <v>1</v>
      </c>
      <c r="AG879" s="1">
        <f t="shared" si="433"/>
        <v>1</v>
      </c>
      <c r="AH879" s="1">
        <f t="shared" si="433"/>
        <v>1</v>
      </c>
      <c r="AI879" s="44">
        <f t="shared" si="420"/>
        <v>48734.066850862058</v>
      </c>
      <c r="AJ879" s="44">
        <f t="shared" si="411"/>
        <v>49182.689630303437</v>
      </c>
      <c r="AK879" s="44" t="str">
        <f t="shared" si="429"/>
        <v>N</v>
      </c>
      <c r="AL879" s="4">
        <f t="shared" si="412"/>
        <v>189</v>
      </c>
      <c r="AM879" s="82">
        <f t="shared" si="421"/>
        <v>0</v>
      </c>
      <c r="AN879" s="82">
        <f t="shared" si="413"/>
        <v>0</v>
      </c>
      <c r="AO879" s="48">
        <v>0</v>
      </c>
      <c r="AP879" s="91">
        <f t="shared" si="422"/>
        <v>-448.62277944137662</v>
      </c>
      <c r="AQ879" s="91">
        <f t="shared" si="423"/>
        <v>-448.62277944137662</v>
      </c>
    </row>
    <row r="880" spans="1:43">
      <c r="A880" s="190">
        <f t="shared" si="414"/>
        <v>81.554243668720048</v>
      </c>
      <c r="B880" s="82">
        <f t="shared" si="415"/>
        <v>16</v>
      </c>
      <c r="C880" s="83">
        <f t="shared" si="416"/>
        <v>190</v>
      </c>
      <c r="D880" s="14">
        <f t="shared" si="402"/>
        <v>2.6283369587845051E-3</v>
      </c>
      <c r="E880" s="16">
        <f t="shared" si="403"/>
        <v>0</v>
      </c>
      <c r="F880" s="127"/>
      <c r="G880" s="88">
        <f t="shared" si="404"/>
        <v>0</v>
      </c>
      <c r="H880" s="89">
        <f t="shared" si="417"/>
        <v>4.1666666666666666E-3</v>
      </c>
      <c r="I880" s="219"/>
      <c r="J880" s="219"/>
      <c r="K880" s="6">
        <f t="shared" si="426"/>
        <v>48734.066850862058</v>
      </c>
      <c r="M880" s="6">
        <f t="shared" si="405"/>
        <v>128.08954905599555</v>
      </c>
      <c r="N880" s="6">
        <f t="shared" si="406"/>
        <v>-55.136662641698756</v>
      </c>
      <c r="O880" s="90">
        <f t="shared" si="407"/>
        <v>448.62277944137639</v>
      </c>
      <c r="P880" s="91">
        <f t="shared" si="408"/>
        <v>0</v>
      </c>
      <c r="Q880" s="6">
        <f t="shared" si="409"/>
        <v>203.36258223865147</v>
      </c>
      <c r="R880" s="87">
        <f t="shared" si="428"/>
        <v>-448.62277944137662</v>
      </c>
      <c r="S880" s="6">
        <f t="shared" si="410"/>
        <v>-10.125405584223143</v>
      </c>
      <c r="T880" s="83">
        <f t="shared" si="418"/>
        <v>0</v>
      </c>
      <c r="U880" s="91">
        <f t="shared" si="424"/>
        <v>70764.527659276151</v>
      </c>
      <c r="V880" s="91">
        <f t="shared" si="419"/>
        <v>185.99302341780387</v>
      </c>
      <c r="W880" s="1">
        <f t="shared" si="433"/>
        <v>0</v>
      </c>
      <c r="X880" s="1">
        <f t="shared" si="433"/>
        <v>0</v>
      </c>
      <c r="Y880" s="1">
        <f t="shared" si="433"/>
        <v>0</v>
      </c>
      <c r="Z880" s="1">
        <f t="shared" si="433"/>
        <v>0</v>
      </c>
      <c r="AA880" s="1">
        <f t="shared" si="433"/>
        <v>0</v>
      </c>
      <c r="AB880" s="1">
        <f t="shared" si="433"/>
        <v>0</v>
      </c>
      <c r="AC880" s="1">
        <f t="shared" si="433"/>
        <v>0</v>
      </c>
      <c r="AD880" s="1">
        <f t="shared" si="433"/>
        <v>1</v>
      </c>
      <c r="AE880" s="1">
        <f t="shared" si="433"/>
        <v>1</v>
      </c>
      <c r="AF880" s="1">
        <f t="shared" si="433"/>
        <v>1</v>
      </c>
      <c r="AG880" s="1">
        <f t="shared" si="433"/>
        <v>1</v>
      </c>
      <c r="AH880" s="1">
        <f t="shared" si="433"/>
        <v>1</v>
      </c>
      <c r="AI880" s="44">
        <f t="shared" si="420"/>
        <v>48358.396957834972</v>
      </c>
      <c r="AJ880" s="44">
        <f t="shared" si="411"/>
        <v>48807.01973727635</v>
      </c>
      <c r="AK880" s="44" t="str">
        <f t="shared" si="429"/>
        <v>N</v>
      </c>
      <c r="AL880" s="4">
        <f t="shared" si="412"/>
        <v>190</v>
      </c>
      <c r="AM880" s="82">
        <f t="shared" si="421"/>
        <v>0</v>
      </c>
      <c r="AN880" s="82">
        <f t="shared" si="413"/>
        <v>0</v>
      </c>
      <c r="AO880" s="48">
        <v>0</v>
      </c>
      <c r="AP880" s="91">
        <f t="shared" si="422"/>
        <v>-448.62277944137662</v>
      </c>
      <c r="AQ880" s="91">
        <f t="shared" si="423"/>
        <v>-448.62277944137662</v>
      </c>
    </row>
    <row r="881" spans="1:43">
      <c r="A881" s="190">
        <f t="shared" si="414"/>
        <v>81.637577002053376</v>
      </c>
      <c r="B881" s="82">
        <f t="shared" si="415"/>
        <v>16</v>
      </c>
      <c r="C881" s="83">
        <f t="shared" si="416"/>
        <v>191</v>
      </c>
      <c r="D881" s="14">
        <f t="shared" si="402"/>
        <v>2.6283369587845051E-3</v>
      </c>
      <c r="E881" s="16">
        <f t="shared" si="403"/>
        <v>0</v>
      </c>
      <c r="F881" s="127"/>
      <c r="G881" s="88">
        <f t="shared" si="404"/>
        <v>0</v>
      </c>
      <c r="H881" s="89">
        <f t="shared" si="417"/>
        <v>4.1666666666666666E-3</v>
      </c>
      <c r="I881" s="219"/>
      <c r="J881" s="219"/>
      <c r="K881" s="6">
        <f t="shared" si="426"/>
        <v>48358.396957834972</v>
      </c>
      <c r="M881" s="6">
        <f t="shared" si="405"/>
        <v>127.10216199184984</v>
      </c>
      <c r="N881" s="6">
        <f t="shared" si="406"/>
        <v>-54.711637900384531</v>
      </c>
      <c r="O881" s="90">
        <f t="shared" si="407"/>
        <v>448.62277944137639</v>
      </c>
      <c r="P881" s="91">
        <f t="shared" si="408"/>
        <v>0</v>
      </c>
      <c r="Q881" s="6">
        <f t="shared" si="409"/>
        <v>201.79494784136014</v>
      </c>
      <c r="R881" s="87">
        <f t="shared" si="428"/>
        <v>-448.62277944137662</v>
      </c>
      <c r="S881" s="6">
        <f t="shared" si="410"/>
        <v>-10.046992554897134</v>
      </c>
      <c r="T881" s="83">
        <f t="shared" si="418"/>
        <v>0</v>
      </c>
      <c r="U881" s="91">
        <f t="shared" si="424"/>
        <v>70501.897903252582</v>
      </c>
      <c r="V881" s="91">
        <f t="shared" si="419"/>
        <v>185.30274392357057</v>
      </c>
      <c r="W881" s="1">
        <f t="shared" ref="W881:AH890" si="434">IF($B881&lt;=W$78,1,0)</f>
        <v>0</v>
      </c>
      <c r="X881" s="1">
        <f t="shared" si="434"/>
        <v>0</v>
      </c>
      <c r="Y881" s="1">
        <f t="shared" si="434"/>
        <v>0</v>
      </c>
      <c r="Z881" s="1">
        <f t="shared" si="434"/>
        <v>0</v>
      </c>
      <c r="AA881" s="1">
        <f t="shared" si="434"/>
        <v>0</v>
      </c>
      <c r="AB881" s="1">
        <f t="shared" si="434"/>
        <v>0</v>
      </c>
      <c r="AC881" s="1">
        <f t="shared" si="434"/>
        <v>0</v>
      </c>
      <c r="AD881" s="1">
        <f t="shared" si="434"/>
        <v>1</v>
      </c>
      <c r="AE881" s="1">
        <f t="shared" si="434"/>
        <v>1</v>
      </c>
      <c r="AF881" s="1">
        <f t="shared" si="434"/>
        <v>1</v>
      </c>
      <c r="AG881" s="1">
        <f t="shared" si="434"/>
        <v>1</v>
      </c>
      <c r="AH881" s="1">
        <f t="shared" si="434"/>
        <v>1</v>
      </c>
      <c r="AI881" s="44">
        <f t="shared" si="420"/>
        <v>47982.164702485054</v>
      </c>
      <c r="AJ881" s="44">
        <f t="shared" si="411"/>
        <v>48430.787481926433</v>
      </c>
      <c r="AK881" s="44" t="str">
        <f t="shared" si="429"/>
        <v>N</v>
      </c>
      <c r="AL881" s="4">
        <f t="shared" si="412"/>
        <v>191</v>
      </c>
      <c r="AM881" s="82">
        <f t="shared" si="421"/>
        <v>0</v>
      </c>
      <c r="AN881" s="82">
        <f t="shared" si="413"/>
        <v>0</v>
      </c>
      <c r="AO881" s="48">
        <v>0</v>
      </c>
      <c r="AP881" s="91">
        <f t="shared" si="422"/>
        <v>-448.62277944137662</v>
      </c>
      <c r="AQ881" s="91">
        <f t="shared" si="423"/>
        <v>-448.62277944137662</v>
      </c>
    </row>
    <row r="882" spans="1:43">
      <c r="A882" s="190">
        <f t="shared" si="414"/>
        <v>81.720910335386719</v>
      </c>
      <c r="B882" s="82">
        <f t="shared" si="415"/>
        <v>16</v>
      </c>
      <c r="C882" s="83">
        <f t="shared" si="416"/>
        <v>192</v>
      </c>
      <c r="D882" s="14">
        <f t="shared" si="402"/>
        <v>2.6283369587845051E-3</v>
      </c>
      <c r="E882" s="16">
        <f t="shared" si="403"/>
        <v>0</v>
      </c>
      <c r="F882" s="127"/>
      <c r="G882" s="88">
        <f t="shared" si="404"/>
        <v>0</v>
      </c>
      <c r="H882" s="89">
        <f t="shared" si="417"/>
        <v>4.1666666666666666E-3</v>
      </c>
      <c r="I882" s="219"/>
      <c r="J882" s="219"/>
      <c r="K882" s="6">
        <f t="shared" si="426"/>
        <v>47982.164702485054</v>
      </c>
      <c r="M882" s="6">
        <f t="shared" si="405"/>
        <v>126.1132968500268</v>
      </c>
      <c r="N882" s="6">
        <f t="shared" si="406"/>
        <v>-54.285976914576885</v>
      </c>
      <c r="O882" s="90">
        <f t="shared" si="407"/>
        <v>448.62277944137639</v>
      </c>
      <c r="P882" s="91">
        <f t="shared" si="408"/>
        <v>0</v>
      </c>
      <c r="Q882" s="6">
        <f t="shared" si="409"/>
        <v>200.22496676008541</v>
      </c>
      <c r="R882" s="87">
        <f t="shared" si="428"/>
        <v>-448.62277944137662</v>
      </c>
      <c r="S882" s="6">
        <f t="shared" si="410"/>
        <v>-9.9684621445029826</v>
      </c>
      <c r="T882" s="83">
        <f t="shared" si="418"/>
        <v>0</v>
      </c>
      <c r="U882" s="91">
        <f t="shared" si="424"/>
        <v>70238.577867734784</v>
      </c>
      <c r="V882" s="91">
        <f t="shared" si="419"/>
        <v>184.6106501422307</v>
      </c>
      <c r="W882" s="1">
        <f t="shared" si="434"/>
        <v>0</v>
      </c>
      <c r="X882" s="1">
        <f t="shared" si="434"/>
        <v>0</v>
      </c>
      <c r="Y882" s="1">
        <f t="shared" si="434"/>
        <v>0</v>
      </c>
      <c r="Z882" s="1">
        <f t="shared" si="434"/>
        <v>0</v>
      </c>
      <c r="AA882" s="1">
        <f t="shared" si="434"/>
        <v>0</v>
      </c>
      <c r="AB882" s="1">
        <f t="shared" si="434"/>
        <v>0</v>
      </c>
      <c r="AC882" s="1">
        <f t="shared" si="434"/>
        <v>0</v>
      </c>
      <c r="AD882" s="1">
        <f t="shared" si="434"/>
        <v>1</v>
      </c>
      <c r="AE882" s="1">
        <f t="shared" si="434"/>
        <v>1</v>
      </c>
      <c r="AF882" s="1">
        <f t="shared" si="434"/>
        <v>1</v>
      </c>
      <c r="AG882" s="1">
        <f t="shared" si="434"/>
        <v>1</v>
      </c>
      <c r="AH882" s="1">
        <f t="shared" si="434"/>
        <v>1</v>
      </c>
      <c r="AI882" s="44">
        <f t="shared" si="420"/>
        <v>47605.369242979119</v>
      </c>
      <c r="AJ882" s="44">
        <f t="shared" si="411"/>
        <v>48053.992022420498</v>
      </c>
      <c r="AK882" s="44" t="str">
        <f t="shared" si="429"/>
        <v>N</v>
      </c>
      <c r="AL882" s="4">
        <f t="shared" si="412"/>
        <v>192</v>
      </c>
      <c r="AM882" s="82">
        <f t="shared" si="421"/>
        <v>0</v>
      </c>
      <c r="AN882" s="82">
        <f t="shared" si="413"/>
        <v>0</v>
      </c>
      <c r="AO882" s="48">
        <v>0</v>
      </c>
      <c r="AP882" s="91">
        <f t="shared" si="422"/>
        <v>-448.62277944137662</v>
      </c>
      <c r="AQ882" s="91">
        <f t="shared" si="423"/>
        <v>-448.62277944137662</v>
      </c>
    </row>
    <row r="883" spans="1:43">
      <c r="A883" s="190">
        <f t="shared" si="414"/>
        <v>81.804243668720048</v>
      </c>
      <c r="B883" s="82">
        <f t="shared" si="415"/>
        <v>17</v>
      </c>
      <c r="C883" s="83">
        <f t="shared" si="416"/>
        <v>193</v>
      </c>
      <c r="D883" s="14">
        <f t="shared" ref="D883:D946" si="435">Growth_Rate_2_Monthly</f>
        <v>2.6283369587845051E-3</v>
      </c>
      <c r="E883" s="16">
        <f t="shared" ref="E883:E946" si="436">IF(Gtee_Flag="on",1,0)</f>
        <v>0</v>
      </c>
      <c r="F883" s="127"/>
      <c r="G883" s="88">
        <f t="shared" ref="G883:G946" si="437">IF(B883&lt;=8,VLOOKUP(Product_Code,Product_Parameters,B883+5,FALSE),0)</f>
        <v>0</v>
      </c>
      <c r="H883" s="89">
        <f t="shared" si="417"/>
        <v>4.1666666666666666E-3</v>
      </c>
      <c r="I883" s="219"/>
      <c r="J883" s="219"/>
      <c r="K883" s="6">
        <f t="shared" si="426"/>
        <v>47605.369242979119</v>
      </c>
      <c r="M883" s="6">
        <f t="shared" ref="M883:M946" si="438">(K883+L883)*D883</f>
        <v>125.12295141790516</v>
      </c>
      <c r="N883" s="6">
        <f t="shared" ref="N883:N946" si="439">-(($K883+(L883)+M883/2)*(External_Fund_Charge_Monthly+Fund_Charge_Monthly+Gtee_Charge_Monthly*$E883))</f>
        <v>-53.859678731844056</v>
      </c>
      <c r="O883" s="90">
        <f t="shared" ref="O883:O946" si="440">IF(C883&gt;=Regular_Income_Start_Month,
MIN(Regular_Income_Amount/12*(1+Income_Escalation_Rate_Annual)^($B883-1),AJ883),0)</f>
        <v>457.59523503020398</v>
      </c>
      <c r="P883" s="91">
        <f t="shared" ref="P883:P946" si="441">MAX(IF(C883&gt;=Regular_Income_Start_Month,
MIN(IF(Income_Type="Fixed Percent",$C$51,0)/12*(K883+L883+M883+N883),AJ883),0),0)</f>
        <v>0</v>
      </c>
      <c r="Q883" s="6">
        <f t="shared" ref="Q883:Q946" si="442">MAX(IF(C883&gt;=Regular_Income_Start_Month,
MIN(H883*(K883+L883+M883+N883),AJ883),0),0)</f>
        <v>198.65263548193826</v>
      </c>
      <c r="R883" s="87">
        <f t="shared" si="428"/>
        <v>-458.28023620827219</v>
      </c>
      <c r="S883" s="6">
        <f t="shared" ref="S883:S946" si="443">-(($K883+I883+M883/2+N883/2+R883/2)*(Ongoing_Commission_Monthly)+(I883)*new_upfront_commission)</f>
        <v>-9.8888070377104871</v>
      </c>
      <c r="T883" s="83">
        <f t="shared" si="418"/>
        <v>0</v>
      </c>
      <c r="U883" s="91">
        <f t="shared" si="424"/>
        <v>69974.565738435645</v>
      </c>
      <c r="V883" s="91">
        <f t="shared" si="419"/>
        <v>183.91673730522638</v>
      </c>
      <c r="W883" s="1">
        <f t="shared" si="434"/>
        <v>0</v>
      </c>
      <c r="X883" s="1">
        <f t="shared" si="434"/>
        <v>0</v>
      </c>
      <c r="Y883" s="1">
        <f t="shared" si="434"/>
        <v>0</v>
      </c>
      <c r="Z883" s="1">
        <f t="shared" si="434"/>
        <v>0</v>
      </c>
      <c r="AA883" s="1">
        <f t="shared" si="434"/>
        <v>0</v>
      </c>
      <c r="AB883" s="1">
        <f t="shared" si="434"/>
        <v>0</v>
      </c>
      <c r="AC883" s="1">
        <f t="shared" si="434"/>
        <v>0</v>
      </c>
      <c r="AD883" s="1">
        <f t="shared" si="434"/>
        <v>1</v>
      </c>
      <c r="AE883" s="1">
        <f t="shared" si="434"/>
        <v>1</v>
      </c>
      <c r="AF883" s="1">
        <f t="shared" si="434"/>
        <v>1</v>
      </c>
      <c r="AG883" s="1">
        <f t="shared" si="434"/>
        <v>1</v>
      </c>
      <c r="AH883" s="1">
        <f t="shared" si="434"/>
        <v>1</v>
      </c>
      <c r="AI883" s="44">
        <f t="shared" si="420"/>
        <v>47218.352279456907</v>
      </c>
      <c r="AJ883" s="44">
        <f t="shared" ref="AJ883:AJ946" si="444">MAX(0,SUM(K883:N883)-$C$66)</f>
        <v>47676.63251566518</v>
      </c>
      <c r="AK883" s="44" t="str">
        <f t="shared" si="429"/>
        <v>N</v>
      </c>
      <c r="AL883" s="4">
        <f t="shared" ref="AL883:AL946" si="445">C883</f>
        <v>193</v>
      </c>
      <c r="AM883" s="82">
        <f t="shared" si="421"/>
        <v>0</v>
      </c>
      <c r="AN883" s="82">
        <f t="shared" ref="AN883:AN946" si="446">IF(AND(B883=Fund_Zero_Year_2,K884=0,K883&gt;0),-U883,IF(AND(B883+1=Fund_Zero_Year_2,K884=0,K883&gt;0),-U883,0))</f>
        <v>0</v>
      </c>
      <c r="AO883" s="48">
        <v>0</v>
      </c>
      <c r="AP883" s="91">
        <f t="shared" si="422"/>
        <v>-458.28023620827219</v>
      </c>
      <c r="AQ883" s="91">
        <f t="shared" si="423"/>
        <v>-458.28023620827219</v>
      </c>
    </row>
    <row r="884" spans="1:43">
      <c r="A884" s="190">
        <f t="shared" ref="A884:A947" si="447">$C$43+C883/12</f>
        <v>81.887577002053376</v>
      </c>
      <c r="B884" s="82">
        <f t="shared" ref="B884:B947" si="448">INT((C884-1)/12)+1</f>
        <v>17</v>
      </c>
      <c r="C884" s="83">
        <f t="shared" ref="C884:C947" si="449">C883+1</f>
        <v>194</v>
      </c>
      <c r="D884" s="14">
        <f t="shared" si="435"/>
        <v>2.6283369587845051E-3</v>
      </c>
      <c r="E884" s="16">
        <f t="shared" si="436"/>
        <v>0</v>
      </c>
      <c r="F884" s="127"/>
      <c r="G884" s="88">
        <f t="shared" si="437"/>
        <v>0</v>
      </c>
      <c r="H884" s="89">
        <f t="shared" ref="H884:H947" si="450">IF((K883+L883+M883+N883+R883)&gt;=2000000,VLOOKUP("&gt;=2000000",Default_IncomeRate_table,3,FALSE),
IF($A884&lt;71,VLOOKUP("&lt;71",Default_IncomeRate_table,3,FALSE),
IF($A884&gt;=71,VLOOKUP("&gt;=71",Default_IncomeRate_table,3,FALSE),"")))</f>
        <v>4.1666666666666666E-3</v>
      </c>
      <c r="I884" s="219"/>
      <c r="J884" s="219"/>
      <c r="K884" s="6">
        <f t="shared" si="426"/>
        <v>47218.352279456907</v>
      </c>
      <c r="M884" s="6">
        <f t="shared" si="438"/>
        <v>124.10574042900318</v>
      </c>
      <c r="N884" s="6">
        <f t="shared" si="439"/>
        <v>-53.421816161916524</v>
      </c>
      <c r="O884" s="90">
        <f t="shared" si="440"/>
        <v>457.59523503020398</v>
      </c>
      <c r="P884" s="91">
        <f t="shared" si="441"/>
        <v>0</v>
      </c>
      <c r="Q884" s="6">
        <f t="shared" si="442"/>
        <v>197.03765084884998</v>
      </c>
      <c r="R884" s="87">
        <f t="shared" si="428"/>
        <v>-457.59523503020415</v>
      </c>
      <c r="S884" s="6">
        <f t="shared" si="443"/>
        <v>-9.8080969870758974</v>
      </c>
      <c r="T884" s="83">
        <f t="shared" ref="T884:T947" si="451">SUM(K884:N884,R884)*$G884</f>
        <v>0</v>
      </c>
      <c r="U884" s="91">
        <f t="shared" si="424"/>
        <v>69700.202239532606</v>
      </c>
      <c r="V884" s="91">
        <f t="shared" ref="V884:V947" si="452">U884*D884</f>
        <v>183.19561758091808</v>
      </c>
      <c r="W884" s="1">
        <f t="shared" si="434"/>
        <v>0</v>
      </c>
      <c r="X884" s="1">
        <f t="shared" si="434"/>
        <v>0</v>
      </c>
      <c r="Y884" s="1">
        <f t="shared" si="434"/>
        <v>0</v>
      </c>
      <c r="Z884" s="1">
        <f t="shared" si="434"/>
        <v>0</v>
      </c>
      <c r="AA884" s="1">
        <f t="shared" si="434"/>
        <v>0</v>
      </c>
      <c r="AB884" s="1">
        <f t="shared" si="434"/>
        <v>0</v>
      </c>
      <c r="AC884" s="1">
        <f t="shared" si="434"/>
        <v>0</v>
      </c>
      <c r="AD884" s="1">
        <f t="shared" si="434"/>
        <v>1</v>
      </c>
      <c r="AE884" s="1">
        <f t="shared" si="434"/>
        <v>1</v>
      </c>
      <c r="AF884" s="1">
        <f t="shared" si="434"/>
        <v>1</v>
      </c>
      <c r="AG884" s="1">
        <f t="shared" si="434"/>
        <v>1</v>
      </c>
      <c r="AH884" s="1">
        <f t="shared" si="434"/>
        <v>1</v>
      </c>
      <c r="AI884" s="44">
        <f t="shared" ref="AI884:AI947" si="453">SUM(K884:N884,R884)</f>
        <v>46831.440968693794</v>
      </c>
      <c r="AJ884" s="44">
        <f t="shared" si="444"/>
        <v>47289.036203723997</v>
      </c>
      <c r="AK884" s="44" t="str">
        <f t="shared" si="429"/>
        <v>N</v>
      </c>
      <c r="AL884" s="4">
        <f t="shared" si="445"/>
        <v>194</v>
      </c>
      <c r="AM884" s="82">
        <f t="shared" ref="AM884:AM947" si="454">I884</f>
        <v>0</v>
      </c>
      <c r="AN884" s="82">
        <f t="shared" si="446"/>
        <v>0</v>
      </c>
      <c r="AO884" s="48">
        <v>0</v>
      </c>
      <c r="AP884" s="91">
        <f t="shared" ref="AP884:AP947" si="455">$R884+AN884+AM884</f>
        <v>-457.59523503020415</v>
      </c>
      <c r="AQ884" s="91">
        <f t="shared" ref="AQ884:AQ947" si="456">$R884+AO884+AM884</f>
        <v>-457.59523503020415</v>
      </c>
    </row>
    <row r="885" spans="1:43">
      <c r="A885" s="190">
        <f t="shared" si="447"/>
        <v>81.970910335386719</v>
      </c>
      <c r="B885" s="82">
        <f t="shared" si="448"/>
        <v>17</v>
      </c>
      <c r="C885" s="83">
        <f t="shared" si="449"/>
        <v>195</v>
      </c>
      <c r="D885" s="14">
        <f t="shared" si="435"/>
        <v>2.6283369587845051E-3</v>
      </c>
      <c r="E885" s="16">
        <f t="shared" si="436"/>
        <v>0</v>
      </c>
      <c r="F885" s="127"/>
      <c r="G885" s="88">
        <f t="shared" si="437"/>
        <v>0</v>
      </c>
      <c r="H885" s="89">
        <f t="shared" si="450"/>
        <v>4.1666666666666666E-3</v>
      </c>
      <c r="I885" s="219"/>
      <c r="J885" s="219"/>
      <c r="K885" s="6">
        <f t="shared" si="426"/>
        <v>46831.440968693794</v>
      </c>
      <c r="M885" s="6">
        <f t="shared" si="438"/>
        <v>123.08880713115272</v>
      </c>
      <c r="N885" s="6">
        <f t="shared" si="439"/>
        <v>-52.984073125221322</v>
      </c>
      <c r="O885" s="90">
        <f t="shared" si="440"/>
        <v>457.59523503020398</v>
      </c>
      <c r="P885" s="91">
        <f t="shared" si="441"/>
        <v>0</v>
      </c>
      <c r="Q885" s="6">
        <f t="shared" si="442"/>
        <v>195.42310709458218</v>
      </c>
      <c r="R885" s="87">
        <f t="shared" si="428"/>
        <v>-457.59523503020415</v>
      </c>
      <c r="S885" s="6">
        <f t="shared" si="443"/>
        <v>-9.7273375530074198</v>
      </c>
      <c r="T885" s="83">
        <f t="shared" si="451"/>
        <v>0</v>
      </c>
      <c r="U885" s="91">
        <f t="shared" ref="U885:U948" si="457">IF(K885=0,0,SUM(U884,R884,V884))</f>
        <v>69425.802622083313</v>
      </c>
      <c r="V885" s="91">
        <f t="shared" si="452"/>
        <v>182.47440292489978</v>
      </c>
      <c r="W885" s="1">
        <f t="shared" si="434"/>
        <v>0</v>
      </c>
      <c r="X885" s="1">
        <f t="shared" si="434"/>
        <v>0</v>
      </c>
      <c r="Y885" s="1">
        <f t="shared" si="434"/>
        <v>0</v>
      </c>
      <c r="Z885" s="1">
        <f t="shared" si="434"/>
        <v>0</v>
      </c>
      <c r="AA885" s="1">
        <f t="shared" si="434"/>
        <v>0</v>
      </c>
      <c r="AB885" s="1">
        <f t="shared" si="434"/>
        <v>0</v>
      </c>
      <c r="AC885" s="1">
        <f t="shared" si="434"/>
        <v>0</v>
      </c>
      <c r="AD885" s="1">
        <f t="shared" si="434"/>
        <v>1</v>
      </c>
      <c r="AE885" s="1">
        <f t="shared" si="434"/>
        <v>1</v>
      </c>
      <c r="AF885" s="1">
        <f t="shared" si="434"/>
        <v>1</v>
      </c>
      <c r="AG885" s="1">
        <f t="shared" si="434"/>
        <v>1</v>
      </c>
      <c r="AH885" s="1">
        <f t="shared" si="434"/>
        <v>1</v>
      </c>
      <c r="AI885" s="44">
        <f t="shared" si="453"/>
        <v>46443.950467669521</v>
      </c>
      <c r="AJ885" s="44">
        <f t="shared" si="444"/>
        <v>46901.545702699725</v>
      </c>
      <c r="AK885" s="44" t="str">
        <f t="shared" si="429"/>
        <v>N</v>
      </c>
      <c r="AL885" s="4">
        <f t="shared" si="445"/>
        <v>195</v>
      </c>
      <c r="AM885" s="82">
        <f t="shared" si="454"/>
        <v>0</v>
      </c>
      <c r="AN885" s="82">
        <f t="shared" si="446"/>
        <v>0</v>
      </c>
      <c r="AO885" s="48">
        <v>0</v>
      </c>
      <c r="AP885" s="91">
        <f t="shared" si="455"/>
        <v>-457.59523503020415</v>
      </c>
      <c r="AQ885" s="91">
        <f t="shared" si="456"/>
        <v>-457.59523503020415</v>
      </c>
    </row>
    <row r="886" spans="1:43">
      <c r="A886" s="190">
        <f t="shared" si="447"/>
        <v>82.054243668720048</v>
      </c>
      <c r="B886" s="82">
        <f t="shared" si="448"/>
        <v>17</v>
      </c>
      <c r="C886" s="83">
        <f t="shared" si="449"/>
        <v>196</v>
      </c>
      <c r="D886" s="14">
        <f t="shared" si="435"/>
        <v>2.6283369587845051E-3</v>
      </c>
      <c r="E886" s="16">
        <f t="shared" si="436"/>
        <v>0</v>
      </c>
      <c r="F886" s="127"/>
      <c r="G886" s="88">
        <f t="shared" si="437"/>
        <v>0</v>
      </c>
      <c r="H886" s="89">
        <f t="shared" si="450"/>
        <v>4.1666666666666666E-3</v>
      </c>
      <c r="I886" s="219"/>
      <c r="J886" s="219"/>
      <c r="K886" s="6">
        <f t="shared" si="426"/>
        <v>46443.950467669521</v>
      </c>
      <c r="M886" s="6">
        <f t="shared" si="438"/>
        <v>122.07035152613271</v>
      </c>
      <c r="N886" s="6">
        <f t="shared" si="439"/>
        <v>-52.545674805269485</v>
      </c>
      <c r="O886" s="90">
        <f t="shared" si="440"/>
        <v>457.59523503020398</v>
      </c>
      <c r="P886" s="91">
        <f t="shared" si="441"/>
        <v>0</v>
      </c>
      <c r="Q886" s="6">
        <f t="shared" si="442"/>
        <v>193.80614643495994</v>
      </c>
      <c r="R886" s="87">
        <f t="shared" si="428"/>
        <v>-457.59523503020415</v>
      </c>
      <c r="S886" s="6">
        <f t="shared" si="443"/>
        <v>-9.6464572253997574</v>
      </c>
      <c r="T886" s="83">
        <f t="shared" si="451"/>
        <v>0</v>
      </c>
      <c r="U886" s="91">
        <f t="shared" si="457"/>
        <v>69150.681789978</v>
      </c>
      <c r="V886" s="91">
        <f t="shared" si="452"/>
        <v>181.75129267374584</v>
      </c>
      <c r="W886" s="1">
        <f t="shared" si="434"/>
        <v>0</v>
      </c>
      <c r="X886" s="1">
        <f t="shared" si="434"/>
        <v>0</v>
      </c>
      <c r="Y886" s="1">
        <f t="shared" si="434"/>
        <v>0</v>
      </c>
      <c r="Z886" s="1">
        <f t="shared" si="434"/>
        <v>0</v>
      </c>
      <c r="AA886" s="1">
        <f t="shared" si="434"/>
        <v>0</v>
      </c>
      <c r="AB886" s="1">
        <f t="shared" si="434"/>
        <v>0</v>
      </c>
      <c r="AC886" s="1">
        <f t="shared" si="434"/>
        <v>0</v>
      </c>
      <c r="AD886" s="1">
        <f t="shared" si="434"/>
        <v>1</v>
      </c>
      <c r="AE886" s="1">
        <f t="shared" si="434"/>
        <v>1</v>
      </c>
      <c r="AF886" s="1">
        <f t="shared" si="434"/>
        <v>1</v>
      </c>
      <c r="AG886" s="1">
        <f t="shared" si="434"/>
        <v>1</v>
      </c>
      <c r="AH886" s="1">
        <f t="shared" si="434"/>
        <v>1</v>
      </c>
      <c r="AI886" s="44">
        <f t="shared" si="453"/>
        <v>46055.879909360185</v>
      </c>
      <c r="AJ886" s="44">
        <f t="shared" si="444"/>
        <v>46513.475144390388</v>
      </c>
      <c r="AK886" s="44" t="str">
        <f t="shared" si="429"/>
        <v>N</v>
      </c>
      <c r="AL886" s="4">
        <f t="shared" si="445"/>
        <v>196</v>
      </c>
      <c r="AM886" s="82">
        <f t="shared" si="454"/>
        <v>0</v>
      </c>
      <c r="AN886" s="82">
        <f t="shared" si="446"/>
        <v>0</v>
      </c>
      <c r="AO886" s="48">
        <v>0</v>
      </c>
      <c r="AP886" s="91">
        <f t="shared" si="455"/>
        <v>-457.59523503020415</v>
      </c>
      <c r="AQ886" s="91">
        <f t="shared" si="456"/>
        <v>-457.59523503020415</v>
      </c>
    </row>
    <row r="887" spans="1:43">
      <c r="A887" s="190">
        <f t="shared" si="447"/>
        <v>82.137577002053376</v>
      </c>
      <c r="B887" s="82">
        <f t="shared" si="448"/>
        <v>17</v>
      </c>
      <c r="C887" s="83">
        <f t="shared" si="449"/>
        <v>197</v>
      </c>
      <c r="D887" s="14">
        <f t="shared" si="435"/>
        <v>2.6283369587845051E-3</v>
      </c>
      <c r="E887" s="16">
        <f t="shared" si="436"/>
        <v>0</v>
      </c>
      <c r="F887" s="127"/>
      <c r="G887" s="88">
        <f t="shared" si="437"/>
        <v>0</v>
      </c>
      <c r="H887" s="89">
        <f t="shared" si="450"/>
        <v>4.1666666666666666E-3</v>
      </c>
      <c r="I887" s="219"/>
      <c r="J887" s="219"/>
      <c r="K887" s="6">
        <f t="shared" ref="K887:K950" si="458">SUM(K886:M886,N886,R886)</f>
        <v>46055.879909360185</v>
      </c>
      <c r="M887" s="6">
        <f t="shared" si="438"/>
        <v>121.05037133511213</v>
      </c>
      <c r="N887" s="6">
        <f t="shared" si="439"/>
        <v>-52.106620221129049</v>
      </c>
      <c r="O887" s="90">
        <f t="shared" si="440"/>
        <v>457.59523503020398</v>
      </c>
      <c r="P887" s="91">
        <f t="shared" si="441"/>
        <v>0</v>
      </c>
      <c r="Q887" s="6">
        <f t="shared" si="442"/>
        <v>192.18676525197571</v>
      </c>
      <c r="R887" s="87">
        <f t="shared" si="428"/>
        <v>-457.59523503020415</v>
      </c>
      <c r="S887" s="6">
        <f t="shared" si="443"/>
        <v>-9.5654558232802724</v>
      </c>
      <c r="T887" s="83">
        <f t="shared" si="451"/>
        <v>0</v>
      </c>
      <c r="U887" s="91">
        <f t="shared" si="457"/>
        <v>68874.837847621529</v>
      </c>
      <c r="V887" s="91">
        <f t="shared" si="452"/>
        <v>181.02628184519349</v>
      </c>
      <c r="W887" s="1">
        <f t="shared" si="434"/>
        <v>0</v>
      </c>
      <c r="X887" s="1">
        <f t="shared" si="434"/>
        <v>0</v>
      </c>
      <c r="Y887" s="1">
        <f t="shared" si="434"/>
        <v>0</v>
      </c>
      <c r="Z887" s="1">
        <f t="shared" si="434"/>
        <v>0</v>
      </c>
      <c r="AA887" s="1">
        <f t="shared" si="434"/>
        <v>0</v>
      </c>
      <c r="AB887" s="1">
        <f t="shared" si="434"/>
        <v>0</v>
      </c>
      <c r="AC887" s="1">
        <f t="shared" si="434"/>
        <v>0</v>
      </c>
      <c r="AD887" s="1">
        <f t="shared" si="434"/>
        <v>1</v>
      </c>
      <c r="AE887" s="1">
        <f t="shared" si="434"/>
        <v>1</v>
      </c>
      <c r="AF887" s="1">
        <f t="shared" si="434"/>
        <v>1</v>
      </c>
      <c r="AG887" s="1">
        <f t="shared" si="434"/>
        <v>1</v>
      </c>
      <c r="AH887" s="1">
        <f t="shared" si="434"/>
        <v>1</v>
      </c>
      <c r="AI887" s="44">
        <f t="shared" si="453"/>
        <v>45667.228425443966</v>
      </c>
      <c r="AJ887" s="44">
        <f t="shared" si="444"/>
        <v>46124.823660474169</v>
      </c>
      <c r="AK887" s="44" t="str">
        <f t="shared" si="429"/>
        <v>N</v>
      </c>
      <c r="AL887" s="4">
        <f t="shared" si="445"/>
        <v>197</v>
      </c>
      <c r="AM887" s="82">
        <f t="shared" si="454"/>
        <v>0</v>
      </c>
      <c r="AN887" s="82">
        <f t="shared" si="446"/>
        <v>0</v>
      </c>
      <c r="AO887" s="48">
        <v>0</v>
      </c>
      <c r="AP887" s="91">
        <f t="shared" si="455"/>
        <v>-457.59523503020415</v>
      </c>
      <c r="AQ887" s="91">
        <f t="shared" si="456"/>
        <v>-457.59523503020415</v>
      </c>
    </row>
    <row r="888" spans="1:43">
      <c r="A888" s="190">
        <f t="shared" si="447"/>
        <v>82.220910335386719</v>
      </c>
      <c r="B888" s="82">
        <f t="shared" si="448"/>
        <v>17</v>
      </c>
      <c r="C888" s="83">
        <f t="shared" si="449"/>
        <v>198</v>
      </c>
      <c r="D888" s="14">
        <f t="shared" si="435"/>
        <v>2.6283369587845051E-3</v>
      </c>
      <c r="E888" s="16">
        <f t="shared" si="436"/>
        <v>0</v>
      </c>
      <c r="F888" s="127"/>
      <c r="G888" s="88">
        <f t="shared" si="437"/>
        <v>0</v>
      </c>
      <c r="H888" s="89">
        <f t="shared" si="450"/>
        <v>4.1666666666666666E-3</v>
      </c>
      <c r="I888" s="219"/>
      <c r="J888" s="219"/>
      <c r="K888" s="6">
        <f t="shared" si="458"/>
        <v>45667.228425443966</v>
      </c>
      <c r="M888" s="6">
        <f t="shared" si="438"/>
        <v>120.02886427584869</v>
      </c>
      <c r="N888" s="6">
        <f t="shared" si="439"/>
        <v>-51.666908390399598</v>
      </c>
      <c r="O888" s="90">
        <f t="shared" si="440"/>
        <v>457.59523503020398</v>
      </c>
      <c r="P888" s="91">
        <f t="shared" si="441"/>
        <v>0</v>
      </c>
      <c r="Q888" s="6">
        <f t="shared" si="442"/>
        <v>190.5649599222059</v>
      </c>
      <c r="R888" s="87">
        <f t="shared" si="428"/>
        <v>-457.59523503020415</v>
      </c>
      <c r="S888" s="6">
        <f t="shared" si="443"/>
        <v>-9.4843331654054186</v>
      </c>
      <c r="T888" s="83">
        <f t="shared" si="451"/>
        <v>0</v>
      </c>
      <c r="U888" s="91">
        <f t="shared" si="457"/>
        <v>68598.268894436507</v>
      </c>
      <c r="V888" s="91">
        <f t="shared" si="452"/>
        <v>180.29936544388497</v>
      </c>
      <c r="W888" s="1">
        <f t="shared" si="434"/>
        <v>0</v>
      </c>
      <c r="X888" s="1">
        <f t="shared" si="434"/>
        <v>0</v>
      </c>
      <c r="Y888" s="1">
        <f t="shared" si="434"/>
        <v>0</v>
      </c>
      <c r="Z888" s="1">
        <f t="shared" si="434"/>
        <v>0</v>
      </c>
      <c r="AA888" s="1">
        <f t="shared" si="434"/>
        <v>0</v>
      </c>
      <c r="AB888" s="1">
        <f t="shared" si="434"/>
        <v>0</v>
      </c>
      <c r="AC888" s="1">
        <f t="shared" si="434"/>
        <v>0</v>
      </c>
      <c r="AD888" s="1">
        <f t="shared" si="434"/>
        <v>1</v>
      </c>
      <c r="AE888" s="1">
        <f t="shared" si="434"/>
        <v>1</v>
      </c>
      <c r="AF888" s="1">
        <f t="shared" si="434"/>
        <v>1</v>
      </c>
      <c r="AG888" s="1">
        <f t="shared" si="434"/>
        <v>1</v>
      </c>
      <c r="AH888" s="1">
        <f t="shared" si="434"/>
        <v>1</v>
      </c>
      <c r="AI888" s="44">
        <f t="shared" si="453"/>
        <v>45277.99514629921</v>
      </c>
      <c r="AJ888" s="44">
        <f t="shared" si="444"/>
        <v>45735.590381329414</v>
      </c>
      <c r="AK888" s="44" t="str">
        <f t="shared" si="429"/>
        <v>N</v>
      </c>
      <c r="AL888" s="4">
        <f t="shared" si="445"/>
        <v>198</v>
      </c>
      <c r="AM888" s="82">
        <f t="shared" si="454"/>
        <v>0</v>
      </c>
      <c r="AN888" s="82">
        <f t="shared" si="446"/>
        <v>0</v>
      </c>
      <c r="AO888" s="48">
        <v>0</v>
      </c>
      <c r="AP888" s="91">
        <f t="shared" si="455"/>
        <v>-457.59523503020415</v>
      </c>
      <c r="AQ888" s="91">
        <f t="shared" si="456"/>
        <v>-457.59523503020415</v>
      </c>
    </row>
    <row r="889" spans="1:43">
      <c r="A889" s="190">
        <f t="shared" si="447"/>
        <v>82.304243668720048</v>
      </c>
      <c r="B889" s="82">
        <f t="shared" si="448"/>
        <v>17</v>
      </c>
      <c r="C889" s="83">
        <f t="shared" si="449"/>
        <v>199</v>
      </c>
      <c r="D889" s="14">
        <f t="shared" si="435"/>
        <v>2.6283369587845051E-3</v>
      </c>
      <c r="E889" s="16">
        <f t="shared" si="436"/>
        <v>0</v>
      </c>
      <c r="F889" s="127"/>
      <c r="G889" s="88">
        <f t="shared" si="437"/>
        <v>0</v>
      </c>
      <c r="H889" s="89">
        <f t="shared" si="450"/>
        <v>4.1666666666666666E-3</v>
      </c>
      <c r="I889" s="219"/>
      <c r="J889" s="219"/>
      <c r="K889" s="6">
        <f t="shared" si="458"/>
        <v>45277.99514629921</v>
      </c>
      <c r="M889" s="6">
        <f t="shared" si="438"/>
        <v>119.00582806268365</v>
      </c>
      <c r="N889" s="6">
        <f t="shared" si="439"/>
        <v>-51.226538329210115</v>
      </c>
      <c r="O889" s="90">
        <f t="shared" si="440"/>
        <v>457.59523503020398</v>
      </c>
      <c r="P889" s="91">
        <f t="shared" si="441"/>
        <v>0</v>
      </c>
      <c r="Q889" s="6">
        <f t="shared" si="442"/>
        <v>188.94072681680285</v>
      </c>
      <c r="R889" s="87">
        <f t="shared" si="428"/>
        <v>-457.59523503020415</v>
      </c>
      <c r="S889" s="6">
        <f t="shared" si="443"/>
        <v>-9.4030890702603322</v>
      </c>
      <c r="T889" s="83">
        <f t="shared" si="451"/>
        <v>0</v>
      </c>
      <c r="U889" s="91">
        <f t="shared" si="457"/>
        <v>68320.973024850187</v>
      </c>
      <c r="V889" s="91">
        <f t="shared" si="452"/>
        <v>179.57053846133294</v>
      </c>
      <c r="W889" s="1">
        <f t="shared" si="434"/>
        <v>0</v>
      </c>
      <c r="X889" s="1">
        <f t="shared" si="434"/>
        <v>0</v>
      </c>
      <c r="Y889" s="1">
        <f t="shared" si="434"/>
        <v>0</v>
      </c>
      <c r="Z889" s="1">
        <f t="shared" si="434"/>
        <v>0</v>
      </c>
      <c r="AA889" s="1">
        <f t="shared" si="434"/>
        <v>0</v>
      </c>
      <c r="AB889" s="1">
        <f t="shared" si="434"/>
        <v>0</v>
      </c>
      <c r="AC889" s="1">
        <f t="shared" si="434"/>
        <v>0</v>
      </c>
      <c r="AD889" s="1">
        <f t="shared" si="434"/>
        <v>1</v>
      </c>
      <c r="AE889" s="1">
        <f t="shared" si="434"/>
        <v>1</v>
      </c>
      <c r="AF889" s="1">
        <f t="shared" si="434"/>
        <v>1</v>
      </c>
      <c r="AG889" s="1">
        <f t="shared" si="434"/>
        <v>1</v>
      </c>
      <c r="AH889" s="1">
        <f t="shared" si="434"/>
        <v>1</v>
      </c>
      <c r="AI889" s="44">
        <f t="shared" si="453"/>
        <v>44888.17920100248</v>
      </c>
      <c r="AJ889" s="44">
        <f t="shared" si="444"/>
        <v>45345.774436032683</v>
      </c>
      <c r="AK889" s="44" t="str">
        <f t="shared" si="429"/>
        <v>N</v>
      </c>
      <c r="AL889" s="4">
        <f t="shared" si="445"/>
        <v>199</v>
      </c>
      <c r="AM889" s="82">
        <f t="shared" si="454"/>
        <v>0</v>
      </c>
      <c r="AN889" s="82">
        <f t="shared" si="446"/>
        <v>0</v>
      </c>
      <c r="AO889" s="48">
        <v>0</v>
      </c>
      <c r="AP889" s="91">
        <f t="shared" si="455"/>
        <v>-457.59523503020415</v>
      </c>
      <c r="AQ889" s="91">
        <f t="shared" si="456"/>
        <v>-457.59523503020415</v>
      </c>
    </row>
    <row r="890" spans="1:43">
      <c r="A890" s="190">
        <f t="shared" si="447"/>
        <v>82.387577002053376</v>
      </c>
      <c r="B890" s="82">
        <f t="shared" si="448"/>
        <v>17</v>
      </c>
      <c r="C890" s="83">
        <f t="shared" si="449"/>
        <v>200</v>
      </c>
      <c r="D890" s="14">
        <f t="shared" si="435"/>
        <v>2.6283369587845051E-3</v>
      </c>
      <c r="E890" s="16">
        <f t="shared" si="436"/>
        <v>0</v>
      </c>
      <c r="F890" s="127"/>
      <c r="G890" s="88">
        <f t="shared" si="437"/>
        <v>0</v>
      </c>
      <c r="H890" s="89">
        <f t="shared" si="450"/>
        <v>4.1666666666666666E-3</v>
      </c>
      <c r="I890" s="219"/>
      <c r="J890" s="219"/>
      <c r="K890" s="6">
        <f t="shared" si="458"/>
        <v>44888.17920100248</v>
      </c>
      <c r="M890" s="6">
        <f t="shared" si="438"/>
        <v>117.98126040653673</v>
      </c>
      <c r="N890" s="6">
        <f t="shared" si="439"/>
        <v>-50.785509052216774</v>
      </c>
      <c r="O890" s="90">
        <f t="shared" si="440"/>
        <v>457.59523503020398</v>
      </c>
      <c r="P890" s="91">
        <f t="shared" si="441"/>
        <v>0</v>
      </c>
      <c r="Q890" s="6">
        <f t="shared" si="442"/>
        <v>187.31406230148667</v>
      </c>
      <c r="R890" s="87">
        <f t="shared" si="428"/>
        <v>-457.59523503020415</v>
      </c>
      <c r="S890" s="6">
        <f t="shared" si="443"/>
        <v>-9.3217233560584365</v>
      </c>
      <c r="T890" s="83">
        <f t="shared" si="451"/>
        <v>0</v>
      </c>
      <c r="U890" s="91">
        <f t="shared" si="457"/>
        <v>68042.948328281316</v>
      </c>
      <c r="V890" s="91">
        <f t="shared" si="452"/>
        <v>178.83979587588615</v>
      </c>
      <c r="W890" s="1">
        <f t="shared" si="434"/>
        <v>0</v>
      </c>
      <c r="X890" s="1">
        <f t="shared" si="434"/>
        <v>0</v>
      </c>
      <c r="Y890" s="1">
        <f t="shared" si="434"/>
        <v>0</v>
      </c>
      <c r="Z890" s="1">
        <f t="shared" si="434"/>
        <v>0</v>
      </c>
      <c r="AA890" s="1">
        <f t="shared" si="434"/>
        <v>0</v>
      </c>
      <c r="AB890" s="1">
        <f t="shared" si="434"/>
        <v>0</v>
      </c>
      <c r="AC890" s="1">
        <f t="shared" si="434"/>
        <v>0</v>
      </c>
      <c r="AD890" s="1">
        <f t="shared" si="434"/>
        <v>1</v>
      </c>
      <c r="AE890" s="1">
        <f t="shared" si="434"/>
        <v>1</v>
      </c>
      <c r="AF890" s="1">
        <f t="shared" si="434"/>
        <v>1</v>
      </c>
      <c r="AG890" s="1">
        <f t="shared" si="434"/>
        <v>1</v>
      </c>
      <c r="AH890" s="1">
        <f t="shared" si="434"/>
        <v>1</v>
      </c>
      <c r="AI890" s="44">
        <f t="shared" si="453"/>
        <v>44497.779717326601</v>
      </c>
      <c r="AJ890" s="44">
        <f t="shared" si="444"/>
        <v>44955.374952356804</v>
      </c>
      <c r="AK890" s="44" t="str">
        <f t="shared" si="429"/>
        <v>N</v>
      </c>
      <c r="AL890" s="4">
        <f t="shared" si="445"/>
        <v>200</v>
      </c>
      <c r="AM890" s="82">
        <f t="shared" si="454"/>
        <v>0</v>
      </c>
      <c r="AN890" s="82">
        <f t="shared" si="446"/>
        <v>0</v>
      </c>
      <c r="AO890" s="48">
        <v>0</v>
      </c>
      <c r="AP890" s="91">
        <f t="shared" si="455"/>
        <v>-457.59523503020415</v>
      </c>
      <c r="AQ890" s="91">
        <f t="shared" si="456"/>
        <v>-457.59523503020415</v>
      </c>
    </row>
    <row r="891" spans="1:43">
      <c r="A891" s="190">
        <f t="shared" si="447"/>
        <v>82.470910335386719</v>
      </c>
      <c r="B891" s="82">
        <f t="shared" si="448"/>
        <v>17</v>
      </c>
      <c r="C891" s="83">
        <f t="shared" si="449"/>
        <v>201</v>
      </c>
      <c r="D891" s="14">
        <f t="shared" si="435"/>
        <v>2.6283369587845051E-3</v>
      </c>
      <c r="E891" s="16">
        <f t="shared" si="436"/>
        <v>0</v>
      </c>
      <c r="F891" s="127"/>
      <c r="G891" s="88">
        <f t="shared" si="437"/>
        <v>0</v>
      </c>
      <c r="H891" s="89">
        <f t="shared" si="450"/>
        <v>4.1666666666666666E-3</v>
      </c>
      <c r="I891" s="219"/>
      <c r="J891" s="219"/>
      <c r="K891" s="6">
        <f t="shared" si="458"/>
        <v>44497.779717326601</v>
      </c>
      <c r="M891" s="6">
        <f t="shared" si="438"/>
        <v>116.95515901490103</v>
      </c>
      <c r="N891" s="6">
        <f t="shared" si="439"/>
        <v>-50.343819572600744</v>
      </c>
      <c r="O891" s="90">
        <f t="shared" si="440"/>
        <v>457.59523503020398</v>
      </c>
      <c r="P891" s="91">
        <f t="shared" si="441"/>
        <v>0</v>
      </c>
      <c r="Q891" s="6">
        <f t="shared" si="442"/>
        <v>185.6849627365371</v>
      </c>
      <c r="R891" s="87">
        <f t="shared" si="428"/>
        <v>-457.59523503020415</v>
      </c>
      <c r="S891" s="6">
        <f t="shared" si="443"/>
        <v>-9.2402358407410237</v>
      </c>
      <c r="T891" s="83">
        <f t="shared" si="451"/>
        <v>0</v>
      </c>
      <c r="U891" s="91">
        <f t="shared" si="457"/>
        <v>67764.192889126993</v>
      </c>
      <c r="V891" s="91">
        <f t="shared" si="452"/>
        <v>178.10713265269462</v>
      </c>
      <c r="W891" s="1">
        <f t="shared" ref="W891:AH900" si="459">IF($B891&lt;=W$78,1,0)</f>
        <v>0</v>
      </c>
      <c r="X891" s="1">
        <f t="shared" si="459"/>
        <v>0</v>
      </c>
      <c r="Y891" s="1">
        <f t="shared" si="459"/>
        <v>0</v>
      </c>
      <c r="Z891" s="1">
        <f t="shared" si="459"/>
        <v>0</v>
      </c>
      <c r="AA891" s="1">
        <f t="shared" si="459"/>
        <v>0</v>
      </c>
      <c r="AB891" s="1">
        <f t="shared" si="459"/>
        <v>0</v>
      </c>
      <c r="AC891" s="1">
        <f t="shared" si="459"/>
        <v>0</v>
      </c>
      <c r="AD891" s="1">
        <f t="shared" si="459"/>
        <v>1</v>
      </c>
      <c r="AE891" s="1">
        <f t="shared" si="459"/>
        <v>1</v>
      </c>
      <c r="AF891" s="1">
        <f t="shared" si="459"/>
        <v>1</v>
      </c>
      <c r="AG891" s="1">
        <f t="shared" si="459"/>
        <v>1</v>
      </c>
      <c r="AH891" s="1">
        <f t="shared" si="459"/>
        <v>1</v>
      </c>
      <c r="AI891" s="44">
        <f t="shared" si="453"/>
        <v>44106.795821738699</v>
      </c>
      <c r="AJ891" s="44">
        <f t="shared" si="444"/>
        <v>44564.391056768902</v>
      </c>
      <c r="AK891" s="44" t="str">
        <f t="shared" si="429"/>
        <v>N</v>
      </c>
      <c r="AL891" s="4">
        <f t="shared" si="445"/>
        <v>201</v>
      </c>
      <c r="AM891" s="82">
        <f t="shared" si="454"/>
        <v>0</v>
      </c>
      <c r="AN891" s="82">
        <f t="shared" si="446"/>
        <v>0</v>
      </c>
      <c r="AO891" s="48">
        <v>0</v>
      </c>
      <c r="AP891" s="91">
        <f t="shared" si="455"/>
        <v>-457.59523503020415</v>
      </c>
      <c r="AQ891" s="91">
        <f t="shared" si="456"/>
        <v>-457.59523503020415</v>
      </c>
    </row>
    <row r="892" spans="1:43">
      <c r="A892" s="190">
        <f t="shared" si="447"/>
        <v>82.554243668720048</v>
      </c>
      <c r="B892" s="82">
        <f t="shared" si="448"/>
        <v>17</v>
      </c>
      <c r="C892" s="83">
        <f t="shared" si="449"/>
        <v>202</v>
      </c>
      <c r="D892" s="14">
        <f t="shared" si="435"/>
        <v>2.6283369587845051E-3</v>
      </c>
      <c r="E892" s="16">
        <f t="shared" si="436"/>
        <v>0</v>
      </c>
      <c r="F892" s="127"/>
      <c r="G892" s="88">
        <f t="shared" si="437"/>
        <v>0</v>
      </c>
      <c r="H892" s="89">
        <f t="shared" si="450"/>
        <v>4.1666666666666666E-3</v>
      </c>
      <c r="I892" s="219"/>
      <c r="J892" s="219"/>
      <c r="K892" s="6">
        <f t="shared" si="458"/>
        <v>44106.795821738699</v>
      </c>
      <c r="M892" s="6">
        <f t="shared" si="438"/>
        <v>115.9275215918378</v>
      </c>
      <c r="N892" s="6">
        <f t="shared" si="439"/>
        <v>-49.901468902065922</v>
      </c>
      <c r="O892" s="90">
        <f t="shared" si="440"/>
        <v>457.59523503020398</v>
      </c>
      <c r="P892" s="91">
        <f t="shared" si="441"/>
        <v>0</v>
      </c>
      <c r="Q892" s="6">
        <f t="shared" si="442"/>
        <v>184.05342447678532</v>
      </c>
      <c r="R892" s="87">
        <f t="shared" si="428"/>
        <v>-457.59523503020415</v>
      </c>
      <c r="S892" s="6">
        <f t="shared" si="443"/>
        <v>-9.1586263419768468</v>
      </c>
      <c r="T892" s="83">
        <f t="shared" si="451"/>
        <v>0</v>
      </c>
      <c r="U892" s="91">
        <f t="shared" si="457"/>
        <v>67484.704786749484</v>
      </c>
      <c r="V892" s="91">
        <f t="shared" si="452"/>
        <v>177.37254374367527</v>
      </c>
      <c r="W892" s="1">
        <f t="shared" si="459"/>
        <v>0</v>
      </c>
      <c r="X892" s="1">
        <f t="shared" si="459"/>
        <v>0</v>
      </c>
      <c r="Y892" s="1">
        <f t="shared" si="459"/>
        <v>0</v>
      </c>
      <c r="Z892" s="1">
        <f t="shared" si="459"/>
        <v>0</v>
      </c>
      <c r="AA892" s="1">
        <f t="shared" si="459"/>
        <v>0</v>
      </c>
      <c r="AB892" s="1">
        <f t="shared" si="459"/>
        <v>0</v>
      </c>
      <c r="AC892" s="1">
        <f t="shared" si="459"/>
        <v>0</v>
      </c>
      <c r="AD892" s="1">
        <f t="shared" si="459"/>
        <v>1</v>
      </c>
      <c r="AE892" s="1">
        <f t="shared" si="459"/>
        <v>1</v>
      </c>
      <c r="AF892" s="1">
        <f t="shared" si="459"/>
        <v>1</v>
      </c>
      <c r="AG892" s="1">
        <f t="shared" si="459"/>
        <v>1</v>
      </c>
      <c r="AH892" s="1">
        <f t="shared" si="459"/>
        <v>1</v>
      </c>
      <c r="AI892" s="44">
        <f t="shared" si="453"/>
        <v>43715.226639398272</v>
      </c>
      <c r="AJ892" s="44">
        <f t="shared" si="444"/>
        <v>44172.821874428475</v>
      </c>
      <c r="AK892" s="44" t="str">
        <f t="shared" si="429"/>
        <v>N</v>
      </c>
      <c r="AL892" s="4">
        <f t="shared" si="445"/>
        <v>202</v>
      </c>
      <c r="AM892" s="82">
        <f t="shared" si="454"/>
        <v>0</v>
      </c>
      <c r="AN892" s="82">
        <f t="shared" si="446"/>
        <v>0</v>
      </c>
      <c r="AO892" s="48">
        <v>0</v>
      </c>
      <c r="AP892" s="91">
        <f t="shared" si="455"/>
        <v>-457.59523503020415</v>
      </c>
      <c r="AQ892" s="91">
        <f t="shared" si="456"/>
        <v>-457.59523503020415</v>
      </c>
    </row>
    <row r="893" spans="1:43">
      <c r="A893" s="190">
        <f t="shared" si="447"/>
        <v>82.637577002053376</v>
      </c>
      <c r="B893" s="82">
        <f t="shared" si="448"/>
        <v>17</v>
      </c>
      <c r="C893" s="83">
        <f t="shared" si="449"/>
        <v>203</v>
      </c>
      <c r="D893" s="14">
        <f t="shared" si="435"/>
        <v>2.6283369587845051E-3</v>
      </c>
      <c r="E893" s="16">
        <f t="shared" si="436"/>
        <v>0</v>
      </c>
      <c r="F893" s="127"/>
      <c r="G893" s="88">
        <f t="shared" si="437"/>
        <v>0</v>
      </c>
      <c r="H893" s="89">
        <f t="shared" si="450"/>
        <v>4.1666666666666666E-3</v>
      </c>
      <c r="I893" s="219"/>
      <c r="J893" s="219"/>
      <c r="K893" s="6">
        <f t="shared" si="458"/>
        <v>43715.226639398272</v>
      </c>
      <c r="M893" s="6">
        <f t="shared" si="438"/>
        <v>114.89834583797143</v>
      </c>
      <c r="N893" s="6">
        <f t="shared" si="439"/>
        <v>-49.458456050836823</v>
      </c>
      <c r="O893" s="90">
        <f t="shared" si="440"/>
        <v>457.59523503020398</v>
      </c>
      <c r="P893" s="91">
        <f t="shared" si="441"/>
        <v>0</v>
      </c>
      <c r="Q893" s="6">
        <f t="shared" si="442"/>
        <v>182.41944387160586</v>
      </c>
      <c r="R893" s="87">
        <f t="shared" si="428"/>
        <v>-457.59523503020415</v>
      </c>
      <c r="S893" s="6">
        <f t="shared" si="443"/>
        <v>-9.0768946771617287</v>
      </c>
      <c r="T893" s="83">
        <f t="shared" si="451"/>
        <v>0</v>
      </c>
      <c r="U893" s="91">
        <f t="shared" si="457"/>
        <v>67204.482095462954</v>
      </c>
      <c r="V893" s="91">
        <f t="shared" si="452"/>
        <v>176.63602408747684</v>
      </c>
      <c r="W893" s="1">
        <f t="shared" si="459"/>
        <v>0</v>
      </c>
      <c r="X893" s="1">
        <f t="shared" si="459"/>
        <v>0</v>
      </c>
      <c r="Y893" s="1">
        <f t="shared" si="459"/>
        <v>0</v>
      </c>
      <c r="Z893" s="1">
        <f t="shared" si="459"/>
        <v>0</v>
      </c>
      <c r="AA893" s="1">
        <f t="shared" si="459"/>
        <v>0</v>
      </c>
      <c r="AB893" s="1">
        <f t="shared" si="459"/>
        <v>0</v>
      </c>
      <c r="AC893" s="1">
        <f t="shared" si="459"/>
        <v>0</v>
      </c>
      <c r="AD893" s="1">
        <f t="shared" si="459"/>
        <v>1</v>
      </c>
      <c r="AE893" s="1">
        <f t="shared" si="459"/>
        <v>1</v>
      </c>
      <c r="AF893" s="1">
        <f t="shared" si="459"/>
        <v>1</v>
      </c>
      <c r="AG893" s="1">
        <f t="shared" si="459"/>
        <v>1</v>
      </c>
      <c r="AH893" s="1">
        <f t="shared" si="459"/>
        <v>1</v>
      </c>
      <c r="AI893" s="44">
        <f t="shared" si="453"/>
        <v>43323.071294155205</v>
      </c>
      <c r="AJ893" s="44">
        <f t="shared" si="444"/>
        <v>43780.666529185408</v>
      </c>
      <c r="AK893" s="44" t="str">
        <f t="shared" si="429"/>
        <v>N</v>
      </c>
      <c r="AL893" s="4">
        <f t="shared" si="445"/>
        <v>203</v>
      </c>
      <c r="AM893" s="82">
        <f t="shared" si="454"/>
        <v>0</v>
      </c>
      <c r="AN893" s="82">
        <f t="shared" si="446"/>
        <v>0</v>
      </c>
      <c r="AO893" s="48">
        <v>0</v>
      </c>
      <c r="AP893" s="91">
        <f t="shared" si="455"/>
        <v>-457.59523503020415</v>
      </c>
      <c r="AQ893" s="91">
        <f t="shared" si="456"/>
        <v>-457.59523503020415</v>
      </c>
    </row>
    <row r="894" spans="1:43">
      <c r="A894" s="190">
        <f t="shared" si="447"/>
        <v>82.720910335386719</v>
      </c>
      <c r="B894" s="82">
        <f t="shared" si="448"/>
        <v>17</v>
      </c>
      <c r="C894" s="83">
        <f t="shared" si="449"/>
        <v>204</v>
      </c>
      <c r="D894" s="14">
        <f t="shared" si="435"/>
        <v>2.6283369587845051E-3</v>
      </c>
      <c r="E894" s="16">
        <f t="shared" si="436"/>
        <v>0</v>
      </c>
      <c r="F894" s="127"/>
      <c r="G894" s="88">
        <f t="shared" si="437"/>
        <v>0</v>
      </c>
      <c r="H894" s="89">
        <f t="shared" si="450"/>
        <v>4.1666666666666666E-3</v>
      </c>
      <c r="I894" s="219"/>
      <c r="J894" s="219"/>
      <c r="K894" s="6">
        <f t="shared" si="458"/>
        <v>43323.071294155205</v>
      </c>
      <c r="M894" s="6">
        <f t="shared" si="438"/>
        <v>113.86762945048419</v>
      </c>
      <c r="N894" s="6">
        <f t="shared" si="439"/>
        <v>-49.014780027656265</v>
      </c>
      <c r="O894" s="90">
        <f t="shared" si="440"/>
        <v>457.59523503020398</v>
      </c>
      <c r="P894" s="91">
        <f t="shared" si="441"/>
        <v>0</v>
      </c>
      <c r="Q894" s="6">
        <f t="shared" si="442"/>
        <v>180.78301726490847</v>
      </c>
      <c r="R894" s="87">
        <f t="shared" si="428"/>
        <v>-457.59523503020415</v>
      </c>
      <c r="S894" s="6">
        <f t="shared" si="443"/>
        <v>-8.995040663418127</v>
      </c>
      <c r="T894" s="83">
        <f t="shared" si="451"/>
        <v>0</v>
      </c>
      <c r="U894" s="91">
        <f t="shared" si="457"/>
        <v>66923.522884520222</v>
      </c>
      <c r="V894" s="91">
        <f t="shared" si="452"/>
        <v>175.8975686094451</v>
      </c>
      <c r="W894" s="1">
        <f t="shared" si="459"/>
        <v>0</v>
      </c>
      <c r="X894" s="1">
        <f t="shared" si="459"/>
        <v>0</v>
      </c>
      <c r="Y894" s="1">
        <f t="shared" si="459"/>
        <v>0</v>
      </c>
      <c r="Z894" s="1">
        <f t="shared" si="459"/>
        <v>0</v>
      </c>
      <c r="AA894" s="1">
        <f t="shared" si="459"/>
        <v>0</v>
      </c>
      <c r="AB894" s="1">
        <f t="shared" si="459"/>
        <v>0</v>
      </c>
      <c r="AC894" s="1">
        <f t="shared" si="459"/>
        <v>0</v>
      </c>
      <c r="AD894" s="1">
        <f t="shared" si="459"/>
        <v>1</v>
      </c>
      <c r="AE894" s="1">
        <f t="shared" si="459"/>
        <v>1</v>
      </c>
      <c r="AF894" s="1">
        <f t="shared" si="459"/>
        <v>1</v>
      </c>
      <c r="AG894" s="1">
        <f t="shared" si="459"/>
        <v>1</v>
      </c>
      <c r="AH894" s="1">
        <f t="shared" si="459"/>
        <v>1</v>
      </c>
      <c r="AI894" s="44">
        <f t="shared" si="453"/>
        <v>42930.328908547832</v>
      </c>
      <c r="AJ894" s="44">
        <f t="shared" si="444"/>
        <v>43387.924143578035</v>
      </c>
      <c r="AK894" s="44" t="str">
        <f t="shared" si="429"/>
        <v>N</v>
      </c>
      <c r="AL894" s="4">
        <f t="shared" si="445"/>
        <v>204</v>
      </c>
      <c r="AM894" s="82">
        <f t="shared" si="454"/>
        <v>0</v>
      </c>
      <c r="AN894" s="82">
        <f t="shared" si="446"/>
        <v>0</v>
      </c>
      <c r="AO894" s="48">
        <v>0</v>
      </c>
      <c r="AP894" s="91">
        <f t="shared" si="455"/>
        <v>-457.59523503020415</v>
      </c>
      <c r="AQ894" s="91">
        <f t="shared" si="456"/>
        <v>-457.59523503020415</v>
      </c>
    </row>
    <row r="895" spans="1:43">
      <c r="A895" s="190">
        <f t="shared" si="447"/>
        <v>82.804243668720048</v>
      </c>
      <c r="B895" s="82">
        <f t="shared" si="448"/>
        <v>18</v>
      </c>
      <c r="C895" s="83">
        <f t="shared" si="449"/>
        <v>205</v>
      </c>
      <c r="D895" s="14">
        <f t="shared" si="435"/>
        <v>2.6283369587845051E-3</v>
      </c>
      <c r="E895" s="16">
        <f t="shared" si="436"/>
        <v>0</v>
      </c>
      <c r="F895" s="127"/>
      <c r="G895" s="88">
        <f t="shared" si="437"/>
        <v>0</v>
      </c>
      <c r="H895" s="89">
        <f t="shared" si="450"/>
        <v>4.1666666666666666E-3</v>
      </c>
      <c r="I895" s="219"/>
      <c r="J895" s="219"/>
      <c r="K895" s="6">
        <f t="shared" si="458"/>
        <v>42930.328908547832</v>
      </c>
      <c r="M895" s="6">
        <f t="shared" si="438"/>
        <v>112.83537012311113</v>
      </c>
      <c r="N895" s="6">
        <f t="shared" si="439"/>
        <v>-48.570439839783219</v>
      </c>
      <c r="O895" s="90">
        <f t="shared" si="440"/>
        <v>466.7471397308081</v>
      </c>
      <c r="P895" s="91">
        <f t="shared" si="441"/>
        <v>0</v>
      </c>
      <c r="Q895" s="6">
        <f t="shared" si="442"/>
        <v>179.14414099512982</v>
      </c>
      <c r="R895" s="87">
        <f t="shared" si="428"/>
        <v>-467.44584093243765</v>
      </c>
      <c r="S895" s="6">
        <f t="shared" si="443"/>
        <v>-8.91203683518685</v>
      </c>
      <c r="T895" s="83">
        <f t="shared" si="451"/>
        <v>0</v>
      </c>
      <c r="U895" s="91">
        <f t="shared" si="457"/>
        <v>66641.82521809946</v>
      </c>
      <c r="V895" s="91">
        <f t="shared" si="452"/>
        <v>175.15717222158807</v>
      </c>
      <c r="W895" s="1">
        <f t="shared" si="459"/>
        <v>0</v>
      </c>
      <c r="X895" s="1">
        <f t="shared" si="459"/>
        <v>0</v>
      </c>
      <c r="Y895" s="1">
        <f t="shared" si="459"/>
        <v>0</v>
      </c>
      <c r="Z895" s="1">
        <f t="shared" si="459"/>
        <v>0</v>
      </c>
      <c r="AA895" s="1">
        <f t="shared" si="459"/>
        <v>0</v>
      </c>
      <c r="AB895" s="1">
        <f t="shared" si="459"/>
        <v>0</v>
      </c>
      <c r="AC895" s="1">
        <f t="shared" si="459"/>
        <v>0</v>
      </c>
      <c r="AD895" s="1">
        <f t="shared" si="459"/>
        <v>1</v>
      </c>
      <c r="AE895" s="1">
        <f t="shared" si="459"/>
        <v>1</v>
      </c>
      <c r="AF895" s="1">
        <f t="shared" si="459"/>
        <v>1</v>
      </c>
      <c r="AG895" s="1">
        <f t="shared" si="459"/>
        <v>1</v>
      </c>
      <c r="AH895" s="1">
        <f t="shared" si="459"/>
        <v>1</v>
      </c>
      <c r="AI895" s="44">
        <f t="shared" si="453"/>
        <v>42527.147997898719</v>
      </c>
      <c r="AJ895" s="44">
        <f t="shared" si="444"/>
        <v>42994.593838831155</v>
      </c>
      <c r="AK895" s="44" t="str">
        <f t="shared" si="429"/>
        <v>N</v>
      </c>
      <c r="AL895" s="4">
        <f t="shared" si="445"/>
        <v>205</v>
      </c>
      <c r="AM895" s="82">
        <f t="shared" si="454"/>
        <v>0</v>
      </c>
      <c r="AN895" s="82">
        <f t="shared" si="446"/>
        <v>0</v>
      </c>
      <c r="AO895" s="48">
        <v>0</v>
      </c>
      <c r="AP895" s="91">
        <f t="shared" si="455"/>
        <v>-467.44584093243765</v>
      </c>
      <c r="AQ895" s="91">
        <f t="shared" si="456"/>
        <v>-467.44584093243765</v>
      </c>
    </row>
    <row r="896" spans="1:43">
      <c r="A896" s="190">
        <f t="shared" si="447"/>
        <v>82.887577002053376</v>
      </c>
      <c r="B896" s="82">
        <f t="shared" si="448"/>
        <v>18</v>
      </c>
      <c r="C896" s="83">
        <f t="shared" si="449"/>
        <v>206</v>
      </c>
      <c r="D896" s="14">
        <f t="shared" si="435"/>
        <v>2.6283369587845051E-3</v>
      </c>
      <c r="E896" s="16">
        <f t="shared" si="436"/>
        <v>0</v>
      </c>
      <c r="F896" s="127"/>
      <c r="G896" s="88">
        <f t="shared" si="437"/>
        <v>0</v>
      </c>
      <c r="H896" s="89">
        <f t="shared" si="450"/>
        <v>4.1666666666666666E-3</v>
      </c>
      <c r="I896" s="219"/>
      <c r="J896" s="219"/>
      <c r="K896" s="6">
        <f t="shared" si="458"/>
        <v>42527.147997898719</v>
      </c>
      <c r="M896" s="6">
        <f t="shared" si="438"/>
        <v>111.77567483457568</v>
      </c>
      <c r="N896" s="6">
        <f t="shared" si="439"/>
        <v>-48.114289731850256</v>
      </c>
      <c r="O896" s="90">
        <f t="shared" si="440"/>
        <v>466.7471397308081</v>
      </c>
      <c r="P896" s="91">
        <f t="shared" si="441"/>
        <v>0</v>
      </c>
      <c r="Q896" s="6">
        <f t="shared" si="442"/>
        <v>177.46170576250603</v>
      </c>
      <c r="R896" s="87">
        <f t="shared" ref="R896:R959" si="460">-MIN(MAX(O896,P896,Q896,-R884*1.02),AJ896)</f>
        <v>-466.74713973080821</v>
      </c>
      <c r="S896" s="6">
        <f t="shared" si="443"/>
        <v>-8.8279543361470072</v>
      </c>
      <c r="T896" s="83">
        <f t="shared" si="451"/>
        <v>0</v>
      </c>
      <c r="U896" s="91">
        <f t="shared" si="457"/>
        <v>66349.536549388606</v>
      </c>
      <c r="V896" s="91">
        <f t="shared" si="452"/>
        <v>174.38893911098143</v>
      </c>
      <c r="W896" s="1">
        <f t="shared" si="459"/>
        <v>0</v>
      </c>
      <c r="X896" s="1">
        <f t="shared" si="459"/>
        <v>0</v>
      </c>
      <c r="Y896" s="1">
        <f t="shared" si="459"/>
        <v>0</v>
      </c>
      <c r="Z896" s="1">
        <f t="shared" si="459"/>
        <v>0</v>
      </c>
      <c r="AA896" s="1">
        <f t="shared" si="459"/>
        <v>0</v>
      </c>
      <c r="AB896" s="1">
        <f t="shared" si="459"/>
        <v>0</v>
      </c>
      <c r="AC896" s="1">
        <f t="shared" si="459"/>
        <v>0</v>
      </c>
      <c r="AD896" s="1">
        <f t="shared" si="459"/>
        <v>1</v>
      </c>
      <c r="AE896" s="1">
        <f t="shared" si="459"/>
        <v>1</v>
      </c>
      <c r="AF896" s="1">
        <f t="shared" si="459"/>
        <v>1</v>
      </c>
      <c r="AG896" s="1">
        <f t="shared" si="459"/>
        <v>1</v>
      </c>
      <c r="AH896" s="1">
        <f t="shared" si="459"/>
        <v>1</v>
      </c>
      <c r="AI896" s="44">
        <f t="shared" si="453"/>
        <v>42124.062243270637</v>
      </c>
      <c r="AJ896" s="44">
        <f t="shared" si="444"/>
        <v>42590.809383001448</v>
      </c>
      <c r="AK896" s="44" t="str">
        <f t="shared" ref="AK896:AK959" si="461">IF(R896=0,0,IF(R896&gt;R884,"Y","N"))</f>
        <v>N</v>
      </c>
      <c r="AL896" s="4">
        <f t="shared" si="445"/>
        <v>206</v>
      </c>
      <c r="AM896" s="82">
        <f t="shared" si="454"/>
        <v>0</v>
      </c>
      <c r="AN896" s="82">
        <f t="shared" si="446"/>
        <v>0</v>
      </c>
      <c r="AO896" s="48">
        <v>0</v>
      </c>
      <c r="AP896" s="91">
        <f t="shared" si="455"/>
        <v>-466.74713973080821</v>
      </c>
      <c r="AQ896" s="91">
        <f t="shared" si="456"/>
        <v>-466.74713973080821</v>
      </c>
    </row>
    <row r="897" spans="1:43">
      <c r="A897" s="190">
        <f t="shared" si="447"/>
        <v>82.970910335386719</v>
      </c>
      <c r="B897" s="82">
        <f t="shared" si="448"/>
        <v>18</v>
      </c>
      <c r="C897" s="83">
        <f t="shared" si="449"/>
        <v>207</v>
      </c>
      <c r="D897" s="14">
        <f t="shared" si="435"/>
        <v>2.6283369587845051E-3</v>
      </c>
      <c r="E897" s="16">
        <f t="shared" si="436"/>
        <v>0</v>
      </c>
      <c r="F897" s="127"/>
      <c r="G897" s="88">
        <f t="shared" si="437"/>
        <v>0</v>
      </c>
      <c r="H897" s="89">
        <f t="shared" si="450"/>
        <v>4.1666666666666666E-3</v>
      </c>
      <c r="I897" s="219"/>
      <c r="J897" s="219"/>
      <c r="K897" s="6">
        <f t="shared" si="458"/>
        <v>42124.062243270637</v>
      </c>
      <c r="M897" s="6">
        <f t="shared" si="438"/>
        <v>110.71622964812714</v>
      </c>
      <c r="N897" s="6">
        <f t="shared" si="439"/>
        <v>-47.658247281368617</v>
      </c>
      <c r="O897" s="90">
        <f t="shared" si="440"/>
        <v>466.7471397308081</v>
      </c>
      <c r="P897" s="91">
        <f t="shared" si="441"/>
        <v>0</v>
      </c>
      <c r="Q897" s="6">
        <f t="shared" si="442"/>
        <v>175.77966760682247</v>
      </c>
      <c r="R897" s="87">
        <f t="shared" si="460"/>
        <v>-466.74713973080821</v>
      </c>
      <c r="S897" s="6">
        <f t="shared" si="443"/>
        <v>-8.7438188339808285</v>
      </c>
      <c r="T897" s="83">
        <f t="shared" si="451"/>
        <v>0</v>
      </c>
      <c r="U897" s="91">
        <f t="shared" si="457"/>
        <v>66057.178348768779</v>
      </c>
      <c r="V897" s="91">
        <f t="shared" si="452"/>
        <v>173.62052324708858</v>
      </c>
      <c r="W897" s="1">
        <f t="shared" si="459"/>
        <v>0</v>
      </c>
      <c r="X897" s="1">
        <f t="shared" si="459"/>
        <v>0</v>
      </c>
      <c r="Y897" s="1">
        <f t="shared" si="459"/>
        <v>0</v>
      </c>
      <c r="Z897" s="1">
        <f t="shared" si="459"/>
        <v>0</v>
      </c>
      <c r="AA897" s="1">
        <f t="shared" si="459"/>
        <v>0</v>
      </c>
      <c r="AB897" s="1">
        <f t="shared" si="459"/>
        <v>0</v>
      </c>
      <c r="AC897" s="1">
        <f t="shared" si="459"/>
        <v>0</v>
      </c>
      <c r="AD897" s="1">
        <f t="shared" si="459"/>
        <v>1</v>
      </c>
      <c r="AE897" s="1">
        <f t="shared" si="459"/>
        <v>1</v>
      </c>
      <c r="AF897" s="1">
        <f t="shared" si="459"/>
        <v>1</v>
      </c>
      <c r="AG897" s="1">
        <f t="shared" si="459"/>
        <v>1</v>
      </c>
      <c r="AH897" s="1">
        <f t="shared" si="459"/>
        <v>1</v>
      </c>
      <c r="AI897" s="44">
        <f t="shared" si="453"/>
        <v>41720.373085906584</v>
      </c>
      <c r="AJ897" s="44">
        <f t="shared" si="444"/>
        <v>42187.120225637394</v>
      </c>
      <c r="AK897" s="44" t="str">
        <f t="shared" si="461"/>
        <v>N</v>
      </c>
      <c r="AL897" s="4">
        <f t="shared" si="445"/>
        <v>207</v>
      </c>
      <c r="AM897" s="82">
        <f t="shared" si="454"/>
        <v>0</v>
      </c>
      <c r="AN897" s="82">
        <f t="shared" si="446"/>
        <v>0</v>
      </c>
      <c r="AO897" s="48">
        <v>0</v>
      </c>
      <c r="AP897" s="91">
        <f t="shared" si="455"/>
        <v>-466.74713973080821</v>
      </c>
      <c r="AQ897" s="91">
        <f t="shared" si="456"/>
        <v>-466.74713973080821</v>
      </c>
    </row>
    <row r="898" spans="1:43">
      <c r="A898" s="190">
        <f t="shared" si="447"/>
        <v>83.054243668720048</v>
      </c>
      <c r="B898" s="82">
        <f t="shared" si="448"/>
        <v>18</v>
      </c>
      <c r="C898" s="83">
        <f t="shared" si="449"/>
        <v>208</v>
      </c>
      <c r="D898" s="14">
        <f t="shared" si="435"/>
        <v>2.6283369587845051E-3</v>
      </c>
      <c r="E898" s="16">
        <f t="shared" si="436"/>
        <v>0</v>
      </c>
      <c r="F898" s="127"/>
      <c r="G898" s="88">
        <f t="shared" si="437"/>
        <v>0</v>
      </c>
      <c r="H898" s="89">
        <f t="shared" si="450"/>
        <v>4.1666666666666666E-3</v>
      </c>
      <c r="I898" s="219"/>
      <c r="J898" s="219"/>
      <c r="K898" s="6">
        <f t="shared" si="458"/>
        <v>41720.373085906584</v>
      </c>
      <c r="M898" s="6">
        <f t="shared" si="438"/>
        <v>109.65519851596663</v>
      </c>
      <c r="N898" s="6">
        <f t="shared" si="439"/>
        <v>-47.201522154163278</v>
      </c>
      <c r="O898" s="90">
        <f t="shared" si="440"/>
        <v>466.7471397308081</v>
      </c>
      <c r="P898" s="91">
        <f t="shared" si="441"/>
        <v>0</v>
      </c>
      <c r="Q898" s="6">
        <f t="shared" si="442"/>
        <v>174.09511150945161</v>
      </c>
      <c r="R898" s="87">
        <f t="shared" si="460"/>
        <v>-466.74713973080821</v>
      </c>
      <c r="S898" s="6">
        <f t="shared" si="443"/>
        <v>-8.6595573844408804</v>
      </c>
      <c r="T898" s="83">
        <f t="shared" si="451"/>
        <v>0</v>
      </c>
      <c r="U898" s="91">
        <f t="shared" si="457"/>
        <v>65764.05173228505</v>
      </c>
      <c r="V898" s="91">
        <f t="shared" si="452"/>
        <v>172.85008772738095</v>
      </c>
      <c r="W898" s="1">
        <f t="shared" si="459"/>
        <v>0</v>
      </c>
      <c r="X898" s="1">
        <f t="shared" si="459"/>
        <v>0</v>
      </c>
      <c r="Y898" s="1">
        <f t="shared" si="459"/>
        <v>0</v>
      </c>
      <c r="Z898" s="1">
        <f t="shared" si="459"/>
        <v>0</v>
      </c>
      <c r="AA898" s="1">
        <f t="shared" si="459"/>
        <v>0</v>
      </c>
      <c r="AB898" s="1">
        <f t="shared" si="459"/>
        <v>0</v>
      </c>
      <c r="AC898" s="1">
        <f t="shared" si="459"/>
        <v>0</v>
      </c>
      <c r="AD898" s="1">
        <f t="shared" si="459"/>
        <v>1</v>
      </c>
      <c r="AE898" s="1">
        <f t="shared" si="459"/>
        <v>1</v>
      </c>
      <c r="AF898" s="1">
        <f t="shared" si="459"/>
        <v>1</v>
      </c>
      <c r="AG898" s="1">
        <f t="shared" si="459"/>
        <v>1</v>
      </c>
      <c r="AH898" s="1">
        <f t="shared" si="459"/>
        <v>1</v>
      </c>
      <c r="AI898" s="44">
        <f t="shared" si="453"/>
        <v>41316.079622537574</v>
      </c>
      <c r="AJ898" s="44">
        <f t="shared" si="444"/>
        <v>41782.826762268385</v>
      </c>
      <c r="AK898" s="44" t="str">
        <f t="shared" si="461"/>
        <v>N</v>
      </c>
      <c r="AL898" s="4">
        <f t="shared" si="445"/>
        <v>208</v>
      </c>
      <c r="AM898" s="82">
        <f t="shared" si="454"/>
        <v>0</v>
      </c>
      <c r="AN898" s="82">
        <f t="shared" si="446"/>
        <v>0</v>
      </c>
      <c r="AO898" s="48">
        <v>0</v>
      </c>
      <c r="AP898" s="91">
        <f t="shared" si="455"/>
        <v>-466.74713973080821</v>
      </c>
      <c r="AQ898" s="91">
        <f t="shared" si="456"/>
        <v>-466.74713973080821</v>
      </c>
    </row>
    <row r="899" spans="1:43">
      <c r="A899" s="190">
        <f t="shared" si="447"/>
        <v>83.137577002053376</v>
      </c>
      <c r="B899" s="82">
        <f t="shared" si="448"/>
        <v>18</v>
      </c>
      <c r="C899" s="83">
        <f t="shared" si="449"/>
        <v>209</v>
      </c>
      <c r="D899" s="14">
        <f t="shared" si="435"/>
        <v>2.6283369587845051E-3</v>
      </c>
      <c r="E899" s="16">
        <f t="shared" si="436"/>
        <v>0</v>
      </c>
      <c r="F899" s="127"/>
      <c r="G899" s="88">
        <f t="shared" si="437"/>
        <v>0</v>
      </c>
      <c r="H899" s="89">
        <f t="shared" si="450"/>
        <v>4.1666666666666666E-3</v>
      </c>
      <c r="I899" s="219"/>
      <c r="J899" s="219"/>
      <c r="K899" s="6">
        <f t="shared" si="458"/>
        <v>41316.079622537574</v>
      </c>
      <c r="M899" s="6">
        <f t="shared" si="438"/>
        <v>108.59257906399887</v>
      </c>
      <c r="N899" s="6">
        <f t="shared" si="439"/>
        <v>-46.74411332829537</v>
      </c>
      <c r="O899" s="90">
        <f t="shared" si="440"/>
        <v>466.7471397308081</v>
      </c>
      <c r="P899" s="91">
        <f t="shared" si="441"/>
        <v>0</v>
      </c>
      <c r="Q899" s="6">
        <f t="shared" si="442"/>
        <v>172.40803370113866</v>
      </c>
      <c r="R899" s="87">
        <f t="shared" si="460"/>
        <v>-466.74713973080821</v>
      </c>
      <c r="S899" s="6">
        <f t="shared" si="443"/>
        <v>-8.575169798989144</v>
      </c>
      <c r="T899" s="83">
        <f t="shared" si="451"/>
        <v>0</v>
      </c>
      <c r="U899" s="91">
        <f t="shared" si="457"/>
        <v>65470.154680281623</v>
      </c>
      <c r="V899" s="91">
        <f t="shared" si="452"/>
        <v>172.07762724352253</v>
      </c>
      <c r="W899" s="1">
        <f t="shared" si="459"/>
        <v>0</v>
      </c>
      <c r="X899" s="1">
        <f t="shared" si="459"/>
        <v>0</v>
      </c>
      <c r="Y899" s="1">
        <f t="shared" si="459"/>
        <v>0</v>
      </c>
      <c r="Z899" s="1">
        <f t="shared" si="459"/>
        <v>0</v>
      </c>
      <c r="AA899" s="1">
        <f t="shared" si="459"/>
        <v>0</v>
      </c>
      <c r="AB899" s="1">
        <f t="shared" si="459"/>
        <v>0</v>
      </c>
      <c r="AC899" s="1">
        <f t="shared" si="459"/>
        <v>0</v>
      </c>
      <c r="AD899" s="1">
        <f t="shared" si="459"/>
        <v>1</v>
      </c>
      <c r="AE899" s="1">
        <f t="shared" si="459"/>
        <v>1</v>
      </c>
      <c r="AF899" s="1">
        <f t="shared" si="459"/>
        <v>1</v>
      </c>
      <c r="AG899" s="1">
        <f t="shared" si="459"/>
        <v>1</v>
      </c>
      <c r="AH899" s="1">
        <f t="shared" si="459"/>
        <v>1</v>
      </c>
      <c r="AI899" s="44">
        <f t="shared" si="453"/>
        <v>40911.180948542467</v>
      </c>
      <c r="AJ899" s="44">
        <f t="shared" si="444"/>
        <v>41377.928088273278</v>
      </c>
      <c r="AK899" s="44" t="str">
        <f t="shared" si="461"/>
        <v>N</v>
      </c>
      <c r="AL899" s="4">
        <f t="shared" si="445"/>
        <v>209</v>
      </c>
      <c r="AM899" s="82">
        <f t="shared" si="454"/>
        <v>0</v>
      </c>
      <c r="AN899" s="82">
        <f t="shared" si="446"/>
        <v>0</v>
      </c>
      <c r="AO899" s="48">
        <v>0</v>
      </c>
      <c r="AP899" s="91">
        <f t="shared" si="455"/>
        <v>-466.74713973080821</v>
      </c>
      <c r="AQ899" s="91">
        <f t="shared" si="456"/>
        <v>-466.74713973080821</v>
      </c>
    </row>
    <row r="900" spans="1:43">
      <c r="A900" s="190">
        <f t="shared" si="447"/>
        <v>83.220910335386719</v>
      </c>
      <c r="B900" s="82">
        <f t="shared" si="448"/>
        <v>18</v>
      </c>
      <c r="C900" s="83">
        <f t="shared" si="449"/>
        <v>210</v>
      </c>
      <c r="D900" s="14">
        <f t="shared" si="435"/>
        <v>2.6283369587845051E-3</v>
      </c>
      <c r="E900" s="16">
        <f t="shared" si="436"/>
        <v>0</v>
      </c>
      <c r="F900" s="127"/>
      <c r="G900" s="88">
        <f t="shared" si="437"/>
        <v>0</v>
      </c>
      <c r="H900" s="89">
        <f t="shared" si="450"/>
        <v>4.1666666666666666E-3</v>
      </c>
      <c r="I900" s="219"/>
      <c r="J900" s="219"/>
      <c r="K900" s="6">
        <f t="shared" si="458"/>
        <v>40911.180948542467</v>
      </c>
      <c r="M900" s="6">
        <f t="shared" si="438"/>
        <v>107.5283689145747</v>
      </c>
      <c r="N900" s="6">
        <f t="shared" si="439"/>
        <v>-46.286019780296215</v>
      </c>
      <c r="O900" s="90">
        <f t="shared" si="440"/>
        <v>466.7471397308081</v>
      </c>
      <c r="P900" s="91">
        <f t="shared" si="441"/>
        <v>0</v>
      </c>
      <c r="Q900" s="6">
        <f t="shared" si="442"/>
        <v>170.71843040698644</v>
      </c>
      <c r="R900" s="87">
        <f t="shared" si="460"/>
        <v>-466.74713973080821</v>
      </c>
      <c r="S900" s="6">
        <f t="shared" si="443"/>
        <v>-8.4906558888053656</v>
      </c>
      <c r="T900" s="83">
        <f t="shared" si="451"/>
        <v>0</v>
      </c>
      <c r="U900" s="91">
        <f t="shared" si="457"/>
        <v>65175.485167794337</v>
      </c>
      <c r="V900" s="91">
        <f t="shared" si="452"/>
        <v>171.30313647322518</v>
      </c>
      <c r="W900" s="1">
        <f t="shared" si="459"/>
        <v>0</v>
      </c>
      <c r="X900" s="1">
        <f t="shared" si="459"/>
        <v>0</v>
      </c>
      <c r="Y900" s="1">
        <f t="shared" si="459"/>
        <v>0</v>
      </c>
      <c r="Z900" s="1">
        <f t="shared" si="459"/>
        <v>0</v>
      </c>
      <c r="AA900" s="1">
        <f t="shared" si="459"/>
        <v>0</v>
      </c>
      <c r="AB900" s="1">
        <f t="shared" si="459"/>
        <v>0</v>
      </c>
      <c r="AC900" s="1">
        <f t="shared" si="459"/>
        <v>0</v>
      </c>
      <c r="AD900" s="1">
        <f t="shared" si="459"/>
        <v>1</v>
      </c>
      <c r="AE900" s="1">
        <f t="shared" si="459"/>
        <v>1</v>
      </c>
      <c r="AF900" s="1">
        <f t="shared" si="459"/>
        <v>1</v>
      </c>
      <c r="AG900" s="1">
        <f t="shared" si="459"/>
        <v>1</v>
      </c>
      <c r="AH900" s="1">
        <f t="shared" si="459"/>
        <v>1</v>
      </c>
      <c r="AI900" s="44">
        <f t="shared" si="453"/>
        <v>40505.676157945934</v>
      </c>
      <c r="AJ900" s="44">
        <f t="shared" si="444"/>
        <v>40972.423297676745</v>
      </c>
      <c r="AK900" s="44" t="str">
        <f t="shared" si="461"/>
        <v>N</v>
      </c>
      <c r="AL900" s="4">
        <f t="shared" si="445"/>
        <v>210</v>
      </c>
      <c r="AM900" s="82">
        <f t="shared" si="454"/>
        <v>0</v>
      </c>
      <c r="AN900" s="82">
        <f t="shared" si="446"/>
        <v>0</v>
      </c>
      <c r="AO900" s="48">
        <v>0</v>
      </c>
      <c r="AP900" s="91">
        <f t="shared" si="455"/>
        <v>-466.74713973080821</v>
      </c>
      <c r="AQ900" s="91">
        <f t="shared" si="456"/>
        <v>-466.74713973080821</v>
      </c>
    </row>
    <row r="901" spans="1:43">
      <c r="A901" s="190">
        <f t="shared" si="447"/>
        <v>83.304243668720048</v>
      </c>
      <c r="B901" s="82">
        <f t="shared" si="448"/>
        <v>18</v>
      </c>
      <c r="C901" s="83">
        <f t="shared" si="449"/>
        <v>211</v>
      </c>
      <c r="D901" s="14">
        <f t="shared" si="435"/>
        <v>2.6283369587845051E-3</v>
      </c>
      <c r="E901" s="16">
        <f t="shared" si="436"/>
        <v>0</v>
      </c>
      <c r="F901" s="127"/>
      <c r="G901" s="88">
        <f t="shared" si="437"/>
        <v>0</v>
      </c>
      <c r="H901" s="89">
        <f t="shared" si="450"/>
        <v>4.1666666666666666E-3</v>
      </c>
      <c r="I901" s="219"/>
      <c r="J901" s="219"/>
      <c r="K901" s="6">
        <f t="shared" si="458"/>
        <v>40505.676157945934</v>
      </c>
      <c r="M901" s="6">
        <f t="shared" si="438"/>
        <v>106.46256568648566</v>
      </c>
      <c r="N901" s="6">
        <f t="shared" si="439"/>
        <v>-45.827240485165042</v>
      </c>
      <c r="O901" s="90">
        <f t="shared" si="440"/>
        <v>466.7471397308081</v>
      </c>
      <c r="P901" s="91">
        <f t="shared" si="441"/>
        <v>0</v>
      </c>
      <c r="Q901" s="6">
        <f t="shared" si="442"/>
        <v>169.02629784644691</v>
      </c>
      <c r="R901" s="87">
        <f t="shared" si="460"/>
        <v>-466.74713973080821</v>
      </c>
      <c r="S901" s="6">
        <f t="shared" si="443"/>
        <v>-8.4060154647866359</v>
      </c>
      <c r="T901" s="83">
        <f t="shared" si="451"/>
        <v>0</v>
      </c>
      <c r="U901" s="91">
        <f t="shared" si="457"/>
        <v>64880.041164536749</v>
      </c>
      <c r="V901" s="91">
        <f t="shared" si="452"/>
        <v>170.52661008021201</v>
      </c>
      <c r="W901" s="1">
        <f t="shared" ref="W901:AH910" si="462">IF($B901&lt;=W$78,1,0)</f>
        <v>0</v>
      </c>
      <c r="X901" s="1">
        <f t="shared" si="462"/>
        <v>0</v>
      </c>
      <c r="Y901" s="1">
        <f t="shared" si="462"/>
        <v>0</v>
      </c>
      <c r="Z901" s="1">
        <f t="shared" si="462"/>
        <v>0</v>
      </c>
      <c r="AA901" s="1">
        <f t="shared" si="462"/>
        <v>0</v>
      </c>
      <c r="AB901" s="1">
        <f t="shared" si="462"/>
        <v>0</v>
      </c>
      <c r="AC901" s="1">
        <f t="shared" si="462"/>
        <v>0</v>
      </c>
      <c r="AD901" s="1">
        <f t="shared" si="462"/>
        <v>1</v>
      </c>
      <c r="AE901" s="1">
        <f t="shared" si="462"/>
        <v>1</v>
      </c>
      <c r="AF901" s="1">
        <f t="shared" si="462"/>
        <v>1</v>
      </c>
      <c r="AG901" s="1">
        <f t="shared" si="462"/>
        <v>1</v>
      </c>
      <c r="AH901" s="1">
        <f t="shared" si="462"/>
        <v>1</v>
      </c>
      <c r="AI901" s="44">
        <f t="shared" si="453"/>
        <v>40099.564343416445</v>
      </c>
      <c r="AJ901" s="44">
        <f t="shared" si="444"/>
        <v>40566.311483147256</v>
      </c>
      <c r="AK901" s="44" t="str">
        <f t="shared" si="461"/>
        <v>N</v>
      </c>
      <c r="AL901" s="4">
        <f t="shared" si="445"/>
        <v>211</v>
      </c>
      <c r="AM901" s="82">
        <f t="shared" si="454"/>
        <v>0</v>
      </c>
      <c r="AN901" s="82">
        <f t="shared" si="446"/>
        <v>0</v>
      </c>
      <c r="AO901" s="48">
        <v>0</v>
      </c>
      <c r="AP901" s="91">
        <f t="shared" si="455"/>
        <v>-466.74713973080821</v>
      </c>
      <c r="AQ901" s="91">
        <f t="shared" si="456"/>
        <v>-466.74713973080821</v>
      </c>
    </row>
    <row r="902" spans="1:43">
      <c r="A902" s="190">
        <f t="shared" si="447"/>
        <v>83.387577002053376</v>
      </c>
      <c r="B902" s="82">
        <f t="shared" si="448"/>
        <v>18</v>
      </c>
      <c r="C902" s="83">
        <f t="shared" si="449"/>
        <v>212</v>
      </c>
      <c r="D902" s="14">
        <f t="shared" si="435"/>
        <v>2.6283369587845051E-3</v>
      </c>
      <c r="E902" s="16">
        <f t="shared" si="436"/>
        <v>0</v>
      </c>
      <c r="F902" s="127"/>
      <c r="G902" s="88">
        <f t="shared" si="437"/>
        <v>0</v>
      </c>
      <c r="H902" s="89">
        <f t="shared" si="450"/>
        <v>4.1666666666666666E-3</v>
      </c>
      <c r="I902" s="219"/>
      <c r="J902" s="219"/>
      <c r="K902" s="6">
        <f t="shared" si="458"/>
        <v>40099.564343416445</v>
      </c>
      <c r="M902" s="6">
        <f t="shared" si="438"/>
        <v>105.39516699495876</v>
      </c>
      <c r="N902" s="6">
        <f t="shared" si="439"/>
        <v>-45.367774416366714</v>
      </c>
      <c r="O902" s="90">
        <f t="shared" si="440"/>
        <v>466.7471397308081</v>
      </c>
      <c r="P902" s="91">
        <f t="shared" si="441"/>
        <v>0</v>
      </c>
      <c r="Q902" s="6">
        <f t="shared" si="442"/>
        <v>167.33163223331266</v>
      </c>
      <c r="R902" s="87">
        <f t="shared" si="460"/>
        <v>-466.74713973080821</v>
      </c>
      <c r="S902" s="6">
        <f t="shared" si="443"/>
        <v>-8.321248337546967</v>
      </c>
      <c r="T902" s="83">
        <f t="shared" si="451"/>
        <v>0</v>
      </c>
      <c r="U902" s="91">
        <f t="shared" si="457"/>
        <v>64583.820634886149</v>
      </c>
      <c r="V902" s="91">
        <f t="shared" si="452"/>
        <v>169.74804271418063</v>
      </c>
      <c r="W902" s="1">
        <f t="shared" si="462"/>
        <v>0</v>
      </c>
      <c r="X902" s="1">
        <f t="shared" si="462"/>
        <v>0</v>
      </c>
      <c r="Y902" s="1">
        <f t="shared" si="462"/>
        <v>0</v>
      </c>
      <c r="Z902" s="1">
        <f t="shared" si="462"/>
        <v>0</v>
      </c>
      <c r="AA902" s="1">
        <f t="shared" si="462"/>
        <v>0</v>
      </c>
      <c r="AB902" s="1">
        <f t="shared" si="462"/>
        <v>0</v>
      </c>
      <c r="AC902" s="1">
        <f t="shared" si="462"/>
        <v>0</v>
      </c>
      <c r="AD902" s="1">
        <f t="shared" si="462"/>
        <v>1</v>
      </c>
      <c r="AE902" s="1">
        <f t="shared" si="462"/>
        <v>1</v>
      </c>
      <c r="AF902" s="1">
        <f t="shared" si="462"/>
        <v>1</v>
      </c>
      <c r="AG902" s="1">
        <f t="shared" si="462"/>
        <v>1</v>
      </c>
      <c r="AH902" s="1">
        <f t="shared" si="462"/>
        <v>1</v>
      </c>
      <c r="AI902" s="44">
        <f t="shared" si="453"/>
        <v>39692.844596264229</v>
      </c>
      <c r="AJ902" s="44">
        <f t="shared" si="444"/>
        <v>40159.59173599504</v>
      </c>
      <c r="AK902" s="44" t="str">
        <f t="shared" si="461"/>
        <v>N</v>
      </c>
      <c r="AL902" s="4">
        <f t="shared" si="445"/>
        <v>212</v>
      </c>
      <c r="AM902" s="82">
        <f t="shared" si="454"/>
        <v>0</v>
      </c>
      <c r="AN902" s="82">
        <f t="shared" si="446"/>
        <v>0</v>
      </c>
      <c r="AO902" s="48">
        <v>0</v>
      </c>
      <c r="AP902" s="91">
        <f t="shared" si="455"/>
        <v>-466.74713973080821</v>
      </c>
      <c r="AQ902" s="91">
        <f t="shared" si="456"/>
        <v>-466.74713973080821</v>
      </c>
    </row>
    <row r="903" spans="1:43">
      <c r="A903" s="190">
        <f t="shared" si="447"/>
        <v>83.470910335386719</v>
      </c>
      <c r="B903" s="82">
        <f t="shared" si="448"/>
        <v>18</v>
      </c>
      <c r="C903" s="83">
        <f t="shared" si="449"/>
        <v>213</v>
      </c>
      <c r="D903" s="14">
        <f t="shared" si="435"/>
        <v>2.6283369587845051E-3</v>
      </c>
      <c r="E903" s="16">
        <f t="shared" si="436"/>
        <v>0</v>
      </c>
      <c r="F903" s="127"/>
      <c r="G903" s="88">
        <f t="shared" si="437"/>
        <v>0</v>
      </c>
      <c r="H903" s="89">
        <f t="shared" si="450"/>
        <v>4.1666666666666666E-3</v>
      </c>
      <c r="I903" s="219"/>
      <c r="J903" s="219"/>
      <c r="K903" s="6">
        <f t="shared" si="458"/>
        <v>39692.844596264229</v>
      </c>
      <c r="M903" s="6">
        <f t="shared" si="438"/>
        <v>104.32617045165111</v>
      </c>
      <c r="N903" s="6">
        <f t="shared" si="439"/>
        <v>-44.907620545829396</v>
      </c>
      <c r="O903" s="90">
        <f t="shared" si="440"/>
        <v>466.7471397308081</v>
      </c>
      <c r="P903" s="91">
        <f t="shared" si="441"/>
        <v>0</v>
      </c>
      <c r="Q903" s="6">
        <f t="shared" si="442"/>
        <v>165.63442977570855</v>
      </c>
      <c r="R903" s="87">
        <f t="shared" si="460"/>
        <v>-466.74713973080821</v>
      </c>
      <c r="S903" s="6">
        <f t="shared" si="443"/>
        <v>-8.2363543174168665</v>
      </c>
      <c r="T903" s="83">
        <f t="shared" si="451"/>
        <v>0</v>
      </c>
      <c r="U903" s="91">
        <f t="shared" si="457"/>
        <v>64286.821537869517</v>
      </c>
      <c r="V903" s="91">
        <f t="shared" si="452"/>
        <v>168.96742901076618</v>
      </c>
      <c r="W903" s="1">
        <f t="shared" si="462"/>
        <v>0</v>
      </c>
      <c r="X903" s="1">
        <f t="shared" si="462"/>
        <v>0</v>
      </c>
      <c r="Y903" s="1">
        <f t="shared" si="462"/>
        <v>0</v>
      </c>
      <c r="Z903" s="1">
        <f t="shared" si="462"/>
        <v>0</v>
      </c>
      <c r="AA903" s="1">
        <f t="shared" si="462"/>
        <v>0</v>
      </c>
      <c r="AB903" s="1">
        <f t="shared" si="462"/>
        <v>0</v>
      </c>
      <c r="AC903" s="1">
        <f t="shared" si="462"/>
        <v>0</v>
      </c>
      <c r="AD903" s="1">
        <f t="shared" si="462"/>
        <v>1</v>
      </c>
      <c r="AE903" s="1">
        <f t="shared" si="462"/>
        <v>1</v>
      </c>
      <c r="AF903" s="1">
        <f t="shared" si="462"/>
        <v>1</v>
      </c>
      <c r="AG903" s="1">
        <f t="shared" si="462"/>
        <v>1</v>
      </c>
      <c r="AH903" s="1">
        <f t="shared" si="462"/>
        <v>1</v>
      </c>
      <c r="AI903" s="44">
        <f t="shared" si="453"/>
        <v>39285.51600643924</v>
      </c>
      <c r="AJ903" s="44">
        <f t="shared" si="444"/>
        <v>39752.263146170051</v>
      </c>
      <c r="AK903" s="44" t="str">
        <f t="shared" si="461"/>
        <v>N</v>
      </c>
      <c r="AL903" s="4">
        <f t="shared" si="445"/>
        <v>213</v>
      </c>
      <c r="AM903" s="82">
        <f t="shared" si="454"/>
        <v>0</v>
      </c>
      <c r="AN903" s="82">
        <f t="shared" si="446"/>
        <v>0</v>
      </c>
      <c r="AO903" s="48">
        <v>0</v>
      </c>
      <c r="AP903" s="91">
        <f t="shared" si="455"/>
        <v>-466.74713973080821</v>
      </c>
      <c r="AQ903" s="91">
        <f t="shared" si="456"/>
        <v>-466.74713973080821</v>
      </c>
    </row>
    <row r="904" spans="1:43">
      <c r="A904" s="190">
        <f t="shared" si="447"/>
        <v>83.554243668720048</v>
      </c>
      <c r="B904" s="82">
        <f t="shared" si="448"/>
        <v>18</v>
      </c>
      <c r="C904" s="83">
        <f t="shared" si="449"/>
        <v>214</v>
      </c>
      <c r="D904" s="14">
        <f t="shared" si="435"/>
        <v>2.6283369587845051E-3</v>
      </c>
      <c r="E904" s="16">
        <f t="shared" si="436"/>
        <v>0</v>
      </c>
      <c r="F904" s="127"/>
      <c r="G904" s="88">
        <f t="shared" si="437"/>
        <v>0</v>
      </c>
      <c r="H904" s="89">
        <f t="shared" si="450"/>
        <v>4.1666666666666666E-3</v>
      </c>
      <c r="I904" s="219"/>
      <c r="J904" s="219"/>
      <c r="K904" s="6">
        <f t="shared" si="458"/>
        <v>39285.51600643924</v>
      </c>
      <c r="M904" s="6">
        <f t="shared" si="438"/>
        <v>103.25557366464452</v>
      </c>
      <c r="N904" s="6">
        <f t="shared" si="439"/>
        <v>-44.446777843942264</v>
      </c>
      <c r="O904" s="90">
        <f t="shared" si="440"/>
        <v>466.7471397308081</v>
      </c>
      <c r="P904" s="91">
        <f t="shared" si="441"/>
        <v>0</v>
      </c>
      <c r="Q904" s="6">
        <f t="shared" si="442"/>
        <v>163.93468667608309</v>
      </c>
      <c r="R904" s="87">
        <f t="shared" si="460"/>
        <v>-466.74713973080821</v>
      </c>
      <c r="S904" s="6">
        <f t="shared" si="443"/>
        <v>-8.151333214442916</v>
      </c>
      <c r="T904" s="83">
        <f t="shared" si="451"/>
        <v>0</v>
      </c>
      <c r="U904" s="91">
        <f t="shared" si="457"/>
        <v>63989.041827149471</v>
      </c>
      <c r="V904" s="91">
        <f t="shared" si="452"/>
        <v>168.18476359150452</v>
      </c>
      <c r="W904" s="1">
        <f t="shared" si="462"/>
        <v>0</v>
      </c>
      <c r="X904" s="1">
        <f t="shared" si="462"/>
        <v>0</v>
      </c>
      <c r="Y904" s="1">
        <f t="shared" si="462"/>
        <v>0</v>
      </c>
      <c r="Z904" s="1">
        <f t="shared" si="462"/>
        <v>0</v>
      </c>
      <c r="AA904" s="1">
        <f t="shared" si="462"/>
        <v>0</v>
      </c>
      <c r="AB904" s="1">
        <f t="shared" si="462"/>
        <v>0</v>
      </c>
      <c r="AC904" s="1">
        <f t="shared" si="462"/>
        <v>0</v>
      </c>
      <c r="AD904" s="1">
        <f t="shared" si="462"/>
        <v>1</v>
      </c>
      <c r="AE904" s="1">
        <f t="shared" si="462"/>
        <v>1</v>
      </c>
      <c r="AF904" s="1">
        <f t="shared" si="462"/>
        <v>1</v>
      </c>
      <c r="AG904" s="1">
        <f t="shared" si="462"/>
        <v>1</v>
      </c>
      <c r="AH904" s="1">
        <f t="shared" si="462"/>
        <v>1</v>
      </c>
      <c r="AI904" s="44">
        <f t="shared" si="453"/>
        <v>38877.577662529133</v>
      </c>
      <c r="AJ904" s="44">
        <f t="shared" si="444"/>
        <v>39344.324802259944</v>
      </c>
      <c r="AK904" s="44" t="str">
        <f t="shared" si="461"/>
        <v>N</v>
      </c>
      <c r="AL904" s="4">
        <f t="shared" si="445"/>
        <v>214</v>
      </c>
      <c r="AM904" s="82">
        <f t="shared" si="454"/>
        <v>0</v>
      </c>
      <c r="AN904" s="82">
        <f t="shared" si="446"/>
        <v>0</v>
      </c>
      <c r="AO904" s="48">
        <v>0</v>
      </c>
      <c r="AP904" s="91">
        <f t="shared" si="455"/>
        <v>-466.74713973080821</v>
      </c>
      <c r="AQ904" s="91">
        <f t="shared" si="456"/>
        <v>-466.74713973080821</v>
      </c>
    </row>
    <row r="905" spans="1:43">
      <c r="A905" s="190">
        <f t="shared" si="447"/>
        <v>83.637577002053376</v>
      </c>
      <c r="B905" s="82">
        <f t="shared" si="448"/>
        <v>18</v>
      </c>
      <c r="C905" s="83">
        <f t="shared" si="449"/>
        <v>215</v>
      </c>
      <c r="D905" s="14">
        <f t="shared" si="435"/>
        <v>2.6283369587845051E-3</v>
      </c>
      <c r="E905" s="16">
        <f t="shared" si="436"/>
        <v>0</v>
      </c>
      <c r="F905" s="127"/>
      <c r="G905" s="88">
        <f t="shared" si="437"/>
        <v>0</v>
      </c>
      <c r="H905" s="89">
        <f t="shared" si="450"/>
        <v>4.1666666666666666E-3</v>
      </c>
      <c r="I905" s="219"/>
      <c r="J905" s="219"/>
      <c r="K905" s="6">
        <f t="shared" si="458"/>
        <v>38877.577662529133</v>
      </c>
      <c r="M905" s="6">
        <f t="shared" si="438"/>
        <v>102.18337423844024</v>
      </c>
      <c r="N905" s="6">
        <f t="shared" si="439"/>
        <v>-43.985245279553226</v>
      </c>
      <c r="O905" s="90">
        <f t="shared" si="440"/>
        <v>466.7471397308081</v>
      </c>
      <c r="P905" s="91">
        <f t="shared" si="441"/>
        <v>0</v>
      </c>
      <c r="Q905" s="6">
        <f t="shared" si="442"/>
        <v>162.23239913120008</v>
      </c>
      <c r="R905" s="87">
        <f t="shared" si="460"/>
        <v>-466.74713973080821</v>
      </c>
      <c r="S905" s="6">
        <f t="shared" si="443"/>
        <v>-8.0661848383873416</v>
      </c>
      <c r="T905" s="83">
        <f t="shared" si="451"/>
        <v>0</v>
      </c>
      <c r="U905" s="91">
        <f t="shared" si="457"/>
        <v>63690.479451010164</v>
      </c>
      <c r="V905" s="91">
        <f t="shared" si="452"/>
        <v>167.40004106379507</v>
      </c>
      <c r="W905" s="1">
        <f t="shared" si="462"/>
        <v>0</v>
      </c>
      <c r="X905" s="1">
        <f t="shared" si="462"/>
        <v>0</v>
      </c>
      <c r="Y905" s="1">
        <f t="shared" si="462"/>
        <v>0</v>
      </c>
      <c r="Z905" s="1">
        <f t="shared" si="462"/>
        <v>0</v>
      </c>
      <c r="AA905" s="1">
        <f t="shared" si="462"/>
        <v>0</v>
      </c>
      <c r="AB905" s="1">
        <f t="shared" si="462"/>
        <v>0</v>
      </c>
      <c r="AC905" s="1">
        <f t="shared" si="462"/>
        <v>0</v>
      </c>
      <c r="AD905" s="1">
        <f t="shared" si="462"/>
        <v>1</v>
      </c>
      <c r="AE905" s="1">
        <f t="shared" si="462"/>
        <v>1</v>
      </c>
      <c r="AF905" s="1">
        <f t="shared" si="462"/>
        <v>1</v>
      </c>
      <c r="AG905" s="1">
        <f t="shared" si="462"/>
        <v>1</v>
      </c>
      <c r="AH905" s="1">
        <f t="shared" si="462"/>
        <v>1</v>
      </c>
      <c r="AI905" s="44">
        <f t="shared" si="453"/>
        <v>38469.028651757209</v>
      </c>
      <c r="AJ905" s="44">
        <f t="shared" si="444"/>
        <v>38935.77579148802</v>
      </c>
      <c r="AK905" s="44" t="str">
        <f t="shared" si="461"/>
        <v>N</v>
      </c>
      <c r="AL905" s="4">
        <f t="shared" si="445"/>
        <v>215</v>
      </c>
      <c r="AM905" s="82">
        <f t="shared" si="454"/>
        <v>0</v>
      </c>
      <c r="AN905" s="82">
        <f t="shared" si="446"/>
        <v>0</v>
      </c>
      <c r="AO905" s="48">
        <v>0</v>
      </c>
      <c r="AP905" s="91">
        <f t="shared" si="455"/>
        <v>-466.74713973080821</v>
      </c>
      <c r="AQ905" s="91">
        <f t="shared" si="456"/>
        <v>-466.74713973080821</v>
      </c>
    </row>
    <row r="906" spans="1:43">
      <c r="A906" s="190">
        <f t="shared" si="447"/>
        <v>83.720910335386719</v>
      </c>
      <c r="B906" s="82">
        <f t="shared" si="448"/>
        <v>18</v>
      </c>
      <c r="C906" s="83">
        <f t="shared" si="449"/>
        <v>216</v>
      </c>
      <c r="D906" s="14">
        <f t="shared" si="435"/>
        <v>2.6283369587845051E-3</v>
      </c>
      <c r="E906" s="16">
        <f t="shared" si="436"/>
        <v>0</v>
      </c>
      <c r="F906" s="127"/>
      <c r="G906" s="88">
        <f t="shared" si="437"/>
        <v>0</v>
      </c>
      <c r="H906" s="89">
        <f t="shared" si="450"/>
        <v>4.1666666666666666E-3</v>
      </c>
      <c r="I906" s="219"/>
      <c r="J906" s="219"/>
      <c r="K906" s="6">
        <f t="shared" si="458"/>
        <v>38469.028651757209</v>
      </c>
      <c r="M906" s="6">
        <f t="shared" si="438"/>
        <v>101.10956977395354</v>
      </c>
      <c r="N906" s="6">
        <f t="shared" si="439"/>
        <v>-43.523021819966608</v>
      </c>
      <c r="O906" s="90">
        <f t="shared" si="440"/>
        <v>466.7471397308081</v>
      </c>
      <c r="P906" s="91">
        <f t="shared" si="441"/>
        <v>0</v>
      </c>
      <c r="Q906" s="6">
        <f t="shared" si="442"/>
        <v>160.52756333212997</v>
      </c>
      <c r="R906" s="87">
        <f t="shared" si="460"/>
        <v>-466.74713973080821</v>
      </c>
      <c r="S906" s="6">
        <f t="shared" si="443"/>
        <v>-7.9809089987275987</v>
      </c>
      <c r="T906" s="83">
        <f t="shared" si="451"/>
        <v>0</v>
      </c>
      <c r="U906" s="91">
        <f t="shared" si="457"/>
        <v>63391.132352343149</v>
      </c>
      <c r="V906" s="91">
        <f t="shared" si="452"/>
        <v>166.61325602086364</v>
      </c>
      <c r="W906" s="1">
        <f t="shared" si="462"/>
        <v>0</v>
      </c>
      <c r="X906" s="1">
        <f t="shared" si="462"/>
        <v>0</v>
      </c>
      <c r="Y906" s="1">
        <f t="shared" si="462"/>
        <v>0</v>
      </c>
      <c r="Z906" s="1">
        <f t="shared" si="462"/>
        <v>0</v>
      </c>
      <c r="AA906" s="1">
        <f t="shared" si="462"/>
        <v>0</v>
      </c>
      <c r="AB906" s="1">
        <f t="shared" si="462"/>
        <v>0</v>
      </c>
      <c r="AC906" s="1">
        <f t="shared" si="462"/>
        <v>0</v>
      </c>
      <c r="AD906" s="1">
        <f t="shared" si="462"/>
        <v>1</v>
      </c>
      <c r="AE906" s="1">
        <f t="shared" si="462"/>
        <v>1</v>
      </c>
      <c r="AF906" s="1">
        <f t="shared" si="462"/>
        <v>1</v>
      </c>
      <c r="AG906" s="1">
        <f t="shared" si="462"/>
        <v>1</v>
      </c>
      <c r="AH906" s="1">
        <f t="shared" si="462"/>
        <v>1</v>
      </c>
      <c r="AI906" s="44">
        <f t="shared" si="453"/>
        <v>38059.868059980385</v>
      </c>
      <c r="AJ906" s="44">
        <f t="shared" si="444"/>
        <v>38526.615199711196</v>
      </c>
      <c r="AK906" s="44" t="str">
        <f t="shared" si="461"/>
        <v>N</v>
      </c>
      <c r="AL906" s="4">
        <f t="shared" si="445"/>
        <v>216</v>
      </c>
      <c r="AM906" s="82">
        <f t="shared" si="454"/>
        <v>0</v>
      </c>
      <c r="AN906" s="82">
        <f t="shared" si="446"/>
        <v>0</v>
      </c>
      <c r="AO906" s="48">
        <v>0</v>
      </c>
      <c r="AP906" s="91">
        <f t="shared" si="455"/>
        <v>-466.74713973080821</v>
      </c>
      <c r="AQ906" s="91">
        <f t="shared" si="456"/>
        <v>-466.74713973080821</v>
      </c>
    </row>
    <row r="907" spans="1:43">
      <c r="A907" s="190">
        <f t="shared" si="447"/>
        <v>83.804243668720048</v>
      </c>
      <c r="B907" s="82">
        <f t="shared" si="448"/>
        <v>19</v>
      </c>
      <c r="C907" s="83">
        <f t="shared" si="449"/>
        <v>217</v>
      </c>
      <c r="D907" s="14">
        <f t="shared" si="435"/>
        <v>2.6283369587845051E-3</v>
      </c>
      <c r="E907" s="16">
        <f t="shared" si="436"/>
        <v>0</v>
      </c>
      <c r="F907" s="127"/>
      <c r="G907" s="88">
        <f t="shared" si="437"/>
        <v>0</v>
      </c>
      <c r="H907" s="89">
        <f t="shared" si="450"/>
        <v>4.1666666666666666E-3</v>
      </c>
      <c r="I907" s="219"/>
      <c r="J907" s="219"/>
      <c r="K907" s="6">
        <f t="shared" si="458"/>
        <v>38059.868059980385</v>
      </c>
      <c r="M907" s="6">
        <f t="shared" si="438"/>
        <v>100.03415786850837</v>
      </c>
      <c r="N907" s="6">
        <f t="shared" si="439"/>
        <v>-43.060106430940799</v>
      </c>
      <c r="O907" s="90">
        <f t="shared" si="440"/>
        <v>476.0820825254242</v>
      </c>
      <c r="P907" s="91">
        <f t="shared" si="441"/>
        <v>0</v>
      </c>
      <c r="Q907" s="6">
        <f t="shared" si="442"/>
        <v>158.82017546424149</v>
      </c>
      <c r="R907" s="87">
        <f t="shared" si="460"/>
        <v>-476.79475775108642</v>
      </c>
      <c r="S907" s="6">
        <f t="shared" si="443"/>
        <v>-7.8944576765998686</v>
      </c>
      <c r="T907" s="83">
        <f t="shared" si="451"/>
        <v>0</v>
      </c>
      <c r="U907" s="91">
        <f t="shared" si="457"/>
        <v>63090.998468633203</v>
      </c>
      <c r="V907" s="91">
        <f t="shared" si="452"/>
        <v>165.82440304172528</v>
      </c>
      <c r="W907" s="1">
        <f t="shared" si="462"/>
        <v>0</v>
      </c>
      <c r="X907" s="1">
        <f t="shared" si="462"/>
        <v>0</v>
      </c>
      <c r="Y907" s="1">
        <f t="shared" si="462"/>
        <v>0</v>
      </c>
      <c r="Z907" s="1">
        <f t="shared" si="462"/>
        <v>0</v>
      </c>
      <c r="AA907" s="1">
        <f t="shared" si="462"/>
        <v>0</v>
      </c>
      <c r="AB907" s="1">
        <f t="shared" si="462"/>
        <v>0</v>
      </c>
      <c r="AC907" s="1">
        <f t="shared" si="462"/>
        <v>0</v>
      </c>
      <c r="AD907" s="1">
        <f t="shared" si="462"/>
        <v>1</v>
      </c>
      <c r="AE907" s="1">
        <f t="shared" si="462"/>
        <v>1</v>
      </c>
      <c r="AF907" s="1">
        <f t="shared" si="462"/>
        <v>1</v>
      </c>
      <c r="AG907" s="1">
        <f t="shared" si="462"/>
        <v>1</v>
      </c>
      <c r="AH907" s="1">
        <f t="shared" si="462"/>
        <v>1</v>
      </c>
      <c r="AI907" s="44">
        <f t="shared" si="453"/>
        <v>37640.047353666872</v>
      </c>
      <c r="AJ907" s="44">
        <f t="shared" si="444"/>
        <v>38116.842111417958</v>
      </c>
      <c r="AK907" s="44" t="str">
        <f t="shared" si="461"/>
        <v>N</v>
      </c>
      <c r="AL907" s="4">
        <f t="shared" si="445"/>
        <v>217</v>
      </c>
      <c r="AM907" s="82">
        <f t="shared" si="454"/>
        <v>0</v>
      </c>
      <c r="AN907" s="82">
        <f t="shared" si="446"/>
        <v>0</v>
      </c>
      <c r="AO907" s="48">
        <v>0</v>
      </c>
      <c r="AP907" s="91">
        <f t="shared" si="455"/>
        <v>-476.79475775108642</v>
      </c>
      <c r="AQ907" s="91">
        <f t="shared" si="456"/>
        <v>-476.79475775108642</v>
      </c>
    </row>
    <row r="908" spans="1:43">
      <c r="A908" s="190">
        <f t="shared" si="447"/>
        <v>83.887577002053376</v>
      </c>
      <c r="B908" s="82">
        <f t="shared" si="448"/>
        <v>19</v>
      </c>
      <c r="C908" s="83">
        <f t="shared" si="449"/>
        <v>218</v>
      </c>
      <c r="D908" s="14">
        <f t="shared" si="435"/>
        <v>2.6283369587845051E-3</v>
      </c>
      <c r="E908" s="16">
        <f t="shared" si="436"/>
        <v>0</v>
      </c>
      <c r="F908" s="127"/>
      <c r="G908" s="88">
        <f t="shared" si="437"/>
        <v>0</v>
      </c>
      <c r="H908" s="89">
        <f t="shared" si="450"/>
        <v>4.1666666666666666E-3</v>
      </c>
      <c r="I908" s="219"/>
      <c r="J908" s="219"/>
      <c r="K908" s="6">
        <f t="shared" si="458"/>
        <v>37640.047353666872</v>
      </c>
      <c r="M908" s="6">
        <f t="shared" si="438"/>
        <v>98.930727590041542</v>
      </c>
      <c r="N908" s="6">
        <f t="shared" si="439"/>
        <v>-42.585130420322912</v>
      </c>
      <c r="O908" s="90">
        <f t="shared" si="440"/>
        <v>476.0820825254242</v>
      </c>
      <c r="P908" s="91">
        <f t="shared" si="441"/>
        <v>0</v>
      </c>
      <c r="Q908" s="6">
        <f t="shared" si="442"/>
        <v>157.06830396181914</v>
      </c>
      <c r="R908" s="87">
        <f t="shared" si="460"/>
        <v>-476.08208252542437</v>
      </c>
      <c r="S908" s="6">
        <f t="shared" si="443"/>
        <v>-7.8069034345574444</v>
      </c>
      <c r="T908" s="83">
        <f t="shared" si="451"/>
        <v>0</v>
      </c>
      <c r="U908" s="91">
        <f t="shared" si="457"/>
        <v>62780.028113923843</v>
      </c>
      <c r="V908" s="91">
        <f t="shared" si="452"/>
        <v>165.00706816535632</v>
      </c>
      <c r="W908" s="1">
        <f t="shared" si="462"/>
        <v>0</v>
      </c>
      <c r="X908" s="1">
        <f t="shared" si="462"/>
        <v>0</v>
      </c>
      <c r="Y908" s="1">
        <f t="shared" si="462"/>
        <v>0</v>
      </c>
      <c r="Z908" s="1">
        <f t="shared" si="462"/>
        <v>0</v>
      </c>
      <c r="AA908" s="1">
        <f t="shared" si="462"/>
        <v>0</v>
      </c>
      <c r="AB908" s="1">
        <f t="shared" si="462"/>
        <v>0</v>
      </c>
      <c r="AC908" s="1">
        <f t="shared" si="462"/>
        <v>0</v>
      </c>
      <c r="AD908" s="1">
        <f t="shared" si="462"/>
        <v>1</v>
      </c>
      <c r="AE908" s="1">
        <f t="shared" si="462"/>
        <v>1</v>
      </c>
      <c r="AF908" s="1">
        <f t="shared" si="462"/>
        <v>1</v>
      </c>
      <c r="AG908" s="1">
        <f t="shared" si="462"/>
        <v>1</v>
      </c>
      <c r="AH908" s="1">
        <f t="shared" si="462"/>
        <v>1</v>
      </c>
      <c r="AI908" s="44">
        <f t="shared" si="453"/>
        <v>37220.310868311164</v>
      </c>
      <c r="AJ908" s="44">
        <f t="shared" si="444"/>
        <v>37696.392950836591</v>
      </c>
      <c r="AK908" s="44" t="str">
        <f t="shared" si="461"/>
        <v>N</v>
      </c>
      <c r="AL908" s="4">
        <f t="shared" si="445"/>
        <v>218</v>
      </c>
      <c r="AM908" s="82">
        <f t="shared" si="454"/>
        <v>0</v>
      </c>
      <c r="AN908" s="82">
        <f t="shared" si="446"/>
        <v>0</v>
      </c>
      <c r="AO908" s="48">
        <v>0</v>
      </c>
      <c r="AP908" s="91">
        <f t="shared" si="455"/>
        <v>-476.08208252542437</v>
      </c>
      <c r="AQ908" s="91">
        <f t="shared" si="456"/>
        <v>-476.08208252542437</v>
      </c>
    </row>
    <row r="909" spans="1:43">
      <c r="A909" s="190">
        <f t="shared" si="447"/>
        <v>83.970910335386719</v>
      </c>
      <c r="B909" s="82">
        <f t="shared" si="448"/>
        <v>19</v>
      </c>
      <c r="C909" s="83">
        <f t="shared" si="449"/>
        <v>219</v>
      </c>
      <c r="D909" s="14">
        <f t="shared" si="435"/>
        <v>2.6283369587845051E-3</v>
      </c>
      <c r="E909" s="16">
        <f t="shared" si="436"/>
        <v>0</v>
      </c>
      <c r="F909" s="127"/>
      <c r="G909" s="88">
        <f t="shared" si="437"/>
        <v>0</v>
      </c>
      <c r="H909" s="89">
        <f t="shared" si="450"/>
        <v>4.1666666666666666E-3</v>
      </c>
      <c r="I909" s="219"/>
      <c r="J909" s="219"/>
      <c r="K909" s="6">
        <f t="shared" si="458"/>
        <v>37220.310868311164</v>
      </c>
      <c r="M909" s="6">
        <f t="shared" si="438"/>
        <v>97.827518672630831</v>
      </c>
      <c r="N909" s="6">
        <f t="shared" si="439"/>
        <v>-42.110249695463793</v>
      </c>
      <c r="O909" s="90">
        <f t="shared" si="440"/>
        <v>476.0820825254242</v>
      </c>
      <c r="P909" s="91">
        <f t="shared" si="441"/>
        <v>0</v>
      </c>
      <c r="Q909" s="6">
        <f t="shared" si="442"/>
        <v>155.31678390536806</v>
      </c>
      <c r="R909" s="87">
        <f t="shared" si="460"/>
        <v>-476.08208252542437</v>
      </c>
      <c r="S909" s="6">
        <f t="shared" si="443"/>
        <v>-7.7192924496307906</v>
      </c>
      <c r="T909" s="83">
        <f t="shared" si="451"/>
        <v>0</v>
      </c>
      <c r="U909" s="91">
        <f t="shared" si="457"/>
        <v>62468.953099563776</v>
      </c>
      <c r="V909" s="91">
        <f t="shared" si="452"/>
        <v>164.18945820815935</v>
      </c>
      <c r="W909" s="1">
        <f t="shared" si="462"/>
        <v>0</v>
      </c>
      <c r="X909" s="1">
        <f t="shared" si="462"/>
        <v>0</v>
      </c>
      <c r="Y909" s="1">
        <f t="shared" si="462"/>
        <v>0</v>
      </c>
      <c r="Z909" s="1">
        <f t="shared" si="462"/>
        <v>0</v>
      </c>
      <c r="AA909" s="1">
        <f t="shared" si="462"/>
        <v>0</v>
      </c>
      <c r="AB909" s="1">
        <f t="shared" si="462"/>
        <v>0</v>
      </c>
      <c r="AC909" s="1">
        <f t="shared" si="462"/>
        <v>0</v>
      </c>
      <c r="AD909" s="1">
        <f t="shared" si="462"/>
        <v>1</v>
      </c>
      <c r="AE909" s="1">
        <f t="shared" si="462"/>
        <v>1</v>
      </c>
      <c r="AF909" s="1">
        <f t="shared" si="462"/>
        <v>1</v>
      </c>
      <c r="AG909" s="1">
        <f t="shared" si="462"/>
        <v>1</v>
      </c>
      <c r="AH909" s="1">
        <f t="shared" si="462"/>
        <v>1</v>
      </c>
      <c r="AI909" s="44">
        <f t="shared" si="453"/>
        <v>36799.946054762906</v>
      </c>
      <c r="AJ909" s="44">
        <f t="shared" si="444"/>
        <v>37276.028137288333</v>
      </c>
      <c r="AK909" s="44" t="str">
        <f t="shared" si="461"/>
        <v>N</v>
      </c>
      <c r="AL909" s="4">
        <f t="shared" si="445"/>
        <v>219</v>
      </c>
      <c r="AM909" s="82">
        <f t="shared" si="454"/>
        <v>0</v>
      </c>
      <c r="AN909" s="82">
        <f t="shared" si="446"/>
        <v>0</v>
      </c>
      <c r="AO909" s="48">
        <v>0</v>
      </c>
      <c r="AP909" s="91">
        <f t="shared" si="455"/>
        <v>-476.08208252542437</v>
      </c>
      <c r="AQ909" s="91">
        <f t="shared" si="456"/>
        <v>-476.08208252542437</v>
      </c>
    </row>
    <row r="910" spans="1:43">
      <c r="A910" s="190">
        <f t="shared" si="447"/>
        <v>84.054243668720048</v>
      </c>
      <c r="B910" s="82">
        <f t="shared" si="448"/>
        <v>19</v>
      </c>
      <c r="C910" s="83">
        <f t="shared" si="449"/>
        <v>220</v>
      </c>
      <c r="D910" s="14">
        <f t="shared" si="435"/>
        <v>2.6283369587845051E-3</v>
      </c>
      <c r="E910" s="16">
        <f t="shared" si="436"/>
        <v>0</v>
      </c>
      <c r="F910" s="127"/>
      <c r="G910" s="88">
        <f t="shared" si="437"/>
        <v>0</v>
      </c>
      <c r="H910" s="89">
        <f t="shared" si="450"/>
        <v>4.1666666666666666E-3</v>
      </c>
      <c r="I910" s="219"/>
      <c r="J910" s="219"/>
      <c r="K910" s="6">
        <f t="shared" si="458"/>
        <v>36799.946054762906</v>
      </c>
      <c r="M910" s="6">
        <f t="shared" si="438"/>
        <v>96.722658297009389</v>
      </c>
      <c r="N910" s="6">
        <f t="shared" si="439"/>
        <v>-41.63465809376185</v>
      </c>
      <c r="O910" s="90">
        <f t="shared" si="440"/>
        <v>476.0820825254242</v>
      </c>
      <c r="P910" s="91">
        <f t="shared" si="441"/>
        <v>0</v>
      </c>
      <c r="Q910" s="6">
        <f t="shared" si="442"/>
        <v>153.56264189569231</v>
      </c>
      <c r="R910" s="87">
        <f t="shared" si="460"/>
        <v>-476.08208252542437</v>
      </c>
      <c r="S910" s="6">
        <f t="shared" si="443"/>
        <v>-7.6315503146761392</v>
      </c>
      <c r="T910" s="83">
        <f t="shared" si="451"/>
        <v>0</v>
      </c>
      <c r="U910" s="91">
        <f t="shared" si="457"/>
        <v>62157.060475246508</v>
      </c>
      <c r="V910" s="91">
        <f t="shared" si="452"/>
        <v>163.36969929649396</v>
      </c>
      <c r="W910" s="1">
        <f t="shared" si="462"/>
        <v>0</v>
      </c>
      <c r="X910" s="1">
        <f t="shared" si="462"/>
        <v>0</v>
      </c>
      <c r="Y910" s="1">
        <f t="shared" si="462"/>
        <v>0</v>
      </c>
      <c r="Z910" s="1">
        <f t="shared" si="462"/>
        <v>0</v>
      </c>
      <c r="AA910" s="1">
        <f t="shared" si="462"/>
        <v>0</v>
      </c>
      <c r="AB910" s="1">
        <f t="shared" si="462"/>
        <v>0</v>
      </c>
      <c r="AC910" s="1">
        <f t="shared" si="462"/>
        <v>0</v>
      </c>
      <c r="AD910" s="1">
        <f t="shared" si="462"/>
        <v>1</v>
      </c>
      <c r="AE910" s="1">
        <f t="shared" si="462"/>
        <v>1</v>
      </c>
      <c r="AF910" s="1">
        <f t="shared" si="462"/>
        <v>1</v>
      </c>
      <c r="AG910" s="1">
        <f t="shared" si="462"/>
        <v>1</v>
      </c>
      <c r="AH910" s="1">
        <f t="shared" si="462"/>
        <v>1</v>
      </c>
      <c r="AI910" s="44">
        <f t="shared" si="453"/>
        <v>36378.951972440729</v>
      </c>
      <c r="AJ910" s="44">
        <f t="shared" si="444"/>
        <v>36855.034054966156</v>
      </c>
      <c r="AK910" s="44" t="str">
        <f t="shared" si="461"/>
        <v>N</v>
      </c>
      <c r="AL910" s="4">
        <f t="shared" si="445"/>
        <v>220</v>
      </c>
      <c r="AM910" s="82">
        <f t="shared" si="454"/>
        <v>0</v>
      </c>
      <c r="AN910" s="82">
        <f t="shared" si="446"/>
        <v>0</v>
      </c>
      <c r="AO910" s="48">
        <v>0</v>
      </c>
      <c r="AP910" s="91">
        <f t="shared" si="455"/>
        <v>-476.08208252542437</v>
      </c>
      <c r="AQ910" s="91">
        <f t="shared" si="456"/>
        <v>-476.08208252542437</v>
      </c>
    </row>
    <row r="911" spans="1:43">
      <c r="A911" s="190">
        <f t="shared" si="447"/>
        <v>84.137577002053376</v>
      </c>
      <c r="B911" s="82">
        <f t="shared" si="448"/>
        <v>19</v>
      </c>
      <c r="C911" s="83">
        <f t="shared" si="449"/>
        <v>221</v>
      </c>
      <c r="D911" s="14">
        <f t="shared" si="435"/>
        <v>2.6283369587845051E-3</v>
      </c>
      <c r="E911" s="16">
        <f t="shared" si="436"/>
        <v>0</v>
      </c>
      <c r="F911" s="127"/>
      <c r="G911" s="88">
        <f t="shared" si="437"/>
        <v>0</v>
      </c>
      <c r="H911" s="89">
        <f t="shared" si="450"/>
        <v>4.1666666666666666E-3</v>
      </c>
      <c r="I911" s="219"/>
      <c r="J911" s="219"/>
      <c r="K911" s="6">
        <f t="shared" si="458"/>
        <v>36378.951972440729</v>
      </c>
      <c r="M911" s="6">
        <f t="shared" si="438"/>
        <v>95.616143991012436</v>
      </c>
      <c r="N911" s="6">
        <f t="shared" si="439"/>
        <v>-41.158354551063802</v>
      </c>
      <c r="O911" s="90">
        <f t="shared" si="440"/>
        <v>476.0820825254242</v>
      </c>
      <c r="P911" s="91">
        <f t="shared" si="441"/>
        <v>0</v>
      </c>
      <c r="Q911" s="6">
        <f t="shared" si="442"/>
        <v>151.80587400783617</v>
      </c>
      <c r="R911" s="87">
        <f t="shared" si="460"/>
        <v>-476.08208252542437</v>
      </c>
      <c r="S911" s="6">
        <f t="shared" si="443"/>
        <v>-7.5436768333673108</v>
      </c>
      <c r="T911" s="83">
        <f t="shared" si="451"/>
        <v>0</v>
      </c>
      <c r="U911" s="91">
        <f t="shared" si="457"/>
        <v>61844.348092017572</v>
      </c>
      <c r="V911" s="91">
        <f t="shared" si="452"/>
        <v>162.54778578218378</v>
      </c>
      <c r="W911" s="1">
        <f t="shared" ref="W911:AH920" si="463">IF($B911&lt;=W$78,1,0)</f>
        <v>0</v>
      </c>
      <c r="X911" s="1">
        <f t="shared" si="463"/>
        <v>0</v>
      </c>
      <c r="Y911" s="1">
        <f t="shared" si="463"/>
        <v>0</v>
      </c>
      <c r="Z911" s="1">
        <f t="shared" si="463"/>
        <v>0</v>
      </c>
      <c r="AA911" s="1">
        <f t="shared" si="463"/>
        <v>0</v>
      </c>
      <c r="AB911" s="1">
        <f t="shared" si="463"/>
        <v>0</v>
      </c>
      <c r="AC911" s="1">
        <f t="shared" si="463"/>
        <v>0</v>
      </c>
      <c r="AD911" s="1">
        <f t="shared" si="463"/>
        <v>1</v>
      </c>
      <c r="AE911" s="1">
        <f t="shared" si="463"/>
        <v>1</v>
      </c>
      <c r="AF911" s="1">
        <f t="shared" si="463"/>
        <v>1</v>
      </c>
      <c r="AG911" s="1">
        <f t="shared" si="463"/>
        <v>1</v>
      </c>
      <c r="AH911" s="1">
        <f t="shared" si="463"/>
        <v>1</v>
      </c>
      <c r="AI911" s="44">
        <f t="shared" si="453"/>
        <v>35957.32767935525</v>
      </c>
      <c r="AJ911" s="44">
        <f t="shared" si="444"/>
        <v>36433.409761880677</v>
      </c>
      <c r="AK911" s="44" t="str">
        <f t="shared" si="461"/>
        <v>N</v>
      </c>
      <c r="AL911" s="4">
        <f t="shared" si="445"/>
        <v>221</v>
      </c>
      <c r="AM911" s="82">
        <f t="shared" si="454"/>
        <v>0</v>
      </c>
      <c r="AN911" s="82">
        <f t="shared" si="446"/>
        <v>0</v>
      </c>
      <c r="AO911" s="48">
        <v>0</v>
      </c>
      <c r="AP911" s="91">
        <f t="shared" si="455"/>
        <v>-476.08208252542437</v>
      </c>
      <c r="AQ911" s="91">
        <f t="shared" si="456"/>
        <v>-476.08208252542437</v>
      </c>
    </row>
    <row r="912" spans="1:43">
      <c r="A912" s="190">
        <f t="shared" si="447"/>
        <v>84.220910335386719</v>
      </c>
      <c r="B912" s="82">
        <f t="shared" si="448"/>
        <v>19</v>
      </c>
      <c r="C912" s="83">
        <f t="shared" si="449"/>
        <v>222</v>
      </c>
      <c r="D912" s="14">
        <f t="shared" si="435"/>
        <v>2.6283369587845051E-3</v>
      </c>
      <c r="E912" s="16">
        <f t="shared" si="436"/>
        <v>0</v>
      </c>
      <c r="F912" s="127"/>
      <c r="G912" s="88">
        <f t="shared" si="437"/>
        <v>0</v>
      </c>
      <c r="H912" s="89">
        <f t="shared" si="450"/>
        <v>4.1666666666666666E-3</v>
      </c>
      <c r="I912" s="219"/>
      <c r="J912" s="219"/>
      <c r="K912" s="6">
        <f t="shared" si="458"/>
        <v>35957.32767935525</v>
      </c>
      <c r="M912" s="6">
        <f t="shared" si="438"/>
        <v>94.507973278774486</v>
      </c>
      <c r="N912" s="6">
        <f t="shared" si="439"/>
        <v>-40.681338001623345</v>
      </c>
      <c r="O912" s="90">
        <f t="shared" si="440"/>
        <v>476.0820825254242</v>
      </c>
      <c r="P912" s="91">
        <f t="shared" si="441"/>
        <v>0</v>
      </c>
      <c r="Q912" s="6">
        <f t="shared" si="442"/>
        <v>150.04647631096836</v>
      </c>
      <c r="R912" s="87">
        <f t="shared" si="460"/>
        <v>-476.08208252542437</v>
      </c>
      <c r="S912" s="6">
        <f t="shared" si="443"/>
        <v>-7.455671809084234</v>
      </c>
      <c r="T912" s="83">
        <f t="shared" si="451"/>
        <v>0</v>
      </c>
      <c r="U912" s="91">
        <f t="shared" si="457"/>
        <v>61530.813795274327</v>
      </c>
      <c r="V912" s="91">
        <f t="shared" si="452"/>
        <v>161.72371200220701</v>
      </c>
      <c r="W912" s="1">
        <f t="shared" si="463"/>
        <v>0</v>
      </c>
      <c r="X912" s="1">
        <f t="shared" si="463"/>
        <v>0</v>
      </c>
      <c r="Y912" s="1">
        <f t="shared" si="463"/>
        <v>0</v>
      </c>
      <c r="Z912" s="1">
        <f t="shared" si="463"/>
        <v>0</v>
      </c>
      <c r="AA912" s="1">
        <f t="shared" si="463"/>
        <v>0</v>
      </c>
      <c r="AB912" s="1">
        <f t="shared" si="463"/>
        <v>0</v>
      </c>
      <c r="AC912" s="1">
        <f t="shared" si="463"/>
        <v>0</v>
      </c>
      <c r="AD912" s="1">
        <f t="shared" si="463"/>
        <v>1</v>
      </c>
      <c r="AE912" s="1">
        <f t="shared" si="463"/>
        <v>1</v>
      </c>
      <c r="AF912" s="1">
        <f t="shared" si="463"/>
        <v>1</v>
      </c>
      <c r="AG912" s="1">
        <f t="shared" si="463"/>
        <v>1</v>
      </c>
      <c r="AH912" s="1">
        <f t="shared" si="463"/>
        <v>1</v>
      </c>
      <c r="AI912" s="44">
        <f t="shared" si="453"/>
        <v>35535.072232106977</v>
      </c>
      <c r="AJ912" s="44">
        <f t="shared" si="444"/>
        <v>36011.154314632404</v>
      </c>
      <c r="AK912" s="44" t="str">
        <f t="shared" si="461"/>
        <v>N</v>
      </c>
      <c r="AL912" s="4">
        <f t="shared" si="445"/>
        <v>222</v>
      </c>
      <c r="AM912" s="82">
        <f t="shared" si="454"/>
        <v>0</v>
      </c>
      <c r="AN912" s="82">
        <f t="shared" si="446"/>
        <v>0</v>
      </c>
      <c r="AO912" s="48">
        <v>0</v>
      </c>
      <c r="AP912" s="91">
        <f t="shared" si="455"/>
        <v>-476.08208252542437</v>
      </c>
      <c r="AQ912" s="91">
        <f t="shared" si="456"/>
        <v>-476.08208252542437</v>
      </c>
    </row>
    <row r="913" spans="1:43">
      <c r="A913" s="190">
        <f t="shared" si="447"/>
        <v>84.304243668720048</v>
      </c>
      <c r="B913" s="82">
        <f t="shared" si="448"/>
        <v>19</v>
      </c>
      <c r="C913" s="83">
        <f t="shared" si="449"/>
        <v>223</v>
      </c>
      <c r="D913" s="14">
        <f t="shared" si="435"/>
        <v>2.6283369587845051E-3</v>
      </c>
      <c r="E913" s="16">
        <f t="shared" si="436"/>
        <v>0</v>
      </c>
      <c r="F913" s="127"/>
      <c r="G913" s="88">
        <f t="shared" si="437"/>
        <v>0</v>
      </c>
      <c r="H913" s="89">
        <f t="shared" si="450"/>
        <v>4.1666666666666666E-3</v>
      </c>
      <c r="I913" s="219"/>
      <c r="J913" s="219"/>
      <c r="K913" s="6">
        <f t="shared" si="458"/>
        <v>35535.072232106977</v>
      </c>
      <c r="M913" s="6">
        <f t="shared" si="438"/>
        <v>93.398143680723763</v>
      </c>
      <c r="N913" s="6">
        <f t="shared" si="439"/>
        <v>-40.20360737809883</v>
      </c>
      <c r="O913" s="90">
        <f t="shared" si="440"/>
        <v>476.0820825254242</v>
      </c>
      <c r="P913" s="91">
        <f t="shared" si="441"/>
        <v>0</v>
      </c>
      <c r="Q913" s="6">
        <f t="shared" si="442"/>
        <v>148.28444486837333</v>
      </c>
      <c r="R913" s="87">
        <f t="shared" si="460"/>
        <v>-476.08208252542437</v>
      </c>
      <c r="S913" s="6">
        <f t="shared" si="443"/>
        <v>-7.3675350449125068</v>
      </c>
      <c r="T913" s="83">
        <f t="shared" si="451"/>
        <v>0</v>
      </c>
      <c r="U913" s="91">
        <f t="shared" si="457"/>
        <v>61216.455424751104</v>
      </c>
      <c r="V913" s="91">
        <f t="shared" si="452"/>
        <v>160.89747227865755</v>
      </c>
      <c r="W913" s="1">
        <f t="shared" si="463"/>
        <v>0</v>
      </c>
      <c r="X913" s="1">
        <f t="shared" si="463"/>
        <v>0</v>
      </c>
      <c r="Y913" s="1">
        <f t="shared" si="463"/>
        <v>0</v>
      </c>
      <c r="Z913" s="1">
        <f t="shared" si="463"/>
        <v>0</v>
      </c>
      <c r="AA913" s="1">
        <f t="shared" si="463"/>
        <v>0</v>
      </c>
      <c r="AB913" s="1">
        <f t="shared" si="463"/>
        <v>0</v>
      </c>
      <c r="AC913" s="1">
        <f t="shared" si="463"/>
        <v>0</v>
      </c>
      <c r="AD913" s="1">
        <f t="shared" si="463"/>
        <v>1</v>
      </c>
      <c r="AE913" s="1">
        <f t="shared" si="463"/>
        <v>1</v>
      </c>
      <c r="AF913" s="1">
        <f t="shared" si="463"/>
        <v>1</v>
      </c>
      <c r="AG913" s="1">
        <f t="shared" si="463"/>
        <v>1</v>
      </c>
      <c r="AH913" s="1">
        <f t="shared" si="463"/>
        <v>1</v>
      </c>
      <c r="AI913" s="44">
        <f t="shared" si="453"/>
        <v>35112.184685884175</v>
      </c>
      <c r="AJ913" s="44">
        <f t="shared" si="444"/>
        <v>35588.266768409601</v>
      </c>
      <c r="AK913" s="44" t="str">
        <f t="shared" si="461"/>
        <v>N</v>
      </c>
      <c r="AL913" s="4">
        <f t="shared" si="445"/>
        <v>223</v>
      </c>
      <c r="AM913" s="82">
        <f t="shared" si="454"/>
        <v>0</v>
      </c>
      <c r="AN913" s="82">
        <f t="shared" si="446"/>
        <v>0</v>
      </c>
      <c r="AO913" s="48">
        <v>0</v>
      </c>
      <c r="AP913" s="91">
        <f t="shared" si="455"/>
        <v>-476.08208252542437</v>
      </c>
      <c r="AQ913" s="91">
        <f t="shared" si="456"/>
        <v>-476.08208252542437</v>
      </c>
    </row>
    <row r="914" spans="1:43">
      <c r="A914" s="190">
        <f t="shared" si="447"/>
        <v>84.387577002053376</v>
      </c>
      <c r="B914" s="82">
        <f t="shared" si="448"/>
        <v>19</v>
      </c>
      <c r="C914" s="83">
        <f t="shared" si="449"/>
        <v>224</v>
      </c>
      <c r="D914" s="14">
        <f t="shared" si="435"/>
        <v>2.6283369587845051E-3</v>
      </c>
      <c r="E914" s="16">
        <f t="shared" si="436"/>
        <v>0</v>
      </c>
      <c r="F914" s="127"/>
      <c r="G914" s="88">
        <f t="shared" si="437"/>
        <v>0</v>
      </c>
      <c r="H914" s="89">
        <f t="shared" si="450"/>
        <v>4.1666666666666666E-3</v>
      </c>
      <c r="I914" s="219"/>
      <c r="J914" s="219"/>
      <c r="K914" s="6">
        <f t="shared" si="458"/>
        <v>35112.184685884175</v>
      </c>
      <c r="M914" s="6">
        <f t="shared" si="438"/>
        <v>92.286652713576686</v>
      </c>
      <c r="N914" s="6">
        <f t="shared" si="439"/>
        <v>-39.725161611550824</v>
      </c>
      <c r="O914" s="90">
        <f t="shared" si="440"/>
        <v>476.0820825254242</v>
      </c>
      <c r="P914" s="91">
        <f t="shared" si="441"/>
        <v>0</v>
      </c>
      <c r="Q914" s="6">
        <f t="shared" si="442"/>
        <v>146.5197757374425</v>
      </c>
      <c r="R914" s="87">
        <f t="shared" si="460"/>
        <v>-476.08208252542437</v>
      </c>
      <c r="S914" s="6">
        <f t="shared" si="443"/>
        <v>-7.2792663436429539</v>
      </c>
      <c r="T914" s="83">
        <f t="shared" si="451"/>
        <v>0</v>
      </c>
      <c r="U914" s="91">
        <f t="shared" si="457"/>
        <v>60901.270814504336</v>
      </c>
      <c r="V914" s="91">
        <f t="shared" si="452"/>
        <v>160.06906091870587</v>
      </c>
      <c r="W914" s="1">
        <f t="shared" si="463"/>
        <v>0</v>
      </c>
      <c r="X914" s="1">
        <f t="shared" si="463"/>
        <v>0</v>
      </c>
      <c r="Y914" s="1">
        <f t="shared" si="463"/>
        <v>0</v>
      </c>
      <c r="Z914" s="1">
        <f t="shared" si="463"/>
        <v>0</v>
      </c>
      <c r="AA914" s="1">
        <f t="shared" si="463"/>
        <v>0</v>
      </c>
      <c r="AB914" s="1">
        <f t="shared" si="463"/>
        <v>0</v>
      </c>
      <c r="AC914" s="1">
        <f t="shared" si="463"/>
        <v>0</v>
      </c>
      <c r="AD914" s="1">
        <f t="shared" si="463"/>
        <v>1</v>
      </c>
      <c r="AE914" s="1">
        <f t="shared" si="463"/>
        <v>1</v>
      </c>
      <c r="AF914" s="1">
        <f t="shared" si="463"/>
        <v>1</v>
      </c>
      <c r="AG914" s="1">
        <f t="shared" si="463"/>
        <v>1</v>
      </c>
      <c r="AH914" s="1">
        <f t="shared" si="463"/>
        <v>1</v>
      </c>
      <c r="AI914" s="44">
        <f t="shared" si="453"/>
        <v>34688.664094460772</v>
      </c>
      <c r="AJ914" s="44">
        <f t="shared" si="444"/>
        <v>35164.746176986198</v>
      </c>
      <c r="AK914" s="44" t="str">
        <f t="shared" si="461"/>
        <v>N</v>
      </c>
      <c r="AL914" s="4">
        <f t="shared" si="445"/>
        <v>224</v>
      </c>
      <c r="AM914" s="82">
        <f t="shared" si="454"/>
        <v>0</v>
      </c>
      <c r="AN914" s="82">
        <f t="shared" si="446"/>
        <v>0</v>
      </c>
      <c r="AO914" s="48">
        <v>0</v>
      </c>
      <c r="AP914" s="91">
        <f t="shared" si="455"/>
        <v>-476.08208252542437</v>
      </c>
      <c r="AQ914" s="91">
        <f t="shared" si="456"/>
        <v>-476.08208252542437</v>
      </c>
    </row>
    <row r="915" spans="1:43">
      <c r="A915" s="190">
        <f t="shared" si="447"/>
        <v>84.470910335386719</v>
      </c>
      <c r="B915" s="82">
        <f t="shared" si="448"/>
        <v>19</v>
      </c>
      <c r="C915" s="83">
        <f t="shared" si="449"/>
        <v>225</v>
      </c>
      <c r="D915" s="14">
        <f t="shared" si="435"/>
        <v>2.6283369587845051E-3</v>
      </c>
      <c r="E915" s="16">
        <f t="shared" si="436"/>
        <v>0</v>
      </c>
      <c r="F915" s="127"/>
      <c r="G915" s="88">
        <f t="shared" si="437"/>
        <v>0</v>
      </c>
      <c r="H915" s="89">
        <f t="shared" si="450"/>
        <v>4.1666666666666666E-3</v>
      </c>
      <c r="I915" s="219"/>
      <c r="J915" s="219"/>
      <c r="K915" s="6">
        <f t="shared" si="458"/>
        <v>34688.664094460772</v>
      </c>
      <c r="M915" s="6">
        <f t="shared" si="438"/>
        <v>91.173497890332285</v>
      </c>
      <c r="N915" s="6">
        <f t="shared" si="439"/>
        <v>-39.245999631439737</v>
      </c>
      <c r="O915" s="90">
        <f t="shared" si="440"/>
        <v>476.0820825254242</v>
      </c>
      <c r="P915" s="91">
        <f t="shared" si="441"/>
        <v>0</v>
      </c>
      <c r="Q915" s="6">
        <f t="shared" si="442"/>
        <v>144.75246496966525</v>
      </c>
      <c r="R915" s="87">
        <f t="shared" si="460"/>
        <v>-476.08208252542437</v>
      </c>
      <c r="S915" s="6">
        <f t="shared" si="443"/>
        <v>-7.1908655077711847</v>
      </c>
      <c r="T915" s="83">
        <f t="shared" si="451"/>
        <v>0</v>
      </c>
      <c r="U915" s="91">
        <f t="shared" si="457"/>
        <v>60585.257792897617</v>
      </c>
      <c r="V915" s="91">
        <f t="shared" si="452"/>
        <v>159.23847221455975</v>
      </c>
      <c r="W915" s="1">
        <f t="shared" si="463"/>
        <v>0</v>
      </c>
      <c r="X915" s="1">
        <f t="shared" si="463"/>
        <v>0</v>
      </c>
      <c r="Y915" s="1">
        <f t="shared" si="463"/>
        <v>0</v>
      </c>
      <c r="Z915" s="1">
        <f t="shared" si="463"/>
        <v>0</v>
      </c>
      <c r="AA915" s="1">
        <f t="shared" si="463"/>
        <v>0</v>
      </c>
      <c r="AB915" s="1">
        <f t="shared" si="463"/>
        <v>0</v>
      </c>
      <c r="AC915" s="1">
        <f t="shared" si="463"/>
        <v>0</v>
      </c>
      <c r="AD915" s="1">
        <f t="shared" si="463"/>
        <v>1</v>
      </c>
      <c r="AE915" s="1">
        <f t="shared" si="463"/>
        <v>1</v>
      </c>
      <c r="AF915" s="1">
        <f t="shared" si="463"/>
        <v>1</v>
      </c>
      <c r="AG915" s="1">
        <f t="shared" si="463"/>
        <v>1</v>
      </c>
      <c r="AH915" s="1">
        <f t="shared" si="463"/>
        <v>1</v>
      </c>
      <c r="AI915" s="44">
        <f t="shared" si="453"/>
        <v>34264.509510194235</v>
      </c>
      <c r="AJ915" s="44">
        <f t="shared" si="444"/>
        <v>34740.591592719662</v>
      </c>
      <c r="AK915" s="44" t="str">
        <f t="shared" si="461"/>
        <v>N</v>
      </c>
      <c r="AL915" s="4">
        <f t="shared" si="445"/>
        <v>225</v>
      </c>
      <c r="AM915" s="82">
        <f t="shared" si="454"/>
        <v>0</v>
      </c>
      <c r="AN915" s="82">
        <f t="shared" si="446"/>
        <v>0</v>
      </c>
      <c r="AO915" s="48">
        <v>0</v>
      </c>
      <c r="AP915" s="91">
        <f t="shared" si="455"/>
        <v>-476.08208252542437</v>
      </c>
      <c r="AQ915" s="91">
        <f t="shared" si="456"/>
        <v>-476.08208252542437</v>
      </c>
    </row>
    <row r="916" spans="1:43">
      <c r="A916" s="190">
        <f t="shared" si="447"/>
        <v>84.554243668720048</v>
      </c>
      <c r="B916" s="82">
        <f t="shared" si="448"/>
        <v>19</v>
      </c>
      <c r="C916" s="83">
        <f t="shared" si="449"/>
        <v>226</v>
      </c>
      <c r="D916" s="14">
        <f t="shared" si="435"/>
        <v>2.6283369587845051E-3</v>
      </c>
      <c r="E916" s="16">
        <f t="shared" si="436"/>
        <v>0</v>
      </c>
      <c r="F916" s="127"/>
      <c r="G916" s="88">
        <f t="shared" si="437"/>
        <v>0</v>
      </c>
      <c r="H916" s="89">
        <f t="shared" si="450"/>
        <v>4.1666666666666666E-3</v>
      </c>
      <c r="I916" s="219"/>
      <c r="J916" s="219"/>
      <c r="K916" s="6">
        <f t="shared" si="458"/>
        <v>34264.509510194235</v>
      </c>
      <c r="M916" s="6">
        <f t="shared" si="438"/>
        <v>90.058676720266675</v>
      </c>
      <c r="N916" s="6">
        <f t="shared" si="439"/>
        <v>-38.766120365623443</v>
      </c>
      <c r="O916" s="90">
        <f t="shared" si="440"/>
        <v>476.0820825254242</v>
      </c>
      <c r="P916" s="91">
        <f t="shared" si="441"/>
        <v>0</v>
      </c>
      <c r="Q916" s="6">
        <f t="shared" si="442"/>
        <v>142.98250861062033</v>
      </c>
      <c r="R916" s="87">
        <f t="shared" si="460"/>
        <v>-476.08208252542437</v>
      </c>
      <c r="S916" s="6">
        <f t="shared" si="443"/>
        <v>-7.1023323394971571</v>
      </c>
      <c r="T916" s="83">
        <f t="shared" si="451"/>
        <v>0</v>
      </c>
      <c r="U916" s="91">
        <f t="shared" si="457"/>
        <v>60268.414182586748</v>
      </c>
      <c r="V916" s="91">
        <f t="shared" si="452"/>
        <v>158.40570044342499</v>
      </c>
      <c r="W916" s="1">
        <f t="shared" si="463"/>
        <v>0</v>
      </c>
      <c r="X916" s="1">
        <f t="shared" si="463"/>
        <v>0</v>
      </c>
      <c r="Y916" s="1">
        <f t="shared" si="463"/>
        <v>0</v>
      </c>
      <c r="Z916" s="1">
        <f t="shared" si="463"/>
        <v>0</v>
      </c>
      <c r="AA916" s="1">
        <f t="shared" si="463"/>
        <v>0</v>
      </c>
      <c r="AB916" s="1">
        <f t="shared" si="463"/>
        <v>0</v>
      </c>
      <c r="AC916" s="1">
        <f t="shared" si="463"/>
        <v>0</v>
      </c>
      <c r="AD916" s="1">
        <f t="shared" si="463"/>
        <v>1</v>
      </c>
      <c r="AE916" s="1">
        <f t="shared" si="463"/>
        <v>1</v>
      </c>
      <c r="AF916" s="1">
        <f t="shared" si="463"/>
        <v>1</v>
      </c>
      <c r="AG916" s="1">
        <f t="shared" si="463"/>
        <v>1</v>
      </c>
      <c r="AH916" s="1">
        <f t="shared" si="463"/>
        <v>1</v>
      </c>
      <c r="AI916" s="44">
        <f t="shared" si="453"/>
        <v>33839.719984023453</v>
      </c>
      <c r="AJ916" s="44">
        <f t="shared" si="444"/>
        <v>34315.80206654888</v>
      </c>
      <c r="AK916" s="44" t="str">
        <f t="shared" si="461"/>
        <v>N</v>
      </c>
      <c r="AL916" s="4">
        <f t="shared" si="445"/>
        <v>226</v>
      </c>
      <c r="AM916" s="82">
        <f t="shared" si="454"/>
        <v>0</v>
      </c>
      <c r="AN916" s="82">
        <f t="shared" si="446"/>
        <v>0</v>
      </c>
      <c r="AO916" s="48">
        <v>0</v>
      </c>
      <c r="AP916" s="91">
        <f t="shared" si="455"/>
        <v>-476.08208252542437</v>
      </c>
      <c r="AQ916" s="91">
        <f t="shared" si="456"/>
        <v>-476.08208252542437</v>
      </c>
    </row>
    <row r="917" spans="1:43">
      <c r="A917" s="190">
        <f t="shared" si="447"/>
        <v>84.637577002053376</v>
      </c>
      <c r="B917" s="82">
        <f t="shared" si="448"/>
        <v>19</v>
      </c>
      <c r="C917" s="83">
        <f t="shared" si="449"/>
        <v>227</v>
      </c>
      <c r="D917" s="14">
        <f t="shared" si="435"/>
        <v>2.6283369587845051E-3</v>
      </c>
      <c r="E917" s="16">
        <f t="shared" si="436"/>
        <v>0</v>
      </c>
      <c r="F917" s="127"/>
      <c r="G917" s="88">
        <f t="shared" si="437"/>
        <v>0</v>
      </c>
      <c r="H917" s="89">
        <f t="shared" si="450"/>
        <v>4.1666666666666666E-3</v>
      </c>
      <c r="I917" s="219"/>
      <c r="J917" s="219"/>
      <c r="K917" s="6">
        <f t="shared" si="458"/>
        <v>33839.719984023453</v>
      </c>
      <c r="M917" s="6">
        <f t="shared" si="438"/>
        <v>88.942186708927451</v>
      </c>
      <c r="N917" s="6">
        <f t="shared" si="439"/>
        <v>-38.28552274035485</v>
      </c>
      <c r="O917" s="90">
        <f t="shared" si="440"/>
        <v>476.0820825254242</v>
      </c>
      <c r="P917" s="91">
        <f t="shared" si="441"/>
        <v>0</v>
      </c>
      <c r="Q917" s="6">
        <f t="shared" si="442"/>
        <v>141.20990269996676</v>
      </c>
      <c r="R917" s="87">
        <f t="shared" si="460"/>
        <v>-476.08208252542437</v>
      </c>
      <c r="S917" s="6">
        <f t="shared" si="443"/>
        <v>-7.0136666407247263</v>
      </c>
      <c r="T917" s="83">
        <f t="shared" si="451"/>
        <v>0</v>
      </c>
      <c r="U917" s="91">
        <f t="shared" si="457"/>
        <v>59950.737800504743</v>
      </c>
      <c r="V917" s="91">
        <f t="shared" si="452"/>
        <v>157.5707398674659</v>
      </c>
      <c r="W917" s="1">
        <f t="shared" si="463"/>
        <v>0</v>
      </c>
      <c r="X917" s="1">
        <f t="shared" si="463"/>
        <v>0</v>
      </c>
      <c r="Y917" s="1">
        <f t="shared" si="463"/>
        <v>0</v>
      </c>
      <c r="Z917" s="1">
        <f t="shared" si="463"/>
        <v>0</v>
      </c>
      <c r="AA917" s="1">
        <f t="shared" si="463"/>
        <v>0</v>
      </c>
      <c r="AB917" s="1">
        <f t="shared" si="463"/>
        <v>0</v>
      </c>
      <c r="AC917" s="1">
        <f t="shared" si="463"/>
        <v>0</v>
      </c>
      <c r="AD917" s="1">
        <f t="shared" si="463"/>
        <v>1</v>
      </c>
      <c r="AE917" s="1">
        <f t="shared" si="463"/>
        <v>1</v>
      </c>
      <c r="AF917" s="1">
        <f t="shared" si="463"/>
        <v>1</v>
      </c>
      <c r="AG917" s="1">
        <f t="shared" si="463"/>
        <v>1</v>
      </c>
      <c r="AH917" s="1">
        <f t="shared" si="463"/>
        <v>1</v>
      </c>
      <c r="AI917" s="44">
        <f t="shared" si="453"/>
        <v>33414.294565466596</v>
      </c>
      <c r="AJ917" s="44">
        <f t="shared" si="444"/>
        <v>33890.376647992023</v>
      </c>
      <c r="AK917" s="44" t="str">
        <f t="shared" si="461"/>
        <v>N</v>
      </c>
      <c r="AL917" s="4">
        <f t="shared" si="445"/>
        <v>227</v>
      </c>
      <c r="AM917" s="82">
        <f t="shared" si="454"/>
        <v>0</v>
      </c>
      <c r="AN917" s="82">
        <f t="shared" si="446"/>
        <v>0</v>
      </c>
      <c r="AO917" s="48">
        <v>0</v>
      </c>
      <c r="AP917" s="91">
        <f t="shared" si="455"/>
        <v>-476.08208252542437</v>
      </c>
      <c r="AQ917" s="91">
        <f t="shared" si="456"/>
        <v>-476.08208252542437</v>
      </c>
    </row>
    <row r="918" spans="1:43">
      <c r="A918" s="190">
        <f t="shared" si="447"/>
        <v>84.720910335386719</v>
      </c>
      <c r="B918" s="82">
        <f t="shared" si="448"/>
        <v>19</v>
      </c>
      <c r="C918" s="83">
        <f t="shared" si="449"/>
        <v>228</v>
      </c>
      <c r="D918" s="14">
        <f t="shared" si="435"/>
        <v>2.6283369587845051E-3</v>
      </c>
      <c r="E918" s="16">
        <f t="shared" si="436"/>
        <v>0</v>
      </c>
      <c r="F918" s="127"/>
      <c r="G918" s="88">
        <f t="shared" si="437"/>
        <v>0</v>
      </c>
      <c r="H918" s="89">
        <f t="shared" si="450"/>
        <v>4.1666666666666666E-3</v>
      </c>
      <c r="I918" s="219"/>
      <c r="J918" s="219"/>
      <c r="K918" s="6">
        <f t="shared" si="458"/>
        <v>33414.294565466596</v>
      </c>
      <c r="M918" s="6">
        <f t="shared" si="438"/>
        <v>87.824025358128097</v>
      </c>
      <c r="N918" s="6">
        <f t="shared" si="439"/>
        <v>-37.804205680279495</v>
      </c>
      <c r="O918" s="90">
        <f t="shared" si="440"/>
        <v>476.0820825254242</v>
      </c>
      <c r="P918" s="91">
        <f t="shared" si="441"/>
        <v>0</v>
      </c>
      <c r="Q918" s="6">
        <f t="shared" si="442"/>
        <v>139.43464327143519</v>
      </c>
      <c r="R918" s="87">
        <f t="shared" si="460"/>
        <v>-476.08208252542437</v>
      </c>
      <c r="S918" s="6">
        <f t="shared" si="443"/>
        <v>-6.9248682130612043</v>
      </c>
      <c r="T918" s="83">
        <f t="shared" si="451"/>
        <v>0</v>
      </c>
      <c r="U918" s="91">
        <f t="shared" si="457"/>
        <v>59632.22645784678</v>
      </c>
      <c r="V918" s="91">
        <f t="shared" si="452"/>
        <v>156.73358473376592</v>
      </c>
      <c r="W918" s="1">
        <f t="shared" si="463"/>
        <v>0</v>
      </c>
      <c r="X918" s="1">
        <f t="shared" si="463"/>
        <v>0</v>
      </c>
      <c r="Y918" s="1">
        <f t="shared" si="463"/>
        <v>0</v>
      </c>
      <c r="Z918" s="1">
        <f t="shared" si="463"/>
        <v>0</v>
      </c>
      <c r="AA918" s="1">
        <f t="shared" si="463"/>
        <v>0</v>
      </c>
      <c r="AB918" s="1">
        <f t="shared" si="463"/>
        <v>0</v>
      </c>
      <c r="AC918" s="1">
        <f t="shared" si="463"/>
        <v>0</v>
      </c>
      <c r="AD918" s="1">
        <f t="shared" si="463"/>
        <v>1</v>
      </c>
      <c r="AE918" s="1">
        <f t="shared" si="463"/>
        <v>1</v>
      </c>
      <c r="AF918" s="1">
        <f t="shared" si="463"/>
        <v>1</v>
      </c>
      <c r="AG918" s="1">
        <f t="shared" si="463"/>
        <v>1</v>
      </c>
      <c r="AH918" s="1">
        <f t="shared" si="463"/>
        <v>1</v>
      </c>
      <c r="AI918" s="44">
        <f t="shared" si="453"/>
        <v>32988.232302619021</v>
      </c>
      <c r="AJ918" s="44">
        <f t="shared" si="444"/>
        <v>33464.314385144447</v>
      </c>
      <c r="AK918" s="44" t="str">
        <f t="shared" si="461"/>
        <v>N</v>
      </c>
      <c r="AL918" s="4">
        <f t="shared" si="445"/>
        <v>228</v>
      </c>
      <c r="AM918" s="82">
        <f t="shared" si="454"/>
        <v>0</v>
      </c>
      <c r="AN918" s="82">
        <f t="shared" si="446"/>
        <v>0</v>
      </c>
      <c r="AO918" s="48">
        <v>0</v>
      </c>
      <c r="AP918" s="91">
        <f t="shared" si="455"/>
        <v>-476.08208252542437</v>
      </c>
      <c r="AQ918" s="91">
        <f t="shared" si="456"/>
        <v>-476.08208252542437</v>
      </c>
    </row>
    <row r="919" spans="1:43">
      <c r="A919" s="190">
        <f t="shared" si="447"/>
        <v>84.804243668720048</v>
      </c>
      <c r="B919" s="82">
        <f t="shared" si="448"/>
        <v>20</v>
      </c>
      <c r="C919" s="83">
        <f t="shared" si="449"/>
        <v>229</v>
      </c>
      <c r="D919" s="14">
        <f t="shared" si="435"/>
        <v>2.6283369587845051E-3</v>
      </c>
      <c r="E919" s="16">
        <f t="shared" si="436"/>
        <v>0</v>
      </c>
      <c r="F919" s="127"/>
      <c r="G919" s="88">
        <f t="shared" si="437"/>
        <v>0</v>
      </c>
      <c r="H919" s="89">
        <f t="shared" si="450"/>
        <v>4.1666666666666666E-3</v>
      </c>
      <c r="I919" s="219"/>
      <c r="J919" s="219"/>
      <c r="K919" s="6">
        <f t="shared" si="458"/>
        <v>32988.232302619021</v>
      </c>
      <c r="M919" s="6">
        <f t="shared" si="438"/>
        <v>86.70419016594245</v>
      </c>
      <c r="N919" s="6">
        <f t="shared" si="439"/>
        <v>-37.322168108433175</v>
      </c>
      <c r="O919" s="90">
        <f t="shared" si="440"/>
        <v>485.60372417593265</v>
      </c>
      <c r="P919" s="91">
        <f t="shared" si="441"/>
        <v>0</v>
      </c>
      <c r="Q919" s="6">
        <f t="shared" si="442"/>
        <v>137.65672635281885</v>
      </c>
      <c r="R919" s="87">
        <f t="shared" si="460"/>
        <v>-486.33065290610818</v>
      </c>
      <c r="S919" s="6">
        <f t="shared" si="443"/>
        <v>-6.8348680731997407</v>
      </c>
      <c r="T919" s="83">
        <f t="shared" si="451"/>
        <v>0</v>
      </c>
      <c r="U919" s="91">
        <f t="shared" si="457"/>
        <v>59312.877960055121</v>
      </c>
      <c r="V919" s="91">
        <f t="shared" si="452"/>
        <v>155.89422927428777</v>
      </c>
      <c r="W919" s="1">
        <f t="shared" si="463"/>
        <v>0</v>
      </c>
      <c r="X919" s="1">
        <f t="shared" si="463"/>
        <v>0</v>
      </c>
      <c r="Y919" s="1">
        <f t="shared" si="463"/>
        <v>0</v>
      </c>
      <c r="Z919" s="1">
        <f t="shared" si="463"/>
        <v>0</v>
      </c>
      <c r="AA919" s="1">
        <f t="shared" si="463"/>
        <v>0</v>
      </c>
      <c r="AB919" s="1">
        <f t="shared" si="463"/>
        <v>0</v>
      </c>
      <c r="AC919" s="1">
        <f t="shared" si="463"/>
        <v>0</v>
      </c>
      <c r="AD919" s="1">
        <f t="shared" si="463"/>
        <v>1</v>
      </c>
      <c r="AE919" s="1">
        <f t="shared" si="463"/>
        <v>1</v>
      </c>
      <c r="AF919" s="1">
        <f t="shared" si="463"/>
        <v>1</v>
      </c>
      <c r="AG919" s="1">
        <f t="shared" si="463"/>
        <v>1</v>
      </c>
      <c r="AH919" s="1">
        <f t="shared" si="463"/>
        <v>1</v>
      </c>
      <c r="AI919" s="44">
        <f t="shared" si="453"/>
        <v>32551.283671770419</v>
      </c>
      <c r="AJ919" s="44">
        <f t="shared" si="444"/>
        <v>33037.614324676528</v>
      </c>
      <c r="AK919" s="44" t="str">
        <f t="shared" si="461"/>
        <v>N</v>
      </c>
      <c r="AL919" s="4">
        <f t="shared" si="445"/>
        <v>229</v>
      </c>
      <c r="AM919" s="82">
        <f t="shared" si="454"/>
        <v>0</v>
      </c>
      <c r="AN919" s="82">
        <f t="shared" si="446"/>
        <v>0</v>
      </c>
      <c r="AO919" s="48">
        <v>0</v>
      </c>
      <c r="AP919" s="91">
        <f t="shared" si="455"/>
        <v>-486.33065290610818</v>
      </c>
      <c r="AQ919" s="91">
        <f t="shared" si="456"/>
        <v>-486.33065290610818</v>
      </c>
    </row>
    <row r="920" spans="1:43">
      <c r="A920" s="190">
        <f t="shared" si="447"/>
        <v>84.887577002053376</v>
      </c>
      <c r="B920" s="82">
        <f t="shared" si="448"/>
        <v>20</v>
      </c>
      <c r="C920" s="83">
        <f t="shared" si="449"/>
        <v>230</v>
      </c>
      <c r="D920" s="14">
        <f t="shared" si="435"/>
        <v>2.6283369587845051E-3</v>
      </c>
      <c r="E920" s="16">
        <f t="shared" si="436"/>
        <v>0</v>
      </c>
      <c r="F920" s="127"/>
      <c r="G920" s="88">
        <f t="shared" si="437"/>
        <v>0</v>
      </c>
      <c r="H920" s="89">
        <f t="shared" si="450"/>
        <v>4.1666666666666666E-3</v>
      </c>
      <c r="I920" s="219"/>
      <c r="J920" s="219"/>
      <c r="K920" s="6">
        <f t="shared" si="458"/>
        <v>32551.283671770419</v>
      </c>
      <c r="M920" s="6">
        <f t="shared" si="438"/>
        <v>85.555741930392784</v>
      </c>
      <c r="N920" s="6">
        <f t="shared" si="439"/>
        <v>-36.827813936749159</v>
      </c>
      <c r="O920" s="90">
        <f t="shared" si="440"/>
        <v>485.60372417593265</v>
      </c>
      <c r="P920" s="91">
        <f t="shared" si="441"/>
        <v>0</v>
      </c>
      <c r="Q920" s="6">
        <f t="shared" si="442"/>
        <v>135.83338166568359</v>
      </c>
      <c r="R920" s="87">
        <f t="shared" si="460"/>
        <v>-485.60372417593288</v>
      </c>
      <c r="S920" s="6">
        <f t="shared" si="443"/>
        <v>-6.7437402308728416</v>
      </c>
      <c r="T920" s="83">
        <f t="shared" si="451"/>
        <v>0</v>
      </c>
      <c r="U920" s="91">
        <f t="shared" si="457"/>
        <v>58982.441536423299</v>
      </c>
      <c r="V920" s="91">
        <f t="shared" si="452"/>
        <v>155.02573100952768</v>
      </c>
      <c r="W920" s="1">
        <f t="shared" si="463"/>
        <v>0</v>
      </c>
      <c r="X920" s="1">
        <f t="shared" si="463"/>
        <v>0</v>
      </c>
      <c r="Y920" s="1">
        <f t="shared" si="463"/>
        <v>0</v>
      </c>
      <c r="Z920" s="1">
        <f t="shared" si="463"/>
        <v>0</v>
      </c>
      <c r="AA920" s="1">
        <f t="shared" si="463"/>
        <v>0</v>
      </c>
      <c r="AB920" s="1">
        <f t="shared" si="463"/>
        <v>0</v>
      </c>
      <c r="AC920" s="1">
        <f t="shared" si="463"/>
        <v>0</v>
      </c>
      <c r="AD920" s="1">
        <f t="shared" si="463"/>
        <v>1</v>
      </c>
      <c r="AE920" s="1">
        <f t="shared" si="463"/>
        <v>1</v>
      </c>
      <c r="AF920" s="1">
        <f t="shared" si="463"/>
        <v>1</v>
      </c>
      <c r="AG920" s="1">
        <f t="shared" si="463"/>
        <v>1</v>
      </c>
      <c r="AH920" s="1">
        <f t="shared" si="463"/>
        <v>1</v>
      </c>
      <c r="AI920" s="44">
        <f t="shared" si="453"/>
        <v>32114.407875588127</v>
      </c>
      <c r="AJ920" s="44">
        <f t="shared" si="444"/>
        <v>32600.011599764061</v>
      </c>
      <c r="AK920" s="44" t="str">
        <f t="shared" si="461"/>
        <v>N</v>
      </c>
      <c r="AL920" s="4">
        <f t="shared" si="445"/>
        <v>230</v>
      </c>
      <c r="AM920" s="82">
        <f t="shared" si="454"/>
        <v>0</v>
      </c>
      <c r="AN920" s="82">
        <f t="shared" si="446"/>
        <v>0</v>
      </c>
      <c r="AO920" s="48">
        <v>0</v>
      </c>
      <c r="AP920" s="91">
        <f t="shared" si="455"/>
        <v>-485.60372417593288</v>
      </c>
      <c r="AQ920" s="91">
        <f t="shared" si="456"/>
        <v>-485.60372417593288</v>
      </c>
    </row>
    <row r="921" spans="1:43">
      <c r="A921" s="190">
        <f t="shared" si="447"/>
        <v>84.970910335386719</v>
      </c>
      <c r="B921" s="82">
        <f t="shared" si="448"/>
        <v>20</v>
      </c>
      <c r="C921" s="83">
        <f t="shared" si="449"/>
        <v>231</v>
      </c>
      <c r="D921" s="14">
        <f t="shared" si="435"/>
        <v>2.6283369587845051E-3</v>
      </c>
      <c r="E921" s="16">
        <f t="shared" si="436"/>
        <v>0</v>
      </c>
      <c r="F921" s="127"/>
      <c r="G921" s="88">
        <f t="shared" si="437"/>
        <v>0</v>
      </c>
      <c r="H921" s="89">
        <f t="shared" si="450"/>
        <v>4.1666666666666666E-3</v>
      </c>
      <c r="I921" s="219"/>
      <c r="J921" s="219"/>
      <c r="K921" s="6">
        <f t="shared" si="458"/>
        <v>32114.407875588127</v>
      </c>
      <c r="M921" s="6">
        <f t="shared" si="438"/>
        <v>84.407485128888453</v>
      </c>
      <c r="N921" s="6">
        <f t="shared" si="439"/>
        <v>-36.333542168621506</v>
      </c>
      <c r="O921" s="90">
        <f t="shared" si="440"/>
        <v>485.60372417593265</v>
      </c>
      <c r="P921" s="91">
        <f t="shared" si="441"/>
        <v>0</v>
      </c>
      <c r="Q921" s="6">
        <f t="shared" si="442"/>
        <v>134.01034091061831</v>
      </c>
      <c r="R921" s="87">
        <f t="shared" si="460"/>
        <v>-485.60372417593288</v>
      </c>
      <c r="S921" s="6">
        <f t="shared" si="443"/>
        <v>-6.6525517825736431</v>
      </c>
      <c r="T921" s="83">
        <f t="shared" si="451"/>
        <v>0</v>
      </c>
      <c r="U921" s="91">
        <f t="shared" si="457"/>
        <v>58651.863543256892</v>
      </c>
      <c r="V921" s="91">
        <f t="shared" si="452"/>
        <v>154.15686065232759</v>
      </c>
      <c r="W921" s="1">
        <f t="shared" ref="W921:AH930" si="464">IF($B921&lt;=W$78,1,0)</f>
        <v>0</v>
      </c>
      <c r="X921" s="1">
        <f t="shared" si="464"/>
        <v>0</v>
      </c>
      <c r="Y921" s="1">
        <f t="shared" si="464"/>
        <v>0</v>
      </c>
      <c r="Z921" s="1">
        <f t="shared" si="464"/>
        <v>0</v>
      </c>
      <c r="AA921" s="1">
        <f t="shared" si="464"/>
        <v>0</v>
      </c>
      <c r="AB921" s="1">
        <f t="shared" si="464"/>
        <v>0</v>
      </c>
      <c r="AC921" s="1">
        <f t="shared" si="464"/>
        <v>0</v>
      </c>
      <c r="AD921" s="1">
        <f t="shared" si="464"/>
        <v>1</v>
      </c>
      <c r="AE921" s="1">
        <f t="shared" si="464"/>
        <v>1</v>
      </c>
      <c r="AF921" s="1">
        <f t="shared" si="464"/>
        <v>1</v>
      </c>
      <c r="AG921" s="1">
        <f t="shared" si="464"/>
        <v>1</v>
      </c>
      <c r="AH921" s="1">
        <f t="shared" si="464"/>
        <v>1</v>
      </c>
      <c r="AI921" s="44">
        <f t="shared" si="453"/>
        <v>31676.878094372463</v>
      </c>
      <c r="AJ921" s="44">
        <f t="shared" si="444"/>
        <v>32162.481818548396</v>
      </c>
      <c r="AK921" s="44" t="str">
        <f t="shared" si="461"/>
        <v>N</v>
      </c>
      <c r="AL921" s="4">
        <f t="shared" si="445"/>
        <v>231</v>
      </c>
      <c r="AM921" s="82">
        <f t="shared" si="454"/>
        <v>0</v>
      </c>
      <c r="AN921" s="82">
        <f t="shared" si="446"/>
        <v>0</v>
      </c>
      <c r="AO921" s="48">
        <v>0</v>
      </c>
      <c r="AP921" s="91">
        <f t="shared" si="455"/>
        <v>-485.60372417593288</v>
      </c>
      <c r="AQ921" s="91">
        <f t="shared" si="456"/>
        <v>-485.60372417593288</v>
      </c>
    </row>
    <row r="922" spans="1:43">
      <c r="A922" s="190">
        <f t="shared" si="447"/>
        <v>85.054243668720048</v>
      </c>
      <c r="B922" s="82">
        <f t="shared" si="448"/>
        <v>20</v>
      </c>
      <c r="C922" s="83">
        <f t="shared" si="449"/>
        <v>232</v>
      </c>
      <c r="D922" s="14">
        <f t="shared" si="435"/>
        <v>2.6283369587845051E-3</v>
      </c>
      <c r="E922" s="16">
        <f t="shared" si="436"/>
        <v>0</v>
      </c>
      <c r="F922" s="127"/>
      <c r="G922" s="88">
        <f t="shared" si="437"/>
        <v>0</v>
      </c>
      <c r="H922" s="89">
        <f t="shared" si="450"/>
        <v>4.1666666666666666E-3</v>
      </c>
      <c r="I922" s="219"/>
      <c r="J922" s="219"/>
      <c r="K922" s="6">
        <f t="shared" si="458"/>
        <v>31676.878094372463</v>
      </c>
      <c r="M922" s="6">
        <f t="shared" si="438"/>
        <v>83.257509434350425</v>
      </c>
      <c r="N922" s="6">
        <f t="shared" si="439"/>
        <v>-35.838530496059697</v>
      </c>
      <c r="O922" s="90">
        <f t="shared" si="440"/>
        <v>485.60372417593265</v>
      </c>
      <c r="P922" s="91">
        <f t="shared" si="441"/>
        <v>0</v>
      </c>
      <c r="Q922" s="6">
        <f t="shared" si="442"/>
        <v>132.18457113879481</v>
      </c>
      <c r="R922" s="87">
        <f t="shared" si="460"/>
        <v>-485.60372417593288</v>
      </c>
      <c r="S922" s="6">
        <f t="shared" si="443"/>
        <v>-6.5612268289314484</v>
      </c>
      <c r="T922" s="83">
        <f t="shared" si="451"/>
        <v>0</v>
      </c>
      <c r="U922" s="91">
        <f t="shared" si="457"/>
        <v>58320.416679733287</v>
      </c>
      <c r="V922" s="91">
        <f t="shared" si="452"/>
        <v>153.2857066110553</v>
      </c>
      <c r="W922" s="1">
        <f t="shared" si="464"/>
        <v>0</v>
      </c>
      <c r="X922" s="1">
        <f t="shared" si="464"/>
        <v>0</v>
      </c>
      <c r="Y922" s="1">
        <f t="shared" si="464"/>
        <v>0</v>
      </c>
      <c r="Z922" s="1">
        <f t="shared" si="464"/>
        <v>0</v>
      </c>
      <c r="AA922" s="1">
        <f t="shared" si="464"/>
        <v>0</v>
      </c>
      <c r="AB922" s="1">
        <f t="shared" si="464"/>
        <v>0</v>
      </c>
      <c r="AC922" s="1">
        <f t="shared" si="464"/>
        <v>0</v>
      </c>
      <c r="AD922" s="1">
        <f t="shared" si="464"/>
        <v>1</v>
      </c>
      <c r="AE922" s="1">
        <f t="shared" si="464"/>
        <v>1</v>
      </c>
      <c r="AF922" s="1">
        <f t="shared" si="464"/>
        <v>1</v>
      </c>
      <c r="AG922" s="1">
        <f t="shared" si="464"/>
        <v>1</v>
      </c>
      <c r="AH922" s="1">
        <f t="shared" si="464"/>
        <v>1</v>
      </c>
      <c r="AI922" s="44">
        <f t="shared" si="453"/>
        <v>31238.693349134821</v>
      </c>
      <c r="AJ922" s="44">
        <f t="shared" si="444"/>
        <v>31724.297073310754</v>
      </c>
      <c r="AK922" s="44" t="str">
        <f t="shared" si="461"/>
        <v>N</v>
      </c>
      <c r="AL922" s="4">
        <f t="shared" si="445"/>
        <v>232</v>
      </c>
      <c r="AM922" s="82">
        <f t="shared" si="454"/>
        <v>0</v>
      </c>
      <c r="AN922" s="82">
        <f t="shared" si="446"/>
        <v>0</v>
      </c>
      <c r="AO922" s="48">
        <v>0</v>
      </c>
      <c r="AP922" s="91">
        <f t="shared" si="455"/>
        <v>-485.60372417593288</v>
      </c>
      <c r="AQ922" s="91">
        <f t="shared" si="456"/>
        <v>-485.60372417593288</v>
      </c>
    </row>
    <row r="923" spans="1:43">
      <c r="A923" s="190">
        <f t="shared" si="447"/>
        <v>85.137577002053376</v>
      </c>
      <c r="B923" s="82">
        <f t="shared" si="448"/>
        <v>20</v>
      </c>
      <c r="C923" s="83">
        <f t="shared" si="449"/>
        <v>233</v>
      </c>
      <c r="D923" s="14">
        <f t="shared" si="435"/>
        <v>2.6283369587845051E-3</v>
      </c>
      <c r="E923" s="16">
        <f t="shared" si="436"/>
        <v>0</v>
      </c>
      <c r="F923" s="127"/>
      <c r="G923" s="88">
        <f t="shared" si="437"/>
        <v>0</v>
      </c>
      <c r="H923" s="89">
        <f t="shared" si="450"/>
        <v>4.1666666666666666E-3</v>
      </c>
      <c r="I923" s="219"/>
      <c r="J923" s="219"/>
      <c r="K923" s="6">
        <f t="shared" si="458"/>
        <v>31238.693349134821</v>
      </c>
      <c r="M923" s="6">
        <f t="shared" si="438"/>
        <v>82.105812273666757</v>
      </c>
      <c r="N923" s="6">
        <f t="shared" si="439"/>
        <v>-35.342777811457317</v>
      </c>
      <c r="O923" s="90">
        <f t="shared" si="440"/>
        <v>485.60372417593265</v>
      </c>
      <c r="P923" s="91">
        <f t="shared" si="441"/>
        <v>0</v>
      </c>
      <c r="Q923" s="6">
        <f t="shared" si="442"/>
        <v>130.35606826498764</v>
      </c>
      <c r="R923" s="87">
        <f t="shared" si="460"/>
        <v>-485.60372417593288</v>
      </c>
      <c r="S923" s="6">
        <f t="shared" si="443"/>
        <v>-6.4697651656033957</v>
      </c>
      <c r="T923" s="83">
        <f t="shared" si="451"/>
        <v>0</v>
      </c>
      <c r="U923" s="91">
        <f t="shared" si="457"/>
        <v>57988.098662168406</v>
      </c>
      <c r="V923" s="91">
        <f t="shared" si="452"/>
        <v>152.41226288341954</v>
      </c>
      <c r="W923" s="1">
        <f t="shared" si="464"/>
        <v>0</v>
      </c>
      <c r="X923" s="1">
        <f t="shared" si="464"/>
        <v>0</v>
      </c>
      <c r="Y923" s="1">
        <f t="shared" si="464"/>
        <v>0</v>
      </c>
      <c r="Z923" s="1">
        <f t="shared" si="464"/>
        <v>0</v>
      </c>
      <c r="AA923" s="1">
        <f t="shared" si="464"/>
        <v>0</v>
      </c>
      <c r="AB923" s="1">
        <f t="shared" si="464"/>
        <v>0</v>
      </c>
      <c r="AC923" s="1">
        <f t="shared" si="464"/>
        <v>0</v>
      </c>
      <c r="AD923" s="1">
        <f t="shared" si="464"/>
        <v>1</v>
      </c>
      <c r="AE923" s="1">
        <f t="shared" si="464"/>
        <v>1</v>
      </c>
      <c r="AF923" s="1">
        <f t="shared" si="464"/>
        <v>1</v>
      </c>
      <c r="AG923" s="1">
        <f t="shared" si="464"/>
        <v>1</v>
      </c>
      <c r="AH923" s="1">
        <f t="shared" si="464"/>
        <v>1</v>
      </c>
      <c r="AI923" s="44">
        <f t="shared" si="453"/>
        <v>30799.8526594211</v>
      </c>
      <c r="AJ923" s="44">
        <f t="shared" si="444"/>
        <v>31285.456383597033</v>
      </c>
      <c r="AK923" s="44" t="str">
        <f t="shared" si="461"/>
        <v>N</v>
      </c>
      <c r="AL923" s="4">
        <f t="shared" si="445"/>
        <v>233</v>
      </c>
      <c r="AM923" s="82">
        <f t="shared" si="454"/>
        <v>0</v>
      </c>
      <c r="AN923" s="82">
        <f t="shared" si="446"/>
        <v>0</v>
      </c>
      <c r="AO923" s="48">
        <v>0</v>
      </c>
      <c r="AP923" s="91">
        <f t="shared" si="455"/>
        <v>-485.60372417593288</v>
      </c>
      <c r="AQ923" s="91">
        <f t="shared" si="456"/>
        <v>-485.60372417593288</v>
      </c>
    </row>
    <row r="924" spans="1:43">
      <c r="A924" s="190">
        <f t="shared" si="447"/>
        <v>85.220910335386719</v>
      </c>
      <c r="B924" s="82">
        <f t="shared" si="448"/>
        <v>20</v>
      </c>
      <c r="C924" s="83">
        <f t="shared" si="449"/>
        <v>234</v>
      </c>
      <c r="D924" s="14">
        <f t="shared" si="435"/>
        <v>2.6283369587845051E-3</v>
      </c>
      <c r="E924" s="16">
        <f t="shared" si="436"/>
        <v>0</v>
      </c>
      <c r="F924" s="127"/>
      <c r="G924" s="88">
        <f t="shared" si="437"/>
        <v>0</v>
      </c>
      <c r="H924" s="89">
        <f t="shared" si="450"/>
        <v>4.1666666666666666E-3</v>
      </c>
      <c r="I924" s="219"/>
      <c r="J924" s="219"/>
      <c r="K924" s="6">
        <f t="shared" si="458"/>
        <v>30799.8526594211</v>
      </c>
      <c r="M924" s="6">
        <f t="shared" si="438"/>
        <v>80.952391069873713</v>
      </c>
      <c r="N924" s="6">
        <f t="shared" si="439"/>
        <v>-34.846283005549942</v>
      </c>
      <c r="O924" s="90">
        <f t="shared" si="440"/>
        <v>485.60372417593265</v>
      </c>
      <c r="P924" s="91">
        <f t="shared" si="441"/>
        <v>0</v>
      </c>
      <c r="Q924" s="6">
        <f t="shared" si="442"/>
        <v>128.52482819785592</v>
      </c>
      <c r="R924" s="87">
        <f t="shared" si="460"/>
        <v>-485.60372417593288</v>
      </c>
      <c r="S924" s="6">
        <f t="shared" si="443"/>
        <v>-6.3781665879407266</v>
      </c>
      <c r="T924" s="83">
        <f t="shared" si="451"/>
        <v>0</v>
      </c>
      <c r="U924" s="91">
        <f t="shared" si="457"/>
        <v>57654.907200875896</v>
      </c>
      <c r="V924" s="91">
        <f t="shared" si="452"/>
        <v>151.53652345135302</v>
      </c>
      <c r="W924" s="1">
        <f t="shared" si="464"/>
        <v>0</v>
      </c>
      <c r="X924" s="1">
        <f t="shared" si="464"/>
        <v>0</v>
      </c>
      <c r="Y924" s="1">
        <f t="shared" si="464"/>
        <v>0</v>
      </c>
      <c r="Z924" s="1">
        <f t="shared" si="464"/>
        <v>0</v>
      </c>
      <c r="AA924" s="1">
        <f t="shared" si="464"/>
        <v>0</v>
      </c>
      <c r="AB924" s="1">
        <f t="shared" si="464"/>
        <v>0</v>
      </c>
      <c r="AC924" s="1">
        <f t="shared" si="464"/>
        <v>0</v>
      </c>
      <c r="AD924" s="1">
        <f t="shared" si="464"/>
        <v>1</v>
      </c>
      <c r="AE924" s="1">
        <f t="shared" si="464"/>
        <v>1</v>
      </c>
      <c r="AF924" s="1">
        <f t="shared" si="464"/>
        <v>1</v>
      </c>
      <c r="AG924" s="1">
        <f t="shared" si="464"/>
        <v>1</v>
      </c>
      <c r="AH924" s="1">
        <f t="shared" si="464"/>
        <v>1</v>
      </c>
      <c r="AI924" s="44">
        <f t="shared" si="453"/>
        <v>30360.35504330949</v>
      </c>
      <c r="AJ924" s="44">
        <f t="shared" si="444"/>
        <v>30845.958767485423</v>
      </c>
      <c r="AK924" s="44" t="str">
        <f t="shared" si="461"/>
        <v>N</v>
      </c>
      <c r="AL924" s="4">
        <f t="shared" si="445"/>
        <v>234</v>
      </c>
      <c r="AM924" s="82">
        <f t="shared" si="454"/>
        <v>0</v>
      </c>
      <c r="AN924" s="82">
        <f t="shared" si="446"/>
        <v>0</v>
      </c>
      <c r="AO924" s="48">
        <v>0</v>
      </c>
      <c r="AP924" s="91">
        <f t="shared" si="455"/>
        <v>-485.60372417593288</v>
      </c>
      <c r="AQ924" s="91">
        <f t="shared" si="456"/>
        <v>-485.60372417593288</v>
      </c>
    </row>
    <row r="925" spans="1:43">
      <c r="A925" s="190">
        <f t="shared" si="447"/>
        <v>85.304243668720048</v>
      </c>
      <c r="B925" s="82">
        <f t="shared" si="448"/>
        <v>20</v>
      </c>
      <c r="C925" s="83">
        <f t="shared" si="449"/>
        <v>235</v>
      </c>
      <c r="D925" s="14">
        <f t="shared" si="435"/>
        <v>2.6283369587845051E-3</v>
      </c>
      <c r="E925" s="16">
        <f t="shared" si="436"/>
        <v>0</v>
      </c>
      <c r="F925" s="127"/>
      <c r="G925" s="88">
        <f t="shared" si="437"/>
        <v>0</v>
      </c>
      <c r="H925" s="89">
        <f t="shared" si="450"/>
        <v>4.1666666666666666E-3</v>
      </c>
      <c r="I925" s="219"/>
      <c r="J925" s="219"/>
      <c r="K925" s="6">
        <f t="shared" si="458"/>
        <v>30360.35504330949</v>
      </c>
      <c r="M925" s="6">
        <f t="shared" si="438"/>
        <v>79.797243242149875</v>
      </c>
      <c r="N925" s="6">
        <f t="shared" si="439"/>
        <v>-34.349044967412603</v>
      </c>
      <c r="O925" s="90">
        <f t="shared" si="440"/>
        <v>485.60372417593265</v>
      </c>
      <c r="P925" s="91">
        <f t="shared" si="441"/>
        <v>0</v>
      </c>
      <c r="Q925" s="6">
        <f t="shared" si="442"/>
        <v>126.69084683993427</v>
      </c>
      <c r="R925" s="87">
        <f t="shared" si="460"/>
        <v>-485.60372417593288</v>
      </c>
      <c r="S925" s="6">
        <f t="shared" si="443"/>
        <v>-6.2864308909883322</v>
      </c>
      <c r="T925" s="83">
        <f t="shared" si="451"/>
        <v>0</v>
      </c>
      <c r="U925" s="91">
        <f t="shared" si="457"/>
        <v>57320.840000151315</v>
      </c>
      <c r="V925" s="91">
        <f t="shared" si="452"/>
        <v>150.65848228097093</v>
      </c>
      <c r="W925" s="1">
        <f t="shared" si="464"/>
        <v>0</v>
      </c>
      <c r="X925" s="1">
        <f t="shared" si="464"/>
        <v>0</v>
      </c>
      <c r="Y925" s="1">
        <f t="shared" si="464"/>
        <v>0</v>
      </c>
      <c r="Z925" s="1">
        <f t="shared" si="464"/>
        <v>0</v>
      </c>
      <c r="AA925" s="1">
        <f t="shared" si="464"/>
        <v>0</v>
      </c>
      <c r="AB925" s="1">
        <f t="shared" si="464"/>
        <v>0</v>
      </c>
      <c r="AC925" s="1">
        <f t="shared" si="464"/>
        <v>0</v>
      </c>
      <c r="AD925" s="1">
        <f t="shared" si="464"/>
        <v>1</v>
      </c>
      <c r="AE925" s="1">
        <f t="shared" si="464"/>
        <v>1</v>
      </c>
      <c r="AF925" s="1">
        <f t="shared" si="464"/>
        <v>1</v>
      </c>
      <c r="AG925" s="1">
        <f t="shared" si="464"/>
        <v>1</v>
      </c>
      <c r="AH925" s="1">
        <f t="shared" si="464"/>
        <v>1</v>
      </c>
      <c r="AI925" s="44">
        <f t="shared" si="453"/>
        <v>29920.199517408291</v>
      </c>
      <c r="AJ925" s="44">
        <f t="shared" si="444"/>
        <v>30405.803241584224</v>
      </c>
      <c r="AK925" s="44" t="str">
        <f t="shared" si="461"/>
        <v>N</v>
      </c>
      <c r="AL925" s="4">
        <f t="shared" si="445"/>
        <v>235</v>
      </c>
      <c r="AM925" s="82">
        <f t="shared" si="454"/>
        <v>0</v>
      </c>
      <c r="AN925" s="82">
        <f t="shared" si="446"/>
        <v>0</v>
      </c>
      <c r="AO925" s="48">
        <v>0</v>
      </c>
      <c r="AP925" s="91">
        <f t="shared" si="455"/>
        <v>-485.60372417593288</v>
      </c>
      <c r="AQ925" s="91">
        <f t="shared" si="456"/>
        <v>-485.60372417593288</v>
      </c>
    </row>
    <row r="926" spans="1:43">
      <c r="A926" s="190">
        <f t="shared" si="447"/>
        <v>85.387577002053376</v>
      </c>
      <c r="B926" s="82">
        <f t="shared" si="448"/>
        <v>20</v>
      </c>
      <c r="C926" s="83">
        <f t="shared" si="449"/>
        <v>236</v>
      </c>
      <c r="D926" s="14">
        <f t="shared" si="435"/>
        <v>2.6283369587845051E-3</v>
      </c>
      <c r="E926" s="16">
        <f t="shared" si="436"/>
        <v>0</v>
      </c>
      <c r="F926" s="127"/>
      <c r="G926" s="88">
        <f t="shared" si="437"/>
        <v>0</v>
      </c>
      <c r="H926" s="89">
        <f t="shared" si="450"/>
        <v>4.1666666666666666E-3</v>
      </c>
      <c r="I926" s="219"/>
      <c r="J926" s="219"/>
      <c r="K926" s="6">
        <f t="shared" si="458"/>
        <v>29920.199517408291</v>
      </c>
      <c r="M926" s="6">
        <f t="shared" si="438"/>
        <v>78.640366205810523</v>
      </c>
      <c r="N926" s="6">
        <f t="shared" si="439"/>
        <v>-33.851062584457324</v>
      </c>
      <c r="O926" s="90">
        <f t="shared" si="440"/>
        <v>485.60372417593265</v>
      </c>
      <c r="P926" s="91">
        <f t="shared" si="441"/>
        <v>0</v>
      </c>
      <c r="Q926" s="6">
        <f t="shared" si="442"/>
        <v>124.85412008762351</v>
      </c>
      <c r="R926" s="87">
        <f t="shared" si="460"/>
        <v>-485.60372417593288</v>
      </c>
      <c r="S926" s="6">
        <f t="shared" si="443"/>
        <v>-6.1945578694842967</v>
      </c>
      <c r="T926" s="83">
        <f t="shared" si="451"/>
        <v>0</v>
      </c>
      <c r="U926" s="91">
        <f t="shared" si="457"/>
        <v>56985.894758256356</v>
      </c>
      <c r="V926" s="91">
        <f t="shared" si="452"/>
        <v>149.77813332252938</v>
      </c>
      <c r="W926" s="1">
        <f t="shared" si="464"/>
        <v>0</v>
      </c>
      <c r="X926" s="1">
        <f t="shared" si="464"/>
        <v>0</v>
      </c>
      <c r="Y926" s="1">
        <f t="shared" si="464"/>
        <v>0</v>
      </c>
      <c r="Z926" s="1">
        <f t="shared" si="464"/>
        <v>0</v>
      </c>
      <c r="AA926" s="1">
        <f t="shared" si="464"/>
        <v>0</v>
      </c>
      <c r="AB926" s="1">
        <f t="shared" si="464"/>
        <v>0</v>
      </c>
      <c r="AC926" s="1">
        <f t="shared" si="464"/>
        <v>0</v>
      </c>
      <c r="AD926" s="1">
        <f t="shared" si="464"/>
        <v>1</v>
      </c>
      <c r="AE926" s="1">
        <f t="shared" si="464"/>
        <v>1</v>
      </c>
      <c r="AF926" s="1">
        <f t="shared" si="464"/>
        <v>1</v>
      </c>
      <c r="AG926" s="1">
        <f t="shared" si="464"/>
        <v>1</v>
      </c>
      <c r="AH926" s="1">
        <f t="shared" si="464"/>
        <v>1</v>
      </c>
      <c r="AI926" s="44">
        <f t="shared" si="453"/>
        <v>29479.385096853712</v>
      </c>
      <c r="AJ926" s="44">
        <f t="shared" si="444"/>
        <v>29964.988821029645</v>
      </c>
      <c r="AK926" s="44" t="str">
        <f t="shared" si="461"/>
        <v>N</v>
      </c>
      <c r="AL926" s="4">
        <f t="shared" si="445"/>
        <v>236</v>
      </c>
      <c r="AM926" s="82">
        <f t="shared" si="454"/>
        <v>0</v>
      </c>
      <c r="AN926" s="82">
        <f t="shared" si="446"/>
        <v>0</v>
      </c>
      <c r="AO926" s="48">
        <v>0</v>
      </c>
      <c r="AP926" s="91">
        <f t="shared" si="455"/>
        <v>-485.60372417593288</v>
      </c>
      <c r="AQ926" s="91">
        <f t="shared" si="456"/>
        <v>-485.60372417593288</v>
      </c>
    </row>
    <row r="927" spans="1:43">
      <c r="A927" s="190">
        <f t="shared" si="447"/>
        <v>85.470910335386719</v>
      </c>
      <c r="B927" s="82">
        <f t="shared" si="448"/>
        <v>20</v>
      </c>
      <c r="C927" s="83">
        <f t="shared" si="449"/>
        <v>237</v>
      </c>
      <c r="D927" s="14">
        <f t="shared" si="435"/>
        <v>2.6283369587845051E-3</v>
      </c>
      <c r="E927" s="16">
        <f t="shared" si="436"/>
        <v>0</v>
      </c>
      <c r="F927" s="127"/>
      <c r="G927" s="88">
        <f t="shared" si="437"/>
        <v>0</v>
      </c>
      <c r="H927" s="89">
        <f t="shared" si="450"/>
        <v>4.1666666666666666E-3</v>
      </c>
      <c r="I927" s="219"/>
      <c r="J927" s="219"/>
      <c r="K927" s="6">
        <f t="shared" si="458"/>
        <v>29479.385096853712</v>
      </c>
      <c r="M927" s="6">
        <f t="shared" si="438"/>
        <v>77.481757372301743</v>
      </c>
      <c r="N927" s="6">
        <f t="shared" si="439"/>
        <v>-33.352334742430664</v>
      </c>
      <c r="O927" s="90">
        <f t="shared" si="440"/>
        <v>485.60372417593265</v>
      </c>
      <c r="P927" s="91">
        <f t="shared" si="441"/>
        <v>0</v>
      </c>
      <c r="Q927" s="6">
        <f t="shared" si="442"/>
        <v>123.01464383118159</v>
      </c>
      <c r="R927" s="87">
        <f t="shared" si="460"/>
        <v>-485.60372417593288</v>
      </c>
      <c r="S927" s="6">
        <f t="shared" si="443"/>
        <v>-6.1025473178594387</v>
      </c>
      <c r="T927" s="83">
        <f t="shared" si="451"/>
        <v>0</v>
      </c>
      <c r="U927" s="91">
        <f t="shared" si="457"/>
        <v>56650.069167402951</v>
      </c>
      <c r="V927" s="91">
        <f t="shared" si="452"/>
        <v>148.89547051038375</v>
      </c>
      <c r="W927" s="1">
        <f t="shared" si="464"/>
        <v>0</v>
      </c>
      <c r="X927" s="1">
        <f t="shared" si="464"/>
        <v>0</v>
      </c>
      <c r="Y927" s="1">
        <f t="shared" si="464"/>
        <v>0</v>
      </c>
      <c r="Z927" s="1">
        <f t="shared" si="464"/>
        <v>0</v>
      </c>
      <c r="AA927" s="1">
        <f t="shared" si="464"/>
        <v>0</v>
      </c>
      <c r="AB927" s="1">
        <f t="shared" si="464"/>
        <v>0</v>
      </c>
      <c r="AC927" s="1">
        <f t="shared" si="464"/>
        <v>0</v>
      </c>
      <c r="AD927" s="1">
        <f t="shared" si="464"/>
        <v>1</v>
      </c>
      <c r="AE927" s="1">
        <f t="shared" si="464"/>
        <v>1</v>
      </c>
      <c r="AF927" s="1">
        <f t="shared" si="464"/>
        <v>1</v>
      </c>
      <c r="AG927" s="1">
        <f t="shared" si="464"/>
        <v>1</v>
      </c>
      <c r="AH927" s="1">
        <f t="shared" si="464"/>
        <v>1</v>
      </c>
      <c r="AI927" s="44">
        <f t="shared" si="453"/>
        <v>29037.910795307649</v>
      </c>
      <c r="AJ927" s="44">
        <f t="shared" si="444"/>
        <v>29523.514519483582</v>
      </c>
      <c r="AK927" s="44" t="str">
        <f t="shared" si="461"/>
        <v>N</v>
      </c>
      <c r="AL927" s="4">
        <f t="shared" si="445"/>
        <v>237</v>
      </c>
      <c r="AM927" s="82">
        <f t="shared" si="454"/>
        <v>0</v>
      </c>
      <c r="AN927" s="82">
        <f t="shared" si="446"/>
        <v>0</v>
      </c>
      <c r="AO927" s="48">
        <v>0</v>
      </c>
      <c r="AP927" s="91">
        <f t="shared" si="455"/>
        <v>-485.60372417593288</v>
      </c>
      <c r="AQ927" s="91">
        <f t="shared" si="456"/>
        <v>-485.60372417593288</v>
      </c>
    </row>
    <row r="928" spans="1:43">
      <c r="A928" s="190">
        <f t="shared" si="447"/>
        <v>85.554243668720048</v>
      </c>
      <c r="B928" s="82">
        <f t="shared" si="448"/>
        <v>20</v>
      </c>
      <c r="C928" s="83">
        <f t="shared" si="449"/>
        <v>238</v>
      </c>
      <c r="D928" s="14">
        <f t="shared" si="435"/>
        <v>2.6283369587845051E-3</v>
      </c>
      <c r="E928" s="16">
        <f t="shared" si="436"/>
        <v>0</v>
      </c>
      <c r="F928" s="127"/>
      <c r="G928" s="88">
        <f t="shared" si="437"/>
        <v>0</v>
      </c>
      <c r="H928" s="89">
        <f t="shared" si="450"/>
        <v>4.1666666666666666E-3</v>
      </c>
      <c r="I928" s="219"/>
      <c r="J928" s="219"/>
      <c r="K928" s="6">
        <f t="shared" si="458"/>
        <v>29037.910795307649</v>
      </c>
      <c r="M928" s="6">
        <f t="shared" si="438"/>
        <v>76.321414149194652</v>
      </c>
      <c r="N928" s="6">
        <f t="shared" si="439"/>
        <v>-32.852860325411136</v>
      </c>
      <c r="O928" s="90">
        <f t="shared" si="440"/>
        <v>485.60372417593265</v>
      </c>
      <c r="P928" s="91">
        <f t="shared" si="441"/>
        <v>0</v>
      </c>
      <c r="Q928" s="6">
        <f t="shared" si="442"/>
        <v>121.1724139547143</v>
      </c>
      <c r="R928" s="87">
        <f t="shared" si="460"/>
        <v>-485.60372417593288</v>
      </c>
      <c r="S928" s="6">
        <f t="shared" si="443"/>
        <v>-6.0103990302368384</v>
      </c>
      <c r="T928" s="83">
        <f t="shared" si="451"/>
        <v>0</v>
      </c>
      <c r="U928" s="91">
        <f t="shared" si="457"/>
        <v>56313.360913737401</v>
      </c>
      <c r="V928" s="91">
        <f t="shared" si="452"/>
        <v>148.01048776294678</v>
      </c>
      <c r="W928" s="1">
        <f t="shared" si="464"/>
        <v>0</v>
      </c>
      <c r="X928" s="1">
        <f t="shared" si="464"/>
        <v>0</v>
      </c>
      <c r="Y928" s="1">
        <f t="shared" si="464"/>
        <v>0</v>
      </c>
      <c r="Z928" s="1">
        <f t="shared" si="464"/>
        <v>0</v>
      </c>
      <c r="AA928" s="1">
        <f t="shared" si="464"/>
        <v>0</v>
      </c>
      <c r="AB928" s="1">
        <f t="shared" si="464"/>
        <v>0</v>
      </c>
      <c r="AC928" s="1">
        <f t="shared" si="464"/>
        <v>0</v>
      </c>
      <c r="AD928" s="1">
        <f t="shared" si="464"/>
        <v>1</v>
      </c>
      <c r="AE928" s="1">
        <f t="shared" si="464"/>
        <v>1</v>
      </c>
      <c r="AF928" s="1">
        <f t="shared" si="464"/>
        <v>1</v>
      </c>
      <c r="AG928" s="1">
        <f t="shared" si="464"/>
        <v>1</v>
      </c>
      <c r="AH928" s="1">
        <f t="shared" si="464"/>
        <v>1</v>
      </c>
      <c r="AI928" s="44">
        <f t="shared" si="453"/>
        <v>28595.775624955499</v>
      </c>
      <c r="AJ928" s="44">
        <f t="shared" si="444"/>
        <v>29081.379349131432</v>
      </c>
      <c r="AK928" s="44" t="str">
        <f t="shared" si="461"/>
        <v>N</v>
      </c>
      <c r="AL928" s="4">
        <f t="shared" si="445"/>
        <v>238</v>
      </c>
      <c r="AM928" s="82">
        <f t="shared" si="454"/>
        <v>0</v>
      </c>
      <c r="AN928" s="82">
        <f t="shared" si="446"/>
        <v>0</v>
      </c>
      <c r="AO928" s="48">
        <v>0</v>
      </c>
      <c r="AP928" s="91">
        <f t="shared" si="455"/>
        <v>-485.60372417593288</v>
      </c>
      <c r="AQ928" s="91">
        <f t="shared" si="456"/>
        <v>-485.60372417593288</v>
      </c>
    </row>
    <row r="929" spans="1:43">
      <c r="A929" s="190">
        <f t="shared" si="447"/>
        <v>85.637577002053376</v>
      </c>
      <c r="B929" s="82">
        <f t="shared" si="448"/>
        <v>20</v>
      </c>
      <c r="C929" s="83">
        <f t="shared" si="449"/>
        <v>239</v>
      </c>
      <c r="D929" s="14">
        <f t="shared" si="435"/>
        <v>2.6283369587845051E-3</v>
      </c>
      <c r="E929" s="16">
        <f t="shared" si="436"/>
        <v>0</v>
      </c>
      <c r="F929" s="127"/>
      <c r="G929" s="88">
        <f t="shared" si="437"/>
        <v>0</v>
      </c>
      <c r="H929" s="89">
        <f t="shared" si="450"/>
        <v>4.1666666666666666E-3</v>
      </c>
      <c r="I929" s="219"/>
      <c r="J929" s="219"/>
      <c r="K929" s="6">
        <f t="shared" si="458"/>
        <v>28595.775624955499</v>
      </c>
      <c r="M929" s="6">
        <f t="shared" si="438"/>
        <v>75.159333940179621</v>
      </c>
      <c r="N929" s="6">
        <f t="shared" si="439"/>
        <v>-32.352638215806813</v>
      </c>
      <c r="O929" s="90">
        <f t="shared" si="440"/>
        <v>485.60372417593265</v>
      </c>
      <c r="P929" s="91">
        <f t="shared" si="441"/>
        <v>0</v>
      </c>
      <c r="Q929" s="6">
        <f t="shared" si="442"/>
        <v>119.32742633616614</v>
      </c>
      <c r="R929" s="87">
        <f t="shared" si="460"/>
        <v>-485.60372417593288</v>
      </c>
      <c r="S929" s="6">
        <f t="shared" si="443"/>
        <v>-5.9181128004313965</v>
      </c>
      <c r="T929" s="83">
        <f t="shared" si="451"/>
        <v>0</v>
      </c>
      <c r="U929" s="91">
        <f t="shared" si="457"/>
        <v>55975.767677324417</v>
      </c>
      <c r="V929" s="91">
        <f t="shared" si="452"/>
        <v>147.12317898264686</v>
      </c>
      <c r="W929" s="1">
        <f t="shared" si="464"/>
        <v>0</v>
      </c>
      <c r="X929" s="1">
        <f t="shared" si="464"/>
        <v>0</v>
      </c>
      <c r="Y929" s="1">
        <f t="shared" si="464"/>
        <v>0</v>
      </c>
      <c r="Z929" s="1">
        <f t="shared" si="464"/>
        <v>0</v>
      </c>
      <c r="AA929" s="1">
        <f t="shared" si="464"/>
        <v>0</v>
      </c>
      <c r="AB929" s="1">
        <f t="shared" si="464"/>
        <v>0</v>
      </c>
      <c r="AC929" s="1">
        <f t="shared" si="464"/>
        <v>0</v>
      </c>
      <c r="AD929" s="1">
        <f t="shared" si="464"/>
        <v>1</v>
      </c>
      <c r="AE929" s="1">
        <f t="shared" si="464"/>
        <v>1</v>
      </c>
      <c r="AF929" s="1">
        <f t="shared" si="464"/>
        <v>1</v>
      </c>
      <c r="AG929" s="1">
        <f t="shared" si="464"/>
        <v>1</v>
      </c>
      <c r="AH929" s="1">
        <f t="shared" si="464"/>
        <v>1</v>
      </c>
      <c r="AI929" s="44">
        <f t="shared" si="453"/>
        <v>28152.978596503941</v>
      </c>
      <c r="AJ929" s="44">
        <f t="shared" si="444"/>
        <v>28638.582320679874</v>
      </c>
      <c r="AK929" s="44" t="str">
        <f t="shared" si="461"/>
        <v>N</v>
      </c>
      <c r="AL929" s="4">
        <f t="shared" si="445"/>
        <v>239</v>
      </c>
      <c r="AM929" s="82">
        <f t="shared" si="454"/>
        <v>0</v>
      </c>
      <c r="AN929" s="82">
        <f t="shared" si="446"/>
        <v>0</v>
      </c>
      <c r="AO929" s="48">
        <v>0</v>
      </c>
      <c r="AP929" s="91">
        <f t="shared" si="455"/>
        <v>-485.60372417593288</v>
      </c>
      <c r="AQ929" s="91">
        <f t="shared" si="456"/>
        <v>-485.60372417593288</v>
      </c>
    </row>
    <row r="930" spans="1:43">
      <c r="A930" s="190">
        <f t="shared" si="447"/>
        <v>85.720910335386719</v>
      </c>
      <c r="B930" s="82">
        <f t="shared" si="448"/>
        <v>20</v>
      </c>
      <c r="C930" s="83">
        <f t="shared" si="449"/>
        <v>240</v>
      </c>
      <c r="D930" s="14">
        <f t="shared" si="435"/>
        <v>2.6283369587845051E-3</v>
      </c>
      <c r="E930" s="16">
        <f t="shared" si="436"/>
        <v>0</v>
      </c>
      <c r="F930" s="127"/>
      <c r="G930" s="88">
        <f t="shared" si="437"/>
        <v>0</v>
      </c>
      <c r="H930" s="89">
        <f t="shared" si="450"/>
        <v>4.1666666666666666E-3</v>
      </c>
      <c r="I930" s="219"/>
      <c r="J930" s="219"/>
      <c r="K930" s="6">
        <f t="shared" si="458"/>
        <v>28152.978596503941</v>
      </c>
      <c r="M930" s="6">
        <f t="shared" si="438"/>
        <v>73.99551414506044</v>
      </c>
      <c r="N930" s="6">
        <f t="shared" si="439"/>
        <v>-31.851667294352751</v>
      </c>
      <c r="O930" s="90">
        <f t="shared" si="440"/>
        <v>485.60372417593265</v>
      </c>
      <c r="P930" s="91">
        <f t="shared" si="441"/>
        <v>0</v>
      </c>
      <c r="Q930" s="6">
        <f t="shared" si="442"/>
        <v>117.47967684731104</v>
      </c>
      <c r="R930" s="87">
        <f t="shared" si="460"/>
        <v>-485.60372417593288</v>
      </c>
      <c r="S930" s="6">
        <f t="shared" si="443"/>
        <v>-5.8256884219493594</v>
      </c>
      <c r="T930" s="83">
        <f t="shared" si="451"/>
        <v>0</v>
      </c>
      <c r="U930" s="91">
        <f t="shared" si="457"/>
        <v>55637.287132131132</v>
      </c>
      <c r="V930" s="91">
        <f t="shared" si="452"/>
        <v>146.23353805588582</v>
      </c>
      <c r="W930" s="1">
        <f t="shared" si="464"/>
        <v>0</v>
      </c>
      <c r="X930" s="1">
        <f t="shared" si="464"/>
        <v>0</v>
      </c>
      <c r="Y930" s="1">
        <f t="shared" si="464"/>
        <v>0</v>
      </c>
      <c r="Z930" s="1">
        <f t="shared" si="464"/>
        <v>0</v>
      </c>
      <c r="AA930" s="1">
        <f t="shared" si="464"/>
        <v>0</v>
      </c>
      <c r="AB930" s="1">
        <f t="shared" si="464"/>
        <v>0</v>
      </c>
      <c r="AC930" s="1">
        <f t="shared" si="464"/>
        <v>0</v>
      </c>
      <c r="AD930" s="1">
        <f t="shared" si="464"/>
        <v>1</v>
      </c>
      <c r="AE930" s="1">
        <f t="shared" si="464"/>
        <v>1</v>
      </c>
      <c r="AF930" s="1">
        <f t="shared" si="464"/>
        <v>1</v>
      </c>
      <c r="AG930" s="1">
        <f t="shared" si="464"/>
        <v>1</v>
      </c>
      <c r="AH930" s="1">
        <f t="shared" si="464"/>
        <v>1</v>
      </c>
      <c r="AI930" s="44">
        <f t="shared" si="453"/>
        <v>27709.518719178715</v>
      </c>
      <c r="AJ930" s="44">
        <f t="shared" si="444"/>
        <v>28195.122443354649</v>
      </c>
      <c r="AK930" s="44" t="str">
        <f t="shared" si="461"/>
        <v>N</v>
      </c>
      <c r="AL930" s="4">
        <f t="shared" si="445"/>
        <v>240</v>
      </c>
      <c r="AM930" s="82">
        <f t="shared" si="454"/>
        <v>0</v>
      </c>
      <c r="AN930" s="82">
        <f t="shared" si="446"/>
        <v>0</v>
      </c>
      <c r="AO930" s="48">
        <v>0</v>
      </c>
      <c r="AP930" s="91">
        <f t="shared" si="455"/>
        <v>-485.60372417593288</v>
      </c>
      <c r="AQ930" s="91">
        <f t="shared" si="456"/>
        <v>-485.60372417593288</v>
      </c>
    </row>
    <row r="931" spans="1:43">
      <c r="A931" s="190">
        <f t="shared" si="447"/>
        <v>85.804243668720048</v>
      </c>
      <c r="B931" s="82">
        <f t="shared" si="448"/>
        <v>21</v>
      </c>
      <c r="C931" s="83">
        <f t="shared" si="449"/>
        <v>241</v>
      </c>
      <c r="D931" s="14">
        <f t="shared" si="435"/>
        <v>2.6283369587845051E-3</v>
      </c>
      <c r="E931" s="16">
        <f t="shared" si="436"/>
        <v>0</v>
      </c>
      <c r="F931" s="127"/>
      <c r="G931" s="88">
        <f t="shared" si="437"/>
        <v>0</v>
      </c>
      <c r="H931" s="89">
        <f t="shared" si="450"/>
        <v>4.1666666666666666E-3</v>
      </c>
      <c r="I931" s="219"/>
      <c r="J931" s="219"/>
      <c r="K931" s="6">
        <f t="shared" si="458"/>
        <v>27709.518719178715</v>
      </c>
      <c r="M931" s="6">
        <f t="shared" si="438"/>
        <v>72.829952159748501</v>
      </c>
      <c r="N931" s="6">
        <f t="shared" si="439"/>
        <v>-31.349946440108518</v>
      </c>
      <c r="O931" s="90">
        <f t="shared" si="440"/>
        <v>495.31579865945139</v>
      </c>
      <c r="P931" s="91">
        <f t="shared" si="441"/>
        <v>0</v>
      </c>
      <c r="Q931" s="6">
        <f t="shared" si="442"/>
        <v>115.62916135374313</v>
      </c>
      <c r="R931" s="87">
        <f t="shared" si="460"/>
        <v>-496.05726596423034</v>
      </c>
      <c r="S931" s="6">
        <f t="shared" si="443"/>
        <v>-5.7320355276783346</v>
      </c>
      <c r="T931" s="83">
        <f t="shared" si="451"/>
        <v>0</v>
      </c>
      <c r="U931" s="91">
        <f t="shared" si="457"/>
        <v>55297.916946011086</v>
      </c>
      <c r="V931" s="91">
        <f t="shared" si="452"/>
        <v>145.34155885299694</v>
      </c>
      <c r="W931" s="1">
        <f t="shared" ref="W931:AH940" si="465">IF($B931&lt;=W$78,1,0)</f>
        <v>0</v>
      </c>
      <c r="X931" s="1">
        <f t="shared" si="465"/>
        <v>0</v>
      </c>
      <c r="Y931" s="1">
        <f t="shared" si="465"/>
        <v>0</v>
      </c>
      <c r="Z931" s="1">
        <f t="shared" si="465"/>
        <v>0</v>
      </c>
      <c r="AA931" s="1">
        <f t="shared" si="465"/>
        <v>0</v>
      </c>
      <c r="AB931" s="1">
        <f t="shared" si="465"/>
        <v>0</v>
      </c>
      <c r="AC931" s="1">
        <f t="shared" si="465"/>
        <v>0</v>
      </c>
      <c r="AD931" s="1">
        <f t="shared" si="465"/>
        <v>0</v>
      </c>
      <c r="AE931" s="1">
        <f t="shared" si="465"/>
        <v>1</v>
      </c>
      <c r="AF931" s="1">
        <f t="shared" si="465"/>
        <v>1</v>
      </c>
      <c r="AG931" s="1">
        <f t="shared" si="465"/>
        <v>1</v>
      </c>
      <c r="AH931" s="1">
        <f t="shared" si="465"/>
        <v>1</v>
      </c>
      <c r="AI931" s="44">
        <f t="shared" si="453"/>
        <v>27254.941458934121</v>
      </c>
      <c r="AJ931" s="44">
        <f t="shared" si="444"/>
        <v>27750.998724898353</v>
      </c>
      <c r="AK931" s="44" t="str">
        <f t="shared" si="461"/>
        <v>N</v>
      </c>
      <c r="AL931" s="4">
        <f t="shared" si="445"/>
        <v>241</v>
      </c>
      <c r="AM931" s="82">
        <f t="shared" si="454"/>
        <v>0</v>
      </c>
      <c r="AN931" s="82">
        <f t="shared" si="446"/>
        <v>0</v>
      </c>
      <c r="AO931" s="48">
        <v>0</v>
      </c>
      <c r="AP931" s="91">
        <f t="shared" si="455"/>
        <v>-496.05726596423034</v>
      </c>
      <c r="AQ931" s="91">
        <f t="shared" si="456"/>
        <v>-496.05726596423034</v>
      </c>
    </row>
    <row r="932" spans="1:43">
      <c r="A932" s="190">
        <f t="shared" si="447"/>
        <v>85.887577002053376</v>
      </c>
      <c r="B932" s="82">
        <f t="shared" si="448"/>
        <v>21</v>
      </c>
      <c r="C932" s="83">
        <f t="shared" si="449"/>
        <v>242</v>
      </c>
      <c r="D932" s="14">
        <f t="shared" si="435"/>
        <v>2.6283369587845051E-3</v>
      </c>
      <c r="E932" s="16">
        <f t="shared" si="436"/>
        <v>0</v>
      </c>
      <c r="F932" s="127"/>
      <c r="G932" s="88">
        <f t="shared" si="437"/>
        <v>0</v>
      </c>
      <c r="H932" s="89">
        <f t="shared" si="450"/>
        <v>4.1666666666666666E-3</v>
      </c>
      <c r="I932" s="219"/>
      <c r="J932" s="219"/>
      <c r="K932" s="6">
        <f t="shared" si="458"/>
        <v>27254.941458934121</v>
      </c>
      <c r="M932" s="6">
        <f t="shared" si="438"/>
        <v>71.635169946024632</v>
      </c>
      <c r="N932" s="6">
        <f t="shared" si="439"/>
        <v>-30.835647620775511</v>
      </c>
      <c r="O932" s="90">
        <f t="shared" si="440"/>
        <v>495.31579865945139</v>
      </c>
      <c r="P932" s="91">
        <f t="shared" si="441"/>
        <v>0</v>
      </c>
      <c r="Q932" s="6">
        <f t="shared" si="442"/>
        <v>113.7322540885807</v>
      </c>
      <c r="R932" s="87">
        <f t="shared" si="460"/>
        <v>-495.31579865945156</v>
      </c>
      <c r="S932" s="6">
        <f t="shared" si="443"/>
        <v>-5.6372296033998772</v>
      </c>
      <c r="T932" s="83">
        <f t="shared" si="451"/>
        <v>0</v>
      </c>
      <c r="U932" s="91">
        <f t="shared" si="457"/>
        <v>54947.201238899856</v>
      </c>
      <c r="V932" s="91">
        <f t="shared" si="452"/>
        <v>144.41975979797024</v>
      </c>
      <c r="W932" s="1">
        <f t="shared" si="465"/>
        <v>0</v>
      </c>
      <c r="X932" s="1">
        <f t="shared" si="465"/>
        <v>0</v>
      </c>
      <c r="Y932" s="1">
        <f t="shared" si="465"/>
        <v>0</v>
      </c>
      <c r="Z932" s="1">
        <f t="shared" si="465"/>
        <v>0</v>
      </c>
      <c r="AA932" s="1">
        <f t="shared" si="465"/>
        <v>0</v>
      </c>
      <c r="AB932" s="1">
        <f t="shared" si="465"/>
        <v>0</v>
      </c>
      <c r="AC932" s="1">
        <f t="shared" si="465"/>
        <v>0</v>
      </c>
      <c r="AD932" s="1">
        <f t="shared" si="465"/>
        <v>0</v>
      </c>
      <c r="AE932" s="1">
        <f t="shared" si="465"/>
        <v>1</v>
      </c>
      <c r="AF932" s="1">
        <f t="shared" si="465"/>
        <v>1</v>
      </c>
      <c r="AG932" s="1">
        <f t="shared" si="465"/>
        <v>1</v>
      </c>
      <c r="AH932" s="1">
        <f t="shared" si="465"/>
        <v>1</v>
      </c>
      <c r="AI932" s="44">
        <f t="shared" si="453"/>
        <v>26800.425182599916</v>
      </c>
      <c r="AJ932" s="44">
        <f t="shared" si="444"/>
        <v>27295.740981259369</v>
      </c>
      <c r="AK932" s="44" t="str">
        <f t="shared" si="461"/>
        <v>N</v>
      </c>
      <c r="AL932" s="4">
        <f t="shared" si="445"/>
        <v>242</v>
      </c>
      <c r="AM932" s="82">
        <f t="shared" si="454"/>
        <v>0</v>
      </c>
      <c r="AN932" s="82">
        <f t="shared" si="446"/>
        <v>0</v>
      </c>
      <c r="AO932" s="48">
        <v>0</v>
      </c>
      <c r="AP932" s="91">
        <f t="shared" si="455"/>
        <v>-495.31579865945156</v>
      </c>
      <c r="AQ932" s="91">
        <f t="shared" si="456"/>
        <v>-495.31579865945156</v>
      </c>
    </row>
    <row r="933" spans="1:43">
      <c r="A933" s="190">
        <f t="shared" si="447"/>
        <v>85.970910335386719</v>
      </c>
      <c r="B933" s="82">
        <f t="shared" si="448"/>
        <v>21</v>
      </c>
      <c r="C933" s="83">
        <f t="shared" si="449"/>
        <v>243</v>
      </c>
      <c r="D933" s="14">
        <f t="shared" si="435"/>
        <v>2.6283369587845051E-3</v>
      </c>
      <c r="E933" s="16">
        <f t="shared" si="436"/>
        <v>0</v>
      </c>
      <c r="F933" s="127"/>
      <c r="G933" s="88">
        <f t="shared" si="437"/>
        <v>0</v>
      </c>
      <c r="H933" s="89">
        <f t="shared" si="450"/>
        <v>4.1666666666666666E-3</v>
      </c>
      <c r="I933" s="219"/>
      <c r="J933" s="219"/>
      <c r="K933" s="6">
        <f t="shared" si="458"/>
        <v>26800.425182599916</v>
      </c>
      <c r="M933" s="6">
        <f t="shared" si="438"/>
        <v>70.440548018566332</v>
      </c>
      <c r="N933" s="6">
        <f t="shared" si="439"/>
        <v>-30.321417797311543</v>
      </c>
      <c r="O933" s="90">
        <f t="shared" si="440"/>
        <v>495.31579865945139</v>
      </c>
      <c r="P933" s="91">
        <f t="shared" si="441"/>
        <v>0</v>
      </c>
      <c r="Q933" s="6">
        <f t="shared" si="442"/>
        <v>111.83560130342154</v>
      </c>
      <c r="R933" s="87">
        <f t="shared" si="460"/>
        <v>-495.31579865945156</v>
      </c>
      <c r="S933" s="6">
        <f t="shared" si="443"/>
        <v>-5.542359083385187</v>
      </c>
      <c r="T933" s="83">
        <f t="shared" si="451"/>
        <v>0</v>
      </c>
      <c r="U933" s="91">
        <f t="shared" si="457"/>
        <v>54596.305200038376</v>
      </c>
      <c r="V933" s="91">
        <f t="shared" si="452"/>
        <v>143.49748677033952</v>
      </c>
      <c r="W933" s="1">
        <f t="shared" si="465"/>
        <v>0</v>
      </c>
      <c r="X933" s="1">
        <f t="shared" si="465"/>
        <v>0</v>
      </c>
      <c r="Y933" s="1">
        <f t="shared" si="465"/>
        <v>0</v>
      </c>
      <c r="Z933" s="1">
        <f t="shared" si="465"/>
        <v>0</v>
      </c>
      <c r="AA933" s="1">
        <f t="shared" si="465"/>
        <v>0</v>
      </c>
      <c r="AB933" s="1">
        <f t="shared" si="465"/>
        <v>0</v>
      </c>
      <c r="AC933" s="1">
        <f t="shared" si="465"/>
        <v>0</v>
      </c>
      <c r="AD933" s="1">
        <f t="shared" si="465"/>
        <v>0</v>
      </c>
      <c r="AE933" s="1">
        <f t="shared" si="465"/>
        <v>1</v>
      </c>
      <c r="AF933" s="1">
        <f t="shared" si="465"/>
        <v>1</v>
      </c>
      <c r="AG933" s="1">
        <f t="shared" si="465"/>
        <v>1</v>
      </c>
      <c r="AH933" s="1">
        <f t="shared" si="465"/>
        <v>1</v>
      </c>
      <c r="AI933" s="44">
        <f t="shared" si="453"/>
        <v>26345.228514161718</v>
      </c>
      <c r="AJ933" s="44">
        <f t="shared" si="444"/>
        <v>26840.54431282117</v>
      </c>
      <c r="AK933" s="44" t="str">
        <f t="shared" si="461"/>
        <v>N</v>
      </c>
      <c r="AL933" s="4">
        <f t="shared" si="445"/>
        <v>243</v>
      </c>
      <c r="AM933" s="82">
        <f t="shared" si="454"/>
        <v>0</v>
      </c>
      <c r="AN933" s="82">
        <f t="shared" si="446"/>
        <v>0</v>
      </c>
      <c r="AO933" s="48">
        <v>0</v>
      </c>
      <c r="AP933" s="91">
        <f t="shared" si="455"/>
        <v>-495.31579865945156</v>
      </c>
      <c r="AQ933" s="91">
        <f t="shared" si="456"/>
        <v>-495.31579865945156</v>
      </c>
    </row>
    <row r="934" spans="1:43">
      <c r="A934" s="190">
        <f t="shared" si="447"/>
        <v>86.054243668720048</v>
      </c>
      <c r="B934" s="82">
        <f t="shared" si="448"/>
        <v>21</v>
      </c>
      <c r="C934" s="83">
        <f t="shared" si="449"/>
        <v>244</v>
      </c>
      <c r="D934" s="14">
        <f t="shared" si="435"/>
        <v>2.6283369587845051E-3</v>
      </c>
      <c r="E934" s="16">
        <f t="shared" si="436"/>
        <v>0</v>
      </c>
      <c r="F934" s="127"/>
      <c r="G934" s="88">
        <f t="shared" si="437"/>
        <v>0</v>
      </c>
      <c r="H934" s="89">
        <f t="shared" si="450"/>
        <v>4.1666666666666666E-3</v>
      </c>
      <c r="I934" s="219"/>
      <c r="J934" s="219"/>
      <c r="K934" s="6">
        <f t="shared" si="458"/>
        <v>26345.228514161718</v>
      </c>
      <c r="M934" s="6">
        <f t="shared" si="438"/>
        <v>69.244137791394635</v>
      </c>
      <c r="N934" s="6">
        <f t="shared" si="439"/>
        <v>-29.806418193028399</v>
      </c>
      <c r="O934" s="90">
        <f t="shared" si="440"/>
        <v>495.31579865945139</v>
      </c>
      <c r="P934" s="91">
        <f t="shared" si="441"/>
        <v>0</v>
      </c>
      <c r="Q934" s="6">
        <f t="shared" si="442"/>
        <v>109.93610930733368</v>
      </c>
      <c r="R934" s="87">
        <f t="shared" si="460"/>
        <v>-495.31579865945156</v>
      </c>
      <c r="S934" s="6">
        <f t="shared" si="443"/>
        <v>-5.4473465461181325</v>
      </c>
      <c r="T934" s="83">
        <f t="shared" si="451"/>
        <v>0</v>
      </c>
      <c r="U934" s="91">
        <f t="shared" si="457"/>
        <v>54244.486888149266</v>
      </c>
      <c r="V934" s="91">
        <f t="shared" si="452"/>
        <v>142.5727896984242</v>
      </c>
      <c r="W934" s="1">
        <f t="shared" si="465"/>
        <v>0</v>
      </c>
      <c r="X934" s="1">
        <f t="shared" si="465"/>
        <v>0</v>
      </c>
      <c r="Y934" s="1">
        <f t="shared" si="465"/>
        <v>0</v>
      </c>
      <c r="Z934" s="1">
        <f t="shared" si="465"/>
        <v>0</v>
      </c>
      <c r="AA934" s="1">
        <f t="shared" si="465"/>
        <v>0</v>
      </c>
      <c r="AB934" s="1">
        <f t="shared" si="465"/>
        <v>0</v>
      </c>
      <c r="AC934" s="1">
        <f t="shared" si="465"/>
        <v>0</v>
      </c>
      <c r="AD934" s="1">
        <f t="shared" si="465"/>
        <v>0</v>
      </c>
      <c r="AE934" s="1">
        <f t="shared" si="465"/>
        <v>1</v>
      </c>
      <c r="AF934" s="1">
        <f t="shared" si="465"/>
        <v>1</v>
      </c>
      <c r="AG934" s="1">
        <f t="shared" si="465"/>
        <v>1</v>
      </c>
      <c r="AH934" s="1">
        <f t="shared" si="465"/>
        <v>1</v>
      </c>
      <c r="AI934" s="44">
        <f t="shared" si="453"/>
        <v>25889.35043510063</v>
      </c>
      <c r="AJ934" s="44">
        <f t="shared" si="444"/>
        <v>26384.666233760083</v>
      </c>
      <c r="AK934" s="44" t="str">
        <f t="shared" si="461"/>
        <v>N</v>
      </c>
      <c r="AL934" s="4">
        <f t="shared" si="445"/>
        <v>244</v>
      </c>
      <c r="AM934" s="82">
        <f t="shared" si="454"/>
        <v>0</v>
      </c>
      <c r="AN934" s="82">
        <f t="shared" si="446"/>
        <v>0</v>
      </c>
      <c r="AO934" s="48">
        <v>0</v>
      </c>
      <c r="AP934" s="91">
        <f t="shared" si="455"/>
        <v>-495.31579865945156</v>
      </c>
      <c r="AQ934" s="91">
        <f t="shared" si="456"/>
        <v>-495.31579865945156</v>
      </c>
    </row>
    <row r="935" spans="1:43">
      <c r="A935" s="190">
        <f t="shared" si="447"/>
        <v>86.137577002053376</v>
      </c>
      <c r="B935" s="82">
        <f t="shared" si="448"/>
        <v>21</v>
      </c>
      <c r="C935" s="83">
        <f t="shared" si="449"/>
        <v>245</v>
      </c>
      <c r="D935" s="14">
        <f t="shared" si="435"/>
        <v>2.6283369587845051E-3</v>
      </c>
      <c r="E935" s="16">
        <f t="shared" si="436"/>
        <v>0</v>
      </c>
      <c r="F935" s="127"/>
      <c r="G935" s="88">
        <f t="shared" si="437"/>
        <v>0</v>
      </c>
      <c r="H935" s="89">
        <f t="shared" si="450"/>
        <v>4.1666666666666666E-3</v>
      </c>
      <c r="I935" s="219"/>
      <c r="J935" s="219"/>
      <c r="K935" s="6">
        <f t="shared" si="458"/>
        <v>25889.35043510063</v>
      </c>
      <c r="M935" s="6">
        <f t="shared" si="438"/>
        <v>68.045936587498701</v>
      </c>
      <c r="N935" s="6">
        <f t="shared" si="439"/>
        <v>-29.290647655595976</v>
      </c>
      <c r="O935" s="90">
        <f t="shared" si="440"/>
        <v>495.31579865945139</v>
      </c>
      <c r="P935" s="91">
        <f t="shared" si="441"/>
        <v>0</v>
      </c>
      <c r="Q935" s="6">
        <f t="shared" si="442"/>
        <v>108.03377385013556</v>
      </c>
      <c r="R935" s="87">
        <f t="shared" si="460"/>
        <v>-495.31579865945156</v>
      </c>
      <c r="S935" s="6">
        <f t="shared" si="443"/>
        <v>-5.35219177900475</v>
      </c>
      <c r="T935" s="83">
        <f t="shared" si="451"/>
        <v>0</v>
      </c>
      <c r="U935" s="91">
        <f t="shared" si="457"/>
        <v>53891.743879188238</v>
      </c>
      <c r="V935" s="91">
        <f t="shared" si="452"/>
        <v>141.64566221101907</v>
      </c>
      <c r="W935" s="1">
        <f t="shared" si="465"/>
        <v>0</v>
      </c>
      <c r="X935" s="1">
        <f t="shared" si="465"/>
        <v>0</v>
      </c>
      <c r="Y935" s="1">
        <f t="shared" si="465"/>
        <v>0</v>
      </c>
      <c r="Z935" s="1">
        <f t="shared" si="465"/>
        <v>0</v>
      </c>
      <c r="AA935" s="1">
        <f t="shared" si="465"/>
        <v>0</v>
      </c>
      <c r="AB935" s="1">
        <f t="shared" si="465"/>
        <v>0</v>
      </c>
      <c r="AC935" s="1">
        <f t="shared" si="465"/>
        <v>0</v>
      </c>
      <c r="AD935" s="1">
        <f t="shared" si="465"/>
        <v>0</v>
      </c>
      <c r="AE935" s="1">
        <f t="shared" si="465"/>
        <v>1</v>
      </c>
      <c r="AF935" s="1">
        <f t="shared" si="465"/>
        <v>1</v>
      </c>
      <c r="AG935" s="1">
        <f t="shared" si="465"/>
        <v>1</v>
      </c>
      <c r="AH935" s="1">
        <f t="shared" si="465"/>
        <v>1</v>
      </c>
      <c r="AI935" s="44">
        <f t="shared" si="453"/>
        <v>25432.789925373083</v>
      </c>
      <c r="AJ935" s="44">
        <f t="shared" si="444"/>
        <v>25928.105724032535</v>
      </c>
      <c r="AK935" s="44" t="str">
        <f t="shared" si="461"/>
        <v>N</v>
      </c>
      <c r="AL935" s="4">
        <f t="shared" si="445"/>
        <v>245</v>
      </c>
      <c r="AM935" s="82">
        <f t="shared" si="454"/>
        <v>0</v>
      </c>
      <c r="AN935" s="82">
        <f t="shared" si="446"/>
        <v>0</v>
      </c>
      <c r="AO935" s="48">
        <v>0</v>
      </c>
      <c r="AP935" s="91">
        <f t="shared" si="455"/>
        <v>-495.31579865945156</v>
      </c>
      <c r="AQ935" s="91">
        <f t="shared" si="456"/>
        <v>-495.31579865945156</v>
      </c>
    </row>
    <row r="936" spans="1:43">
      <c r="A936" s="190">
        <f t="shared" si="447"/>
        <v>86.220910335386719</v>
      </c>
      <c r="B936" s="82">
        <f t="shared" si="448"/>
        <v>21</v>
      </c>
      <c r="C936" s="83">
        <f t="shared" si="449"/>
        <v>246</v>
      </c>
      <c r="D936" s="14">
        <f t="shared" si="435"/>
        <v>2.6283369587845051E-3</v>
      </c>
      <c r="E936" s="16">
        <f t="shared" si="436"/>
        <v>0</v>
      </c>
      <c r="F936" s="127"/>
      <c r="G936" s="88">
        <f t="shared" si="437"/>
        <v>0</v>
      </c>
      <c r="H936" s="89">
        <f t="shared" si="450"/>
        <v>4.1666666666666666E-3</v>
      </c>
      <c r="I936" s="219"/>
      <c r="J936" s="219"/>
      <c r="K936" s="6">
        <f t="shared" si="458"/>
        <v>25432.789925373083</v>
      </c>
      <c r="M936" s="6">
        <f t="shared" si="438"/>
        <v>66.845941725860285</v>
      </c>
      <c r="N936" s="6">
        <f t="shared" si="439"/>
        <v>-28.774105030959173</v>
      </c>
      <c r="O936" s="90">
        <f t="shared" si="440"/>
        <v>495.31579865945139</v>
      </c>
      <c r="P936" s="91">
        <f t="shared" si="441"/>
        <v>0</v>
      </c>
      <c r="Q936" s="6">
        <f t="shared" si="442"/>
        <v>106.12859067528326</v>
      </c>
      <c r="R936" s="87">
        <f t="shared" si="460"/>
        <v>-495.31579865945156</v>
      </c>
      <c r="S936" s="6">
        <f t="shared" si="443"/>
        <v>-5.2568945691328297</v>
      </c>
      <c r="T936" s="83">
        <f t="shared" si="451"/>
        <v>0</v>
      </c>
      <c r="U936" s="91">
        <f t="shared" si="457"/>
        <v>53538.073742739805</v>
      </c>
      <c r="V936" s="91">
        <f t="shared" si="452"/>
        <v>140.7160979201733</v>
      </c>
      <c r="W936" s="1">
        <f t="shared" si="465"/>
        <v>0</v>
      </c>
      <c r="X936" s="1">
        <f t="shared" si="465"/>
        <v>0</v>
      </c>
      <c r="Y936" s="1">
        <f t="shared" si="465"/>
        <v>0</v>
      </c>
      <c r="Z936" s="1">
        <f t="shared" si="465"/>
        <v>0</v>
      </c>
      <c r="AA936" s="1">
        <f t="shared" si="465"/>
        <v>0</v>
      </c>
      <c r="AB936" s="1">
        <f t="shared" si="465"/>
        <v>0</v>
      </c>
      <c r="AC936" s="1">
        <f t="shared" si="465"/>
        <v>0</v>
      </c>
      <c r="AD936" s="1">
        <f t="shared" si="465"/>
        <v>0</v>
      </c>
      <c r="AE936" s="1">
        <f t="shared" si="465"/>
        <v>1</v>
      </c>
      <c r="AF936" s="1">
        <f t="shared" si="465"/>
        <v>1</v>
      </c>
      <c r="AG936" s="1">
        <f t="shared" si="465"/>
        <v>1</v>
      </c>
      <c r="AH936" s="1">
        <f t="shared" si="465"/>
        <v>1</v>
      </c>
      <c r="AI936" s="44">
        <f t="shared" si="453"/>
        <v>24975.545963408531</v>
      </c>
      <c r="AJ936" s="44">
        <f t="shared" si="444"/>
        <v>25470.861762067983</v>
      </c>
      <c r="AK936" s="44" t="str">
        <f t="shared" si="461"/>
        <v>N</v>
      </c>
      <c r="AL936" s="4">
        <f t="shared" si="445"/>
        <v>246</v>
      </c>
      <c r="AM936" s="82">
        <f t="shared" si="454"/>
        <v>0</v>
      </c>
      <c r="AN936" s="82">
        <f t="shared" si="446"/>
        <v>0</v>
      </c>
      <c r="AO936" s="48">
        <v>0</v>
      </c>
      <c r="AP936" s="91">
        <f t="shared" si="455"/>
        <v>-495.31579865945156</v>
      </c>
      <c r="AQ936" s="91">
        <f t="shared" si="456"/>
        <v>-495.31579865945156</v>
      </c>
    </row>
    <row r="937" spans="1:43">
      <c r="A937" s="190">
        <f t="shared" si="447"/>
        <v>86.304243668720048</v>
      </c>
      <c r="B937" s="82">
        <f t="shared" si="448"/>
        <v>21</v>
      </c>
      <c r="C937" s="83">
        <f t="shared" si="449"/>
        <v>247</v>
      </c>
      <c r="D937" s="14">
        <f t="shared" si="435"/>
        <v>2.6283369587845051E-3</v>
      </c>
      <c r="E937" s="16">
        <f t="shared" si="436"/>
        <v>0</v>
      </c>
      <c r="F937" s="127"/>
      <c r="G937" s="88">
        <f t="shared" si="437"/>
        <v>0</v>
      </c>
      <c r="H937" s="89">
        <f t="shared" si="450"/>
        <v>4.1666666666666666E-3</v>
      </c>
      <c r="I937" s="219"/>
      <c r="J937" s="219"/>
      <c r="K937" s="6">
        <f t="shared" si="458"/>
        <v>24975.545963408531</v>
      </c>
      <c r="M937" s="6">
        <f t="shared" si="438"/>
        <v>65.644150521447798</v>
      </c>
      <c r="N937" s="6">
        <f t="shared" si="439"/>
        <v>-28.256789163335302</v>
      </c>
      <c r="O937" s="90">
        <f t="shared" si="440"/>
        <v>495.31579865945139</v>
      </c>
      <c r="P937" s="91">
        <f t="shared" si="441"/>
        <v>0</v>
      </c>
      <c r="Q937" s="6">
        <f t="shared" si="442"/>
        <v>104.22055551986099</v>
      </c>
      <c r="R937" s="87">
        <f t="shared" si="460"/>
        <v>-495.31579865945156</v>
      </c>
      <c r="S937" s="6">
        <f t="shared" si="443"/>
        <v>-5.1614547032714402</v>
      </c>
      <c r="T937" s="83">
        <f t="shared" si="451"/>
        <v>0</v>
      </c>
      <c r="U937" s="91">
        <f t="shared" si="457"/>
        <v>53183.474042000526</v>
      </c>
      <c r="V937" s="91">
        <f t="shared" si="452"/>
        <v>139.78409042114635</v>
      </c>
      <c r="W937" s="1">
        <f t="shared" si="465"/>
        <v>0</v>
      </c>
      <c r="X937" s="1">
        <f t="shared" si="465"/>
        <v>0</v>
      </c>
      <c r="Y937" s="1">
        <f t="shared" si="465"/>
        <v>0</v>
      </c>
      <c r="Z937" s="1">
        <f t="shared" si="465"/>
        <v>0</v>
      </c>
      <c r="AA937" s="1">
        <f t="shared" si="465"/>
        <v>0</v>
      </c>
      <c r="AB937" s="1">
        <f t="shared" si="465"/>
        <v>0</v>
      </c>
      <c r="AC937" s="1">
        <f t="shared" si="465"/>
        <v>0</v>
      </c>
      <c r="AD937" s="1">
        <f t="shared" si="465"/>
        <v>0</v>
      </c>
      <c r="AE937" s="1">
        <f t="shared" si="465"/>
        <v>1</v>
      </c>
      <c r="AF937" s="1">
        <f t="shared" si="465"/>
        <v>1</v>
      </c>
      <c r="AG937" s="1">
        <f t="shared" si="465"/>
        <v>1</v>
      </c>
      <c r="AH937" s="1">
        <f t="shared" si="465"/>
        <v>1</v>
      </c>
      <c r="AI937" s="44">
        <f t="shared" si="453"/>
        <v>24517.617526107188</v>
      </c>
      <c r="AJ937" s="44">
        <f t="shared" si="444"/>
        <v>25012.93332476664</v>
      </c>
      <c r="AK937" s="44" t="str">
        <f t="shared" si="461"/>
        <v>N</v>
      </c>
      <c r="AL937" s="4">
        <f t="shared" si="445"/>
        <v>247</v>
      </c>
      <c r="AM937" s="82">
        <f t="shared" si="454"/>
        <v>0</v>
      </c>
      <c r="AN937" s="82">
        <f t="shared" si="446"/>
        <v>0</v>
      </c>
      <c r="AO937" s="48">
        <v>0</v>
      </c>
      <c r="AP937" s="91">
        <f t="shared" si="455"/>
        <v>-495.31579865945156</v>
      </c>
      <c r="AQ937" s="91">
        <f t="shared" si="456"/>
        <v>-495.31579865945156</v>
      </c>
    </row>
    <row r="938" spans="1:43">
      <c r="A938" s="190">
        <f t="shared" si="447"/>
        <v>86.387577002053376</v>
      </c>
      <c r="B938" s="82">
        <f t="shared" si="448"/>
        <v>21</v>
      </c>
      <c r="C938" s="83">
        <f t="shared" si="449"/>
        <v>248</v>
      </c>
      <c r="D938" s="14">
        <f t="shared" si="435"/>
        <v>2.6283369587845051E-3</v>
      </c>
      <c r="E938" s="16">
        <f t="shared" si="436"/>
        <v>0</v>
      </c>
      <c r="F938" s="127"/>
      <c r="G938" s="88">
        <f t="shared" si="437"/>
        <v>0</v>
      </c>
      <c r="H938" s="89">
        <f t="shared" si="450"/>
        <v>4.1666666666666666E-3</v>
      </c>
      <c r="I938" s="219"/>
      <c r="J938" s="219"/>
      <c r="K938" s="6">
        <f t="shared" si="458"/>
        <v>24517.617526107188</v>
      </c>
      <c r="M938" s="6">
        <f t="shared" si="438"/>
        <v>64.440560285210253</v>
      </c>
      <c r="N938" s="6">
        <f t="shared" si="439"/>
        <v>-27.738698895211542</v>
      </c>
      <c r="O938" s="90">
        <f t="shared" si="440"/>
        <v>495.31579865945139</v>
      </c>
      <c r="P938" s="91">
        <f t="shared" si="441"/>
        <v>0</v>
      </c>
      <c r="Q938" s="6">
        <f t="shared" si="442"/>
        <v>102.3096641145716</v>
      </c>
      <c r="R938" s="87">
        <f t="shared" si="460"/>
        <v>-495.31579865945156</v>
      </c>
      <c r="S938" s="6">
        <f t="shared" si="443"/>
        <v>-5.0658719678704562</v>
      </c>
      <c r="T938" s="83">
        <f t="shared" si="451"/>
        <v>0</v>
      </c>
      <c r="U938" s="91">
        <f t="shared" si="457"/>
        <v>52827.942333762221</v>
      </c>
      <c r="V938" s="91">
        <f t="shared" si="452"/>
        <v>138.84963329236382</v>
      </c>
      <c r="W938" s="1">
        <f t="shared" si="465"/>
        <v>0</v>
      </c>
      <c r="X938" s="1">
        <f t="shared" si="465"/>
        <v>0</v>
      </c>
      <c r="Y938" s="1">
        <f t="shared" si="465"/>
        <v>0</v>
      </c>
      <c r="Z938" s="1">
        <f t="shared" si="465"/>
        <v>0</v>
      </c>
      <c r="AA938" s="1">
        <f t="shared" si="465"/>
        <v>0</v>
      </c>
      <c r="AB938" s="1">
        <f t="shared" si="465"/>
        <v>0</v>
      </c>
      <c r="AC938" s="1">
        <f t="shared" si="465"/>
        <v>0</v>
      </c>
      <c r="AD938" s="1">
        <f t="shared" si="465"/>
        <v>0</v>
      </c>
      <c r="AE938" s="1">
        <f t="shared" si="465"/>
        <v>1</v>
      </c>
      <c r="AF938" s="1">
        <f t="shared" si="465"/>
        <v>1</v>
      </c>
      <c r="AG938" s="1">
        <f t="shared" si="465"/>
        <v>1</v>
      </c>
      <c r="AH938" s="1">
        <f t="shared" si="465"/>
        <v>1</v>
      </c>
      <c r="AI938" s="44">
        <f t="shared" si="453"/>
        <v>24059.003588837732</v>
      </c>
      <c r="AJ938" s="44">
        <f t="shared" si="444"/>
        <v>24554.319387497184</v>
      </c>
      <c r="AK938" s="44" t="str">
        <f t="shared" si="461"/>
        <v>N</v>
      </c>
      <c r="AL938" s="4">
        <f t="shared" si="445"/>
        <v>248</v>
      </c>
      <c r="AM938" s="82">
        <f t="shared" si="454"/>
        <v>0</v>
      </c>
      <c r="AN938" s="82">
        <f t="shared" si="446"/>
        <v>0</v>
      </c>
      <c r="AO938" s="48">
        <v>0</v>
      </c>
      <c r="AP938" s="91">
        <f t="shared" si="455"/>
        <v>-495.31579865945156</v>
      </c>
      <c r="AQ938" s="91">
        <f t="shared" si="456"/>
        <v>-495.31579865945156</v>
      </c>
    </row>
    <row r="939" spans="1:43">
      <c r="A939" s="190">
        <f t="shared" si="447"/>
        <v>86.470910335386719</v>
      </c>
      <c r="B939" s="82">
        <f t="shared" si="448"/>
        <v>21</v>
      </c>
      <c r="C939" s="83">
        <f t="shared" si="449"/>
        <v>249</v>
      </c>
      <c r="D939" s="14">
        <f t="shared" si="435"/>
        <v>2.6283369587845051E-3</v>
      </c>
      <c r="E939" s="16">
        <f t="shared" si="436"/>
        <v>0</v>
      </c>
      <c r="F939" s="127"/>
      <c r="G939" s="88">
        <f t="shared" si="437"/>
        <v>0</v>
      </c>
      <c r="H939" s="89">
        <f t="shared" si="450"/>
        <v>4.1666666666666666E-3</v>
      </c>
      <c r="I939" s="219"/>
      <c r="J939" s="219"/>
      <c r="K939" s="6">
        <f t="shared" si="458"/>
        <v>24059.003588837732</v>
      </c>
      <c r="M939" s="6">
        <f t="shared" si="438"/>
        <v>63.23516832407126</v>
      </c>
      <c r="N939" s="6">
        <f t="shared" si="439"/>
        <v>-27.219833067342307</v>
      </c>
      <c r="O939" s="90">
        <f t="shared" si="440"/>
        <v>495.31579865945139</v>
      </c>
      <c r="P939" s="91">
        <f t="shared" si="441"/>
        <v>0</v>
      </c>
      <c r="Q939" s="6">
        <f t="shared" si="442"/>
        <v>100.39591218372692</v>
      </c>
      <c r="R939" s="87">
        <f t="shared" si="460"/>
        <v>-495.31579865945156</v>
      </c>
      <c r="S939" s="6">
        <f t="shared" si="443"/>
        <v>-4.9701461490600742</v>
      </c>
      <c r="T939" s="83">
        <f t="shared" si="451"/>
        <v>0</v>
      </c>
      <c r="U939" s="91">
        <f t="shared" si="457"/>
        <v>52471.476168395129</v>
      </c>
      <c r="V939" s="91">
        <f t="shared" si="452"/>
        <v>137.91272009537329</v>
      </c>
      <c r="W939" s="1">
        <f t="shared" si="465"/>
        <v>0</v>
      </c>
      <c r="X939" s="1">
        <f t="shared" si="465"/>
        <v>0</v>
      </c>
      <c r="Y939" s="1">
        <f t="shared" si="465"/>
        <v>0</v>
      </c>
      <c r="Z939" s="1">
        <f t="shared" si="465"/>
        <v>0</v>
      </c>
      <c r="AA939" s="1">
        <f t="shared" si="465"/>
        <v>0</v>
      </c>
      <c r="AB939" s="1">
        <f t="shared" si="465"/>
        <v>0</v>
      </c>
      <c r="AC939" s="1">
        <f t="shared" si="465"/>
        <v>0</v>
      </c>
      <c r="AD939" s="1">
        <f t="shared" si="465"/>
        <v>0</v>
      </c>
      <c r="AE939" s="1">
        <f t="shared" si="465"/>
        <v>1</v>
      </c>
      <c r="AF939" s="1">
        <f t="shared" si="465"/>
        <v>1</v>
      </c>
      <c r="AG939" s="1">
        <f t="shared" si="465"/>
        <v>1</v>
      </c>
      <c r="AH939" s="1">
        <f t="shared" si="465"/>
        <v>1</v>
      </c>
      <c r="AI939" s="44">
        <f t="shared" si="453"/>
        <v>23599.703125435008</v>
      </c>
      <c r="AJ939" s="44">
        <f t="shared" si="444"/>
        <v>24095.01892409446</v>
      </c>
      <c r="AK939" s="44" t="str">
        <f t="shared" si="461"/>
        <v>N</v>
      </c>
      <c r="AL939" s="4">
        <f t="shared" si="445"/>
        <v>249</v>
      </c>
      <c r="AM939" s="82">
        <f t="shared" si="454"/>
        <v>0</v>
      </c>
      <c r="AN939" s="82">
        <f t="shared" si="446"/>
        <v>0</v>
      </c>
      <c r="AO939" s="48">
        <v>0</v>
      </c>
      <c r="AP939" s="91">
        <f t="shared" si="455"/>
        <v>-495.31579865945156</v>
      </c>
      <c r="AQ939" s="91">
        <f t="shared" si="456"/>
        <v>-495.31579865945156</v>
      </c>
    </row>
    <row r="940" spans="1:43">
      <c r="A940" s="190">
        <f t="shared" si="447"/>
        <v>86.554243668720048</v>
      </c>
      <c r="B940" s="82">
        <f t="shared" si="448"/>
        <v>21</v>
      </c>
      <c r="C940" s="83">
        <f t="shared" si="449"/>
        <v>250</v>
      </c>
      <c r="D940" s="14">
        <f t="shared" si="435"/>
        <v>2.6283369587845051E-3</v>
      </c>
      <c r="E940" s="16">
        <f t="shared" si="436"/>
        <v>0</v>
      </c>
      <c r="F940" s="127"/>
      <c r="G940" s="88">
        <f t="shared" si="437"/>
        <v>0</v>
      </c>
      <c r="H940" s="89">
        <f t="shared" si="450"/>
        <v>4.1666666666666666E-3</v>
      </c>
      <c r="I940" s="219"/>
      <c r="J940" s="219"/>
      <c r="K940" s="6">
        <f t="shared" si="458"/>
        <v>23599.703125435008</v>
      </c>
      <c r="M940" s="6">
        <f t="shared" si="438"/>
        <v>62.027971940923031</v>
      </c>
      <c r="N940" s="6">
        <f t="shared" si="439"/>
        <v>-26.700190518746673</v>
      </c>
      <c r="O940" s="90">
        <f t="shared" si="440"/>
        <v>495.31579865945139</v>
      </c>
      <c r="P940" s="91">
        <f t="shared" si="441"/>
        <v>0</v>
      </c>
      <c r="Q940" s="6">
        <f t="shared" si="442"/>
        <v>98.479295445238265</v>
      </c>
      <c r="R940" s="87">
        <f t="shared" si="460"/>
        <v>-495.31579865945156</v>
      </c>
      <c r="S940" s="6">
        <f t="shared" si="443"/>
        <v>-4.8742770326503351</v>
      </c>
      <c r="T940" s="83">
        <f t="shared" si="451"/>
        <v>0</v>
      </c>
      <c r="U940" s="91">
        <f t="shared" si="457"/>
        <v>52114.07308983105</v>
      </c>
      <c r="V940" s="91">
        <f t="shared" si="452"/>
        <v>136.97334437479995</v>
      </c>
      <c r="W940" s="1">
        <f t="shared" si="465"/>
        <v>0</v>
      </c>
      <c r="X940" s="1">
        <f t="shared" si="465"/>
        <v>0</v>
      </c>
      <c r="Y940" s="1">
        <f t="shared" si="465"/>
        <v>0</v>
      </c>
      <c r="Z940" s="1">
        <f t="shared" si="465"/>
        <v>0</v>
      </c>
      <c r="AA940" s="1">
        <f t="shared" si="465"/>
        <v>0</v>
      </c>
      <c r="AB940" s="1">
        <f t="shared" si="465"/>
        <v>0</v>
      </c>
      <c r="AC940" s="1">
        <f t="shared" si="465"/>
        <v>0</v>
      </c>
      <c r="AD940" s="1">
        <f t="shared" si="465"/>
        <v>0</v>
      </c>
      <c r="AE940" s="1">
        <f t="shared" si="465"/>
        <v>1</v>
      </c>
      <c r="AF940" s="1">
        <f t="shared" si="465"/>
        <v>1</v>
      </c>
      <c r="AG940" s="1">
        <f t="shared" si="465"/>
        <v>1</v>
      </c>
      <c r="AH940" s="1">
        <f t="shared" si="465"/>
        <v>1</v>
      </c>
      <c r="AI940" s="44">
        <f t="shared" si="453"/>
        <v>23139.715108197732</v>
      </c>
      <c r="AJ940" s="44">
        <f t="shared" si="444"/>
        <v>23635.030906857184</v>
      </c>
      <c r="AK940" s="44" t="str">
        <f t="shared" si="461"/>
        <v>N</v>
      </c>
      <c r="AL940" s="4">
        <f t="shared" si="445"/>
        <v>250</v>
      </c>
      <c r="AM940" s="82">
        <f t="shared" si="454"/>
        <v>0</v>
      </c>
      <c r="AN940" s="82">
        <f t="shared" si="446"/>
        <v>0</v>
      </c>
      <c r="AO940" s="48">
        <v>0</v>
      </c>
      <c r="AP940" s="91">
        <f t="shared" si="455"/>
        <v>-495.31579865945156</v>
      </c>
      <c r="AQ940" s="91">
        <f t="shared" si="456"/>
        <v>-495.31579865945156</v>
      </c>
    </row>
    <row r="941" spans="1:43">
      <c r="A941" s="190">
        <f t="shared" si="447"/>
        <v>86.637577002053376</v>
      </c>
      <c r="B941" s="82">
        <f t="shared" si="448"/>
        <v>21</v>
      </c>
      <c r="C941" s="83">
        <f t="shared" si="449"/>
        <v>251</v>
      </c>
      <c r="D941" s="14">
        <f t="shared" si="435"/>
        <v>2.6283369587845051E-3</v>
      </c>
      <c r="E941" s="16">
        <f t="shared" si="436"/>
        <v>0</v>
      </c>
      <c r="F941" s="127"/>
      <c r="G941" s="88">
        <f t="shared" si="437"/>
        <v>0</v>
      </c>
      <c r="H941" s="89">
        <f t="shared" si="450"/>
        <v>4.1666666666666666E-3</v>
      </c>
      <c r="I941" s="219"/>
      <c r="J941" s="219"/>
      <c r="K941" s="6">
        <f t="shared" si="458"/>
        <v>23139.715108197732</v>
      </c>
      <c r="M941" s="6">
        <f t="shared" si="438"/>
        <v>60.818968434620295</v>
      </c>
      <c r="N941" s="6">
        <f t="shared" si="439"/>
        <v>-26.179770086705776</v>
      </c>
      <c r="O941" s="90">
        <f t="shared" si="440"/>
        <v>495.31579865945139</v>
      </c>
      <c r="P941" s="91">
        <f t="shared" si="441"/>
        <v>0</v>
      </c>
      <c r="Q941" s="6">
        <f t="shared" si="442"/>
        <v>96.559809610606862</v>
      </c>
      <c r="R941" s="87">
        <f t="shared" si="460"/>
        <v>-495.31579865945156</v>
      </c>
      <c r="S941" s="6">
        <f t="shared" si="443"/>
        <v>-4.7782644041306508</v>
      </c>
      <c r="T941" s="83">
        <f t="shared" si="451"/>
        <v>0</v>
      </c>
      <c r="U941" s="91">
        <f t="shared" si="457"/>
        <v>51755.730635546395</v>
      </c>
      <c r="V941" s="91">
        <f t="shared" si="452"/>
        <v>136.03149965830207</v>
      </c>
      <c r="W941" s="1">
        <f t="shared" ref="W941:AH950" si="466">IF($B941&lt;=W$78,1,0)</f>
        <v>0</v>
      </c>
      <c r="X941" s="1">
        <f t="shared" si="466"/>
        <v>0</v>
      </c>
      <c r="Y941" s="1">
        <f t="shared" si="466"/>
        <v>0</v>
      </c>
      <c r="Z941" s="1">
        <f t="shared" si="466"/>
        <v>0</v>
      </c>
      <c r="AA941" s="1">
        <f t="shared" si="466"/>
        <v>0</v>
      </c>
      <c r="AB941" s="1">
        <f t="shared" si="466"/>
        <v>0</v>
      </c>
      <c r="AC941" s="1">
        <f t="shared" si="466"/>
        <v>0</v>
      </c>
      <c r="AD941" s="1">
        <f t="shared" si="466"/>
        <v>0</v>
      </c>
      <c r="AE941" s="1">
        <f t="shared" si="466"/>
        <v>1</v>
      </c>
      <c r="AF941" s="1">
        <f t="shared" si="466"/>
        <v>1</v>
      </c>
      <c r="AG941" s="1">
        <f t="shared" si="466"/>
        <v>1</v>
      </c>
      <c r="AH941" s="1">
        <f t="shared" si="466"/>
        <v>1</v>
      </c>
      <c r="AI941" s="44">
        <f t="shared" si="453"/>
        <v>22679.038507886195</v>
      </c>
      <c r="AJ941" s="44">
        <f t="shared" si="444"/>
        <v>23174.354306545647</v>
      </c>
      <c r="AK941" s="44" t="str">
        <f t="shared" si="461"/>
        <v>N</v>
      </c>
      <c r="AL941" s="4">
        <f t="shared" si="445"/>
        <v>251</v>
      </c>
      <c r="AM941" s="82">
        <f t="shared" si="454"/>
        <v>0</v>
      </c>
      <c r="AN941" s="82">
        <f t="shared" si="446"/>
        <v>0</v>
      </c>
      <c r="AO941" s="48">
        <v>0</v>
      </c>
      <c r="AP941" s="91">
        <f t="shared" si="455"/>
        <v>-495.31579865945156</v>
      </c>
      <c r="AQ941" s="91">
        <f t="shared" si="456"/>
        <v>-495.31579865945156</v>
      </c>
    </row>
    <row r="942" spans="1:43">
      <c r="A942" s="190">
        <f t="shared" si="447"/>
        <v>86.720910335386719</v>
      </c>
      <c r="B942" s="82">
        <f t="shared" si="448"/>
        <v>21</v>
      </c>
      <c r="C942" s="83">
        <f t="shared" si="449"/>
        <v>252</v>
      </c>
      <c r="D942" s="14">
        <f t="shared" si="435"/>
        <v>2.6283369587845051E-3</v>
      </c>
      <c r="E942" s="16">
        <f t="shared" si="436"/>
        <v>0</v>
      </c>
      <c r="F942" s="127"/>
      <c r="G942" s="88">
        <f t="shared" si="437"/>
        <v>0</v>
      </c>
      <c r="H942" s="89">
        <f t="shared" si="450"/>
        <v>4.1666666666666666E-3</v>
      </c>
      <c r="I942" s="219"/>
      <c r="J942" s="219"/>
      <c r="K942" s="6">
        <f t="shared" si="458"/>
        <v>22679.038507886195</v>
      </c>
      <c r="M942" s="6">
        <f t="shared" si="438"/>
        <v>59.608155099974283</v>
      </c>
      <c r="N942" s="6">
        <f t="shared" si="439"/>
        <v>-25.658570606760208</v>
      </c>
      <c r="O942" s="90">
        <f t="shared" si="440"/>
        <v>495.31579865945139</v>
      </c>
      <c r="P942" s="91">
        <f t="shared" si="441"/>
        <v>0</v>
      </c>
      <c r="Q942" s="6">
        <f t="shared" si="442"/>
        <v>94.637450384914203</v>
      </c>
      <c r="R942" s="87">
        <f t="shared" si="460"/>
        <v>-495.31579865945156</v>
      </c>
      <c r="S942" s="6">
        <f t="shared" si="443"/>
        <v>-4.6821080486693125</v>
      </c>
      <c r="T942" s="83">
        <f t="shared" si="451"/>
        <v>0</v>
      </c>
      <c r="U942" s="91">
        <f t="shared" si="457"/>
        <v>51396.446336545247</v>
      </c>
      <c r="V942" s="91">
        <f t="shared" si="452"/>
        <v>135.08717945652634</v>
      </c>
      <c r="W942" s="1">
        <f t="shared" si="466"/>
        <v>0</v>
      </c>
      <c r="X942" s="1">
        <f t="shared" si="466"/>
        <v>0</v>
      </c>
      <c r="Y942" s="1">
        <f t="shared" si="466"/>
        <v>0</v>
      </c>
      <c r="Z942" s="1">
        <f t="shared" si="466"/>
        <v>0</v>
      </c>
      <c r="AA942" s="1">
        <f t="shared" si="466"/>
        <v>0</v>
      </c>
      <c r="AB942" s="1">
        <f t="shared" si="466"/>
        <v>0</v>
      </c>
      <c r="AC942" s="1">
        <f t="shared" si="466"/>
        <v>0</v>
      </c>
      <c r="AD942" s="1">
        <f t="shared" si="466"/>
        <v>0</v>
      </c>
      <c r="AE942" s="1">
        <f t="shared" si="466"/>
        <v>1</v>
      </c>
      <c r="AF942" s="1">
        <f t="shared" si="466"/>
        <v>1</v>
      </c>
      <c r="AG942" s="1">
        <f t="shared" si="466"/>
        <v>1</v>
      </c>
      <c r="AH942" s="1">
        <f t="shared" si="466"/>
        <v>1</v>
      </c>
      <c r="AI942" s="44">
        <f t="shared" si="453"/>
        <v>22217.672293719956</v>
      </c>
      <c r="AJ942" s="44">
        <f t="shared" si="444"/>
        <v>22712.988092379408</v>
      </c>
      <c r="AK942" s="44" t="str">
        <f t="shared" si="461"/>
        <v>N</v>
      </c>
      <c r="AL942" s="4">
        <f t="shared" si="445"/>
        <v>252</v>
      </c>
      <c r="AM942" s="82">
        <f t="shared" si="454"/>
        <v>0</v>
      </c>
      <c r="AN942" s="82">
        <f t="shared" si="446"/>
        <v>0</v>
      </c>
      <c r="AO942" s="48">
        <v>0</v>
      </c>
      <c r="AP942" s="91">
        <f t="shared" si="455"/>
        <v>-495.31579865945156</v>
      </c>
      <c r="AQ942" s="91">
        <f t="shared" si="456"/>
        <v>-495.31579865945156</v>
      </c>
    </row>
    <row r="943" spans="1:43">
      <c r="A943" s="190">
        <f t="shared" si="447"/>
        <v>86.804243668720048</v>
      </c>
      <c r="B943" s="82">
        <f t="shared" si="448"/>
        <v>22</v>
      </c>
      <c r="C943" s="83">
        <f t="shared" si="449"/>
        <v>253</v>
      </c>
      <c r="D943" s="14">
        <f t="shared" si="435"/>
        <v>2.6283369587845051E-3</v>
      </c>
      <c r="E943" s="16">
        <f t="shared" si="436"/>
        <v>0</v>
      </c>
      <c r="F943" s="127"/>
      <c r="G943" s="88">
        <f t="shared" si="437"/>
        <v>0</v>
      </c>
      <c r="H943" s="89">
        <f t="shared" si="450"/>
        <v>4.1666666666666666E-3</v>
      </c>
      <c r="I943" s="219"/>
      <c r="J943" s="219"/>
      <c r="K943" s="6">
        <f t="shared" si="458"/>
        <v>22217.672293719956</v>
      </c>
      <c r="M943" s="6">
        <f t="shared" si="438"/>
        <v>58.395529227746671</v>
      </c>
      <c r="N943" s="6">
        <f t="shared" si="439"/>
        <v>-25.136590912707408</v>
      </c>
      <c r="O943" s="90">
        <f t="shared" si="440"/>
        <v>505.2221146326404</v>
      </c>
      <c r="P943" s="91">
        <f t="shared" si="441"/>
        <v>0</v>
      </c>
      <c r="Q943" s="6">
        <f t="shared" si="442"/>
        <v>92.712213466812472</v>
      </c>
      <c r="R943" s="87">
        <f t="shared" si="460"/>
        <v>-505.97841128351496</v>
      </c>
      <c r="S943" s="6">
        <f t="shared" si="443"/>
        <v>-4.5846957875973109</v>
      </c>
      <c r="T943" s="83">
        <f t="shared" si="451"/>
        <v>0</v>
      </c>
      <c r="U943" s="91">
        <f t="shared" si="457"/>
        <v>51036.217717342319</v>
      </c>
      <c r="V943" s="91">
        <f t="shared" si="452"/>
        <v>134.14037726306339</v>
      </c>
      <c r="W943" s="1">
        <f t="shared" si="466"/>
        <v>0</v>
      </c>
      <c r="X943" s="1">
        <f t="shared" si="466"/>
        <v>0</v>
      </c>
      <c r="Y943" s="1">
        <f t="shared" si="466"/>
        <v>0</v>
      </c>
      <c r="Z943" s="1">
        <f t="shared" si="466"/>
        <v>0</v>
      </c>
      <c r="AA943" s="1">
        <f t="shared" si="466"/>
        <v>0</v>
      </c>
      <c r="AB943" s="1">
        <f t="shared" si="466"/>
        <v>0</v>
      </c>
      <c r="AC943" s="1">
        <f t="shared" si="466"/>
        <v>0</v>
      </c>
      <c r="AD943" s="1">
        <f t="shared" si="466"/>
        <v>0</v>
      </c>
      <c r="AE943" s="1">
        <f t="shared" si="466"/>
        <v>1</v>
      </c>
      <c r="AF943" s="1">
        <f t="shared" si="466"/>
        <v>1</v>
      </c>
      <c r="AG943" s="1">
        <f t="shared" si="466"/>
        <v>1</v>
      </c>
      <c r="AH943" s="1">
        <f t="shared" si="466"/>
        <v>1</v>
      </c>
      <c r="AI943" s="44">
        <f t="shared" si="453"/>
        <v>21744.952820751478</v>
      </c>
      <c r="AJ943" s="44">
        <f t="shared" si="444"/>
        <v>22250.931232034993</v>
      </c>
      <c r="AK943" s="44" t="str">
        <f t="shared" si="461"/>
        <v>N</v>
      </c>
      <c r="AL943" s="4">
        <f t="shared" si="445"/>
        <v>253</v>
      </c>
      <c r="AM943" s="82">
        <f t="shared" si="454"/>
        <v>0</v>
      </c>
      <c r="AN943" s="82">
        <f t="shared" si="446"/>
        <v>0</v>
      </c>
      <c r="AO943" s="48">
        <v>0</v>
      </c>
      <c r="AP943" s="91">
        <f t="shared" si="455"/>
        <v>-505.97841128351496</v>
      </c>
      <c r="AQ943" s="91">
        <f t="shared" si="456"/>
        <v>-505.97841128351496</v>
      </c>
    </row>
    <row r="944" spans="1:43">
      <c r="A944" s="190">
        <f t="shared" si="447"/>
        <v>86.887577002053376</v>
      </c>
      <c r="B944" s="82">
        <f t="shared" si="448"/>
        <v>22</v>
      </c>
      <c r="C944" s="83">
        <f t="shared" si="449"/>
        <v>254</v>
      </c>
      <c r="D944" s="14">
        <f t="shared" si="435"/>
        <v>2.6283369587845051E-3</v>
      </c>
      <c r="E944" s="16">
        <f t="shared" si="436"/>
        <v>0</v>
      </c>
      <c r="F944" s="127"/>
      <c r="G944" s="88">
        <f t="shared" si="437"/>
        <v>0</v>
      </c>
      <c r="H944" s="89">
        <f t="shared" si="450"/>
        <v>4.1666666666666666E-3</v>
      </c>
      <c r="I944" s="219"/>
      <c r="J944" s="219"/>
      <c r="K944" s="6">
        <f t="shared" si="458"/>
        <v>21744.952820751478</v>
      </c>
      <c r="M944" s="6">
        <f t="shared" si="438"/>
        <v>57.153063165806486</v>
      </c>
      <c r="N944" s="6">
        <f t="shared" si="439"/>
        <v>-24.601766388725299</v>
      </c>
      <c r="O944" s="90">
        <f t="shared" si="440"/>
        <v>505.2221146326404</v>
      </c>
      <c r="P944" s="91">
        <f t="shared" si="441"/>
        <v>0</v>
      </c>
      <c r="Q944" s="6">
        <f t="shared" si="442"/>
        <v>90.739600489702326</v>
      </c>
      <c r="R944" s="87">
        <f t="shared" si="460"/>
        <v>-505.22211463264063</v>
      </c>
      <c r="S944" s="6">
        <f t="shared" si="443"/>
        <v>-4.486104612191145</v>
      </c>
      <c r="T944" s="83">
        <f t="shared" si="451"/>
        <v>0</v>
      </c>
      <c r="U944" s="91">
        <f t="shared" si="457"/>
        <v>50664.379683321873</v>
      </c>
      <c r="V944" s="91">
        <f t="shared" si="452"/>
        <v>133.16306161556568</v>
      </c>
      <c r="W944" s="1">
        <f t="shared" si="466"/>
        <v>0</v>
      </c>
      <c r="X944" s="1">
        <f t="shared" si="466"/>
        <v>0</v>
      </c>
      <c r="Y944" s="1">
        <f t="shared" si="466"/>
        <v>0</v>
      </c>
      <c r="Z944" s="1">
        <f t="shared" si="466"/>
        <v>0</v>
      </c>
      <c r="AA944" s="1">
        <f t="shared" si="466"/>
        <v>0</v>
      </c>
      <c r="AB944" s="1">
        <f t="shared" si="466"/>
        <v>0</v>
      </c>
      <c r="AC944" s="1">
        <f t="shared" si="466"/>
        <v>0</v>
      </c>
      <c r="AD944" s="1">
        <f t="shared" si="466"/>
        <v>0</v>
      </c>
      <c r="AE944" s="1">
        <f t="shared" si="466"/>
        <v>1</v>
      </c>
      <c r="AF944" s="1">
        <f t="shared" si="466"/>
        <v>1</v>
      </c>
      <c r="AG944" s="1">
        <f t="shared" si="466"/>
        <v>1</v>
      </c>
      <c r="AH944" s="1">
        <f t="shared" si="466"/>
        <v>1</v>
      </c>
      <c r="AI944" s="44">
        <f t="shared" si="453"/>
        <v>21272.282002895918</v>
      </c>
      <c r="AJ944" s="44">
        <f t="shared" si="444"/>
        <v>21777.504117528559</v>
      </c>
      <c r="AK944" s="44" t="str">
        <f t="shared" si="461"/>
        <v>N</v>
      </c>
      <c r="AL944" s="4">
        <f t="shared" si="445"/>
        <v>254</v>
      </c>
      <c r="AM944" s="82">
        <f t="shared" si="454"/>
        <v>0</v>
      </c>
      <c r="AN944" s="82">
        <f t="shared" si="446"/>
        <v>0</v>
      </c>
      <c r="AO944" s="48">
        <v>0</v>
      </c>
      <c r="AP944" s="91">
        <f t="shared" si="455"/>
        <v>-505.22211463264063</v>
      </c>
      <c r="AQ944" s="91">
        <f t="shared" si="456"/>
        <v>-505.22211463264063</v>
      </c>
    </row>
    <row r="945" spans="1:43">
      <c r="A945" s="190">
        <f t="shared" si="447"/>
        <v>86.970910335386719</v>
      </c>
      <c r="B945" s="82">
        <f t="shared" si="448"/>
        <v>22</v>
      </c>
      <c r="C945" s="83">
        <f t="shared" si="449"/>
        <v>255</v>
      </c>
      <c r="D945" s="14">
        <f t="shared" si="435"/>
        <v>2.6283369587845051E-3</v>
      </c>
      <c r="E945" s="16">
        <f t="shared" si="436"/>
        <v>0</v>
      </c>
      <c r="F945" s="127"/>
      <c r="G945" s="88">
        <f t="shared" si="437"/>
        <v>0</v>
      </c>
      <c r="H945" s="89">
        <f t="shared" si="450"/>
        <v>4.1666666666666666E-3</v>
      </c>
      <c r="I945" s="219"/>
      <c r="J945" s="219"/>
      <c r="K945" s="6">
        <f t="shared" si="458"/>
        <v>21272.282002895918</v>
      </c>
      <c r="M945" s="6">
        <f t="shared" si="438"/>
        <v>55.910724985897815</v>
      </c>
      <c r="N945" s="6">
        <f t="shared" si="439"/>
        <v>-24.06699691207907</v>
      </c>
      <c r="O945" s="90">
        <f t="shared" si="440"/>
        <v>505.2221146326404</v>
      </c>
      <c r="P945" s="91">
        <f t="shared" si="441"/>
        <v>0</v>
      </c>
      <c r="Q945" s="6">
        <f t="shared" si="442"/>
        <v>88.767190545707237</v>
      </c>
      <c r="R945" s="87">
        <f t="shared" si="460"/>
        <v>-505.22211463264063</v>
      </c>
      <c r="S945" s="6">
        <f t="shared" si="443"/>
        <v>-4.3874447211804366</v>
      </c>
      <c r="T945" s="83">
        <f t="shared" si="451"/>
        <v>0</v>
      </c>
      <c r="U945" s="91">
        <f t="shared" si="457"/>
        <v>50292.320630304799</v>
      </c>
      <c r="V945" s="91">
        <f t="shared" si="452"/>
        <v>132.18516505567055</v>
      </c>
      <c r="W945" s="1">
        <f t="shared" si="466"/>
        <v>0</v>
      </c>
      <c r="X945" s="1">
        <f t="shared" si="466"/>
        <v>0</v>
      </c>
      <c r="Y945" s="1">
        <f t="shared" si="466"/>
        <v>0</v>
      </c>
      <c r="Z945" s="1">
        <f t="shared" si="466"/>
        <v>0</v>
      </c>
      <c r="AA945" s="1">
        <f t="shared" si="466"/>
        <v>0</v>
      </c>
      <c r="AB945" s="1">
        <f t="shared" si="466"/>
        <v>0</v>
      </c>
      <c r="AC945" s="1">
        <f t="shared" si="466"/>
        <v>0</v>
      </c>
      <c r="AD945" s="1">
        <f t="shared" si="466"/>
        <v>0</v>
      </c>
      <c r="AE945" s="1">
        <f t="shared" si="466"/>
        <v>1</v>
      </c>
      <c r="AF945" s="1">
        <f t="shared" si="466"/>
        <v>1</v>
      </c>
      <c r="AG945" s="1">
        <f t="shared" si="466"/>
        <v>1</v>
      </c>
      <c r="AH945" s="1">
        <f t="shared" si="466"/>
        <v>1</v>
      </c>
      <c r="AI945" s="44">
        <f t="shared" si="453"/>
        <v>20798.903616337095</v>
      </c>
      <c r="AJ945" s="44">
        <f t="shared" si="444"/>
        <v>21304.125730969736</v>
      </c>
      <c r="AK945" s="44" t="str">
        <f t="shared" si="461"/>
        <v>N</v>
      </c>
      <c r="AL945" s="4">
        <f t="shared" si="445"/>
        <v>255</v>
      </c>
      <c r="AM945" s="82">
        <f t="shared" si="454"/>
        <v>0</v>
      </c>
      <c r="AN945" s="82">
        <f t="shared" si="446"/>
        <v>0</v>
      </c>
      <c r="AO945" s="48">
        <v>0</v>
      </c>
      <c r="AP945" s="91">
        <f t="shared" si="455"/>
        <v>-505.22211463264063</v>
      </c>
      <c r="AQ945" s="91">
        <f t="shared" si="456"/>
        <v>-505.22211463264063</v>
      </c>
    </row>
    <row r="946" spans="1:43">
      <c r="A946" s="190">
        <f t="shared" si="447"/>
        <v>87.054243668720048</v>
      </c>
      <c r="B946" s="82">
        <f t="shared" si="448"/>
        <v>22</v>
      </c>
      <c r="C946" s="83">
        <f t="shared" si="449"/>
        <v>256</v>
      </c>
      <c r="D946" s="14">
        <f t="shared" si="435"/>
        <v>2.6283369587845051E-3</v>
      </c>
      <c r="E946" s="16">
        <f t="shared" si="436"/>
        <v>0</v>
      </c>
      <c r="F946" s="127"/>
      <c r="G946" s="88">
        <f t="shared" si="437"/>
        <v>0</v>
      </c>
      <c r="H946" s="89">
        <f t="shared" si="450"/>
        <v>4.1666666666666666E-3</v>
      </c>
      <c r="I946" s="219"/>
      <c r="J946" s="219"/>
      <c r="K946" s="6">
        <f t="shared" si="458"/>
        <v>20798.903616337095</v>
      </c>
      <c r="M946" s="6">
        <f t="shared" si="438"/>
        <v>54.666527077015488</v>
      </c>
      <c r="N946" s="6">
        <f t="shared" si="439"/>
        <v>-23.531426907600697</v>
      </c>
      <c r="O946" s="90">
        <f t="shared" si="440"/>
        <v>505.2221146326404</v>
      </c>
      <c r="P946" s="91">
        <f t="shared" si="441"/>
        <v>0</v>
      </c>
      <c r="Q946" s="6">
        <f t="shared" si="442"/>
        <v>86.791827985443803</v>
      </c>
      <c r="R946" s="87">
        <f t="shared" si="460"/>
        <v>-505.22211463264063</v>
      </c>
      <c r="S946" s="6">
        <f t="shared" si="443"/>
        <v>-4.2886371403854007</v>
      </c>
      <c r="T946" s="83">
        <f t="shared" si="451"/>
        <v>0</v>
      </c>
      <c r="U946" s="91">
        <f t="shared" si="457"/>
        <v>49919.283680727829</v>
      </c>
      <c r="V946" s="91">
        <f t="shared" si="452"/>
        <v>131.20469825410515</v>
      </c>
      <c r="W946" s="1">
        <f t="shared" si="466"/>
        <v>0</v>
      </c>
      <c r="X946" s="1">
        <f t="shared" si="466"/>
        <v>0</v>
      </c>
      <c r="Y946" s="1">
        <f t="shared" si="466"/>
        <v>0</v>
      </c>
      <c r="Z946" s="1">
        <f t="shared" si="466"/>
        <v>0</v>
      </c>
      <c r="AA946" s="1">
        <f t="shared" si="466"/>
        <v>0</v>
      </c>
      <c r="AB946" s="1">
        <f t="shared" si="466"/>
        <v>0</v>
      </c>
      <c r="AC946" s="1">
        <f t="shared" si="466"/>
        <v>0</v>
      </c>
      <c r="AD946" s="1">
        <f t="shared" si="466"/>
        <v>0</v>
      </c>
      <c r="AE946" s="1">
        <f t="shared" si="466"/>
        <v>1</v>
      </c>
      <c r="AF946" s="1">
        <f t="shared" si="466"/>
        <v>1</v>
      </c>
      <c r="AG946" s="1">
        <f t="shared" si="466"/>
        <v>1</v>
      </c>
      <c r="AH946" s="1">
        <f t="shared" si="466"/>
        <v>1</v>
      </c>
      <c r="AI946" s="44">
        <f t="shared" si="453"/>
        <v>20324.81660187387</v>
      </c>
      <c r="AJ946" s="44">
        <f t="shared" si="444"/>
        <v>20830.038716506511</v>
      </c>
      <c r="AK946" s="44" t="str">
        <f t="shared" si="461"/>
        <v>N</v>
      </c>
      <c r="AL946" s="4">
        <f t="shared" si="445"/>
        <v>256</v>
      </c>
      <c r="AM946" s="82">
        <f t="shared" si="454"/>
        <v>0</v>
      </c>
      <c r="AN946" s="82">
        <f t="shared" si="446"/>
        <v>0</v>
      </c>
      <c r="AO946" s="48">
        <v>0</v>
      </c>
      <c r="AP946" s="91">
        <f t="shared" si="455"/>
        <v>-505.22211463264063</v>
      </c>
      <c r="AQ946" s="91">
        <f t="shared" si="456"/>
        <v>-505.22211463264063</v>
      </c>
    </row>
    <row r="947" spans="1:43">
      <c r="A947" s="190">
        <f t="shared" si="447"/>
        <v>87.137577002053376</v>
      </c>
      <c r="B947" s="82">
        <f t="shared" si="448"/>
        <v>22</v>
      </c>
      <c r="C947" s="83">
        <f t="shared" si="449"/>
        <v>257</v>
      </c>
      <c r="D947" s="14">
        <f t="shared" ref="D947:D1010" si="467">Growth_Rate_2_Monthly</f>
        <v>2.6283369587845051E-3</v>
      </c>
      <c r="E947" s="16">
        <f t="shared" ref="E947:E1010" si="468">IF(Gtee_Flag="on",1,0)</f>
        <v>0</v>
      </c>
      <c r="F947" s="127"/>
      <c r="G947" s="88">
        <f t="shared" ref="G947:G1010" si="469">IF(B947&lt;=8,VLOOKUP(Product_Code,Product_Parameters,B947+5,FALSE),0)</f>
        <v>0</v>
      </c>
      <c r="H947" s="89">
        <f t="shared" si="450"/>
        <v>4.1666666666666666E-3</v>
      </c>
      <c r="I947" s="219"/>
      <c r="J947" s="219"/>
      <c r="K947" s="6">
        <f t="shared" si="458"/>
        <v>20324.81660187387</v>
      </c>
      <c r="M947" s="6">
        <f t="shared" ref="M947:M1010" si="470">(K947+L947)*D947</f>
        <v>53.420466655221986</v>
      </c>
      <c r="N947" s="6">
        <f t="shared" ref="N947:N1010" si="471">-(($K947+(L947)+M947/2)*(External_Fund_Charge_Monthly+Fund_Charge_Monthly+Gtee_Charge_Monthly*$E947))</f>
        <v>-22.995055176933068</v>
      </c>
      <c r="O947" s="90">
        <f t="shared" ref="O947:O1010" si="472">IF(C947&gt;=Regular_Income_Start_Month,
MIN(Regular_Income_Amount/12*(1+Income_Escalation_Rate_Annual)^($B947-1),AJ947),0)</f>
        <v>505.2221146326404</v>
      </c>
      <c r="P947" s="91">
        <f t="shared" ref="P947:P1010" si="473">MAX(IF(C947&gt;=Regular_Income_Start_Month,
MIN(IF(Income_Type="Fixed Percent",$C$51,0)/12*(K947+L947+M947+N947),AJ947),0),0)</f>
        <v>0</v>
      </c>
      <c r="Q947" s="6">
        <f t="shared" ref="Q947:Q1010" si="474">MAX(IF(C947&gt;=Regular_Income_Start_Month,
MIN(H947*(K947+L947+M947+N947),AJ947),0),0)</f>
        <v>84.813508388967335</v>
      </c>
      <c r="R947" s="87">
        <f t="shared" si="460"/>
        <v>-505.22211463264063</v>
      </c>
      <c r="S947" s="6">
        <f t="shared" ref="S947:S1010" si="475">-(($K947+I947+M947/2+N947/2+R947/2)*(Ongoing_Commission_Monthly)+(I947)*new_upfront_commission)</f>
        <v>-4.1896816487205282</v>
      </c>
      <c r="T947" s="83">
        <f t="shared" si="451"/>
        <v>0</v>
      </c>
      <c r="U947" s="91">
        <f t="shared" si="457"/>
        <v>49545.266264349295</v>
      </c>
      <c r="V947" s="91">
        <f t="shared" si="452"/>
        <v>130.22165445540836</v>
      </c>
      <c r="W947" s="1">
        <f t="shared" si="466"/>
        <v>0</v>
      </c>
      <c r="X947" s="1">
        <f t="shared" si="466"/>
        <v>0</v>
      </c>
      <c r="Y947" s="1">
        <f t="shared" si="466"/>
        <v>0</v>
      </c>
      <c r="Z947" s="1">
        <f t="shared" si="466"/>
        <v>0</v>
      </c>
      <c r="AA947" s="1">
        <f t="shared" si="466"/>
        <v>0</v>
      </c>
      <c r="AB947" s="1">
        <f t="shared" si="466"/>
        <v>0</v>
      </c>
      <c r="AC947" s="1">
        <f t="shared" si="466"/>
        <v>0</v>
      </c>
      <c r="AD947" s="1">
        <f t="shared" si="466"/>
        <v>0</v>
      </c>
      <c r="AE947" s="1">
        <f t="shared" si="466"/>
        <v>1</v>
      </c>
      <c r="AF947" s="1">
        <f t="shared" si="466"/>
        <v>1</v>
      </c>
      <c r="AG947" s="1">
        <f t="shared" si="466"/>
        <v>1</v>
      </c>
      <c r="AH947" s="1">
        <f t="shared" si="466"/>
        <v>1</v>
      </c>
      <c r="AI947" s="44">
        <f t="shared" si="453"/>
        <v>19850.019898719518</v>
      </c>
      <c r="AJ947" s="44">
        <f t="shared" ref="AJ947:AJ1010" si="476">MAX(0,SUM(K947:N947)-$C$66)</f>
        <v>20355.242013352159</v>
      </c>
      <c r="AK947" s="44" t="str">
        <f t="shared" si="461"/>
        <v>N</v>
      </c>
      <c r="AL947" s="4">
        <f t="shared" ref="AL947:AL1010" si="477">C947</f>
        <v>257</v>
      </c>
      <c r="AM947" s="82">
        <f t="shared" si="454"/>
        <v>0</v>
      </c>
      <c r="AN947" s="82">
        <f t="shared" ref="AN947:AN1010" si="478">IF(AND(B947=Fund_Zero_Year_2,K948=0,K947&gt;0),-U947,IF(AND(B947+1=Fund_Zero_Year_2,K948=0,K947&gt;0),-U947,0))</f>
        <v>0</v>
      </c>
      <c r="AO947" s="48">
        <v>0</v>
      </c>
      <c r="AP947" s="91">
        <f t="shared" si="455"/>
        <v>-505.22211463264063</v>
      </c>
      <c r="AQ947" s="91">
        <f t="shared" si="456"/>
        <v>-505.22211463264063</v>
      </c>
    </row>
    <row r="948" spans="1:43">
      <c r="A948" s="190">
        <f t="shared" ref="A948:A1011" si="479">$C$43+C947/12</f>
        <v>87.220910335386719</v>
      </c>
      <c r="B948" s="82">
        <f t="shared" ref="B948:B1011" si="480">INT((C948-1)/12)+1</f>
        <v>22</v>
      </c>
      <c r="C948" s="83">
        <f t="shared" ref="C948:C1011" si="481">C947+1</f>
        <v>258</v>
      </c>
      <c r="D948" s="14">
        <f t="shared" si="467"/>
        <v>2.6283369587845051E-3</v>
      </c>
      <c r="E948" s="16">
        <f t="shared" si="468"/>
        <v>0</v>
      </c>
      <c r="F948" s="127"/>
      <c r="G948" s="88">
        <f t="shared" si="469"/>
        <v>0</v>
      </c>
      <c r="H948" s="89">
        <f t="shared" ref="H948:H1011" si="482">IF((K947+L947+M947+N947+R947)&gt;=2000000,VLOOKUP("&gt;=2000000",Default_IncomeRate_table,3,FALSE),
IF($A948&lt;71,VLOOKUP("&lt;71",Default_IncomeRate_table,3,FALSE),
IF($A948&gt;=71,VLOOKUP("&gt;=71",Default_IncomeRate_table,3,FALSE),"")))</f>
        <v>4.1666666666666666E-3</v>
      </c>
      <c r="I948" s="219"/>
      <c r="J948" s="219"/>
      <c r="K948" s="6">
        <f t="shared" si="458"/>
        <v>19850.019898719518</v>
      </c>
      <c r="M948" s="6">
        <f t="shared" si="470"/>
        <v>52.172540932412367</v>
      </c>
      <c r="N948" s="6">
        <f t="shared" si="471"/>
        <v>-22.457880519925158</v>
      </c>
      <c r="O948" s="90">
        <f t="shared" si="472"/>
        <v>505.2221146326404</v>
      </c>
      <c r="P948" s="91">
        <f t="shared" si="473"/>
        <v>0</v>
      </c>
      <c r="Q948" s="6">
        <f t="shared" si="474"/>
        <v>82.832227329716702</v>
      </c>
      <c r="R948" s="87">
        <f t="shared" si="460"/>
        <v>-505.22211463264063</v>
      </c>
      <c r="S948" s="6">
        <f t="shared" si="475"/>
        <v>-4.0905780247693526</v>
      </c>
      <c r="T948" s="83">
        <f t="shared" ref="T948:T1011" si="483">SUM(K948:N948,R948)*$G948</f>
        <v>0</v>
      </c>
      <c r="U948" s="91">
        <f t="shared" si="457"/>
        <v>49170.265804172064</v>
      </c>
      <c r="V948" s="91">
        <f t="shared" ref="V948:V1011" si="484">U948*D948</f>
        <v>129.23602688636336</v>
      </c>
      <c r="W948" s="1">
        <f t="shared" si="466"/>
        <v>0</v>
      </c>
      <c r="X948" s="1">
        <f t="shared" si="466"/>
        <v>0</v>
      </c>
      <c r="Y948" s="1">
        <f t="shared" si="466"/>
        <v>0</v>
      </c>
      <c r="Z948" s="1">
        <f t="shared" si="466"/>
        <v>0</v>
      </c>
      <c r="AA948" s="1">
        <f t="shared" si="466"/>
        <v>0</v>
      </c>
      <c r="AB948" s="1">
        <f t="shared" si="466"/>
        <v>0</v>
      </c>
      <c r="AC948" s="1">
        <f t="shared" si="466"/>
        <v>0</v>
      </c>
      <c r="AD948" s="1">
        <f t="shared" si="466"/>
        <v>0</v>
      </c>
      <c r="AE948" s="1">
        <f t="shared" si="466"/>
        <v>1</v>
      </c>
      <c r="AF948" s="1">
        <f t="shared" si="466"/>
        <v>1</v>
      </c>
      <c r="AG948" s="1">
        <f t="shared" si="466"/>
        <v>1</v>
      </c>
      <c r="AH948" s="1">
        <f t="shared" si="466"/>
        <v>1</v>
      </c>
      <c r="AI948" s="44">
        <f t="shared" ref="AI948:AI1011" si="485">SUM(K948:N948,R948)</f>
        <v>19374.512444499367</v>
      </c>
      <c r="AJ948" s="44">
        <f t="shared" si="476"/>
        <v>19879.734559132008</v>
      </c>
      <c r="AK948" s="44" t="str">
        <f t="shared" si="461"/>
        <v>N</v>
      </c>
      <c r="AL948" s="4">
        <f t="shared" si="477"/>
        <v>258</v>
      </c>
      <c r="AM948" s="82">
        <f t="shared" ref="AM948:AM1011" si="486">I948</f>
        <v>0</v>
      </c>
      <c r="AN948" s="82">
        <f t="shared" si="478"/>
        <v>0</v>
      </c>
      <c r="AO948" s="48">
        <v>0</v>
      </c>
      <c r="AP948" s="91">
        <f t="shared" ref="AP948:AP1011" si="487">$R948+AN948+AM948</f>
        <v>-505.22211463264063</v>
      </c>
      <c r="AQ948" s="91">
        <f t="shared" ref="AQ948:AQ1011" si="488">$R948+AO948+AM948</f>
        <v>-505.22211463264063</v>
      </c>
    </row>
    <row r="949" spans="1:43">
      <c r="A949" s="190">
        <f t="shared" si="479"/>
        <v>87.304243668720048</v>
      </c>
      <c r="B949" s="82">
        <f t="shared" si="480"/>
        <v>22</v>
      </c>
      <c r="C949" s="83">
        <f t="shared" si="481"/>
        <v>259</v>
      </c>
      <c r="D949" s="14">
        <f t="shared" si="467"/>
        <v>2.6283369587845051E-3</v>
      </c>
      <c r="E949" s="16">
        <f t="shared" si="468"/>
        <v>0</v>
      </c>
      <c r="F949" s="127"/>
      <c r="G949" s="88">
        <f t="shared" si="469"/>
        <v>0</v>
      </c>
      <c r="H949" s="89">
        <f t="shared" si="482"/>
        <v>4.1666666666666666E-3</v>
      </c>
      <c r="I949" s="219"/>
      <c r="J949" s="219"/>
      <c r="K949" s="6">
        <f t="shared" si="458"/>
        <v>19374.512444499367</v>
      </c>
      <c r="M949" s="6">
        <f t="shared" si="470"/>
        <v>50.922747116308017</v>
      </c>
      <c r="N949" s="6">
        <f t="shared" si="471"/>
        <v>-21.919901734629391</v>
      </c>
      <c r="O949" s="90">
        <f t="shared" si="472"/>
        <v>505.2221146326404</v>
      </c>
      <c r="P949" s="91">
        <f t="shared" si="473"/>
        <v>0</v>
      </c>
      <c r="Q949" s="6">
        <f t="shared" si="474"/>
        <v>80.847980374504345</v>
      </c>
      <c r="R949" s="87">
        <f t="shared" si="460"/>
        <v>-505.22211463264063</v>
      </c>
      <c r="S949" s="6">
        <f t="shared" si="475"/>
        <v>-3.9913260467839549</v>
      </c>
      <c r="T949" s="83">
        <f t="shared" si="483"/>
        <v>0</v>
      </c>
      <c r="U949" s="91">
        <f t="shared" ref="U949:U1012" si="489">IF(K949=0,0,SUM(U948,R948,V948))</f>
        <v>48794.279716425786</v>
      </c>
      <c r="V949" s="91">
        <f t="shared" si="484"/>
        <v>128.24780875595101</v>
      </c>
      <c r="W949" s="1">
        <f t="shared" si="466"/>
        <v>0</v>
      </c>
      <c r="X949" s="1">
        <f t="shared" si="466"/>
        <v>0</v>
      </c>
      <c r="Y949" s="1">
        <f t="shared" si="466"/>
        <v>0</v>
      </c>
      <c r="Z949" s="1">
        <f t="shared" si="466"/>
        <v>0</v>
      </c>
      <c r="AA949" s="1">
        <f t="shared" si="466"/>
        <v>0</v>
      </c>
      <c r="AB949" s="1">
        <f t="shared" si="466"/>
        <v>0</v>
      </c>
      <c r="AC949" s="1">
        <f t="shared" si="466"/>
        <v>0</v>
      </c>
      <c r="AD949" s="1">
        <f t="shared" si="466"/>
        <v>0</v>
      </c>
      <c r="AE949" s="1">
        <f t="shared" si="466"/>
        <v>1</v>
      </c>
      <c r="AF949" s="1">
        <f t="shared" si="466"/>
        <v>1</v>
      </c>
      <c r="AG949" s="1">
        <f t="shared" si="466"/>
        <v>1</v>
      </c>
      <c r="AH949" s="1">
        <f t="shared" si="466"/>
        <v>1</v>
      </c>
      <c r="AI949" s="44">
        <f t="shared" si="485"/>
        <v>18898.293175248404</v>
      </c>
      <c r="AJ949" s="44">
        <f t="shared" si="476"/>
        <v>19403.515289881045</v>
      </c>
      <c r="AK949" s="44" t="str">
        <f t="shared" si="461"/>
        <v>N</v>
      </c>
      <c r="AL949" s="4">
        <f t="shared" si="477"/>
        <v>259</v>
      </c>
      <c r="AM949" s="82">
        <f t="shared" si="486"/>
        <v>0</v>
      </c>
      <c r="AN949" s="82">
        <f t="shared" si="478"/>
        <v>0</v>
      </c>
      <c r="AO949" s="48">
        <v>0</v>
      </c>
      <c r="AP949" s="91">
        <f t="shared" si="487"/>
        <v>-505.22211463264063</v>
      </c>
      <c r="AQ949" s="91">
        <f t="shared" si="488"/>
        <v>-505.22211463264063</v>
      </c>
    </row>
    <row r="950" spans="1:43">
      <c r="A950" s="190">
        <f t="shared" si="479"/>
        <v>87.387577002053376</v>
      </c>
      <c r="B950" s="82">
        <f t="shared" si="480"/>
        <v>22</v>
      </c>
      <c r="C950" s="83">
        <f t="shared" si="481"/>
        <v>260</v>
      </c>
      <c r="D950" s="14">
        <f t="shared" si="467"/>
        <v>2.6283369587845051E-3</v>
      </c>
      <c r="E950" s="16">
        <f t="shared" si="468"/>
        <v>0</v>
      </c>
      <c r="F950" s="127"/>
      <c r="G950" s="88">
        <f t="shared" si="469"/>
        <v>0</v>
      </c>
      <c r="H950" s="89">
        <f t="shared" si="482"/>
        <v>4.1666666666666666E-3</v>
      </c>
      <c r="I950" s="219"/>
      <c r="J950" s="219"/>
      <c r="K950" s="6">
        <f t="shared" si="458"/>
        <v>18898.293175248404</v>
      </c>
      <c r="M950" s="6">
        <f t="shared" si="470"/>
        <v>49.67108241045036</v>
      </c>
      <c r="N950" s="6">
        <f t="shared" si="471"/>
        <v>-21.381117617298901</v>
      </c>
      <c r="O950" s="90">
        <f t="shared" si="472"/>
        <v>505.2221146326404</v>
      </c>
      <c r="P950" s="91">
        <f t="shared" si="473"/>
        <v>0</v>
      </c>
      <c r="Q950" s="6">
        <f t="shared" si="474"/>
        <v>78.860763083506484</v>
      </c>
      <c r="R950" s="87">
        <f t="shared" si="460"/>
        <v>-505.22211463264063</v>
      </c>
      <c r="S950" s="6">
        <f t="shared" si="475"/>
        <v>-3.8919254926844702</v>
      </c>
      <c r="T950" s="83">
        <f t="shared" si="483"/>
        <v>0</v>
      </c>
      <c r="U950" s="91">
        <f t="shared" si="489"/>
        <v>48417.305410549096</v>
      </c>
      <c r="V950" s="91">
        <f t="shared" si="484"/>
        <v>127.25699325530317</v>
      </c>
      <c r="W950" s="1">
        <f t="shared" si="466"/>
        <v>0</v>
      </c>
      <c r="X950" s="1">
        <f t="shared" si="466"/>
        <v>0</v>
      </c>
      <c r="Y950" s="1">
        <f t="shared" si="466"/>
        <v>0</v>
      </c>
      <c r="Z950" s="1">
        <f t="shared" si="466"/>
        <v>0</v>
      </c>
      <c r="AA950" s="1">
        <f t="shared" si="466"/>
        <v>0</v>
      </c>
      <c r="AB950" s="1">
        <f t="shared" si="466"/>
        <v>0</v>
      </c>
      <c r="AC950" s="1">
        <f t="shared" si="466"/>
        <v>0</v>
      </c>
      <c r="AD950" s="1">
        <f t="shared" si="466"/>
        <v>0</v>
      </c>
      <c r="AE950" s="1">
        <f t="shared" si="466"/>
        <v>1</v>
      </c>
      <c r="AF950" s="1">
        <f t="shared" si="466"/>
        <v>1</v>
      </c>
      <c r="AG950" s="1">
        <f t="shared" si="466"/>
        <v>1</v>
      </c>
      <c r="AH950" s="1">
        <f t="shared" si="466"/>
        <v>1</v>
      </c>
      <c r="AI950" s="44">
        <f t="shared" si="485"/>
        <v>18421.361025408914</v>
      </c>
      <c r="AJ950" s="44">
        <f t="shared" si="476"/>
        <v>18926.583140041555</v>
      </c>
      <c r="AK950" s="44" t="str">
        <f t="shared" si="461"/>
        <v>N</v>
      </c>
      <c r="AL950" s="4">
        <f t="shared" si="477"/>
        <v>260</v>
      </c>
      <c r="AM950" s="82">
        <f t="shared" si="486"/>
        <v>0</v>
      </c>
      <c r="AN950" s="82">
        <f t="shared" si="478"/>
        <v>0</v>
      </c>
      <c r="AO950" s="48">
        <v>0</v>
      </c>
      <c r="AP950" s="91">
        <f t="shared" si="487"/>
        <v>-505.22211463264063</v>
      </c>
      <c r="AQ950" s="91">
        <f t="shared" si="488"/>
        <v>-505.22211463264063</v>
      </c>
    </row>
    <row r="951" spans="1:43">
      <c r="A951" s="190">
        <f t="shared" si="479"/>
        <v>87.470910335386719</v>
      </c>
      <c r="B951" s="82">
        <f t="shared" si="480"/>
        <v>22</v>
      </c>
      <c r="C951" s="83">
        <f t="shared" si="481"/>
        <v>261</v>
      </c>
      <c r="D951" s="14">
        <f t="shared" si="467"/>
        <v>2.6283369587845051E-3</v>
      </c>
      <c r="E951" s="16">
        <f t="shared" si="468"/>
        <v>0</v>
      </c>
      <c r="F951" s="127"/>
      <c r="G951" s="88">
        <f t="shared" si="469"/>
        <v>0</v>
      </c>
      <c r="H951" s="89">
        <f t="shared" si="482"/>
        <v>4.1666666666666666E-3</v>
      </c>
      <c r="I951" s="219"/>
      <c r="J951" s="219"/>
      <c r="K951" s="6">
        <f t="shared" ref="K951:K1014" si="490">SUM(K950:M950,N950,R950)</f>
        <v>18421.361025408914</v>
      </c>
      <c r="M951" s="6">
        <f t="shared" si="470"/>
        <v>48.417544014194682</v>
      </c>
      <c r="N951" s="6">
        <f t="shared" si="471"/>
        <v>-20.841526962384886</v>
      </c>
      <c r="O951" s="90">
        <f t="shared" si="472"/>
        <v>505.2221146326404</v>
      </c>
      <c r="P951" s="91">
        <f t="shared" si="473"/>
        <v>0</v>
      </c>
      <c r="Q951" s="6">
        <f t="shared" si="474"/>
        <v>76.87057101025303</v>
      </c>
      <c r="R951" s="87">
        <f t="shared" si="460"/>
        <v>-505.22211463264063</v>
      </c>
      <c r="S951" s="6">
        <f t="shared" si="475"/>
        <v>-3.7923761400585874</v>
      </c>
      <c r="T951" s="83">
        <f t="shared" si="483"/>
        <v>0</v>
      </c>
      <c r="U951" s="91">
        <f t="shared" si="489"/>
        <v>48039.340289171756</v>
      </c>
      <c r="V951" s="91">
        <f t="shared" si="484"/>
        <v>126.26357355765565</v>
      </c>
      <c r="W951" s="1">
        <f t="shared" ref="W951:AH960" si="491">IF($B951&lt;=W$78,1,0)</f>
        <v>0</v>
      </c>
      <c r="X951" s="1">
        <f t="shared" si="491"/>
        <v>0</v>
      </c>
      <c r="Y951" s="1">
        <f t="shared" si="491"/>
        <v>0</v>
      </c>
      <c r="Z951" s="1">
        <f t="shared" si="491"/>
        <v>0</v>
      </c>
      <c r="AA951" s="1">
        <f t="shared" si="491"/>
        <v>0</v>
      </c>
      <c r="AB951" s="1">
        <f t="shared" si="491"/>
        <v>0</v>
      </c>
      <c r="AC951" s="1">
        <f t="shared" si="491"/>
        <v>0</v>
      </c>
      <c r="AD951" s="1">
        <f t="shared" si="491"/>
        <v>0</v>
      </c>
      <c r="AE951" s="1">
        <f t="shared" si="491"/>
        <v>1</v>
      </c>
      <c r="AF951" s="1">
        <f t="shared" si="491"/>
        <v>1</v>
      </c>
      <c r="AG951" s="1">
        <f t="shared" si="491"/>
        <v>1</v>
      </c>
      <c r="AH951" s="1">
        <f t="shared" si="491"/>
        <v>1</v>
      </c>
      <c r="AI951" s="44">
        <f t="shared" si="485"/>
        <v>17943.714927828085</v>
      </c>
      <c r="AJ951" s="44">
        <f t="shared" si="476"/>
        <v>18448.937042460726</v>
      </c>
      <c r="AK951" s="44" t="str">
        <f t="shared" si="461"/>
        <v>N</v>
      </c>
      <c r="AL951" s="4">
        <f t="shared" si="477"/>
        <v>261</v>
      </c>
      <c r="AM951" s="82">
        <f t="shared" si="486"/>
        <v>0</v>
      </c>
      <c r="AN951" s="82">
        <f t="shared" si="478"/>
        <v>0</v>
      </c>
      <c r="AO951" s="48">
        <v>0</v>
      </c>
      <c r="AP951" s="91">
        <f t="shared" si="487"/>
        <v>-505.22211463264063</v>
      </c>
      <c r="AQ951" s="91">
        <f t="shared" si="488"/>
        <v>-505.22211463264063</v>
      </c>
    </row>
    <row r="952" spans="1:43">
      <c r="A952" s="190">
        <f t="shared" si="479"/>
        <v>87.554243668720048</v>
      </c>
      <c r="B952" s="82">
        <f t="shared" si="480"/>
        <v>22</v>
      </c>
      <c r="C952" s="83">
        <f t="shared" si="481"/>
        <v>262</v>
      </c>
      <c r="D952" s="14">
        <f t="shared" si="467"/>
        <v>2.6283369587845051E-3</v>
      </c>
      <c r="E952" s="16">
        <f t="shared" si="468"/>
        <v>0</v>
      </c>
      <c r="F952" s="127"/>
      <c r="G952" s="88">
        <f t="shared" si="469"/>
        <v>0</v>
      </c>
      <c r="H952" s="89">
        <f t="shared" si="482"/>
        <v>4.1666666666666666E-3</v>
      </c>
      <c r="I952" s="219"/>
      <c r="J952" s="219"/>
      <c r="K952" s="6">
        <f t="shared" si="490"/>
        <v>17943.714927828085</v>
      </c>
      <c r="M952" s="6">
        <f t="shared" si="470"/>
        <v>47.162129122703796</v>
      </c>
      <c r="N952" s="6">
        <f t="shared" si="471"/>
        <v>-20.301128562533876</v>
      </c>
      <c r="O952" s="90">
        <f t="shared" si="472"/>
        <v>505.2221146326404</v>
      </c>
      <c r="P952" s="91">
        <f t="shared" si="473"/>
        <v>0</v>
      </c>
      <c r="Q952" s="6">
        <f t="shared" si="474"/>
        <v>74.877399701617719</v>
      </c>
      <c r="R952" s="87">
        <f t="shared" si="460"/>
        <v>-505.22211463264063</v>
      </c>
      <c r="S952" s="6">
        <f t="shared" si="475"/>
        <v>-3.6926777661610579</v>
      </c>
      <c r="T952" s="83">
        <f t="shared" si="483"/>
        <v>0</v>
      </c>
      <c r="U952" s="91">
        <f t="shared" si="489"/>
        <v>47660.38174809677</v>
      </c>
      <c r="V952" s="91">
        <f t="shared" si="484"/>
        <v>125.26754281830119</v>
      </c>
      <c r="W952" s="1">
        <f t="shared" si="491"/>
        <v>0</v>
      </c>
      <c r="X952" s="1">
        <f t="shared" si="491"/>
        <v>0</v>
      </c>
      <c r="Y952" s="1">
        <f t="shared" si="491"/>
        <v>0</v>
      </c>
      <c r="Z952" s="1">
        <f t="shared" si="491"/>
        <v>0</v>
      </c>
      <c r="AA952" s="1">
        <f t="shared" si="491"/>
        <v>0</v>
      </c>
      <c r="AB952" s="1">
        <f t="shared" si="491"/>
        <v>0</v>
      </c>
      <c r="AC952" s="1">
        <f t="shared" si="491"/>
        <v>0</v>
      </c>
      <c r="AD952" s="1">
        <f t="shared" si="491"/>
        <v>0</v>
      </c>
      <c r="AE952" s="1">
        <f t="shared" si="491"/>
        <v>1</v>
      </c>
      <c r="AF952" s="1">
        <f t="shared" si="491"/>
        <v>1</v>
      </c>
      <c r="AG952" s="1">
        <f t="shared" si="491"/>
        <v>1</v>
      </c>
      <c r="AH952" s="1">
        <f t="shared" si="491"/>
        <v>1</v>
      </c>
      <c r="AI952" s="44">
        <f t="shared" si="485"/>
        <v>17465.353813755613</v>
      </c>
      <c r="AJ952" s="44">
        <f t="shared" si="476"/>
        <v>17970.575928388254</v>
      </c>
      <c r="AK952" s="44" t="str">
        <f t="shared" si="461"/>
        <v>N</v>
      </c>
      <c r="AL952" s="4">
        <f t="shared" si="477"/>
        <v>262</v>
      </c>
      <c r="AM952" s="82">
        <f t="shared" si="486"/>
        <v>0</v>
      </c>
      <c r="AN952" s="82">
        <f t="shared" si="478"/>
        <v>0</v>
      </c>
      <c r="AO952" s="48">
        <v>0</v>
      </c>
      <c r="AP952" s="91">
        <f t="shared" si="487"/>
        <v>-505.22211463264063</v>
      </c>
      <c r="AQ952" s="91">
        <f t="shared" si="488"/>
        <v>-505.22211463264063</v>
      </c>
    </row>
    <row r="953" spans="1:43">
      <c r="A953" s="190">
        <f t="shared" si="479"/>
        <v>87.637577002053376</v>
      </c>
      <c r="B953" s="82">
        <f t="shared" si="480"/>
        <v>22</v>
      </c>
      <c r="C953" s="83">
        <f t="shared" si="481"/>
        <v>263</v>
      </c>
      <c r="D953" s="14">
        <f t="shared" si="467"/>
        <v>2.6283369587845051E-3</v>
      </c>
      <c r="E953" s="16">
        <f t="shared" si="468"/>
        <v>0</v>
      </c>
      <c r="F953" s="127"/>
      <c r="G953" s="88">
        <f t="shared" si="469"/>
        <v>0</v>
      </c>
      <c r="H953" s="89">
        <f t="shared" si="482"/>
        <v>4.1666666666666666E-3</v>
      </c>
      <c r="I953" s="219"/>
      <c r="J953" s="219"/>
      <c r="K953" s="6">
        <f t="shared" si="490"/>
        <v>17465.353813755613</v>
      </c>
      <c r="M953" s="6">
        <f t="shared" si="470"/>
        <v>45.904834926941788</v>
      </c>
      <c r="N953" s="6">
        <f t="shared" si="471"/>
        <v>-19.759921208585034</v>
      </c>
      <c r="O953" s="90">
        <f t="shared" si="472"/>
        <v>505.2221146326404</v>
      </c>
      <c r="P953" s="91">
        <f t="shared" si="473"/>
        <v>0</v>
      </c>
      <c r="Q953" s="6">
        <f t="shared" si="474"/>
        <v>72.881244697808214</v>
      </c>
      <c r="R953" s="87">
        <f t="shared" si="460"/>
        <v>-505.22211463264063</v>
      </c>
      <c r="S953" s="6">
        <f t="shared" si="475"/>
        <v>-3.5928301479131859</v>
      </c>
      <c r="T953" s="83">
        <f t="shared" si="483"/>
        <v>0</v>
      </c>
      <c r="U953" s="91">
        <f t="shared" si="489"/>
        <v>47280.427176282428</v>
      </c>
      <c r="V953" s="91">
        <f t="shared" si="484"/>
        <v>124.26889417454242</v>
      </c>
      <c r="W953" s="1">
        <f t="shared" si="491"/>
        <v>0</v>
      </c>
      <c r="X953" s="1">
        <f t="shared" si="491"/>
        <v>0</v>
      </c>
      <c r="Y953" s="1">
        <f t="shared" si="491"/>
        <v>0</v>
      </c>
      <c r="Z953" s="1">
        <f t="shared" si="491"/>
        <v>0</v>
      </c>
      <c r="AA953" s="1">
        <f t="shared" si="491"/>
        <v>0</v>
      </c>
      <c r="AB953" s="1">
        <f t="shared" si="491"/>
        <v>0</v>
      </c>
      <c r="AC953" s="1">
        <f t="shared" si="491"/>
        <v>0</v>
      </c>
      <c r="AD953" s="1">
        <f t="shared" si="491"/>
        <v>0</v>
      </c>
      <c r="AE953" s="1">
        <f t="shared" si="491"/>
        <v>1</v>
      </c>
      <c r="AF953" s="1">
        <f t="shared" si="491"/>
        <v>1</v>
      </c>
      <c r="AG953" s="1">
        <f t="shared" si="491"/>
        <v>1</v>
      </c>
      <c r="AH953" s="1">
        <f t="shared" si="491"/>
        <v>1</v>
      </c>
      <c r="AI953" s="44">
        <f t="shared" si="485"/>
        <v>16986.276612841331</v>
      </c>
      <c r="AJ953" s="44">
        <f t="shared" si="476"/>
        <v>17491.498727473972</v>
      </c>
      <c r="AK953" s="44" t="str">
        <f t="shared" si="461"/>
        <v>N</v>
      </c>
      <c r="AL953" s="4">
        <f t="shared" si="477"/>
        <v>263</v>
      </c>
      <c r="AM953" s="82">
        <f t="shared" si="486"/>
        <v>0</v>
      </c>
      <c r="AN953" s="82">
        <f t="shared" si="478"/>
        <v>0</v>
      </c>
      <c r="AO953" s="48">
        <v>0</v>
      </c>
      <c r="AP953" s="91">
        <f t="shared" si="487"/>
        <v>-505.22211463264063</v>
      </c>
      <c r="AQ953" s="91">
        <f t="shared" si="488"/>
        <v>-505.22211463264063</v>
      </c>
    </row>
    <row r="954" spans="1:43">
      <c r="A954" s="190">
        <f t="shared" si="479"/>
        <v>87.720910335386719</v>
      </c>
      <c r="B954" s="82">
        <f t="shared" si="480"/>
        <v>22</v>
      </c>
      <c r="C954" s="83">
        <f t="shared" si="481"/>
        <v>264</v>
      </c>
      <c r="D954" s="14">
        <f t="shared" si="467"/>
        <v>2.6283369587845051E-3</v>
      </c>
      <c r="E954" s="16">
        <f t="shared" si="468"/>
        <v>0</v>
      </c>
      <c r="F954" s="127"/>
      <c r="G954" s="88">
        <f t="shared" si="469"/>
        <v>0</v>
      </c>
      <c r="H954" s="89">
        <f t="shared" si="482"/>
        <v>4.1666666666666666E-3</v>
      </c>
      <c r="I954" s="219"/>
      <c r="J954" s="219"/>
      <c r="K954" s="6">
        <f t="shared" si="490"/>
        <v>16986.276612841331</v>
      </c>
      <c r="M954" s="6">
        <f t="shared" si="470"/>
        <v>44.645658613667749</v>
      </c>
      <c r="N954" s="6">
        <f t="shared" si="471"/>
        <v>-19.217903689567475</v>
      </c>
      <c r="O954" s="90">
        <f t="shared" si="472"/>
        <v>505.2221146326404</v>
      </c>
      <c r="P954" s="91">
        <f t="shared" si="473"/>
        <v>0</v>
      </c>
      <c r="Q954" s="6">
        <f t="shared" si="474"/>
        <v>70.882101532355961</v>
      </c>
      <c r="R954" s="87">
        <f t="shared" si="460"/>
        <v>-505.22211463264063</v>
      </c>
      <c r="S954" s="6">
        <f t="shared" si="475"/>
        <v>-3.4928330619023416</v>
      </c>
      <c r="T954" s="83">
        <f t="shared" si="483"/>
        <v>0</v>
      </c>
      <c r="U954" s="91">
        <f t="shared" si="489"/>
        <v>46899.473955824331</v>
      </c>
      <c r="V954" s="91">
        <f t="shared" si="484"/>
        <v>123.26762074564442</v>
      </c>
      <c r="W954" s="1">
        <f t="shared" si="491"/>
        <v>0</v>
      </c>
      <c r="X954" s="1">
        <f t="shared" si="491"/>
        <v>0</v>
      </c>
      <c r="Y954" s="1">
        <f t="shared" si="491"/>
        <v>0</v>
      </c>
      <c r="Z954" s="1">
        <f t="shared" si="491"/>
        <v>0</v>
      </c>
      <c r="AA954" s="1">
        <f t="shared" si="491"/>
        <v>0</v>
      </c>
      <c r="AB954" s="1">
        <f t="shared" si="491"/>
        <v>0</v>
      </c>
      <c r="AC954" s="1">
        <f t="shared" si="491"/>
        <v>0</v>
      </c>
      <c r="AD954" s="1">
        <f t="shared" si="491"/>
        <v>0</v>
      </c>
      <c r="AE954" s="1">
        <f t="shared" si="491"/>
        <v>1</v>
      </c>
      <c r="AF954" s="1">
        <f t="shared" si="491"/>
        <v>1</v>
      </c>
      <c r="AG954" s="1">
        <f t="shared" si="491"/>
        <v>1</v>
      </c>
      <c r="AH954" s="1">
        <f t="shared" si="491"/>
        <v>1</v>
      </c>
      <c r="AI954" s="44">
        <f t="shared" si="485"/>
        <v>16506.482253132788</v>
      </c>
      <c r="AJ954" s="44">
        <f t="shared" si="476"/>
        <v>17011.704367765429</v>
      </c>
      <c r="AK954" s="44" t="str">
        <f t="shared" si="461"/>
        <v>N</v>
      </c>
      <c r="AL954" s="4">
        <f t="shared" si="477"/>
        <v>264</v>
      </c>
      <c r="AM954" s="82">
        <f t="shared" si="486"/>
        <v>0</v>
      </c>
      <c r="AN954" s="82">
        <f t="shared" si="478"/>
        <v>0</v>
      </c>
      <c r="AO954" s="48">
        <v>0</v>
      </c>
      <c r="AP954" s="91">
        <f t="shared" si="487"/>
        <v>-505.22211463264063</v>
      </c>
      <c r="AQ954" s="91">
        <f t="shared" si="488"/>
        <v>-505.22211463264063</v>
      </c>
    </row>
    <row r="955" spans="1:43">
      <c r="A955" s="190">
        <f t="shared" si="479"/>
        <v>87.804243668720048</v>
      </c>
      <c r="B955" s="82">
        <f t="shared" si="480"/>
        <v>23</v>
      </c>
      <c r="C955" s="83">
        <f t="shared" si="481"/>
        <v>265</v>
      </c>
      <c r="D955" s="14">
        <f t="shared" si="467"/>
        <v>2.6283369587845051E-3</v>
      </c>
      <c r="E955" s="16">
        <f t="shared" si="468"/>
        <v>0</v>
      </c>
      <c r="F955" s="127"/>
      <c r="G955" s="88">
        <f t="shared" si="469"/>
        <v>0</v>
      </c>
      <c r="H955" s="89">
        <f t="shared" si="482"/>
        <v>4.1666666666666666E-3</v>
      </c>
      <c r="I955" s="219"/>
      <c r="J955" s="219"/>
      <c r="K955" s="6">
        <f t="shared" si="490"/>
        <v>16506.482253132788</v>
      </c>
      <c r="M955" s="6">
        <f t="shared" si="470"/>
        <v>43.384597365429435</v>
      </c>
      <c r="N955" s="6">
        <f t="shared" si="471"/>
        <v>-18.675074792697526</v>
      </c>
      <c r="O955" s="90">
        <f t="shared" si="472"/>
        <v>515.32655692529318</v>
      </c>
      <c r="P955" s="91">
        <f t="shared" si="473"/>
        <v>0</v>
      </c>
      <c r="Q955" s="6">
        <f t="shared" si="474"/>
        <v>68.879965732106328</v>
      </c>
      <c r="R955" s="87">
        <f t="shared" si="460"/>
        <v>-516.09797950918528</v>
      </c>
      <c r="S955" s="6">
        <f t="shared" si="475"/>
        <v>-3.3915520815954232</v>
      </c>
      <c r="T955" s="83">
        <f t="shared" si="483"/>
        <v>0</v>
      </c>
      <c r="U955" s="91">
        <f t="shared" si="489"/>
        <v>46517.519461937336</v>
      </c>
      <c r="V955" s="91">
        <f t="shared" si="484"/>
        <v>122.26371563278741</v>
      </c>
      <c r="W955" s="1">
        <f t="shared" si="491"/>
        <v>0</v>
      </c>
      <c r="X955" s="1">
        <f t="shared" si="491"/>
        <v>0</v>
      </c>
      <c r="Y955" s="1">
        <f t="shared" si="491"/>
        <v>0</v>
      </c>
      <c r="Z955" s="1">
        <f t="shared" si="491"/>
        <v>0</v>
      </c>
      <c r="AA955" s="1">
        <f t="shared" si="491"/>
        <v>0</v>
      </c>
      <c r="AB955" s="1">
        <f t="shared" si="491"/>
        <v>0</v>
      </c>
      <c r="AC955" s="1">
        <f t="shared" si="491"/>
        <v>0</v>
      </c>
      <c r="AD955" s="1">
        <f t="shared" si="491"/>
        <v>0</v>
      </c>
      <c r="AE955" s="1">
        <f t="shared" si="491"/>
        <v>1</v>
      </c>
      <c r="AF955" s="1">
        <f t="shared" si="491"/>
        <v>1</v>
      </c>
      <c r="AG955" s="1">
        <f t="shared" si="491"/>
        <v>1</v>
      </c>
      <c r="AH955" s="1">
        <f t="shared" si="491"/>
        <v>1</v>
      </c>
      <c r="AI955" s="44">
        <f t="shared" si="485"/>
        <v>16015.093796196335</v>
      </c>
      <c r="AJ955" s="44">
        <f t="shared" si="476"/>
        <v>16531.19177570552</v>
      </c>
      <c r="AK955" s="44" t="str">
        <f t="shared" si="461"/>
        <v>N</v>
      </c>
      <c r="AL955" s="4">
        <f t="shared" si="477"/>
        <v>265</v>
      </c>
      <c r="AM955" s="82">
        <f t="shared" si="486"/>
        <v>0</v>
      </c>
      <c r="AN955" s="82">
        <f t="shared" si="478"/>
        <v>0</v>
      </c>
      <c r="AO955" s="48">
        <v>0</v>
      </c>
      <c r="AP955" s="91">
        <f t="shared" si="487"/>
        <v>-516.09797950918528</v>
      </c>
      <c r="AQ955" s="91">
        <f t="shared" si="488"/>
        <v>-516.09797950918528</v>
      </c>
    </row>
    <row r="956" spans="1:43">
      <c r="A956" s="190">
        <f t="shared" si="479"/>
        <v>87.887577002053376</v>
      </c>
      <c r="B956" s="82">
        <f t="shared" si="480"/>
        <v>23</v>
      </c>
      <c r="C956" s="83">
        <f t="shared" si="481"/>
        <v>266</v>
      </c>
      <c r="D956" s="14">
        <f t="shared" si="467"/>
        <v>2.6283369587845051E-3</v>
      </c>
      <c r="E956" s="16">
        <f t="shared" si="468"/>
        <v>0</v>
      </c>
      <c r="F956" s="127"/>
      <c r="G956" s="88">
        <f t="shared" si="469"/>
        <v>0</v>
      </c>
      <c r="H956" s="89">
        <f t="shared" si="482"/>
        <v>4.1666666666666666E-3</v>
      </c>
      <c r="I956" s="219"/>
      <c r="J956" s="219"/>
      <c r="K956" s="6">
        <f t="shared" si="490"/>
        <v>16015.093796196335</v>
      </c>
      <c r="M956" s="6">
        <f t="shared" si="470"/>
        <v>42.093062922943268</v>
      </c>
      <c r="N956" s="6">
        <f t="shared" si="471"/>
        <v>-18.1191285865448</v>
      </c>
      <c r="O956" s="90">
        <f t="shared" si="472"/>
        <v>515.32655692529318</v>
      </c>
      <c r="P956" s="91">
        <f t="shared" si="473"/>
        <v>0</v>
      </c>
      <c r="Q956" s="6">
        <f t="shared" si="474"/>
        <v>66.829448877219718</v>
      </c>
      <c r="R956" s="87">
        <f t="shared" si="460"/>
        <v>-515.3265569252934</v>
      </c>
      <c r="S956" s="6">
        <f t="shared" si="475"/>
        <v>-3.2890657337973348</v>
      </c>
      <c r="T956" s="83">
        <f t="shared" si="483"/>
        <v>0</v>
      </c>
      <c r="U956" s="91">
        <f t="shared" si="489"/>
        <v>46123.685198060943</v>
      </c>
      <c r="V956" s="91">
        <f t="shared" si="484"/>
        <v>121.22858648140539</v>
      </c>
      <c r="W956" s="1">
        <f t="shared" si="491"/>
        <v>0</v>
      </c>
      <c r="X956" s="1">
        <f t="shared" si="491"/>
        <v>0</v>
      </c>
      <c r="Y956" s="1">
        <f t="shared" si="491"/>
        <v>0</v>
      </c>
      <c r="Z956" s="1">
        <f t="shared" si="491"/>
        <v>0</v>
      </c>
      <c r="AA956" s="1">
        <f t="shared" si="491"/>
        <v>0</v>
      </c>
      <c r="AB956" s="1">
        <f t="shared" si="491"/>
        <v>0</v>
      </c>
      <c r="AC956" s="1">
        <f t="shared" si="491"/>
        <v>0</v>
      </c>
      <c r="AD956" s="1">
        <f t="shared" si="491"/>
        <v>0</v>
      </c>
      <c r="AE956" s="1">
        <f t="shared" si="491"/>
        <v>1</v>
      </c>
      <c r="AF956" s="1">
        <f t="shared" si="491"/>
        <v>1</v>
      </c>
      <c r="AG956" s="1">
        <f t="shared" si="491"/>
        <v>1</v>
      </c>
      <c r="AH956" s="1">
        <f t="shared" si="491"/>
        <v>1</v>
      </c>
      <c r="AI956" s="44">
        <f t="shared" si="485"/>
        <v>15523.741173607441</v>
      </c>
      <c r="AJ956" s="44">
        <f t="shared" si="476"/>
        <v>16039.067730532734</v>
      </c>
      <c r="AK956" s="44" t="str">
        <f t="shared" si="461"/>
        <v>N</v>
      </c>
      <c r="AL956" s="4">
        <f t="shared" si="477"/>
        <v>266</v>
      </c>
      <c r="AM956" s="82">
        <f t="shared" si="486"/>
        <v>0</v>
      </c>
      <c r="AN956" s="82">
        <f t="shared" si="478"/>
        <v>0</v>
      </c>
      <c r="AO956" s="48">
        <v>0</v>
      </c>
      <c r="AP956" s="91">
        <f t="shared" si="487"/>
        <v>-515.3265569252934</v>
      </c>
      <c r="AQ956" s="91">
        <f t="shared" si="488"/>
        <v>-515.3265569252934</v>
      </c>
    </row>
    <row r="957" spans="1:43">
      <c r="A957" s="190">
        <f t="shared" si="479"/>
        <v>87.970910335386719</v>
      </c>
      <c r="B957" s="82">
        <f t="shared" si="480"/>
        <v>23</v>
      </c>
      <c r="C957" s="83">
        <f t="shared" si="481"/>
        <v>267</v>
      </c>
      <c r="D957" s="14">
        <f t="shared" si="467"/>
        <v>2.6283369587845051E-3</v>
      </c>
      <c r="E957" s="16">
        <f t="shared" si="468"/>
        <v>0</v>
      </c>
      <c r="F957" s="127"/>
      <c r="G957" s="88">
        <f t="shared" si="469"/>
        <v>0</v>
      </c>
      <c r="H957" s="89">
        <f t="shared" si="482"/>
        <v>4.1666666666666666E-3</v>
      </c>
      <c r="I957" s="219"/>
      <c r="J957" s="219"/>
      <c r="K957" s="6">
        <f t="shared" si="490"/>
        <v>15523.741173607441</v>
      </c>
      <c r="M957" s="6">
        <f t="shared" si="470"/>
        <v>40.801622665197186</v>
      </c>
      <c r="N957" s="6">
        <f t="shared" si="471"/>
        <v>-17.563222922593042</v>
      </c>
      <c r="O957" s="90">
        <f t="shared" si="472"/>
        <v>515.32655692529318</v>
      </c>
      <c r="P957" s="91">
        <f t="shared" si="473"/>
        <v>0</v>
      </c>
      <c r="Q957" s="6">
        <f t="shared" si="474"/>
        <v>64.779081555625183</v>
      </c>
      <c r="R957" s="87">
        <f t="shared" si="460"/>
        <v>-515.3265569252934</v>
      </c>
      <c r="S957" s="6">
        <f t="shared" si="475"/>
        <v>-3.1865064169087258</v>
      </c>
      <c r="T957" s="83">
        <f t="shared" si="483"/>
        <v>0</v>
      </c>
      <c r="U957" s="91">
        <f t="shared" si="489"/>
        <v>45729.587227617056</v>
      </c>
      <c r="V957" s="91">
        <f t="shared" si="484"/>
        <v>120.19276422030576</v>
      </c>
      <c r="W957" s="1">
        <f t="shared" si="491"/>
        <v>0</v>
      </c>
      <c r="X957" s="1">
        <f t="shared" si="491"/>
        <v>0</v>
      </c>
      <c r="Y957" s="1">
        <f t="shared" si="491"/>
        <v>0</v>
      </c>
      <c r="Z957" s="1">
        <f t="shared" si="491"/>
        <v>0</v>
      </c>
      <c r="AA957" s="1">
        <f t="shared" si="491"/>
        <v>0</v>
      </c>
      <c r="AB957" s="1">
        <f t="shared" si="491"/>
        <v>0</v>
      </c>
      <c r="AC957" s="1">
        <f t="shared" si="491"/>
        <v>0</v>
      </c>
      <c r="AD957" s="1">
        <f t="shared" si="491"/>
        <v>0</v>
      </c>
      <c r="AE957" s="1">
        <f t="shared" si="491"/>
        <v>1</v>
      </c>
      <c r="AF957" s="1">
        <f t="shared" si="491"/>
        <v>1</v>
      </c>
      <c r="AG957" s="1">
        <f t="shared" si="491"/>
        <v>1</v>
      </c>
      <c r="AH957" s="1">
        <f t="shared" si="491"/>
        <v>1</v>
      </c>
      <c r="AI957" s="44">
        <f t="shared" si="485"/>
        <v>15031.653016424752</v>
      </c>
      <c r="AJ957" s="44">
        <f t="shared" si="476"/>
        <v>15546.979573350045</v>
      </c>
      <c r="AK957" s="44" t="str">
        <f t="shared" si="461"/>
        <v>N</v>
      </c>
      <c r="AL957" s="4">
        <f t="shared" si="477"/>
        <v>267</v>
      </c>
      <c r="AM957" s="82">
        <f t="shared" si="486"/>
        <v>0</v>
      </c>
      <c r="AN957" s="82">
        <f t="shared" si="478"/>
        <v>0</v>
      </c>
      <c r="AO957" s="48">
        <v>0</v>
      </c>
      <c r="AP957" s="91">
        <f t="shared" si="487"/>
        <v>-515.3265569252934</v>
      </c>
      <c r="AQ957" s="91">
        <f t="shared" si="488"/>
        <v>-515.3265569252934</v>
      </c>
    </row>
    <row r="958" spans="1:43">
      <c r="A958" s="190">
        <f t="shared" si="479"/>
        <v>88.054243668720048</v>
      </c>
      <c r="B958" s="82">
        <f t="shared" si="480"/>
        <v>23</v>
      </c>
      <c r="C958" s="83">
        <f t="shared" si="481"/>
        <v>268</v>
      </c>
      <c r="D958" s="14">
        <f t="shared" si="467"/>
        <v>2.6283369587845051E-3</v>
      </c>
      <c r="E958" s="16">
        <f t="shared" si="468"/>
        <v>0</v>
      </c>
      <c r="F958" s="127"/>
      <c r="G958" s="88">
        <f t="shared" si="469"/>
        <v>0</v>
      </c>
      <c r="H958" s="89">
        <f t="shared" si="482"/>
        <v>4.1666666666666666E-3</v>
      </c>
      <c r="I958" s="219"/>
      <c r="J958" s="219"/>
      <c r="K958" s="6">
        <f t="shared" si="490"/>
        <v>15031.653016424752</v>
      </c>
      <c r="M958" s="6">
        <f t="shared" si="470"/>
        <v>39.508249174693766</v>
      </c>
      <c r="N958" s="6">
        <f t="shared" si="471"/>
        <v>-17.00648509080921</v>
      </c>
      <c r="O958" s="90">
        <f t="shared" si="472"/>
        <v>515.32655692529318</v>
      </c>
      <c r="P958" s="91">
        <f t="shared" si="473"/>
        <v>0</v>
      </c>
      <c r="Q958" s="6">
        <f t="shared" si="474"/>
        <v>62.725644918785989</v>
      </c>
      <c r="R958" s="87">
        <f t="shared" si="460"/>
        <v>-515.3265569252934</v>
      </c>
      <c r="S958" s="6">
        <f t="shared" si="475"/>
        <v>-3.0837935729562131</v>
      </c>
      <c r="T958" s="83">
        <f t="shared" si="483"/>
        <v>0</v>
      </c>
      <c r="U958" s="91">
        <f t="shared" si="489"/>
        <v>45334.453434912073</v>
      </c>
      <c r="V958" s="91">
        <f t="shared" si="484"/>
        <v>119.15421946927457</v>
      </c>
      <c r="W958" s="1">
        <f t="shared" si="491"/>
        <v>0</v>
      </c>
      <c r="X958" s="1">
        <f t="shared" si="491"/>
        <v>0</v>
      </c>
      <c r="Y958" s="1">
        <f t="shared" si="491"/>
        <v>0</v>
      </c>
      <c r="Z958" s="1">
        <f t="shared" si="491"/>
        <v>0</v>
      </c>
      <c r="AA958" s="1">
        <f t="shared" si="491"/>
        <v>0</v>
      </c>
      <c r="AB958" s="1">
        <f t="shared" si="491"/>
        <v>0</v>
      </c>
      <c r="AC958" s="1">
        <f t="shared" si="491"/>
        <v>0</v>
      </c>
      <c r="AD958" s="1">
        <f t="shared" si="491"/>
        <v>0</v>
      </c>
      <c r="AE958" s="1">
        <f t="shared" si="491"/>
        <v>1</v>
      </c>
      <c r="AF958" s="1">
        <f t="shared" si="491"/>
        <v>1</v>
      </c>
      <c r="AG958" s="1">
        <f t="shared" si="491"/>
        <v>1</v>
      </c>
      <c r="AH958" s="1">
        <f t="shared" si="491"/>
        <v>1</v>
      </c>
      <c r="AI958" s="44">
        <f t="shared" si="485"/>
        <v>14538.828223583345</v>
      </c>
      <c r="AJ958" s="44">
        <f t="shared" si="476"/>
        <v>15054.154780508637</v>
      </c>
      <c r="AK958" s="44" t="str">
        <f t="shared" si="461"/>
        <v>N</v>
      </c>
      <c r="AL958" s="4">
        <f t="shared" si="477"/>
        <v>268</v>
      </c>
      <c r="AM958" s="82">
        <f t="shared" si="486"/>
        <v>0</v>
      </c>
      <c r="AN958" s="82">
        <f t="shared" si="478"/>
        <v>0</v>
      </c>
      <c r="AO958" s="48">
        <v>0</v>
      </c>
      <c r="AP958" s="91">
        <f t="shared" si="487"/>
        <v>-515.3265569252934</v>
      </c>
      <c r="AQ958" s="91">
        <f t="shared" si="488"/>
        <v>-515.3265569252934</v>
      </c>
    </row>
    <row r="959" spans="1:43">
      <c r="A959" s="190">
        <f t="shared" si="479"/>
        <v>88.137577002053376</v>
      </c>
      <c r="B959" s="82">
        <f t="shared" si="480"/>
        <v>23</v>
      </c>
      <c r="C959" s="83">
        <f t="shared" si="481"/>
        <v>269</v>
      </c>
      <c r="D959" s="14">
        <f t="shared" si="467"/>
        <v>2.6283369587845051E-3</v>
      </c>
      <c r="E959" s="16">
        <f t="shared" si="468"/>
        <v>0</v>
      </c>
      <c r="F959" s="127"/>
      <c r="G959" s="88">
        <f t="shared" si="469"/>
        <v>0</v>
      </c>
      <c r="H959" s="89">
        <f t="shared" si="482"/>
        <v>4.1666666666666666E-3</v>
      </c>
      <c r="I959" s="219"/>
      <c r="J959" s="219"/>
      <c r="K959" s="6">
        <f t="shared" si="490"/>
        <v>14538.828223583345</v>
      </c>
      <c r="M959" s="6">
        <f t="shared" si="470"/>
        <v>38.212939557463379</v>
      </c>
      <c r="N959" s="6">
        <f t="shared" si="471"/>
        <v>-16.448913845472418</v>
      </c>
      <c r="O959" s="90">
        <f t="shared" si="472"/>
        <v>515.32655692529318</v>
      </c>
      <c r="P959" s="91">
        <f t="shared" si="473"/>
        <v>0</v>
      </c>
      <c r="Q959" s="6">
        <f t="shared" si="474"/>
        <v>60.669134372063901</v>
      </c>
      <c r="R959" s="87">
        <f t="shared" si="460"/>
        <v>-515.3265569252934</v>
      </c>
      <c r="S959" s="6">
        <f t="shared" si="475"/>
        <v>-2.9809269721161193</v>
      </c>
      <c r="T959" s="83">
        <f t="shared" si="483"/>
        <v>0</v>
      </c>
      <c r="U959" s="91">
        <f t="shared" si="489"/>
        <v>44938.281097456056</v>
      </c>
      <c r="V959" s="91">
        <f t="shared" si="484"/>
        <v>118.11294507269086</v>
      </c>
      <c r="W959" s="1">
        <f t="shared" si="491"/>
        <v>0</v>
      </c>
      <c r="X959" s="1">
        <f t="shared" si="491"/>
        <v>0</v>
      </c>
      <c r="Y959" s="1">
        <f t="shared" si="491"/>
        <v>0</v>
      </c>
      <c r="Z959" s="1">
        <f t="shared" si="491"/>
        <v>0</v>
      </c>
      <c r="AA959" s="1">
        <f t="shared" si="491"/>
        <v>0</v>
      </c>
      <c r="AB959" s="1">
        <f t="shared" si="491"/>
        <v>0</v>
      </c>
      <c r="AC959" s="1">
        <f t="shared" si="491"/>
        <v>0</v>
      </c>
      <c r="AD959" s="1">
        <f t="shared" si="491"/>
        <v>0</v>
      </c>
      <c r="AE959" s="1">
        <f t="shared" si="491"/>
        <v>1</v>
      </c>
      <c r="AF959" s="1">
        <f t="shared" si="491"/>
        <v>1</v>
      </c>
      <c r="AG959" s="1">
        <f t="shared" si="491"/>
        <v>1</v>
      </c>
      <c r="AH959" s="1">
        <f t="shared" si="491"/>
        <v>1</v>
      </c>
      <c r="AI959" s="44">
        <f t="shared" si="485"/>
        <v>14045.265692370043</v>
      </c>
      <c r="AJ959" s="44">
        <f t="shared" si="476"/>
        <v>14560.592249295336</v>
      </c>
      <c r="AK959" s="44" t="str">
        <f t="shared" si="461"/>
        <v>N</v>
      </c>
      <c r="AL959" s="4">
        <f t="shared" si="477"/>
        <v>269</v>
      </c>
      <c r="AM959" s="82">
        <f t="shared" si="486"/>
        <v>0</v>
      </c>
      <c r="AN959" s="82">
        <f t="shared" si="478"/>
        <v>0</v>
      </c>
      <c r="AO959" s="48">
        <v>0</v>
      </c>
      <c r="AP959" s="91">
        <f t="shared" si="487"/>
        <v>-515.3265569252934</v>
      </c>
      <c r="AQ959" s="91">
        <f t="shared" si="488"/>
        <v>-515.3265569252934</v>
      </c>
    </row>
    <row r="960" spans="1:43">
      <c r="A960" s="190">
        <f t="shared" si="479"/>
        <v>88.220910335386719</v>
      </c>
      <c r="B960" s="82">
        <f t="shared" si="480"/>
        <v>23</v>
      </c>
      <c r="C960" s="83">
        <f t="shared" si="481"/>
        <v>270</v>
      </c>
      <c r="D960" s="14">
        <f t="shared" si="467"/>
        <v>2.6283369587845051E-3</v>
      </c>
      <c r="E960" s="16">
        <f t="shared" si="468"/>
        <v>0</v>
      </c>
      <c r="F960" s="127"/>
      <c r="G960" s="88">
        <f t="shared" si="469"/>
        <v>0</v>
      </c>
      <c r="H960" s="89">
        <f t="shared" si="482"/>
        <v>4.1666666666666666E-3</v>
      </c>
      <c r="I960" s="219"/>
      <c r="J960" s="219"/>
      <c r="K960" s="6">
        <f t="shared" si="490"/>
        <v>14045.265692370043</v>
      </c>
      <c r="M960" s="6">
        <f t="shared" si="470"/>
        <v>36.915690915204223</v>
      </c>
      <c r="N960" s="6">
        <f t="shared" si="471"/>
        <v>-15.890507938996969</v>
      </c>
      <c r="O960" s="90">
        <f t="shared" si="472"/>
        <v>515.32655692529318</v>
      </c>
      <c r="P960" s="91">
        <f t="shared" si="473"/>
        <v>0</v>
      </c>
      <c r="Q960" s="6">
        <f t="shared" si="474"/>
        <v>58.609545313942711</v>
      </c>
      <c r="R960" s="87">
        <f t="shared" ref="R960:R1023" si="492">-MIN(MAX(O960,P960,Q960,-R948*1.02),AJ960)</f>
        <v>-515.3265569252934</v>
      </c>
      <c r="S960" s="6">
        <f t="shared" si="475"/>
        <v>-2.8779063842207306</v>
      </c>
      <c r="T960" s="83">
        <f t="shared" si="483"/>
        <v>0</v>
      </c>
      <c r="U960" s="91">
        <f t="shared" si="489"/>
        <v>44541.067485603453</v>
      </c>
      <c r="V960" s="91">
        <f t="shared" si="484"/>
        <v>117.06893385612638</v>
      </c>
      <c r="W960" s="1">
        <f t="shared" si="491"/>
        <v>0</v>
      </c>
      <c r="X960" s="1">
        <f t="shared" si="491"/>
        <v>0</v>
      </c>
      <c r="Y960" s="1">
        <f t="shared" si="491"/>
        <v>0</v>
      </c>
      <c r="Z960" s="1">
        <f t="shared" si="491"/>
        <v>0</v>
      </c>
      <c r="AA960" s="1">
        <f t="shared" si="491"/>
        <v>0</v>
      </c>
      <c r="AB960" s="1">
        <f t="shared" si="491"/>
        <v>0</v>
      </c>
      <c r="AC960" s="1">
        <f t="shared" si="491"/>
        <v>0</v>
      </c>
      <c r="AD960" s="1">
        <f t="shared" si="491"/>
        <v>0</v>
      </c>
      <c r="AE960" s="1">
        <f t="shared" si="491"/>
        <v>1</v>
      </c>
      <c r="AF960" s="1">
        <f t="shared" si="491"/>
        <v>1</v>
      </c>
      <c r="AG960" s="1">
        <f t="shared" si="491"/>
        <v>1</v>
      </c>
      <c r="AH960" s="1">
        <f t="shared" si="491"/>
        <v>1</v>
      </c>
      <c r="AI960" s="44">
        <f t="shared" si="485"/>
        <v>13550.964318420958</v>
      </c>
      <c r="AJ960" s="44">
        <f t="shared" si="476"/>
        <v>14066.290875346251</v>
      </c>
      <c r="AK960" s="44" t="str">
        <f t="shared" ref="AK960:AK1023" si="493">IF(R960=0,0,IF(R960&gt;R948,"Y","N"))</f>
        <v>N</v>
      </c>
      <c r="AL960" s="4">
        <f t="shared" si="477"/>
        <v>270</v>
      </c>
      <c r="AM960" s="82">
        <f t="shared" si="486"/>
        <v>0</v>
      </c>
      <c r="AN960" s="82">
        <f t="shared" si="478"/>
        <v>0</v>
      </c>
      <c r="AO960" s="48">
        <v>0</v>
      </c>
      <c r="AP960" s="91">
        <f t="shared" si="487"/>
        <v>-515.3265569252934</v>
      </c>
      <c r="AQ960" s="91">
        <f t="shared" si="488"/>
        <v>-515.3265569252934</v>
      </c>
    </row>
    <row r="961" spans="1:43">
      <c r="A961" s="190">
        <f t="shared" si="479"/>
        <v>88.304243668720048</v>
      </c>
      <c r="B961" s="82">
        <f t="shared" si="480"/>
        <v>23</v>
      </c>
      <c r="C961" s="83">
        <f t="shared" si="481"/>
        <v>271</v>
      </c>
      <c r="D961" s="14">
        <f t="shared" si="467"/>
        <v>2.6283369587845051E-3</v>
      </c>
      <c r="E961" s="16">
        <f t="shared" si="468"/>
        <v>0</v>
      </c>
      <c r="F961" s="127"/>
      <c r="G961" s="88">
        <f t="shared" si="469"/>
        <v>0</v>
      </c>
      <c r="H961" s="89">
        <f t="shared" si="482"/>
        <v>4.1666666666666666E-3</v>
      </c>
      <c r="I961" s="219"/>
      <c r="J961" s="219"/>
      <c r="K961" s="6">
        <f t="shared" si="490"/>
        <v>13550.964318420958</v>
      </c>
      <c r="M961" s="6">
        <f t="shared" si="470"/>
        <v>35.616500345275888</v>
      </c>
      <c r="N961" s="6">
        <f t="shared" si="471"/>
        <v>-15.331266121929596</v>
      </c>
      <c r="O961" s="90">
        <f t="shared" si="472"/>
        <v>515.32655692529318</v>
      </c>
      <c r="P961" s="91">
        <f t="shared" si="473"/>
        <v>0</v>
      </c>
      <c r="Q961" s="6">
        <f t="shared" si="474"/>
        <v>56.546873136017929</v>
      </c>
      <c r="R961" s="87">
        <f t="shared" si="492"/>
        <v>-515.3265569252934</v>
      </c>
      <c r="S961" s="6">
        <f t="shared" si="475"/>
        <v>-2.7747315787577822</v>
      </c>
      <c r="T961" s="83">
        <f t="shared" si="483"/>
        <v>0</v>
      </c>
      <c r="U961" s="91">
        <f t="shared" si="489"/>
        <v>44142.80986253429</v>
      </c>
      <c r="V961" s="91">
        <f t="shared" si="484"/>
        <v>116.02217862629604</v>
      </c>
      <c r="W961" s="1">
        <f t="shared" ref="W961:AH970" si="494">IF($B961&lt;=W$78,1,0)</f>
        <v>0</v>
      </c>
      <c r="X961" s="1">
        <f t="shared" si="494"/>
        <v>0</v>
      </c>
      <c r="Y961" s="1">
        <f t="shared" si="494"/>
        <v>0</v>
      </c>
      <c r="Z961" s="1">
        <f t="shared" si="494"/>
        <v>0</v>
      </c>
      <c r="AA961" s="1">
        <f t="shared" si="494"/>
        <v>0</v>
      </c>
      <c r="AB961" s="1">
        <f t="shared" si="494"/>
        <v>0</v>
      </c>
      <c r="AC961" s="1">
        <f t="shared" si="494"/>
        <v>0</v>
      </c>
      <c r="AD961" s="1">
        <f t="shared" si="494"/>
        <v>0</v>
      </c>
      <c r="AE961" s="1">
        <f t="shared" si="494"/>
        <v>1</v>
      </c>
      <c r="AF961" s="1">
        <f t="shared" si="494"/>
        <v>1</v>
      </c>
      <c r="AG961" s="1">
        <f t="shared" si="494"/>
        <v>1</v>
      </c>
      <c r="AH961" s="1">
        <f t="shared" si="494"/>
        <v>1</v>
      </c>
      <c r="AI961" s="44">
        <f t="shared" si="485"/>
        <v>13055.922995719011</v>
      </c>
      <c r="AJ961" s="44">
        <f t="shared" si="476"/>
        <v>13571.249552644304</v>
      </c>
      <c r="AK961" s="44" t="str">
        <f t="shared" si="493"/>
        <v>N</v>
      </c>
      <c r="AL961" s="4">
        <f t="shared" si="477"/>
        <v>271</v>
      </c>
      <c r="AM961" s="82">
        <f t="shared" si="486"/>
        <v>0</v>
      </c>
      <c r="AN961" s="82">
        <f t="shared" si="478"/>
        <v>0</v>
      </c>
      <c r="AO961" s="48">
        <v>0</v>
      </c>
      <c r="AP961" s="91">
        <f t="shared" si="487"/>
        <v>-515.3265569252934</v>
      </c>
      <c r="AQ961" s="91">
        <f t="shared" si="488"/>
        <v>-515.3265569252934</v>
      </c>
    </row>
    <row r="962" spans="1:43">
      <c r="A962" s="190">
        <f t="shared" si="479"/>
        <v>88.387577002053376</v>
      </c>
      <c r="B962" s="82">
        <f t="shared" si="480"/>
        <v>23</v>
      </c>
      <c r="C962" s="83">
        <f t="shared" si="481"/>
        <v>272</v>
      </c>
      <c r="D962" s="14">
        <f t="shared" si="467"/>
        <v>2.6283369587845051E-3</v>
      </c>
      <c r="E962" s="16">
        <f t="shared" si="468"/>
        <v>0</v>
      </c>
      <c r="F962" s="127"/>
      <c r="G962" s="88">
        <f t="shared" si="469"/>
        <v>0</v>
      </c>
      <c r="H962" s="89">
        <f t="shared" si="482"/>
        <v>4.1666666666666666E-3</v>
      </c>
      <c r="I962" s="219"/>
      <c r="J962" s="219"/>
      <c r="K962" s="6">
        <f t="shared" si="490"/>
        <v>13055.922995719011</v>
      </c>
      <c r="M962" s="6">
        <f t="shared" si="470"/>
        <v>34.315364940692788</v>
      </c>
      <c r="N962" s="6">
        <f t="shared" si="471"/>
        <v>-14.771187142946648</v>
      </c>
      <c r="O962" s="90">
        <f t="shared" si="472"/>
        <v>515.32655692529318</v>
      </c>
      <c r="P962" s="91">
        <f t="shared" si="473"/>
        <v>0</v>
      </c>
      <c r="Q962" s="6">
        <f t="shared" si="474"/>
        <v>54.48111322298648</v>
      </c>
      <c r="R962" s="87">
        <f t="shared" si="492"/>
        <v>-515.3265569252934</v>
      </c>
      <c r="S962" s="6">
        <f t="shared" si="475"/>
        <v>-2.6714023248699394</v>
      </c>
      <c r="T962" s="83">
        <f t="shared" si="483"/>
        <v>0</v>
      </c>
      <c r="U962" s="91">
        <f t="shared" si="489"/>
        <v>43743.505484235298</v>
      </c>
      <c r="V962" s="91">
        <f t="shared" si="484"/>
        <v>114.97267217100833</v>
      </c>
      <c r="W962" s="1">
        <f t="shared" si="494"/>
        <v>0</v>
      </c>
      <c r="X962" s="1">
        <f t="shared" si="494"/>
        <v>0</v>
      </c>
      <c r="Y962" s="1">
        <f t="shared" si="494"/>
        <v>0</v>
      </c>
      <c r="Z962" s="1">
        <f t="shared" si="494"/>
        <v>0</v>
      </c>
      <c r="AA962" s="1">
        <f t="shared" si="494"/>
        <v>0</v>
      </c>
      <c r="AB962" s="1">
        <f t="shared" si="494"/>
        <v>0</v>
      </c>
      <c r="AC962" s="1">
        <f t="shared" si="494"/>
        <v>0</v>
      </c>
      <c r="AD962" s="1">
        <f t="shared" si="494"/>
        <v>0</v>
      </c>
      <c r="AE962" s="1">
        <f t="shared" si="494"/>
        <v>1</v>
      </c>
      <c r="AF962" s="1">
        <f t="shared" si="494"/>
        <v>1</v>
      </c>
      <c r="AG962" s="1">
        <f t="shared" si="494"/>
        <v>1</v>
      </c>
      <c r="AH962" s="1">
        <f t="shared" si="494"/>
        <v>1</v>
      </c>
      <c r="AI962" s="44">
        <f t="shared" si="485"/>
        <v>12560.140616591463</v>
      </c>
      <c r="AJ962" s="44">
        <f t="shared" si="476"/>
        <v>13075.467173516756</v>
      </c>
      <c r="AK962" s="44" t="str">
        <f t="shared" si="493"/>
        <v>N</v>
      </c>
      <c r="AL962" s="4">
        <f t="shared" si="477"/>
        <v>272</v>
      </c>
      <c r="AM962" s="82">
        <f t="shared" si="486"/>
        <v>0</v>
      </c>
      <c r="AN962" s="82">
        <f t="shared" si="478"/>
        <v>0</v>
      </c>
      <c r="AO962" s="48">
        <v>0</v>
      </c>
      <c r="AP962" s="91">
        <f t="shared" si="487"/>
        <v>-515.3265569252934</v>
      </c>
      <c r="AQ962" s="91">
        <f t="shared" si="488"/>
        <v>-515.3265569252934</v>
      </c>
    </row>
    <row r="963" spans="1:43">
      <c r="A963" s="190">
        <f t="shared" si="479"/>
        <v>88.470910335386719</v>
      </c>
      <c r="B963" s="82">
        <f t="shared" si="480"/>
        <v>23</v>
      </c>
      <c r="C963" s="83">
        <f t="shared" si="481"/>
        <v>273</v>
      </c>
      <c r="D963" s="14">
        <f t="shared" si="467"/>
        <v>2.6283369587845051E-3</v>
      </c>
      <c r="E963" s="16">
        <f t="shared" si="468"/>
        <v>0</v>
      </c>
      <c r="F963" s="127"/>
      <c r="G963" s="88">
        <f t="shared" si="469"/>
        <v>0</v>
      </c>
      <c r="H963" s="89">
        <f t="shared" si="482"/>
        <v>4.1666666666666666E-3</v>
      </c>
      <c r="I963" s="219"/>
      <c r="J963" s="219"/>
      <c r="K963" s="6">
        <f t="shared" si="490"/>
        <v>12560.140616591463</v>
      </c>
      <c r="M963" s="6">
        <f t="shared" si="470"/>
        <v>33.012281790117747</v>
      </c>
      <c r="N963" s="6">
        <f t="shared" si="471"/>
        <v>-14.210269748851292</v>
      </c>
      <c r="O963" s="90">
        <f t="shared" si="472"/>
        <v>515.32655692529318</v>
      </c>
      <c r="P963" s="91">
        <f t="shared" si="473"/>
        <v>0</v>
      </c>
      <c r="Q963" s="6">
        <f t="shared" si="474"/>
        <v>52.412260952636366</v>
      </c>
      <c r="R963" s="87">
        <f t="shared" si="492"/>
        <v>-515.3265569252934</v>
      </c>
      <c r="S963" s="6">
        <f t="shared" si="475"/>
        <v>-2.5679183913542869</v>
      </c>
      <c r="T963" s="83">
        <f t="shared" si="483"/>
        <v>0</v>
      </c>
      <c r="U963" s="91">
        <f t="shared" si="489"/>
        <v>43343.151599481018</v>
      </c>
      <c r="V963" s="91">
        <f t="shared" si="484"/>
        <v>113.92040725911569</v>
      </c>
      <c r="W963" s="1">
        <f t="shared" si="494"/>
        <v>0</v>
      </c>
      <c r="X963" s="1">
        <f t="shared" si="494"/>
        <v>0</v>
      </c>
      <c r="Y963" s="1">
        <f t="shared" si="494"/>
        <v>0</v>
      </c>
      <c r="Z963" s="1">
        <f t="shared" si="494"/>
        <v>0</v>
      </c>
      <c r="AA963" s="1">
        <f t="shared" si="494"/>
        <v>0</v>
      </c>
      <c r="AB963" s="1">
        <f t="shared" si="494"/>
        <v>0</v>
      </c>
      <c r="AC963" s="1">
        <f t="shared" si="494"/>
        <v>0</v>
      </c>
      <c r="AD963" s="1">
        <f t="shared" si="494"/>
        <v>0</v>
      </c>
      <c r="AE963" s="1">
        <f t="shared" si="494"/>
        <v>1</v>
      </c>
      <c r="AF963" s="1">
        <f t="shared" si="494"/>
        <v>1</v>
      </c>
      <c r="AG963" s="1">
        <f t="shared" si="494"/>
        <v>1</v>
      </c>
      <c r="AH963" s="1">
        <f t="shared" si="494"/>
        <v>1</v>
      </c>
      <c r="AI963" s="44">
        <f t="shared" si="485"/>
        <v>12063.616071707436</v>
      </c>
      <c r="AJ963" s="44">
        <f t="shared" si="476"/>
        <v>12578.942628632729</v>
      </c>
      <c r="AK963" s="44" t="str">
        <f t="shared" si="493"/>
        <v>N</v>
      </c>
      <c r="AL963" s="4">
        <f t="shared" si="477"/>
        <v>273</v>
      </c>
      <c r="AM963" s="82">
        <f t="shared" si="486"/>
        <v>0</v>
      </c>
      <c r="AN963" s="82">
        <f t="shared" si="478"/>
        <v>0</v>
      </c>
      <c r="AO963" s="48">
        <v>0</v>
      </c>
      <c r="AP963" s="91">
        <f t="shared" si="487"/>
        <v>-515.3265569252934</v>
      </c>
      <c r="AQ963" s="91">
        <f t="shared" si="488"/>
        <v>-515.3265569252934</v>
      </c>
    </row>
    <row r="964" spans="1:43">
      <c r="A964" s="190">
        <f t="shared" si="479"/>
        <v>88.554243668720048</v>
      </c>
      <c r="B964" s="82">
        <f t="shared" si="480"/>
        <v>23</v>
      </c>
      <c r="C964" s="83">
        <f t="shared" si="481"/>
        <v>274</v>
      </c>
      <c r="D964" s="14">
        <f t="shared" si="467"/>
        <v>2.6283369587845051E-3</v>
      </c>
      <c r="E964" s="16">
        <f t="shared" si="468"/>
        <v>0</v>
      </c>
      <c r="F964" s="127"/>
      <c r="G964" s="88">
        <f t="shared" si="469"/>
        <v>0</v>
      </c>
      <c r="H964" s="89">
        <f t="shared" si="482"/>
        <v>4.1666666666666666E-3</v>
      </c>
      <c r="I964" s="219"/>
      <c r="J964" s="219"/>
      <c r="K964" s="6">
        <f t="shared" si="490"/>
        <v>12063.616071707436</v>
      </c>
      <c r="M964" s="6">
        <f t="shared" si="470"/>
        <v>31.707247977855403</v>
      </c>
      <c r="N964" s="6">
        <f t="shared" si="471"/>
        <v>-13.648512684570717</v>
      </c>
      <c r="O964" s="90">
        <f t="shared" si="472"/>
        <v>515.32655692529318</v>
      </c>
      <c r="P964" s="91">
        <f t="shared" si="473"/>
        <v>0</v>
      </c>
      <c r="Q964" s="6">
        <f t="shared" si="474"/>
        <v>50.340311695836341</v>
      </c>
      <c r="R964" s="87">
        <f t="shared" si="492"/>
        <v>-515.3265569252934</v>
      </c>
      <c r="S964" s="6">
        <f t="shared" si="475"/>
        <v>-2.4642795466618068</v>
      </c>
      <c r="T964" s="83">
        <f t="shared" si="483"/>
        <v>0</v>
      </c>
      <c r="U964" s="91">
        <f t="shared" si="489"/>
        <v>42941.745449814844</v>
      </c>
      <c r="V964" s="91">
        <f t="shared" si="484"/>
        <v>112.8653766404647</v>
      </c>
      <c r="W964" s="1">
        <f t="shared" si="494"/>
        <v>0</v>
      </c>
      <c r="X964" s="1">
        <f t="shared" si="494"/>
        <v>0</v>
      </c>
      <c r="Y964" s="1">
        <f t="shared" si="494"/>
        <v>0</v>
      </c>
      <c r="Z964" s="1">
        <f t="shared" si="494"/>
        <v>0</v>
      </c>
      <c r="AA964" s="1">
        <f t="shared" si="494"/>
        <v>0</v>
      </c>
      <c r="AB964" s="1">
        <f t="shared" si="494"/>
        <v>0</v>
      </c>
      <c r="AC964" s="1">
        <f t="shared" si="494"/>
        <v>0</v>
      </c>
      <c r="AD964" s="1">
        <f t="shared" si="494"/>
        <v>0</v>
      </c>
      <c r="AE964" s="1">
        <f t="shared" si="494"/>
        <v>1</v>
      </c>
      <c r="AF964" s="1">
        <f t="shared" si="494"/>
        <v>1</v>
      </c>
      <c r="AG964" s="1">
        <f t="shared" si="494"/>
        <v>1</v>
      </c>
      <c r="AH964" s="1">
        <f t="shared" si="494"/>
        <v>1</v>
      </c>
      <c r="AI964" s="44">
        <f t="shared" si="485"/>
        <v>11566.348250075429</v>
      </c>
      <c r="AJ964" s="44">
        <f t="shared" si="476"/>
        <v>12081.674807000722</v>
      </c>
      <c r="AK964" s="44" t="str">
        <f t="shared" si="493"/>
        <v>N</v>
      </c>
      <c r="AL964" s="4">
        <f t="shared" si="477"/>
        <v>274</v>
      </c>
      <c r="AM964" s="82">
        <f t="shared" si="486"/>
        <v>0</v>
      </c>
      <c r="AN964" s="82">
        <f t="shared" si="478"/>
        <v>0</v>
      </c>
      <c r="AO964" s="48">
        <v>0</v>
      </c>
      <c r="AP964" s="91">
        <f t="shared" si="487"/>
        <v>-515.3265569252934</v>
      </c>
      <c r="AQ964" s="91">
        <f t="shared" si="488"/>
        <v>-515.3265569252934</v>
      </c>
    </row>
    <row r="965" spans="1:43">
      <c r="A965" s="190">
        <f t="shared" si="479"/>
        <v>88.637577002053376</v>
      </c>
      <c r="B965" s="82">
        <f t="shared" si="480"/>
        <v>23</v>
      </c>
      <c r="C965" s="83">
        <f t="shared" si="481"/>
        <v>275</v>
      </c>
      <c r="D965" s="14">
        <f t="shared" si="467"/>
        <v>2.6283369587845051E-3</v>
      </c>
      <c r="E965" s="16">
        <f t="shared" si="468"/>
        <v>0</v>
      </c>
      <c r="F965" s="127"/>
      <c r="G965" s="88">
        <f t="shared" si="469"/>
        <v>0</v>
      </c>
      <c r="H965" s="89">
        <f t="shared" si="482"/>
        <v>4.1666666666666666E-3</v>
      </c>
      <c r="I965" s="219"/>
      <c r="J965" s="219"/>
      <c r="K965" s="6">
        <f t="shared" si="490"/>
        <v>11566.348250075429</v>
      </c>
      <c r="M965" s="6">
        <f t="shared" si="470"/>
        <v>30.400260583845736</v>
      </c>
      <c r="N965" s="6">
        <f t="shared" si="471"/>
        <v>-13.085914693153315</v>
      </c>
      <c r="O965" s="90">
        <f t="shared" si="472"/>
        <v>515.32655692529318</v>
      </c>
      <c r="P965" s="91">
        <f t="shared" si="473"/>
        <v>0</v>
      </c>
      <c r="Q965" s="6">
        <f t="shared" si="474"/>
        <v>48.265260816525505</v>
      </c>
      <c r="R965" s="87">
        <f t="shared" si="492"/>
        <v>-515.3265569252934</v>
      </c>
      <c r="S965" s="6">
        <f t="shared" si="475"/>
        <v>-2.3604855588968618</v>
      </c>
      <c r="T965" s="83">
        <f t="shared" si="483"/>
        <v>0</v>
      </c>
      <c r="U965" s="91">
        <f t="shared" si="489"/>
        <v>42539.284269530021</v>
      </c>
      <c r="V965" s="91">
        <f t="shared" si="484"/>
        <v>111.80757304584607</v>
      </c>
      <c r="W965" s="1">
        <f t="shared" si="494"/>
        <v>0</v>
      </c>
      <c r="X965" s="1">
        <f t="shared" si="494"/>
        <v>0</v>
      </c>
      <c r="Y965" s="1">
        <f t="shared" si="494"/>
        <v>0</v>
      </c>
      <c r="Z965" s="1">
        <f t="shared" si="494"/>
        <v>0</v>
      </c>
      <c r="AA965" s="1">
        <f t="shared" si="494"/>
        <v>0</v>
      </c>
      <c r="AB965" s="1">
        <f t="shared" si="494"/>
        <v>0</v>
      </c>
      <c r="AC965" s="1">
        <f t="shared" si="494"/>
        <v>0</v>
      </c>
      <c r="AD965" s="1">
        <f t="shared" si="494"/>
        <v>0</v>
      </c>
      <c r="AE965" s="1">
        <f t="shared" si="494"/>
        <v>1</v>
      </c>
      <c r="AF965" s="1">
        <f t="shared" si="494"/>
        <v>1</v>
      </c>
      <c r="AG965" s="1">
        <f t="shared" si="494"/>
        <v>1</v>
      </c>
      <c r="AH965" s="1">
        <f t="shared" si="494"/>
        <v>1</v>
      </c>
      <c r="AI965" s="44">
        <f t="shared" si="485"/>
        <v>11068.336039040829</v>
      </c>
      <c r="AJ965" s="44">
        <f t="shared" si="476"/>
        <v>11583.662595966121</v>
      </c>
      <c r="AK965" s="44" t="str">
        <f t="shared" si="493"/>
        <v>N</v>
      </c>
      <c r="AL965" s="4">
        <f t="shared" si="477"/>
        <v>275</v>
      </c>
      <c r="AM965" s="82">
        <f t="shared" si="486"/>
        <v>0</v>
      </c>
      <c r="AN965" s="82">
        <f t="shared" si="478"/>
        <v>0</v>
      </c>
      <c r="AO965" s="48">
        <v>0</v>
      </c>
      <c r="AP965" s="91">
        <f t="shared" si="487"/>
        <v>-515.3265569252934</v>
      </c>
      <c r="AQ965" s="91">
        <f t="shared" si="488"/>
        <v>-515.3265569252934</v>
      </c>
    </row>
    <row r="966" spans="1:43">
      <c r="A966" s="190">
        <f t="shared" si="479"/>
        <v>88.720910335386719</v>
      </c>
      <c r="B966" s="82">
        <f t="shared" si="480"/>
        <v>23</v>
      </c>
      <c r="C966" s="83">
        <f t="shared" si="481"/>
        <v>276</v>
      </c>
      <c r="D966" s="14">
        <f t="shared" si="467"/>
        <v>2.6283369587845051E-3</v>
      </c>
      <c r="E966" s="16">
        <f t="shared" si="468"/>
        <v>0</v>
      </c>
      <c r="F966" s="127"/>
      <c r="G966" s="88">
        <f t="shared" si="469"/>
        <v>0</v>
      </c>
      <c r="H966" s="89">
        <f t="shared" si="482"/>
        <v>4.1666666666666666E-3</v>
      </c>
      <c r="I966" s="219"/>
      <c r="J966" s="219"/>
      <c r="K966" s="6">
        <f t="shared" si="490"/>
        <v>11068.336039040829</v>
      </c>
      <c r="M966" s="6">
        <f t="shared" si="470"/>
        <v>29.091316683657507</v>
      </c>
      <c r="N966" s="6">
        <f t="shared" si="471"/>
        <v>-12.522474515765872</v>
      </c>
      <c r="O966" s="90">
        <f t="shared" si="472"/>
        <v>515.32655692529318</v>
      </c>
      <c r="P966" s="91">
        <f t="shared" si="473"/>
        <v>0</v>
      </c>
      <c r="Q966" s="6">
        <f t="shared" si="474"/>
        <v>46.187103671702999</v>
      </c>
      <c r="R966" s="87">
        <f t="shared" si="492"/>
        <v>-515.3265569252934</v>
      </c>
      <c r="S966" s="6">
        <f t="shared" si="475"/>
        <v>-2.2565361958166767</v>
      </c>
      <c r="T966" s="83">
        <f t="shared" si="483"/>
        <v>0</v>
      </c>
      <c r="U966" s="91">
        <f t="shared" si="489"/>
        <v>42135.765285650574</v>
      </c>
      <c r="V966" s="91">
        <f t="shared" si="484"/>
        <v>110.74698918694456</v>
      </c>
      <c r="W966" s="1">
        <f t="shared" si="494"/>
        <v>0</v>
      </c>
      <c r="X966" s="1">
        <f t="shared" si="494"/>
        <v>0</v>
      </c>
      <c r="Y966" s="1">
        <f t="shared" si="494"/>
        <v>0</v>
      </c>
      <c r="Z966" s="1">
        <f t="shared" si="494"/>
        <v>0</v>
      </c>
      <c r="AA966" s="1">
        <f t="shared" si="494"/>
        <v>0</v>
      </c>
      <c r="AB966" s="1">
        <f t="shared" si="494"/>
        <v>0</v>
      </c>
      <c r="AC966" s="1">
        <f t="shared" si="494"/>
        <v>0</v>
      </c>
      <c r="AD966" s="1">
        <f t="shared" si="494"/>
        <v>0</v>
      </c>
      <c r="AE966" s="1">
        <f t="shared" si="494"/>
        <v>1</v>
      </c>
      <c r="AF966" s="1">
        <f t="shared" si="494"/>
        <v>1</v>
      </c>
      <c r="AG966" s="1">
        <f t="shared" si="494"/>
        <v>1</v>
      </c>
      <c r="AH966" s="1">
        <f t="shared" si="494"/>
        <v>1</v>
      </c>
      <c r="AI966" s="44">
        <f t="shared" si="485"/>
        <v>10569.578324283428</v>
      </c>
      <c r="AJ966" s="44">
        <f t="shared" si="476"/>
        <v>11084.90488120872</v>
      </c>
      <c r="AK966" s="44" t="str">
        <f t="shared" si="493"/>
        <v>N</v>
      </c>
      <c r="AL966" s="4">
        <f t="shared" si="477"/>
        <v>276</v>
      </c>
      <c r="AM966" s="82">
        <f t="shared" si="486"/>
        <v>0</v>
      </c>
      <c r="AN966" s="82">
        <f t="shared" si="478"/>
        <v>0</v>
      </c>
      <c r="AO966" s="48">
        <v>0</v>
      </c>
      <c r="AP966" s="91">
        <f t="shared" si="487"/>
        <v>-515.3265569252934</v>
      </c>
      <c r="AQ966" s="91">
        <f t="shared" si="488"/>
        <v>-515.3265569252934</v>
      </c>
    </row>
    <row r="967" spans="1:43">
      <c r="A967" s="190">
        <f t="shared" si="479"/>
        <v>88.804243668720048</v>
      </c>
      <c r="B967" s="82">
        <f t="shared" si="480"/>
        <v>24</v>
      </c>
      <c r="C967" s="83">
        <f t="shared" si="481"/>
        <v>277</v>
      </c>
      <c r="D967" s="14">
        <f t="shared" si="467"/>
        <v>2.6283369587845051E-3</v>
      </c>
      <c r="E967" s="16">
        <f t="shared" si="468"/>
        <v>0</v>
      </c>
      <c r="F967" s="127"/>
      <c r="G967" s="88">
        <f t="shared" si="469"/>
        <v>0</v>
      </c>
      <c r="H967" s="89">
        <f t="shared" si="482"/>
        <v>4.1666666666666666E-3</v>
      </c>
      <c r="I967" s="219"/>
      <c r="J967" s="219"/>
      <c r="K967" s="6">
        <f t="shared" si="490"/>
        <v>10569.578324283428</v>
      </c>
      <c r="M967" s="6">
        <f t="shared" si="470"/>
        <v>27.78041334848173</v>
      </c>
      <c r="N967" s="6">
        <f t="shared" si="471"/>
        <v>-11.958190891690755</v>
      </c>
      <c r="O967" s="90">
        <f t="shared" si="472"/>
        <v>525.63308806379894</v>
      </c>
      <c r="P967" s="91">
        <f t="shared" si="473"/>
        <v>0</v>
      </c>
      <c r="Q967" s="6">
        <f t="shared" si="474"/>
        <v>44.105835611417575</v>
      </c>
      <c r="R967" s="87">
        <f t="shared" si="492"/>
        <v>-526.419939099369</v>
      </c>
      <c r="S967" s="6">
        <f t="shared" si="475"/>
        <v>-2.1512743379890682</v>
      </c>
      <c r="T967" s="83">
        <f t="shared" si="483"/>
        <v>0</v>
      </c>
      <c r="U967" s="91">
        <f t="shared" si="489"/>
        <v>41731.185717912231</v>
      </c>
      <c r="V967" s="91">
        <f t="shared" si="484"/>
        <v>109.68361775628881</v>
      </c>
      <c r="W967" s="1">
        <f t="shared" si="494"/>
        <v>0</v>
      </c>
      <c r="X967" s="1">
        <f t="shared" si="494"/>
        <v>0</v>
      </c>
      <c r="Y967" s="1">
        <f t="shared" si="494"/>
        <v>0</v>
      </c>
      <c r="Z967" s="1">
        <f t="shared" si="494"/>
        <v>0</v>
      </c>
      <c r="AA967" s="1">
        <f t="shared" si="494"/>
        <v>0</v>
      </c>
      <c r="AB967" s="1">
        <f t="shared" si="494"/>
        <v>0</v>
      </c>
      <c r="AC967" s="1">
        <f t="shared" si="494"/>
        <v>0</v>
      </c>
      <c r="AD967" s="1">
        <f t="shared" si="494"/>
        <v>0</v>
      </c>
      <c r="AE967" s="1">
        <f t="shared" si="494"/>
        <v>1</v>
      </c>
      <c r="AF967" s="1">
        <f t="shared" si="494"/>
        <v>1</v>
      </c>
      <c r="AG967" s="1">
        <f t="shared" si="494"/>
        <v>1</v>
      </c>
      <c r="AH967" s="1">
        <f t="shared" si="494"/>
        <v>1</v>
      </c>
      <c r="AI967" s="44">
        <f t="shared" si="485"/>
        <v>10058.980607640849</v>
      </c>
      <c r="AJ967" s="44">
        <f t="shared" si="476"/>
        <v>10585.400546740218</v>
      </c>
      <c r="AK967" s="44" t="str">
        <f t="shared" si="493"/>
        <v>N</v>
      </c>
      <c r="AL967" s="4">
        <f t="shared" si="477"/>
        <v>277</v>
      </c>
      <c r="AM967" s="82">
        <f t="shared" si="486"/>
        <v>0</v>
      </c>
      <c r="AN967" s="82">
        <f t="shared" si="478"/>
        <v>0</v>
      </c>
      <c r="AO967" s="48">
        <v>0</v>
      </c>
      <c r="AP967" s="91">
        <f t="shared" si="487"/>
        <v>-526.419939099369</v>
      </c>
      <c r="AQ967" s="91">
        <f t="shared" si="488"/>
        <v>-526.419939099369</v>
      </c>
    </row>
    <row r="968" spans="1:43">
      <c r="A968" s="190">
        <f t="shared" si="479"/>
        <v>88.887577002053376</v>
      </c>
      <c r="B968" s="82">
        <f t="shared" si="480"/>
        <v>24</v>
      </c>
      <c r="C968" s="83">
        <f t="shared" si="481"/>
        <v>278</v>
      </c>
      <c r="D968" s="14">
        <f t="shared" si="467"/>
        <v>2.6283369587845051E-3</v>
      </c>
      <c r="E968" s="16">
        <f t="shared" si="468"/>
        <v>0</v>
      </c>
      <c r="F968" s="127"/>
      <c r="G968" s="88">
        <f t="shared" si="469"/>
        <v>0</v>
      </c>
      <c r="H968" s="89">
        <f t="shared" si="482"/>
        <v>4.1666666666666666E-3</v>
      </c>
      <c r="I968" s="219"/>
      <c r="J968" s="219"/>
      <c r="K968" s="6">
        <f t="shared" si="490"/>
        <v>10058.980607640849</v>
      </c>
      <c r="M968" s="6">
        <f t="shared" si="470"/>
        <v>26.438390498759063</v>
      </c>
      <c r="N968" s="6">
        <f t="shared" si="471"/>
        <v>-11.38051174715522</v>
      </c>
      <c r="O968" s="90">
        <f t="shared" si="472"/>
        <v>525.63308806379894</v>
      </c>
      <c r="P968" s="91">
        <f t="shared" si="473"/>
        <v>0</v>
      </c>
      <c r="Q968" s="6">
        <f t="shared" si="474"/>
        <v>41.975160359968555</v>
      </c>
      <c r="R968" s="87">
        <f t="shared" si="492"/>
        <v>-525.63308806379928</v>
      </c>
      <c r="S968" s="6">
        <f t="shared" si="475"/>
        <v>-2.0447800783800769</v>
      </c>
      <c r="T968" s="83">
        <f t="shared" si="483"/>
        <v>0</v>
      </c>
      <c r="U968" s="91">
        <f t="shared" si="489"/>
        <v>41314.449396569151</v>
      </c>
      <c r="V968" s="91">
        <f t="shared" si="484"/>
        <v>108.5882942808349</v>
      </c>
      <c r="W968" s="1">
        <f t="shared" si="494"/>
        <v>0</v>
      </c>
      <c r="X968" s="1">
        <f t="shared" si="494"/>
        <v>0</v>
      </c>
      <c r="Y968" s="1">
        <f t="shared" si="494"/>
        <v>0</v>
      </c>
      <c r="Z968" s="1">
        <f t="shared" si="494"/>
        <v>0</v>
      </c>
      <c r="AA968" s="1">
        <f t="shared" si="494"/>
        <v>0</v>
      </c>
      <c r="AB968" s="1">
        <f t="shared" si="494"/>
        <v>0</v>
      </c>
      <c r="AC968" s="1">
        <f t="shared" si="494"/>
        <v>0</v>
      </c>
      <c r="AD968" s="1">
        <f t="shared" si="494"/>
        <v>0</v>
      </c>
      <c r="AE968" s="1">
        <f t="shared" si="494"/>
        <v>1</v>
      </c>
      <c r="AF968" s="1">
        <f t="shared" si="494"/>
        <v>1</v>
      </c>
      <c r="AG968" s="1">
        <f t="shared" si="494"/>
        <v>1</v>
      </c>
      <c r="AH968" s="1">
        <f t="shared" si="494"/>
        <v>1</v>
      </c>
      <c r="AI968" s="44">
        <f t="shared" si="485"/>
        <v>9548.405398328654</v>
      </c>
      <c r="AJ968" s="44">
        <f t="shared" si="476"/>
        <v>10074.038486392454</v>
      </c>
      <c r="AK968" s="44" t="str">
        <f t="shared" si="493"/>
        <v>N</v>
      </c>
      <c r="AL968" s="4">
        <f t="shared" si="477"/>
        <v>278</v>
      </c>
      <c r="AM968" s="82">
        <f t="shared" si="486"/>
        <v>0</v>
      </c>
      <c r="AN968" s="82">
        <f t="shared" si="478"/>
        <v>0</v>
      </c>
      <c r="AO968" s="48">
        <v>0</v>
      </c>
      <c r="AP968" s="91">
        <f t="shared" si="487"/>
        <v>-525.63308806379928</v>
      </c>
      <c r="AQ968" s="91">
        <f t="shared" si="488"/>
        <v>-525.63308806379928</v>
      </c>
    </row>
    <row r="969" spans="1:43">
      <c r="A969" s="190">
        <f t="shared" si="479"/>
        <v>88.970910335386719</v>
      </c>
      <c r="B969" s="82">
        <f t="shared" si="480"/>
        <v>24</v>
      </c>
      <c r="C969" s="83">
        <f t="shared" si="481"/>
        <v>279</v>
      </c>
      <c r="D969" s="14">
        <f t="shared" si="467"/>
        <v>2.6283369587845051E-3</v>
      </c>
      <c r="E969" s="16">
        <f t="shared" si="468"/>
        <v>0</v>
      </c>
      <c r="F969" s="127"/>
      <c r="G969" s="88">
        <f t="shared" si="469"/>
        <v>0</v>
      </c>
      <c r="H969" s="89">
        <f t="shared" si="482"/>
        <v>4.1666666666666666E-3</v>
      </c>
      <c r="I969" s="219"/>
      <c r="J969" s="219"/>
      <c r="K969" s="6">
        <f t="shared" si="490"/>
        <v>9548.405398328654</v>
      </c>
      <c r="M969" s="6">
        <f t="shared" si="470"/>
        <v>25.096426805884686</v>
      </c>
      <c r="N969" s="6">
        <f t="shared" si="471"/>
        <v>-10.802858066923458</v>
      </c>
      <c r="O969" s="90">
        <f t="shared" si="472"/>
        <v>525.63308806379894</v>
      </c>
      <c r="P969" s="91">
        <f t="shared" si="473"/>
        <v>0</v>
      </c>
      <c r="Q969" s="6">
        <f t="shared" si="474"/>
        <v>39.844579029448397</v>
      </c>
      <c r="R969" s="87">
        <f t="shared" si="492"/>
        <v>-525.63308806379928</v>
      </c>
      <c r="S969" s="6">
        <f t="shared" si="475"/>
        <v>-1.938208458976858</v>
      </c>
      <c r="T969" s="83">
        <f t="shared" si="483"/>
        <v>0</v>
      </c>
      <c r="U969" s="91">
        <f t="shared" si="489"/>
        <v>40897.404602786191</v>
      </c>
      <c r="V969" s="91">
        <f t="shared" si="484"/>
        <v>107.49216003586648</v>
      </c>
      <c r="W969" s="1">
        <f t="shared" si="494"/>
        <v>0</v>
      </c>
      <c r="X969" s="1">
        <f t="shared" si="494"/>
        <v>0</v>
      </c>
      <c r="Y969" s="1">
        <f t="shared" si="494"/>
        <v>0</v>
      </c>
      <c r="Z969" s="1">
        <f t="shared" si="494"/>
        <v>0</v>
      </c>
      <c r="AA969" s="1">
        <f t="shared" si="494"/>
        <v>0</v>
      </c>
      <c r="AB969" s="1">
        <f t="shared" si="494"/>
        <v>0</v>
      </c>
      <c r="AC969" s="1">
        <f t="shared" si="494"/>
        <v>0</v>
      </c>
      <c r="AD969" s="1">
        <f t="shared" si="494"/>
        <v>0</v>
      </c>
      <c r="AE969" s="1">
        <f t="shared" si="494"/>
        <v>1</v>
      </c>
      <c r="AF969" s="1">
        <f t="shared" si="494"/>
        <v>1</v>
      </c>
      <c r="AG969" s="1">
        <f t="shared" si="494"/>
        <v>1</v>
      </c>
      <c r="AH969" s="1">
        <f t="shared" si="494"/>
        <v>1</v>
      </c>
      <c r="AI969" s="44">
        <f t="shared" si="485"/>
        <v>9037.065879003816</v>
      </c>
      <c r="AJ969" s="44">
        <f t="shared" si="476"/>
        <v>9562.6989670676157</v>
      </c>
      <c r="AK969" s="44" t="str">
        <f t="shared" si="493"/>
        <v>N</v>
      </c>
      <c r="AL969" s="4">
        <f t="shared" si="477"/>
        <v>279</v>
      </c>
      <c r="AM969" s="82">
        <f t="shared" si="486"/>
        <v>0</v>
      </c>
      <c r="AN969" s="82">
        <f t="shared" si="478"/>
        <v>0</v>
      </c>
      <c r="AO969" s="48">
        <v>0</v>
      </c>
      <c r="AP969" s="91">
        <f t="shared" si="487"/>
        <v>-525.63308806379928</v>
      </c>
      <c r="AQ969" s="91">
        <f t="shared" si="488"/>
        <v>-525.63308806379928</v>
      </c>
    </row>
    <row r="970" spans="1:43">
      <c r="A970" s="190">
        <f t="shared" si="479"/>
        <v>89.054243668720048</v>
      </c>
      <c r="B970" s="82">
        <f t="shared" si="480"/>
        <v>24</v>
      </c>
      <c r="C970" s="83">
        <f t="shared" si="481"/>
        <v>280</v>
      </c>
      <c r="D970" s="14">
        <f t="shared" si="467"/>
        <v>2.6283369587845051E-3</v>
      </c>
      <c r="E970" s="16">
        <f t="shared" si="468"/>
        <v>0</v>
      </c>
      <c r="F970" s="127"/>
      <c r="G970" s="88">
        <f t="shared" si="469"/>
        <v>0</v>
      </c>
      <c r="H970" s="89">
        <f t="shared" si="482"/>
        <v>4.1666666666666666E-3</v>
      </c>
      <c r="I970" s="219"/>
      <c r="J970" s="219"/>
      <c r="K970" s="6">
        <f t="shared" si="490"/>
        <v>9037.065879003816</v>
      </c>
      <c r="M970" s="6">
        <f t="shared" si="470"/>
        <v>23.752454248756109</v>
      </c>
      <c r="N970" s="6">
        <f t="shared" si="471"/>
        <v>-10.224339662976972</v>
      </c>
      <c r="O970" s="90">
        <f t="shared" si="472"/>
        <v>525.63308806379894</v>
      </c>
      <c r="P970" s="91">
        <f t="shared" si="473"/>
        <v>0</v>
      </c>
      <c r="Q970" s="6">
        <f t="shared" si="474"/>
        <v>37.710808306623314</v>
      </c>
      <c r="R970" s="87">
        <f t="shared" si="492"/>
        <v>-525.63308806379928</v>
      </c>
      <c r="S970" s="6">
        <f t="shared" si="475"/>
        <v>-1.8314773062584915</v>
      </c>
      <c r="T970" s="83">
        <f t="shared" si="483"/>
        <v>0</v>
      </c>
      <c r="U970" s="91">
        <f t="shared" si="489"/>
        <v>40479.263674758258</v>
      </c>
      <c r="V970" s="91">
        <f t="shared" si="484"/>
        <v>106.39314478075021</v>
      </c>
      <c r="W970" s="1">
        <f t="shared" si="494"/>
        <v>0</v>
      </c>
      <c r="X970" s="1">
        <f t="shared" si="494"/>
        <v>0</v>
      </c>
      <c r="Y970" s="1">
        <f t="shared" si="494"/>
        <v>0</v>
      </c>
      <c r="Z970" s="1">
        <f t="shared" si="494"/>
        <v>0</v>
      </c>
      <c r="AA970" s="1">
        <f t="shared" si="494"/>
        <v>0</v>
      </c>
      <c r="AB970" s="1">
        <f t="shared" si="494"/>
        <v>0</v>
      </c>
      <c r="AC970" s="1">
        <f t="shared" si="494"/>
        <v>0</v>
      </c>
      <c r="AD970" s="1">
        <f t="shared" si="494"/>
        <v>0</v>
      </c>
      <c r="AE970" s="1">
        <f t="shared" si="494"/>
        <v>1</v>
      </c>
      <c r="AF970" s="1">
        <f t="shared" si="494"/>
        <v>1</v>
      </c>
      <c r="AG970" s="1">
        <f t="shared" si="494"/>
        <v>1</v>
      </c>
      <c r="AH970" s="1">
        <f t="shared" si="494"/>
        <v>1</v>
      </c>
      <c r="AI970" s="44">
        <f t="shared" si="485"/>
        <v>8524.9609055257952</v>
      </c>
      <c r="AJ970" s="44">
        <f t="shared" si="476"/>
        <v>9050.5939935895949</v>
      </c>
      <c r="AK970" s="44" t="str">
        <f t="shared" si="493"/>
        <v>N</v>
      </c>
      <c r="AL970" s="4">
        <f t="shared" si="477"/>
        <v>280</v>
      </c>
      <c r="AM970" s="82">
        <f t="shared" si="486"/>
        <v>0</v>
      </c>
      <c r="AN970" s="82">
        <f t="shared" si="478"/>
        <v>0</v>
      </c>
      <c r="AO970" s="48">
        <v>0</v>
      </c>
      <c r="AP970" s="91">
        <f t="shared" si="487"/>
        <v>-525.63308806379928</v>
      </c>
      <c r="AQ970" s="91">
        <f t="shared" si="488"/>
        <v>-525.63308806379928</v>
      </c>
    </row>
    <row r="971" spans="1:43">
      <c r="A971" s="190">
        <f t="shared" si="479"/>
        <v>89.137577002053376</v>
      </c>
      <c r="B971" s="82">
        <f t="shared" si="480"/>
        <v>24</v>
      </c>
      <c r="C971" s="83">
        <f t="shared" si="481"/>
        <v>281</v>
      </c>
      <c r="D971" s="14">
        <f t="shared" si="467"/>
        <v>2.6283369587845051E-3</v>
      </c>
      <c r="E971" s="16">
        <f t="shared" si="468"/>
        <v>0</v>
      </c>
      <c r="F971" s="127"/>
      <c r="G971" s="88">
        <f t="shared" si="469"/>
        <v>0</v>
      </c>
      <c r="H971" s="89">
        <f t="shared" si="482"/>
        <v>4.1666666666666666E-3</v>
      </c>
      <c r="I971" s="219"/>
      <c r="J971" s="219"/>
      <c r="K971" s="6">
        <f t="shared" si="490"/>
        <v>8524.9609055257952</v>
      </c>
      <c r="M971" s="6">
        <f t="shared" si="470"/>
        <v>22.406469820186469</v>
      </c>
      <c r="N971" s="6">
        <f t="shared" si="471"/>
        <v>-9.6449552408600603</v>
      </c>
      <c r="O971" s="90">
        <f t="shared" si="472"/>
        <v>525.63308806379894</v>
      </c>
      <c r="P971" s="91">
        <f t="shared" si="473"/>
        <v>0</v>
      </c>
      <c r="Q971" s="6">
        <f t="shared" si="474"/>
        <v>35.573843417104676</v>
      </c>
      <c r="R971" s="87">
        <f t="shared" si="492"/>
        <v>-525.63308806379928</v>
      </c>
      <c r="S971" s="6">
        <f t="shared" si="475"/>
        <v>-1.7245863814101912</v>
      </c>
      <c r="T971" s="83">
        <f t="shared" si="483"/>
        <v>0</v>
      </c>
      <c r="U971" s="91">
        <f t="shared" si="489"/>
        <v>40060.023731475208</v>
      </c>
      <c r="V971" s="91">
        <f t="shared" si="484"/>
        <v>105.29124094322066</v>
      </c>
      <c r="W971" s="1">
        <f t="shared" ref="W971:AH980" si="495">IF($B971&lt;=W$78,1,0)</f>
        <v>0</v>
      </c>
      <c r="X971" s="1">
        <f t="shared" si="495"/>
        <v>0</v>
      </c>
      <c r="Y971" s="1">
        <f t="shared" si="495"/>
        <v>0</v>
      </c>
      <c r="Z971" s="1">
        <f t="shared" si="495"/>
        <v>0</v>
      </c>
      <c r="AA971" s="1">
        <f t="shared" si="495"/>
        <v>0</v>
      </c>
      <c r="AB971" s="1">
        <f t="shared" si="495"/>
        <v>0</v>
      </c>
      <c r="AC971" s="1">
        <f t="shared" si="495"/>
        <v>0</v>
      </c>
      <c r="AD971" s="1">
        <f t="shared" si="495"/>
        <v>0</v>
      </c>
      <c r="AE971" s="1">
        <f t="shared" si="495"/>
        <v>1</v>
      </c>
      <c r="AF971" s="1">
        <f t="shared" si="495"/>
        <v>1</v>
      </c>
      <c r="AG971" s="1">
        <f t="shared" si="495"/>
        <v>1</v>
      </c>
      <c r="AH971" s="1">
        <f t="shared" si="495"/>
        <v>1</v>
      </c>
      <c r="AI971" s="44">
        <f t="shared" si="485"/>
        <v>8012.0893320413234</v>
      </c>
      <c r="AJ971" s="44">
        <f t="shared" si="476"/>
        <v>8537.7224201051231</v>
      </c>
      <c r="AK971" s="44" t="str">
        <f t="shared" si="493"/>
        <v>N</v>
      </c>
      <c r="AL971" s="4">
        <f t="shared" si="477"/>
        <v>281</v>
      </c>
      <c r="AM971" s="82">
        <f t="shared" si="486"/>
        <v>0</v>
      </c>
      <c r="AN971" s="82">
        <f t="shared" si="478"/>
        <v>0</v>
      </c>
      <c r="AO971" s="48">
        <v>0</v>
      </c>
      <c r="AP971" s="91">
        <f t="shared" si="487"/>
        <v>-525.63308806379928</v>
      </c>
      <c r="AQ971" s="91">
        <f t="shared" si="488"/>
        <v>-525.63308806379928</v>
      </c>
    </row>
    <row r="972" spans="1:43">
      <c r="A972" s="190">
        <f t="shared" si="479"/>
        <v>89.220910335386719</v>
      </c>
      <c r="B972" s="82">
        <f t="shared" si="480"/>
        <v>24</v>
      </c>
      <c r="C972" s="83">
        <f t="shared" si="481"/>
        <v>282</v>
      </c>
      <c r="D972" s="14">
        <f t="shared" si="467"/>
        <v>2.6283369587845051E-3</v>
      </c>
      <c r="E972" s="16">
        <f t="shared" si="468"/>
        <v>0</v>
      </c>
      <c r="F972" s="127"/>
      <c r="G972" s="88">
        <f t="shared" si="469"/>
        <v>0</v>
      </c>
      <c r="H972" s="89">
        <f t="shared" si="482"/>
        <v>4.1666666666666666E-3</v>
      </c>
      <c r="I972" s="219"/>
      <c r="J972" s="219"/>
      <c r="K972" s="6">
        <f t="shared" si="490"/>
        <v>8012.0893320413234</v>
      </c>
      <c r="M972" s="6">
        <f t="shared" si="470"/>
        <v>21.058470508487268</v>
      </c>
      <c r="N972" s="6">
        <f t="shared" si="471"/>
        <v>-9.064703504179267</v>
      </c>
      <c r="O972" s="90">
        <f t="shared" si="472"/>
        <v>525.63308806379894</v>
      </c>
      <c r="P972" s="91">
        <f t="shared" si="473"/>
        <v>0</v>
      </c>
      <c r="Q972" s="6">
        <f t="shared" si="474"/>
        <v>33.433679579356799</v>
      </c>
      <c r="R972" s="87">
        <f t="shared" si="492"/>
        <v>-525.63308806379928</v>
      </c>
      <c r="S972" s="6">
        <f t="shared" si="475"/>
        <v>-1.6175354452596726</v>
      </c>
      <c r="T972" s="83">
        <f t="shared" si="483"/>
        <v>0</v>
      </c>
      <c r="U972" s="91">
        <f t="shared" si="489"/>
        <v>39639.681884354628</v>
      </c>
      <c r="V972" s="91">
        <f t="shared" si="484"/>
        <v>104.18644093110989</v>
      </c>
      <c r="W972" s="1">
        <f t="shared" si="495"/>
        <v>0</v>
      </c>
      <c r="X972" s="1">
        <f t="shared" si="495"/>
        <v>0</v>
      </c>
      <c r="Y972" s="1">
        <f t="shared" si="495"/>
        <v>0</v>
      </c>
      <c r="Z972" s="1">
        <f t="shared" si="495"/>
        <v>0</v>
      </c>
      <c r="AA972" s="1">
        <f t="shared" si="495"/>
        <v>0</v>
      </c>
      <c r="AB972" s="1">
        <f t="shared" si="495"/>
        <v>0</v>
      </c>
      <c r="AC972" s="1">
        <f t="shared" si="495"/>
        <v>0</v>
      </c>
      <c r="AD972" s="1">
        <f t="shared" si="495"/>
        <v>0</v>
      </c>
      <c r="AE972" s="1">
        <f t="shared" si="495"/>
        <v>1</v>
      </c>
      <c r="AF972" s="1">
        <f t="shared" si="495"/>
        <v>1</v>
      </c>
      <c r="AG972" s="1">
        <f t="shared" si="495"/>
        <v>1</v>
      </c>
      <c r="AH972" s="1">
        <f t="shared" si="495"/>
        <v>1</v>
      </c>
      <c r="AI972" s="44">
        <f t="shared" si="485"/>
        <v>7498.4500109818327</v>
      </c>
      <c r="AJ972" s="44">
        <f t="shared" si="476"/>
        <v>8024.0830990456316</v>
      </c>
      <c r="AK972" s="44" t="str">
        <f t="shared" si="493"/>
        <v>N</v>
      </c>
      <c r="AL972" s="4">
        <f t="shared" si="477"/>
        <v>282</v>
      </c>
      <c r="AM972" s="82">
        <f t="shared" si="486"/>
        <v>0</v>
      </c>
      <c r="AN972" s="82">
        <f t="shared" si="478"/>
        <v>0</v>
      </c>
      <c r="AO972" s="48">
        <v>0</v>
      </c>
      <c r="AP972" s="91">
        <f t="shared" si="487"/>
        <v>-525.63308806379928</v>
      </c>
      <c r="AQ972" s="91">
        <f t="shared" si="488"/>
        <v>-525.63308806379928</v>
      </c>
    </row>
    <row r="973" spans="1:43">
      <c r="A973" s="190">
        <f t="shared" si="479"/>
        <v>89.304243668720048</v>
      </c>
      <c r="B973" s="82">
        <f t="shared" si="480"/>
        <v>24</v>
      </c>
      <c r="C973" s="83">
        <f t="shared" si="481"/>
        <v>283</v>
      </c>
      <c r="D973" s="14">
        <f t="shared" si="467"/>
        <v>2.6283369587845051E-3</v>
      </c>
      <c r="E973" s="16">
        <f t="shared" si="468"/>
        <v>0</v>
      </c>
      <c r="F973" s="127"/>
      <c r="G973" s="88">
        <f t="shared" si="469"/>
        <v>0</v>
      </c>
      <c r="H973" s="89">
        <f t="shared" si="482"/>
        <v>4.1666666666666666E-3</v>
      </c>
      <c r="I973" s="219"/>
      <c r="J973" s="219"/>
      <c r="K973" s="6">
        <f t="shared" si="490"/>
        <v>7498.4500109818327</v>
      </c>
      <c r="M973" s="6">
        <f t="shared" si="470"/>
        <v>19.708453297461631</v>
      </c>
      <c r="N973" s="6">
        <f t="shared" si="471"/>
        <v>-8.4835831546004936</v>
      </c>
      <c r="O973" s="90">
        <f t="shared" si="472"/>
        <v>525.63308806379894</v>
      </c>
      <c r="P973" s="91">
        <f t="shared" si="473"/>
        <v>0</v>
      </c>
      <c r="Q973" s="6">
        <f t="shared" si="474"/>
        <v>31.290312004686221</v>
      </c>
      <c r="R973" s="87">
        <f t="shared" si="492"/>
        <v>-525.63308806379928</v>
      </c>
      <c r="S973" s="6">
        <f t="shared" si="475"/>
        <v>-1.5103242582766221</v>
      </c>
      <c r="T973" s="83">
        <f t="shared" si="483"/>
        <v>0</v>
      </c>
      <c r="U973" s="91">
        <f t="shared" si="489"/>
        <v>39218.235237221939</v>
      </c>
      <c r="V973" s="91">
        <f t="shared" si="484"/>
        <v>103.07873713229523</v>
      </c>
      <c r="W973" s="1">
        <f t="shared" si="495"/>
        <v>0</v>
      </c>
      <c r="X973" s="1">
        <f t="shared" si="495"/>
        <v>0</v>
      </c>
      <c r="Y973" s="1">
        <f t="shared" si="495"/>
        <v>0</v>
      </c>
      <c r="Z973" s="1">
        <f t="shared" si="495"/>
        <v>0</v>
      </c>
      <c r="AA973" s="1">
        <f t="shared" si="495"/>
        <v>0</v>
      </c>
      <c r="AB973" s="1">
        <f t="shared" si="495"/>
        <v>0</v>
      </c>
      <c r="AC973" s="1">
        <f t="shared" si="495"/>
        <v>0</v>
      </c>
      <c r="AD973" s="1">
        <f t="shared" si="495"/>
        <v>0</v>
      </c>
      <c r="AE973" s="1">
        <f t="shared" si="495"/>
        <v>1</v>
      </c>
      <c r="AF973" s="1">
        <f t="shared" si="495"/>
        <v>1</v>
      </c>
      <c r="AG973" s="1">
        <f t="shared" si="495"/>
        <v>1</v>
      </c>
      <c r="AH973" s="1">
        <f t="shared" si="495"/>
        <v>1</v>
      </c>
      <c r="AI973" s="44">
        <f t="shared" si="485"/>
        <v>6984.0417930608946</v>
      </c>
      <c r="AJ973" s="44">
        <f t="shared" si="476"/>
        <v>7509.6748811246935</v>
      </c>
      <c r="AK973" s="44" t="str">
        <f t="shared" si="493"/>
        <v>N</v>
      </c>
      <c r="AL973" s="4">
        <f t="shared" si="477"/>
        <v>283</v>
      </c>
      <c r="AM973" s="82">
        <f t="shared" si="486"/>
        <v>0</v>
      </c>
      <c r="AN973" s="82">
        <f t="shared" si="478"/>
        <v>0</v>
      </c>
      <c r="AO973" s="48">
        <v>0</v>
      </c>
      <c r="AP973" s="91">
        <f t="shared" si="487"/>
        <v>-525.63308806379928</v>
      </c>
      <c r="AQ973" s="91">
        <f t="shared" si="488"/>
        <v>-525.63308806379928</v>
      </c>
    </row>
    <row r="974" spans="1:43">
      <c r="A974" s="190">
        <f t="shared" si="479"/>
        <v>89.387577002053376</v>
      </c>
      <c r="B974" s="82">
        <f t="shared" si="480"/>
        <v>24</v>
      </c>
      <c r="C974" s="83">
        <f t="shared" si="481"/>
        <v>284</v>
      </c>
      <c r="D974" s="14">
        <f t="shared" si="467"/>
        <v>2.6283369587845051E-3</v>
      </c>
      <c r="E974" s="16">
        <f t="shared" si="468"/>
        <v>0</v>
      </c>
      <c r="F974" s="127"/>
      <c r="G974" s="88">
        <f t="shared" si="469"/>
        <v>0</v>
      </c>
      <c r="H974" s="89">
        <f t="shared" si="482"/>
        <v>4.1666666666666666E-3</v>
      </c>
      <c r="I974" s="219"/>
      <c r="J974" s="219"/>
      <c r="K974" s="6">
        <f t="shared" si="490"/>
        <v>6984.0417930608946</v>
      </c>
      <c r="M974" s="6">
        <f t="shared" si="470"/>
        <v>18.356415166397554</v>
      </c>
      <c r="N974" s="6">
        <f t="shared" si="471"/>
        <v>-7.9015928918460823</v>
      </c>
      <c r="O974" s="90">
        <f t="shared" si="472"/>
        <v>525.63308806379894</v>
      </c>
      <c r="P974" s="91">
        <f t="shared" si="473"/>
        <v>0</v>
      </c>
      <c r="Q974" s="6">
        <f t="shared" si="474"/>
        <v>29.143735897231025</v>
      </c>
      <c r="R974" s="87">
        <f t="shared" si="492"/>
        <v>-525.63308806379928</v>
      </c>
      <c r="S974" s="6">
        <f t="shared" si="475"/>
        <v>-1.4029525805721579</v>
      </c>
      <c r="T974" s="83">
        <f t="shared" si="483"/>
        <v>0</v>
      </c>
      <c r="U974" s="91">
        <f t="shared" si="489"/>
        <v>38795.680886290436</v>
      </c>
      <c r="V974" s="91">
        <f t="shared" si="484"/>
        <v>101.96812191464676</v>
      </c>
      <c r="W974" s="1">
        <f t="shared" si="495"/>
        <v>0</v>
      </c>
      <c r="X974" s="1">
        <f t="shared" si="495"/>
        <v>0</v>
      </c>
      <c r="Y974" s="1">
        <f t="shared" si="495"/>
        <v>0</v>
      </c>
      <c r="Z974" s="1">
        <f t="shared" si="495"/>
        <v>0</v>
      </c>
      <c r="AA974" s="1">
        <f t="shared" si="495"/>
        <v>0</v>
      </c>
      <c r="AB974" s="1">
        <f t="shared" si="495"/>
        <v>0</v>
      </c>
      <c r="AC974" s="1">
        <f t="shared" si="495"/>
        <v>0</v>
      </c>
      <c r="AD974" s="1">
        <f t="shared" si="495"/>
        <v>0</v>
      </c>
      <c r="AE974" s="1">
        <f t="shared" si="495"/>
        <v>1</v>
      </c>
      <c r="AF974" s="1">
        <f t="shared" si="495"/>
        <v>1</v>
      </c>
      <c r="AG974" s="1">
        <f t="shared" si="495"/>
        <v>1</v>
      </c>
      <c r="AH974" s="1">
        <f t="shared" si="495"/>
        <v>1</v>
      </c>
      <c r="AI974" s="44">
        <f t="shared" si="485"/>
        <v>6468.8635272716474</v>
      </c>
      <c r="AJ974" s="44">
        <f t="shared" si="476"/>
        <v>6994.4966153354462</v>
      </c>
      <c r="AK974" s="44" t="str">
        <f t="shared" si="493"/>
        <v>N</v>
      </c>
      <c r="AL974" s="4">
        <f t="shared" si="477"/>
        <v>284</v>
      </c>
      <c r="AM974" s="82">
        <f t="shared" si="486"/>
        <v>0</v>
      </c>
      <c r="AN974" s="82">
        <f t="shared" si="478"/>
        <v>0</v>
      </c>
      <c r="AO974" s="48">
        <v>0</v>
      </c>
      <c r="AP974" s="91">
        <f t="shared" si="487"/>
        <v>-525.63308806379928</v>
      </c>
      <c r="AQ974" s="91">
        <f t="shared" si="488"/>
        <v>-525.63308806379928</v>
      </c>
    </row>
    <row r="975" spans="1:43">
      <c r="A975" s="190">
        <f t="shared" si="479"/>
        <v>89.470910335386719</v>
      </c>
      <c r="B975" s="82">
        <f t="shared" si="480"/>
        <v>24</v>
      </c>
      <c r="C975" s="83">
        <f t="shared" si="481"/>
        <v>285</v>
      </c>
      <c r="D975" s="14">
        <f t="shared" si="467"/>
        <v>2.6283369587845051E-3</v>
      </c>
      <c r="E975" s="16">
        <f t="shared" si="468"/>
        <v>0</v>
      </c>
      <c r="F975" s="127"/>
      <c r="G975" s="88">
        <f t="shared" si="469"/>
        <v>0</v>
      </c>
      <c r="H975" s="89">
        <f t="shared" si="482"/>
        <v>4.1666666666666666E-3</v>
      </c>
      <c r="I975" s="219"/>
      <c r="J975" s="219"/>
      <c r="K975" s="6">
        <f t="shared" si="490"/>
        <v>6468.8635272716474</v>
      </c>
      <c r="M975" s="6">
        <f t="shared" si="470"/>
        <v>17.002353090061167</v>
      </c>
      <c r="N975" s="6">
        <f t="shared" si="471"/>
        <v>-7.3187314136919213</v>
      </c>
      <c r="O975" s="90">
        <f t="shared" si="472"/>
        <v>525.63308806379894</v>
      </c>
      <c r="P975" s="91">
        <f t="shared" si="473"/>
        <v>0</v>
      </c>
      <c r="Q975" s="6">
        <f t="shared" si="474"/>
        <v>26.993946453950066</v>
      </c>
      <c r="R975" s="87">
        <f t="shared" si="492"/>
        <v>-525.63308806379928</v>
      </c>
      <c r="S975" s="6">
        <f t="shared" si="475"/>
        <v>-1.2954201718982947</v>
      </c>
      <c r="T975" s="83">
        <f t="shared" si="483"/>
        <v>0</v>
      </c>
      <c r="U975" s="91">
        <f t="shared" si="489"/>
        <v>38372.015920141283</v>
      </c>
      <c r="V975" s="91">
        <f t="shared" si="484"/>
        <v>100.85458762597476</v>
      </c>
      <c r="W975" s="1">
        <f t="shared" si="495"/>
        <v>0</v>
      </c>
      <c r="X975" s="1">
        <f t="shared" si="495"/>
        <v>0</v>
      </c>
      <c r="Y975" s="1">
        <f t="shared" si="495"/>
        <v>0</v>
      </c>
      <c r="Z975" s="1">
        <f t="shared" si="495"/>
        <v>0</v>
      </c>
      <c r="AA975" s="1">
        <f t="shared" si="495"/>
        <v>0</v>
      </c>
      <c r="AB975" s="1">
        <f t="shared" si="495"/>
        <v>0</v>
      </c>
      <c r="AC975" s="1">
        <f t="shared" si="495"/>
        <v>0</v>
      </c>
      <c r="AD975" s="1">
        <f t="shared" si="495"/>
        <v>0</v>
      </c>
      <c r="AE975" s="1">
        <f t="shared" si="495"/>
        <v>1</v>
      </c>
      <c r="AF975" s="1">
        <f t="shared" si="495"/>
        <v>1</v>
      </c>
      <c r="AG975" s="1">
        <f t="shared" si="495"/>
        <v>1</v>
      </c>
      <c r="AH975" s="1">
        <f t="shared" si="495"/>
        <v>1</v>
      </c>
      <c r="AI975" s="44">
        <f t="shared" si="485"/>
        <v>5952.9140608842172</v>
      </c>
      <c r="AJ975" s="44">
        <f t="shared" si="476"/>
        <v>6478.547148948016</v>
      </c>
      <c r="AK975" s="44" t="str">
        <f t="shared" si="493"/>
        <v>N</v>
      </c>
      <c r="AL975" s="4">
        <f t="shared" si="477"/>
        <v>285</v>
      </c>
      <c r="AM975" s="82">
        <f t="shared" si="486"/>
        <v>0</v>
      </c>
      <c r="AN975" s="82">
        <f t="shared" si="478"/>
        <v>0</v>
      </c>
      <c r="AO975" s="48">
        <v>0</v>
      </c>
      <c r="AP975" s="91">
        <f t="shared" si="487"/>
        <v>-525.63308806379928</v>
      </c>
      <c r="AQ975" s="91">
        <f t="shared" si="488"/>
        <v>-525.63308806379928</v>
      </c>
    </row>
    <row r="976" spans="1:43">
      <c r="A976" s="190">
        <f t="shared" si="479"/>
        <v>89.554243668720048</v>
      </c>
      <c r="B976" s="82">
        <f t="shared" si="480"/>
        <v>24</v>
      </c>
      <c r="C976" s="83">
        <f t="shared" si="481"/>
        <v>286</v>
      </c>
      <c r="D976" s="14">
        <f t="shared" si="467"/>
        <v>2.6283369587845051E-3</v>
      </c>
      <c r="E976" s="16">
        <f t="shared" si="468"/>
        <v>0</v>
      </c>
      <c r="F976" s="127"/>
      <c r="G976" s="88">
        <f t="shared" si="469"/>
        <v>0</v>
      </c>
      <c r="H976" s="89">
        <f t="shared" si="482"/>
        <v>4.1666666666666666E-3</v>
      </c>
      <c r="I976" s="219"/>
      <c r="J976" s="219"/>
      <c r="K976" s="6">
        <f t="shared" si="490"/>
        <v>5952.9140608842172</v>
      </c>
      <c r="M976" s="6">
        <f t="shared" si="470"/>
        <v>15.646264038689942</v>
      </c>
      <c r="N976" s="6">
        <f t="shared" si="471"/>
        <v>-6.7349974159645187</v>
      </c>
      <c r="O976" s="90">
        <f t="shared" si="472"/>
        <v>525.63308806379894</v>
      </c>
      <c r="P976" s="91">
        <f t="shared" si="473"/>
        <v>0</v>
      </c>
      <c r="Q976" s="6">
        <f t="shared" si="474"/>
        <v>24.840938864612262</v>
      </c>
      <c r="R976" s="87">
        <f t="shared" si="492"/>
        <v>-525.63308806379928</v>
      </c>
      <c r="S976" s="6">
        <f t="shared" si="475"/>
        <v>-1.1877267916474064</v>
      </c>
      <c r="T976" s="83">
        <f t="shared" si="483"/>
        <v>0</v>
      </c>
      <c r="U976" s="91">
        <f t="shared" si="489"/>
        <v>37947.237419703459</v>
      </c>
      <c r="V976" s="91">
        <f t="shared" si="484"/>
        <v>99.738126593976958</v>
      </c>
      <c r="W976" s="1">
        <f t="shared" si="495"/>
        <v>0</v>
      </c>
      <c r="X976" s="1">
        <f t="shared" si="495"/>
        <v>0</v>
      </c>
      <c r="Y976" s="1">
        <f t="shared" si="495"/>
        <v>0</v>
      </c>
      <c r="Z976" s="1">
        <f t="shared" si="495"/>
        <v>0</v>
      </c>
      <c r="AA976" s="1">
        <f t="shared" si="495"/>
        <v>0</v>
      </c>
      <c r="AB976" s="1">
        <f t="shared" si="495"/>
        <v>0</v>
      </c>
      <c r="AC976" s="1">
        <f t="shared" si="495"/>
        <v>0</v>
      </c>
      <c r="AD976" s="1">
        <f t="shared" si="495"/>
        <v>0</v>
      </c>
      <c r="AE976" s="1">
        <f t="shared" si="495"/>
        <v>1</v>
      </c>
      <c r="AF976" s="1">
        <f t="shared" si="495"/>
        <v>1</v>
      </c>
      <c r="AG976" s="1">
        <f t="shared" si="495"/>
        <v>1</v>
      </c>
      <c r="AH976" s="1">
        <f t="shared" si="495"/>
        <v>1</v>
      </c>
      <c r="AI976" s="44">
        <f t="shared" si="485"/>
        <v>5436.192239443144</v>
      </c>
      <c r="AJ976" s="44">
        <f t="shared" si="476"/>
        <v>5961.8253275069428</v>
      </c>
      <c r="AK976" s="44" t="str">
        <f t="shared" si="493"/>
        <v>N</v>
      </c>
      <c r="AL976" s="4">
        <f t="shared" si="477"/>
        <v>286</v>
      </c>
      <c r="AM976" s="82">
        <f t="shared" si="486"/>
        <v>0</v>
      </c>
      <c r="AN976" s="82">
        <f t="shared" si="478"/>
        <v>0</v>
      </c>
      <c r="AO976" s="48">
        <v>0</v>
      </c>
      <c r="AP976" s="91">
        <f t="shared" si="487"/>
        <v>-525.63308806379928</v>
      </c>
      <c r="AQ976" s="91">
        <f t="shared" si="488"/>
        <v>-525.63308806379928</v>
      </c>
    </row>
    <row r="977" spans="1:43">
      <c r="A977" s="190">
        <f t="shared" si="479"/>
        <v>89.637577002053376</v>
      </c>
      <c r="B977" s="82">
        <f t="shared" si="480"/>
        <v>24</v>
      </c>
      <c r="C977" s="83">
        <f t="shared" si="481"/>
        <v>287</v>
      </c>
      <c r="D977" s="14">
        <f t="shared" si="467"/>
        <v>2.6283369587845051E-3</v>
      </c>
      <c r="E977" s="16">
        <f t="shared" si="468"/>
        <v>0</v>
      </c>
      <c r="F977" s="127"/>
      <c r="G977" s="88">
        <f t="shared" si="469"/>
        <v>0</v>
      </c>
      <c r="H977" s="89">
        <f t="shared" si="482"/>
        <v>4.1666666666666666E-3</v>
      </c>
      <c r="I977" s="219"/>
      <c r="J977" s="219"/>
      <c r="K977" s="6">
        <f t="shared" si="490"/>
        <v>5436.192239443144</v>
      </c>
      <c r="M977" s="6">
        <f t="shared" si="470"/>
        <v>14.288144977985921</v>
      </c>
      <c r="N977" s="6">
        <f t="shared" si="471"/>
        <v>-6.1503895925380885</v>
      </c>
      <c r="O977" s="90">
        <f t="shared" si="472"/>
        <v>525.63308806379894</v>
      </c>
      <c r="P977" s="91">
        <f t="shared" si="473"/>
        <v>0</v>
      </c>
      <c r="Q977" s="6">
        <f t="shared" si="474"/>
        <v>22.684708311785801</v>
      </c>
      <c r="R977" s="87">
        <f t="shared" si="492"/>
        <v>-525.63308806379928</v>
      </c>
      <c r="S977" s="6">
        <f t="shared" si="475"/>
        <v>-1.0798721988516864</v>
      </c>
      <c r="T977" s="83">
        <f t="shared" si="483"/>
        <v>0</v>
      </c>
      <c r="U977" s="91">
        <f t="shared" si="489"/>
        <v>37521.342458233637</v>
      </c>
      <c r="V977" s="91">
        <f t="shared" si="484"/>
        <v>98.618731126185722</v>
      </c>
      <c r="W977" s="1">
        <f t="shared" si="495"/>
        <v>0</v>
      </c>
      <c r="X977" s="1">
        <f t="shared" si="495"/>
        <v>0</v>
      </c>
      <c r="Y977" s="1">
        <f t="shared" si="495"/>
        <v>0</v>
      </c>
      <c r="Z977" s="1">
        <f t="shared" si="495"/>
        <v>0</v>
      </c>
      <c r="AA977" s="1">
        <f t="shared" si="495"/>
        <v>0</v>
      </c>
      <c r="AB977" s="1">
        <f t="shared" si="495"/>
        <v>0</v>
      </c>
      <c r="AC977" s="1">
        <f t="shared" si="495"/>
        <v>0</v>
      </c>
      <c r="AD977" s="1">
        <f t="shared" si="495"/>
        <v>0</v>
      </c>
      <c r="AE977" s="1">
        <f t="shared" si="495"/>
        <v>1</v>
      </c>
      <c r="AF977" s="1">
        <f t="shared" si="495"/>
        <v>1</v>
      </c>
      <c r="AG977" s="1">
        <f t="shared" si="495"/>
        <v>1</v>
      </c>
      <c r="AH977" s="1">
        <f t="shared" si="495"/>
        <v>1</v>
      </c>
      <c r="AI977" s="44">
        <f t="shared" si="485"/>
        <v>4918.6969067647933</v>
      </c>
      <c r="AJ977" s="44">
        <f t="shared" si="476"/>
        <v>5444.3299948285921</v>
      </c>
      <c r="AK977" s="44" t="str">
        <f t="shared" si="493"/>
        <v>N</v>
      </c>
      <c r="AL977" s="4">
        <f t="shared" si="477"/>
        <v>287</v>
      </c>
      <c r="AM977" s="82">
        <f t="shared" si="486"/>
        <v>0</v>
      </c>
      <c r="AN977" s="82">
        <f t="shared" si="478"/>
        <v>0</v>
      </c>
      <c r="AO977" s="48">
        <v>0</v>
      </c>
      <c r="AP977" s="91">
        <f t="shared" si="487"/>
        <v>-525.63308806379928</v>
      </c>
      <c r="AQ977" s="91">
        <f t="shared" si="488"/>
        <v>-525.63308806379928</v>
      </c>
    </row>
    <row r="978" spans="1:43">
      <c r="A978" s="190">
        <f t="shared" si="479"/>
        <v>89.720910335386719</v>
      </c>
      <c r="B978" s="82">
        <f t="shared" si="480"/>
        <v>24</v>
      </c>
      <c r="C978" s="83">
        <f t="shared" si="481"/>
        <v>288</v>
      </c>
      <c r="D978" s="14">
        <f t="shared" si="467"/>
        <v>2.6283369587845051E-3</v>
      </c>
      <c r="E978" s="16">
        <f t="shared" si="468"/>
        <v>0</v>
      </c>
      <c r="F978" s="127"/>
      <c r="G978" s="88">
        <f t="shared" si="469"/>
        <v>0</v>
      </c>
      <c r="H978" s="89">
        <f t="shared" si="482"/>
        <v>4.1666666666666666E-3</v>
      </c>
      <c r="I978" s="219"/>
      <c r="J978" s="219"/>
      <c r="K978" s="6">
        <f t="shared" si="490"/>
        <v>4918.6969067647933</v>
      </c>
      <c r="M978" s="6">
        <f t="shared" si="470"/>
        <v>12.92799286910893</v>
      </c>
      <c r="N978" s="6">
        <f t="shared" si="471"/>
        <v>-5.5649066353316314</v>
      </c>
      <c r="O978" s="90">
        <f t="shared" si="472"/>
        <v>525.63308806379894</v>
      </c>
      <c r="P978" s="91">
        <f t="shared" si="473"/>
        <v>0</v>
      </c>
      <c r="Q978" s="6">
        <f t="shared" si="474"/>
        <v>20.525249970827375</v>
      </c>
      <c r="R978" s="87">
        <f t="shared" si="492"/>
        <v>-525.63308806379928</v>
      </c>
      <c r="S978" s="6">
        <f t="shared" si="475"/>
        <v>-0.97185615218261012</v>
      </c>
      <c r="T978" s="83">
        <f t="shared" si="483"/>
        <v>0</v>
      </c>
      <c r="U978" s="91">
        <f t="shared" si="489"/>
        <v>37094.328101296029</v>
      </c>
      <c r="V978" s="91">
        <f t="shared" si="484"/>
        <v>97.496393509915009</v>
      </c>
      <c r="W978" s="1">
        <f t="shared" si="495"/>
        <v>0</v>
      </c>
      <c r="X978" s="1">
        <f t="shared" si="495"/>
        <v>0</v>
      </c>
      <c r="Y978" s="1">
        <f t="shared" si="495"/>
        <v>0</v>
      </c>
      <c r="Z978" s="1">
        <f t="shared" si="495"/>
        <v>0</v>
      </c>
      <c r="AA978" s="1">
        <f t="shared" si="495"/>
        <v>0</v>
      </c>
      <c r="AB978" s="1">
        <f t="shared" si="495"/>
        <v>0</v>
      </c>
      <c r="AC978" s="1">
        <f t="shared" si="495"/>
        <v>0</v>
      </c>
      <c r="AD978" s="1">
        <f t="shared" si="495"/>
        <v>0</v>
      </c>
      <c r="AE978" s="1">
        <f t="shared" si="495"/>
        <v>1</v>
      </c>
      <c r="AF978" s="1">
        <f t="shared" si="495"/>
        <v>1</v>
      </c>
      <c r="AG978" s="1">
        <f t="shared" si="495"/>
        <v>1</v>
      </c>
      <c r="AH978" s="1">
        <f t="shared" si="495"/>
        <v>1</v>
      </c>
      <c r="AI978" s="44">
        <f t="shared" si="485"/>
        <v>4400.4269049347713</v>
      </c>
      <c r="AJ978" s="44">
        <f t="shared" si="476"/>
        <v>4926.0599929985701</v>
      </c>
      <c r="AK978" s="44" t="str">
        <f t="shared" si="493"/>
        <v>N</v>
      </c>
      <c r="AL978" s="4">
        <f t="shared" si="477"/>
        <v>288</v>
      </c>
      <c r="AM978" s="82">
        <f t="shared" si="486"/>
        <v>0</v>
      </c>
      <c r="AN978" s="82">
        <f t="shared" si="478"/>
        <v>0</v>
      </c>
      <c r="AO978" s="48">
        <v>0</v>
      </c>
      <c r="AP978" s="91">
        <f t="shared" si="487"/>
        <v>-525.63308806379928</v>
      </c>
      <c r="AQ978" s="91">
        <f t="shared" si="488"/>
        <v>-525.63308806379928</v>
      </c>
    </row>
    <row r="979" spans="1:43">
      <c r="A979" s="190">
        <f t="shared" si="479"/>
        <v>89.804243668720048</v>
      </c>
      <c r="B979" s="82">
        <f t="shared" si="480"/>
        <v>25</v>
      </c>
      <c r="C979" s="83">
        <f t="shared" si="481"/>
        <v>289</v>
      </c>
      <c r="D979" s="14">
        <f t="shared" si="467"/>
        <v>2.6283369587845051E-3</v>
      </c>
      <c r="E979" s="16">
        <f t="shared" si="468"/>
        <v>0</v>
      </c>
      <c r="F979" s="127"/>
      <c r="G979" s="88">
        <f t="shared" si="469"/>
        <v>0</v>
      </c>
      <c r="H979" s="89">
        <f t="shared" si="482"/>
        <v>4.1666666666666666E-3</v>
      </c>
      <c r="I979" s="219"/>
      <c r="J979" s="219"/>
      <c r="K979" s="6">
        <f t="shared" si="490"/>
        <v>4400.4269049347713</v>
      </c>
      <c r="M979" s="6">
        <f t="shared" si="470"/>
        <v>11.56580466866977</v>
      </c>
      <c r="N979" s="6">
        <f t="shared" si="471"/>
        <v>-4.9785472343060011</v>
      </c>
      <c r="O979" s="90">
        <f t="shared" si="472"/>
        <v>536.14574982507497</v>
      </c>
      <c r="P979" s="91">
        <f t="shared" si="473"/>
        <v>0</v>
      </c>
      <c r="Q979" s="6">
        <f t="shared" si="474"/>
        <v>18.362559009871397</v>
      </c>
      <c r="R979" s="87">
        <f t="shared" si="492"/>
        <v>-536.94833788135634</v>
      </c>
      <c r="S979" s="6">
        <f t="shared" si="475"/>
        <v>-0.8624983853718089</v>
      </c>
      <c r="T979" s="83">
        <f t="shared" si="483"/>
        <v>0</v>
      </c>
      <c r="U979" s="91">
        <f t="shared" si="489"/>
        <v>36666.191406742146</v>
      </c>
      <c r="V979" s="91">
        <f t="shared" si="484"/>
        <v>96.371106012207207</v>
      </c>
      <c r="W979" s="1">
        <f t="shared" si="495"/>
        <v>0</v>
      </c>
      <c r="X979" s="1">
        <f t="shared" si="495"/>
        <v>0</v>
      </c>
      <c r="Y979" s="1">
        <f t="shared" si="495"/>
        <v>0</v>
      </c>
      <c r="Z979" s="1">
        <f t="shared" si="495"/>
        <v>0</v>
      </c>
      <c r="AA979" s="1">
        <f t="shared" si="495"/>
        <v>0</v>
      </c>
      <c r="AB979" s="1">
        <f t="shared" si="495"/>
        <v>0</v>
      </c>
      <c r="AC979" s="1">
        <f t="shared" si="495"/>
        <v>0</v>
      </c>
      <c r="AD979" s="1">
        <f t="shared" si="495"/>
        <v>0</v>
      </c>
      <c r="AE979" s="1">
        <f t="shared" si="495"/>
        <v>1</v>
      </c>
      <c r="AF979" s="1">
        <f t="shared" si="495"/>
        <v>1</v>
      </c>
      <c r="AG979" s="1">
        <f t="shared" si="495"/>
        <v>1</v>
      </c>
      <c r="AH979" s="1">
        <f t="shared" si="495"/>
        <v>1</v>
      </c>
      <c r="AI979" s="44">
        <f t="shared" si="485"/>
        <v>3870.0658244877786</v>
      </c>
      <c r="AJ979" s="44">
        <f t="shared" si="476"/>
        <v>4407.0141623691352</v>
      </c>
      <c r="AK979" s="44" t="str">
        <f t="shared" si="493"/>
        <v>N</v>
      </c>
      <c r="AL979" s="4">
        <f t="shared" si="477"/>
        <v>289</v>
      </c>
      <c r="AM979" s="82">
        <f t="shared" si="486"/>
        <v>0</v>
      </c>
      <c r="AN979" s="82">
        <f t="shared" si="478"/>
        <v>0</v>
      </c>
      <c r="AO979" s="48">
        <v>0</v>
      </c>
      <c r="AP979" s="91">
        <f t="shared" si="487"/>
        <v>-536.94833788135634</v>
      </c>
      <c r="AQ979" s="91">
        <f t="shared" si="488"/>
        <v>-536.94833788135634</v>
      </c>
    </row>
    <row r="980" spans="1:43">
      <c r="A980" s="190">
        <f t="shared" si="479"/>
        <v>89.887577002053376</v>
      </c>
      <c r="B980" s="82">
        <f t="shared" si="480"/>
        <v>25</v>
      </c>
      <c r="C980" s="83">
        <f t="shared" si="481"/>
        <v>290</v>
      </c>
      <c r="D980" s="14">
        <f t="shared" si="467"/>
        <v>2.6283369587845051E-3</v>
      </c>
      <c r="E980" s="16">
        <f t="shared" si="468"/>
        <v>0</v>
      </c>
      <c r="F980" s="127"/>
      <c r="G980" s="88">
        <f t="shared" si="469"/>
        <v>0</v>
      </c>
      <c r="H980" s="89">
        <f t="shared" si="482"/>
        <v>4.1666666666666666E-3</v>
      </c>
      <c r="I980" s="219"/>
      <c r="J980" s="219"/>
      <c r="K980" s="6">
        <f t="shared" si="490"/>
        <v>3870.0658244877786</v>
      </c>
      <c r="M980" s="6">
        <f t="shared" si="470"/>
        <v>10.171837039430056</v>
      </c>
      <c r="N980" s="6">
        <f t="shared" si="471"/>
        <v>-4.3785082500697534</v>
      </c>
      <c r="O980" s="90">
        <f t="shared" si="472"/>
        <v>536.14574982507497</v>
      </c>
      <c r="P980" s="91">
        <f t="shared" si="473"/>
        <v>0</v>
      </c>
      <c r="Q980" s="6">
        <f t="shared" si="474"/>
        <v>16.149413138654744</v>
      </c>
      <c r="R980" s="87">
        <f t="shared" si="492"/>
        <v>-536.14574982507531</v>
      </c>
      <c r="S980" s="6">
        <f t="shared" si="475"/>
        <v>-0.75188058879044495</v>
      </c>
      <c r="T980" s="83">
        <f t="shared" si="483"/>
        <v>0</v>
      </c>
      <c r="U980" s="91">
        <f t="shared" si="489"/>
        <v>36225.614174873001</v>
      </c>
      <c r="V980" s="91">
        <f t="shared" si="484"/>
        <v>95.213120590486568</v>
      </c>
      <c r="W980" s="1">
        <f t="shared" si="495"/>
        <v>0</v>
      </c>
      <c r="X980" s="1">
        <f t="shared" si="495"/>
        <v>0</v>
      </c>
      <c r="Y980" s="1">
        <f t="shared" si="495"/>
        <v>0</v>
      </c>
      <c r="Z980" s="1">
        <f t="shared" si="495"/>
        <v>0</v>
      </c>
      <c r="AA980" s="1">
        <f t="shared" si="495"/>
        <v>0</v>
      </c>
      <c r="AB980" s="1">
        <f t="shared" si="495"/>
        <v>0</v>
      </c>
      <c r="AC980" s="1">
        <f t="shared" si="495"/>
        <v>0</v>
      </c>
      <c r="AD980" s="1">
        <f t="shared" si="495"/>
        <v>0</v>
      </c>
      <c r="AE980" s="1">
        <f t="shared" si="495"/>
        <v>1</v>
      </c>
      <c r="AF980" s="1">
        <f t="shared" si="495"/>
        <v>1</v>
      </c>
      <c r="AG980" s="1">
        <f t="shared" si="495"/>
        <v>1</v>
      </c>
      <c r="AH980" s="1">
        <f t="shared" si="495"/>
        <v>1</v>
      </c>
      <c r="AI980" s="44">
        <f t="shared" si="485"/>
        <v>3339.7134034520636</v>
      </c>
      <c r="AJ980" s="44">
        <f t="shared" si="476"/>
        <v>3875.8591532771388</v>
      </c>
      <c r="AK980" s="44" t="str">
        <f t="shared" si="493"/>
        <v>N</v>
      </c>
      <c r="AL980" s="4">
        <f t="shared" si="477"/>
        <v>290</v>
      </c>
      <c r="AM980" s="82">
        <f t="shared" si="486"/>
        <v>0</v>
      </c>
      <c r="AN980" s="82">
        <f t="shared" si="478"/>
        <v>0</v>
      </c>
      <c r="AO980" s="48">
        <v>0</v>
      </c>
      <c r="AP980" s="91">
        <f t="shared" si="487"/>
        <v>-536.14574982507531</v>
      </c>
      <c r="AQ980" s="91">
        <f t="shared" si="488"/>
        <v>-536.14574982507531</v>
      </c>
    </row>
    <row r="981" spans="1:43">
      <c r="A981" s="190">
        <f t="shared" si="479"/>
        <v>89.970910335386719</v>
      </c>
      <c r="B981" s="82">
        <f t="shared" si="480"/>
        <v>25</v>
      </c>
      <c r="C981" s="83">
        <f t="shared" si="481"/>
        <v>291</v>
      </c>
      <c r="D981" s="14">
        <f t="shared" si="467"/>
        <v>2.6283369587845051E-3</v>
      </c>
      <c r="E981" s="16">
        <f t="shared" si="468"/>
        <v>0</v>
      </c>
      <c r="F981" s="127"/>
      <c r="G981" s="88">
        <f t="shared" si="469"/>
        <v>0</v>
      </c>
      <c r="H981" s="89">
        <f t="shared" si="482"/>
        <v>4.1666666666666666E-3</v>
      </c>
      <c r="I981" s="219"/>
      <c r="J981" s="219"/>
      <c r="K981" s="6">
        <f t="shared" si="490"/>
        <v>3339.7134034520636</v>
      </c>
      <c r="M981" s="6">
        <f t="shared" si="470"/>
        <v>8.7778921700410457</v>
      </c>
      <c r="N981" s="6">
        <f t="shared" si="471"/>
        <v>-3.7784790629029708</v>
      </c>
      <c r="O981" s="90">
        <f t="shared" si="472"/>
        <v>536.14574982507497</v>
      </c>
      <c r="P981" s="91">
        <f t="shared" si="473"/>
        <v>0</v>
      </c>
      <c r="Q981" s="6">
        <f t="shared" si="474"/>
        <v>13.936303402330006</v>
      </c>
      <c r="R981" s="87">
        <f t="shared" si="492"/>
        <v>-536.14574982507531</v>
      </c>
      <c r="S981" s="6">
        <f t="shared" si="475"/>
        <v>-0.64118090080454793</v>
      </c>
      <c r="T981" s="83">
        <f t="shared" si="483"/>
        <v>0</v>
      </c>
      <c r="U981" s="91">
        <f t="shared" si="489"/>
        <v>35784.681545638414</v>
      </c>
      <c r="V981" s="91">
        <f t="shared" si="484"/>
        <v>94.054201064735267</v>
      </c>
      <c r="W981" s="1">
        <f t="shared" ref="W981:AH990" si="496">IF($B981&lt;=W$78,1,0)</f>
        <v>0</v>
      </c>
      <c r="X981" s="1">
        <f t="shared" si="496"/>
        <v>0</v>
      </c>
      <c r="Y981" s="1">
        <f t="shared" si="496"/>
        <v>0</v>
      </c>
      <c r="Z981" s="1">
        <f t="shared" si="496"/>
        <v>0</v>
      </c>
      <c r="AA981" s="1">
        <f t="shared" si="496"/>
        <v>0</v>
      </c>
      <c r="AB981" s="1">
        <f t="shared" si="496"/>
        <v>0</v>
      </c>
      <c r="AC981" s="1">
        <f t="shared" si="496"/>
        <v>0</v>
      </c>
      <c r="AD981" s="1">
        <f t="shared" si="496"/>
        <v>0</v>
      </c>
      <c r="AE981" s="1">
        <f t="shared" si="496"/>
        <v>1</v>
      </c>
      <c r="AF981" s="1">
        <f t="shared" si="496"/>
        <v>1</v>
      </c>
      <c r="AG981" s="1">
        <f t="shared" si="496"/>
        <v>1</v>
      </c>
      <c r="AH981" s="1">
        <f t="shared" si="496"/>
        <v>1</v>
      </c>
      <c r="AI981" s="44">
        <f t="shared" si="485"/>
        <v>2808.5670667341265</v>
      </c>
      <c r="AJ981" s="44">
        <f t="shared" si="476"/>
        <v>3344.7128165592017</v>
      </c>
      <c r="AK981" s="44" t="str">
        <f t="shared" si="493"/>
        <v>N</v>
      </c>
      <c r="AL981" s="4">
        <f t="shared" si="477"/>
        <v>291</v>
      </c>
      <c r="AM981" s="82">
        <f t="shared" si="486"/>
        <v>0</v>
      </c>
      <c r="AN981" s="82">
        <f t="shared" si="478"/>
        <v>0</v>
      </c>
      <c r="AO981" s="48">
        <v>0</v>
      </c>
      <c r="AP981" s="91">
        <f t="shared" si="487"/>
        <v>-536.14574982507531</v>
      </c>
      <c r="AQ981" s="91">
        <f t="shared" si="488"/>
        <v>-536.14574982507531</v>
      </c>
    </row>
    <row r="982" spans="1:43">
      <c r="A982" s="190">
        <f t="shared" si="479"/>
        <v>90.054243668720048</v>
      </c>
      <c r="B982" s="82">
        <f t="shared" si="480"/>
        <v>25</v>
      </c>
      <c r="C982" s="83">
        <f t="shared" si="481"/>
        <v>292</v>
      </c>
      <c r="D982" s="14">
        <f t="shared" si="467"/>
        <v>2.6283369587845051E-3</v>
      </c>
      <c r="E982" s="16">
        <f t="shared" si="468"/>
        <v>0</v>
      </c>
      <c r="F982" s="127"/>
      <c r="G982" s="88">
        <f t="shared" si="469"/>
        <v>0</v>
      </c>
      <c r="H982" s="89">
        <f t="shared" si="482"/>
        <v>4.1666666666666666E-3</v>
      </c>
      <c r="I982" s="219"/>
      <c r="J982" s="219"/>
      <c r="K982" s="6">
        <f t="shared" si="490"/>
        <v>2808.5670667341265</v>
      </c>
      <c r="M982" s="6">
        <f t="shared" si="470"/>
        <v>7.381860622722292</v>
      </c>
      <c r="N982" s="6">
        <f t="shared" si="471"/>
        <v>-3.1775516568112092</v>
      </c>
      <c r="O982" s="90">
        <f t="shared" si="472"/>
        <v>536.14574982507497</v>
      </c>
      <c r="P982" s="91">
        <f t="shared" si="473"/>
        <v>0</v>
      </c>
      <c r="Q982" s="6">
        <f t="shared" si="474"/>
        <v>11.719880732083489</v>
      </c>
      <c r="R982" s="87">
        <f t="shared" si="492"/>
        <v>-536.14574982507531</v>
      </c>
      <c r="S982" s="6">
        <f t="shared" si="475"/>
        <v>-0.53031549995523553</v>
      </c>
      <c r="T982" s="83">
        <f t="shared" si="483"/>
        <v>0</v>
      </c>
      <c r="U982" s="91">
        <f t="shared" si="489"/>
        <v>35342.589996878072</v>
      </c>
      <c r="V982" s="91">
        <f t="shared" si="484"/>
        <v>92.892235507962184</v>
      </c>
      <c r="W982" s="1">
        <f t="shared" si="496"/>
        <v>0</v>
      </c>
      <c r="X982" s="1">
        <f t="shared" si="496"/>
        <v>0</v>
      </c>
      <c r="Y982" s="1">
        <f t="shared" si="496"/>
        <v>0</v>
      </c>
      <c r="Z982" s="1">
        <f t="shared" si="496"/>
        <v>0</v>
      </c>
      <c r="AA982" s="1">
        <f t="shared" si="496"/>
        <v>0</v>
      </c>
      <c r="AB982" s="1">
        <f t="shared" si="496"/>
        <v>0</v>
      </c>
      <c r="AC982" s="1">
        <f t="shared" si="496"/>
        <v>0</v>
      </c>
      <c r="AD982" s="1">
        <f t="shared" si="496"/>
        <v>0</v>
      </c>
      <c r="AE982" s="1">
        <f t="shared" si="496"/>
        <v>1</v>
      </c>
      <c r="AF982" s="1">
        <f t="shared" si="496"/>
        <v>1</v>
      </c>
      <c r="AG982" s="1">
        <f t="shared" si="496"/>
        <v>1</v>
      </c>
      <c r="AH982" s="1">
        <f t="shared" si="496"/>
        <v>1</v>
      </c>
      <c r="AI982" s="44">
        <f t="shared" si="485"/>
        <v>2276.6256258749622</v>
      </c>
      <c r="AJ982" s="44">
        <f t="shared" si="476"/>
        <v>2812.7713757000374</v>
      </c>
      <c r="AK982" s="44" t="str">
        <f t="shared" si="493"/>
        <v>N</v>
      </c>
      <c r="AL982" s="4">
        <f t="shared" si="477"/>
        <v>292</v>
      </c>
      <c r="AM982" s="82">
        <f t="shared" si="486"/>
        <v>0</v>
      </c>
      <c r="AN982" s="82">
        <f t="shared" si="478"/>
        <v>0</v>
      </c>
      <c r="AO982" s="48">
        <v>0</v>
      </c>
      <c r="AP982" s="91">
        <f t="shared" si="487"/>
        <v>-536.14574982507531</v>
      </c>
      <c r="AQ982" s="91">
        <f t="shared" si="488"/>
        <v>-536.14574982507531</v>
      </c>
    </row>
    <row r="983" spans="1:43">
      <c r="A983" s="190">
        <f t="shared" si="479"/>
        <v>90.137577002053376</v>
      </c>
      <c r="B983" s="82">
        <f t="shared" si="480"/>
        <v>25</v>
      </c>
      <c r="C983" s="83">
        <f t="shared" si="481"/>
        <v>293</v>
      </c>
      <c r="D983" s="14">
        <f t="shared" si="467"/>
        <v>2.6283369587845051E-3</v>
      </c>
      <c r="E983" s="16">
        <f t="shared" si="468"/>
        <v>0</v>
      </c>
      <c r="F983" s="127"/>
      <c r="G983" s="88">
        <f t="shared" si="469"/>
        <v>0</v>
      </c>
      <c r="H983" s="89">
        <f t="shared" si="482"/>
        <v>4.1666666666666666E-3</v>
      </c>
      <c r="I983" s="219"/>
      <c r="J983" s="219"/>
      <c r="K983" s="6">
        <f t="shared" si="490"/>
        <v>2276.6256258749622</v>
      </c>
      <c r="M983" s="6">
        <f t="shared" si="470"/>
        <v>5.983739273803069</v>
      </c>
      <c r="N983" s="6">
        <f t="shared" si="471"/>
        <v>-2.5757246871978148</v>
      </c>
      <c r="O983" s="90">
        <f t="shared" si="472"/>
        <v>536.14574982507497</v>
      </c>
      <c r="P983" s="91">
        <f t="shared" si="473"/>
        <v>0</v>
      </c>
      <c r="Q983" s="6">
        <f t="shared" si="474"/>
        <v>9.5001401685898657</v>
      </c>
      <c r="R983" s="87">
        <f t="shared" si="492"/>
        <v>-536.14574982507531</v>
      </c>
      <c r="S983" s="6">
        <f t="shared" si="475"/>
        <v>-0.41928413817719157</v>
      </c>
      <c r="T983" s="83">
        <f t="shared" si="483"/>
        <v>0</v>
      </c>
      <c r="U983" s="91">
        <f t="shared" si="489"/>
        <v>34899.336482560961</v>
      </c>
      <c r="V983" s="91">
        <f t="shared" si="484"/>
        <v>91.72721591417141</v>
      </c>
      <c r="W983" s="1">
        <f t="shared" si="496"/>
        <v>0</v>
      </c>
      <c r="X983" s="1">
        <f t="shared" si="496"/>
        <v>0</v>
      </c>
      <c r="Y983" s="1">
        <f t="shared" si="496"/>
        <v>0</v>
      </c>
      <c r="Z983" s="1">
        <f t="shared" si="496"/>
        <v>0</v>
      </c>
      <c r="AA983" s="1">
        <f t="shared" si="496"/>
        <v>0</v>
      </c>
      <c r="AB983" s="1">
        <f t="shared" si="496"/>
        <v>0</v>
      </c>
      <c r="AC983" s="1">
        <f t="shared" si="496"/>
        <v>0</v>
      </c>
      <c r="AD983" s="1">
        <f t="shared" si="496"/>
        <v>0</v>
      </c>
      <c r="AE983" s="1">
        <f t="shared" si="496"/>
        <v>1</v>
      </c>
      <c r="AF983" s="1">
        <f t="shared" si="496"/>
        <v>1</v>
      </c>
      <c r="AG983" s="1">
        <f t="shared" si="496"/>
        <v>1</v>
      </c>
      <c r="AH983" s="1">
        <f t="shared" si="496"/>
        <v>1</v>
      </c>
      <c r="AI983" s="44">
        <f t="shared" si="485"/>
        <v>1743.8878906364926</v>
      </c>
      <c r="AJ983" s="44">
        <f t="shared" si="476"/>
        <v>2280.0336404615678</v>
      </c>
      <c r="AK983" s="44" t="str">
        <f t="shared" si="493"/>
        <v>N</v>
      </c>
      <c r="AL983" s="4">
        <f t="shared" si="477"/>
        <v>293</v>
      </c>
      <c r="AM983" s="82">
        <f t="shared" si="486"/>
        <v>0</v>
      </c>
      <c r="AN983" s="82">
        <f t="shared" si="478"/>
        <v>0</v>
      </c>
      <c r="AO983" s="48">
        <v>0</v>
      </c>
      <c r="AP983" s="91">
        <f t="shared" si="487"/>
        <v>-536.14574982507531</v>
      </c>
      <c r="AQ983" s="91">
        <f t="shared" si="488"/>
        <v>-536.14574982507531</v>
      </c>
    </row>
    <row r="984" spans="1:43">
      <c r="A984" s="190">
        <f t="shared" si="479"/>
        <v>90.220910335386719</v>
      </c>
      <c r="B984" s="82">
        <f t="shared" si="480"/>
        <v>25</v>
      </c>
      <c r="C984" s="83">
        <f t="shared" si="481"/>
        <v>294</v>
      </c>
      <c r="D984" s="14">
        <f t="shared" si="467"/>
        <v>2.6283369587845051E-3</v>
      </c>
      <c r="E984" s="16">
        <f t="shared" si="468"/>
        <v>0</v>
      </c>
      <c r="F984" s="127"/>
      <c r="G984" s="88">
        <f t="shared" si="469"/>
        <v>0</v>
      </c>
      <c r="H984" s="89">
        <f t="shared" si="482"/>
        <v>4.1666666666666666E-3</v>
      </c>
      <c r="I984" s="219"/>
      <c r="J984" s="219"/>
      <c r="K984" s="6">
        <f t="shared" si="490"/>
        <v>1743.8878906364926</v>
      </c>
      <c r="M984" s="6">
        <f t="shared" si="470"/>
        <v>4.5835249949366448</v>
      </c>
      <c r="N984" s="6">
        <f t="shared" si="471"/>
        <v>-1.9729968074533288</v>
      </c>
      <c r="O984" s="90">
        <f t="shared" si="472"/>
        <v>536.14574982507497</v>
      </c>
      <c r="P984" s="91">
        <f t="shared" si="473"/>
        <v>0</v>
      </c>
      <c r="Q984" s="6">
        <f t="shared" si="474"/>
        <v>7.2770767450999001</v>
      </c>
      <c r="R984" s="87">
        <f t="shared" si="492"/>
        <v>-536.14574982507531</v>
      </c>
      <c r="S984" s="6">
        <f t="shared" si="475"/>
        <v>-0.30808656703375648</v>
      </c>
      <c r="T984" s="83">
        <f t="shared" si="483"/>
        <v>0</v>
      </c>
      <c r="U984" s="91">
        <f t="shared" si="489"/>
        <v>34454.917948650058</v>
      </c>
      <c r="V984" s="91">
        <f t="shared" si="484"/>
        <v>90.559134256324555</v>
      </c>
      <c r="W984" s="1">
        <f t="shared" si="496"/>
        <v>0</v>
      </c>
      <c r="X984" s="1">
        <f t="shared" si="496"/>
        <v>0</v>
      </c>
      <c r="Y984" s="1">
        <f t="shared" si="496"/>
        <v>0</v>
      </c>
      <c r="Z984" s="1">
        <f t="shared" si="496"/>
        <v>0</v>
      </c>
      <c r="AA984" s="1">
        <f t="shared" si="496"/>
        <v>0</v>
      </c>
      <c r="AB984" s="1">
        <f t="shared" si="496"/>
        <v>0</v>
      </c>
      <c r="AC984" s="1">
        <f t="shared" si="496"/>
        <v>0</v>
      </c>
      <c r="AD984" s="1">
        <f t="shared" si="496"/>
        <v>0</v>
      </c>
      <c r="AE984" s="1">
        <f t="shared" si="496"/>
        <v>1</v>
      </c>
      <c r="AF984" s="1">
        <f t="shared" si="496"/>
        <v>1</v>
      </c>
      <c r="AG984" s="1">
        <f t="shared" si="496"/>
        <v>1</v>
      </c>
      <c r="AH984" s="1">
        <f t="shared" si="496"/>
        <v>1</v>
      </c>
      <c r="AI984" s="44">
        <f t="shared" si="485"/>
        <v>1210.3526689989008</v>
      </c>
      <c r="AJ984" s="44">
        <f t="shared" si="476"/>
        <v>1746.498418823976</v>
      </c>
      <c r="AK984" s="44" t="str">
        <f t="shared" si="493"/>
        <v>N</v>
      </c>
      <c r="AL984" s="4">
        <f t="shared" si="477"/>
        <v>294</v>
      </c>
      <c r="AM984" s="82">
        <f t="shared" si="486"/>
        <v>0</v>
      </c>
      <c r="AN984" s="82">
        <f t="shared" si="478"/>
        <v>0</v>
      </c>
      <c r="AO984" s="48">
        <v>0</v>
      </c>
      <c r="AP984" s="91">
        <f t="shared" si="487"/>
        <v>-536.14574982507531</v>
      </c>
      <c r="AQ984" s="91">
        <f t="shared" si="488"/>
        <v>-536.14574982507531</v>
      </c>
    </row>
    <row r="985" spans="1:43">
      <c r="A985" s="190">
        <f t="shared" si="479"/>
        <v>90.304243668720048</v>
      </c>
      <c r="B985" s="82">
        <f t="shared" si="480"/>
        <v>25</v>
      </c>
      <c r="C985" s="83">
        <f t="shared" si="481"/>
        <v>295</v>
      </c>
      <c r="D985" s="14">
        <f t="shared" si="467"/>
        <v>2.6283369587845051E-3</v>
      </c>
      <c r="E985" s="16">
        <f t="shared" si="468"/>
        <v>0</v>
      </c>
      <c r="F985" s="127"/>
      <c r="G985" s="88">
        <f t="shared" si="469"/>
        <v>0</v>
      </c>
      <c r="H985" s="89">
        <f t="shared" si="482"/>
        <v>4.1666666666666666E-3</v>
      </c>
      <c r="I985" s="219"/>
      <c r="J985" s="219"/>
      <c r="K985" s="6">
        <f t="shared" si="490"/>
        <v>1210.3526689989008</v>
      </c>
      <c r="M985" s="6">
        <f t="shared" si="470"/>
        <v>3.1812146530932797</v>
      </c>
      <c r="N985" s="6">
        <f t="shared" si="471"/>
        <v>-1.3693666689524722</v>
      </c>
      <c r="O985" s="90">
        <f t="shared" si="472"/>
        <v>536.14574982507497</v>
      </c>
      <c r="P985" s="91">
        <f t="shared" si="473"/>
        <v>0</v>
      </c>
      <c r="Q985" s="6">
        <f t="shared" si="474"/>
        <v>5.0506854874293392</v>
      </c>
      <c r="R985" s="87">
        <f t="shared" si="492"/>
        <v>-536.14574982507531</v>
      </c>
      <c r="S985" s="6">
        <f t="shared" si="475"/>
        <v>-0.19672253771637083</v>
      </c>
      <c r="T985" s="83">
        <f t="shared" si="483"/>
        <v>0</v>
      </c>
      <c r="U985" s="91">
        <f t="shared" si="489"/>
        <v>34009.331333081311</v>
      </c>
      <c r="V985" s="91">
        <f t="shared" si="484"/>
        <v>89.387982486285509</v>
      </c>
      <c r="W985" s="1">
        <f t="shared" si="496"/>
        <v>0</v>
      </c>
      <c r="X985" s="1">
        <f t="shared" si="496"/>
        <v>0</v>
      </c>
      <c r="Y985" s="1">
        <f t="shared" si="496"/>
        <v>0</v>
      </c>
      <c r="Z985" s="1">
        <f t="shared" si="496"/>
        <v>0</v>
      </c>
      <c r="AA985" s="1">
        <f t="shared" si="496"/>
        <v>0</v>
      </c>
      <c r="AB985" s="1">
        <f t="shared" si="496"/>
        <v>0</v>
      </c>
      <c r="AC985" s="1">
        <f t="shared" si="496"/>
        <v>0</v>
      </c>
      <c r="AD985" s="1">
        <f t="shared" si="496"/>
        <v>0</v>
      </c>
      <c r="AE985" s="1">
        <f t="shared" si="496"/>
        <v>1</v>
      </c>
      <c r="AF985" s="1">
        <f t="shared" si="496"/>
        <v>1</v>
      </c>
      <c r="AG985" s="1">
        <f t="shared" si="496"/>
        <v>1</v>
      </c>
      <c r="AH985" s="1">
        <f t="shared" si="496"/>
        <v>1</v>
      </c>
      <c r="AI985" s="44">
        <f t="shared" si="485"/>
        <v>676.01876715796618</v>
      </c>
      <c r="AJ985" s="44">
        <f t="shared" si="476"/>
        <v>1212.1645169830415</v>
      </c>
      <c r="AK985" s="44" t="str">
        <f t="shared" si="493"/>
        <v>N</v>
      </c>
      <c r="AL985" s="4">
        <f t="shared" si="477"/>
        <v>295</v>
      </c>
      <c r="AM985" s="82">
        <f t="shared" si="486"/>
        <v>0</v>
      </c>
      <c r="AN985" s="82">
        <f t="shared" si="478"/>
        <v>0</v>
      </c>
      <c r="AO985" s="48">
        <v>0</v>
      </c>
      <c r="AP985" s="91">
        <f t="shared" si="487"/>
        <v>-536.14574982507531</v>
      </c>
      <c r="AQ985" s="91">
        <f t="shared" si="488"/>
        <v>-536.14574982507531</v>
      </c>
    </row>
    <row r="986" spans="1:43">
      <c r="A986" s="190">
        <f t="shared" si="479"/>
        <v>90.387577002053376</v>
      </c>
      <c r="B986" s="82">
        <f t="shared" si="480"/>
        <v>25</v>
      </c>
      <c r="C986" s="83">
        <f t="shared" si="481"/>
        <v>296</v>
      </c>
      <c r="D986" s="14">
        <f t="shared" si="467"/>
        <v>2.6283369587845051E-3</v>
      </c>
      <c r="E986" s="16">
        <f t="shared" si="468"/>
        <v>0</v>
      </c>
      <c r="F986" s="127"/>
      <c r="G986" s="88">
        <f t="shared" si="469"/>
        <v>0</v>
      </c>
      <c r="H986" s="89">
        <f t="shared" si="482"/>
        <v>4.1666666666666666E-3</v>
      </c>
      <c r="I986" s="219"/>
      <c r="J986" s="219"/>
      <c r="K986" s="6">
        <f t="shared" si="490"/>
        <v>676.01876715796618</v>
      </c>
      <c r="M986" s="6">
        <f t="shared" si="470"/>
        <v>1.7768051105532194</v>
      </c>
      <c r="N986" s="6">
        <f t="shared" si="471"/>
        <v>-0.76483292105113021</v>
      </c>
      <c r="O986" s="90">
        <f t="shared" si="472"/>
        <v>536.14574982507497</v>
      </c>
      <c r="P986" s="91">
        <f t="shared" si="473"/>
        <v>0</v>
      </c>
      <c r="Q986" s="6">
        <f t="shared" si="474"/>
        <v>2.8209614139477845</v>
      </c>
      <c r="R986" s="87">
        <f t="shared" si="492"/>
        <v>-536.14574982507531</v>
      </c>
      <c r="S986" s="6">
        <f t="shared" si="475"/>
        <v>-8.5191801044019397E-2</v>
      </c>
      <c r="T986" s="83">
        <f t="shared" si="483"/>
        <v>0</v>
      </c>
      <c r="U986" s="91">
        <f t="shared" si="489"/>
        <v>33562.573565742525</v>
      </c>
      <c r="V986" s="91">
        <f t="shared" si="484"/>
        <v>88.213752534764936</v>
      </c>
      <c r="W986" s="1">
        <f t="shared" si="496"/>
        <v>0</v>
      </c>
      <c r="X986" s="1">
        <f t="shared" si="496"/>
        <v>0</v>
      </c>
      <c r="Y986" s="1">
        <f t="shared" si="496"/>
        <v>0</v>
      </c>
      <c r="Z986" s="1">
        <f t="shared" si="496"/>
        <v>0</v>
      </c>
      <c r="AA986" s="1">
        <f t="shared" si="496"/>
        <v>0</v>
      </c>
      <c r="AB986" s="1">
        <f t="shared" si="496"/>
        <v>0</v>
      </c>
      <c r="AC986" s="1">
        <f t="shared" si="496"/>
        <v>0</v>
      </c>
      <c r="AD986" s="1">
        <f t="shared" si="496"/>
        <v>0</v>
      </c>
      <c r="AE986" s="1">
        <f t="shared" si="496"/>
        <v>1</v>
      </c>
      <c r="AF986" s="1">
        <f t="shared" si="496"/>
        <v>1</v>
      </c>
      <c r="AG986" s="1">
        <f t="shared" si="496"/>
        <v>1</v>
      </c>
      <c r="AH986" s="1">
        <f t="shared" si="496"/>
        <v>1</v>
      </c>
      <c r="AI986" s="44">
        <f t="shared" si="485"/>
        <v>140.88498952239297</v>
      </c>
      <c r="AJ986" s="44">
        <f t="shared" si="476"/>
        <v>677.03073934746828</v>
      </c>
      <c r="AK986" s="44" t="str">
        <f t="shared" si="493"/>
        <v>N</v>
      </c>
      <c r="AL986" s="4">
        <f t="shared" si="477"/>
        <v>296</v>
      </c>
      <c r="AM986" s="82">
        <f t="shared" si="486"/>
        <v>0</v>
      </c>
      <c r="AN986" s="82">
        <f t="shared" si="478"/>
        <v>0</v>
      </c>
      <c r="AO986" s="48">
        <v>0</v>
      </c>
      <c r="AP986" s="91">
        <f t="shared" si="487"/>
        <v>-536.14574982507531</v>
      </c>
      <c r="AQ986" s="91">
        <f t="shared" si="488"/>
        <v>-536.14574982507531</v>
      </c>
    </row>
    <row r="987" spans="1:43">
      <c r="A987" s="190">
        <f t="shared" si="479"/>
        <v>90.470910335386719</v>
      </c>
      <c r="B987" s="82">
        <f t="shared" si="480"/>
        <v>25</v>
      </c>
      <c r="C987" s="83">
        <f t="shared" si="481"/>
        <v>297</v>
      </c>
      <c r="D987" s="14">
        <f t="shared" si="467"/>
        <v>2.6283369587845051E-3</v>
      </c>
      <c r="E987" s="16">
        <f t="shared" si="468"/>
        <v>0</v>
      </c>
      <c r="F987" s="127"/>
      <c r="G987" s="88">
        <f t="shared" si="469"/>
        <v>0</v>
      </c>
      <c r="H987" s="89">
        <f t="shared" si="482"/>
        <v>4.1666666666666666E-3</v>
      </c>
      <c r="I987" s="219"/>
      <c r="J987" s="219"/>
      <c r="K987" s="6">
        <f t="shared" si="490"/>
        <v>140.88498952239297</v>
      </c>
      <c r="M987" s="6">
        <f t="shared" si="470"/>
        <v>0.3702932248996732</v>
      </c>
      <c r="N987" s="6">
        <f t="shared" si="471"/>
        <v>-0.15939421108333046</v>
      </c>
      <c r="O987" s="90">
        <f t="shared" si="472"/>
        <v>141.09588853620932</v>
      </c>
      <c r="P987" s="91">
        <f t="shared" si="473"/>
        <v>0</v>
      </c>
      <c r="Q987" s="6">
        <f t="shared" si="474"/>
        <v>0.58789953556753882</v>
      </c>
      <c r="R987" s="87">
        <f t="shared" si="492"/>
        <v>-141.09588853620932</v>
      </c>
      <c r="S987" s="6">
        <f t="shared" si="475"/>
        <v>-1.4692362349089721E-2</v>
      </c>
      <c r="T987" s="83">
        <f t="shared" si="483"/>
        <v>0</v>
      </c>
      <c r="U987" s="91">
        <f t="shared" si="489"/>
        <v>33114.641568452214</v>
      </c>
      <c r="V987" s="91">
        <f t="shared" si="484"/>
        <v>87.036436311264652</v>
      </c>
      <c r="W987" s="1">
        <f t="shared" si="496"/>
        <v>0</v>
      </c>
      <c r="X987" s="1">
        <f t="shared" si="496"/>
        <v>0</v>
      </c>
      <c r="Y987" s="1">
        <f t="shared" si="496"/>
        <v>0</v>
      </c>
      <c r="Z987" s="1">
        <f t="shared" si="496"/>
        <v>0</v>
      </c>
      <c r="AA987" s="1">
        <f t="shared" si="496"/>
        <v>0</v>
      </c>
      <c r="AB987" s="1">
        <f t="shared" si="496"/>
        <v>0</v>
      </c>
      <c r="AC987" s="1">
        <f t="shared" si="496"/>
        <v>0</v>
      </c>
      <c r="AD987" s="1">
        <f t="shared" si="496"/>
        <v>0</v>
      </c>
      <c r="AE987" s="1">
        <f t="shared" si="496"/>
        <v>1</v>
      </c>
      <c r="AF987" s="1">
        <f t="shared" si="496"/>
        <v>1</v>
      </c>
      <c r="AG987" s="1">
        <f t="shared" si="496"/>
        <v>1</v>
      </c>
      <c r="AH987" s="1">
        <f t="shared" si="496"/>
        <v>1</v>
      </c>
      <c r="AI987" s="44">
        <f t="shared" si="485"/>
        <v>0</v>
      </c>
      <c r="AJ987" s="44">
        <f t="shared" si="476"/>
        <v>141.09588853620932</v>
      </c>
      <c r="AK987" s="44" t="str">
        <f t="shared" si="493"/>
        <v>Y</v>
      </c>
      <c r="AL987" s="4">
        <f t="shared" si="477"/>
        <v>297</v>
      </c>
      <c r="AM987" s="82">
        <f t="shared" si="486"/>
        <v>0</v>
      </c>
      <c r="AN987" s="82">
        <f t="shared" si="478"/>
        <v>-33114.641568452214</v>
      </c>
      <c r="AO987" s="48">
        <v>0</v>
      </c>
      <c r="AP987" s="91">
        <f t="shared" si="487"/>
        <v>-33255.737456988427</v>
      </c>
      <c r="AQ987" s="91">
        <f t="shared" si="488"/>
        <v>-141.09588853620932</v>
      </c>
    </row>
    <row r="988" spans="1:43">
      <c r="A988" s="190">
        <f t="shared" si="479"/>
        <v>90.554243668720048</v>
      </c>
      <c r="B988" s="82">
        <f t="shared" si="480"/>
        <v>25</v>
      </c>
      <c r="C988" s="83">
        <f t="shared" si="481"/>
        <v>298</v>
      </c>
      <c r="D988" s="14">
        <f t="shared" si="467"/>
        <v>2.6283369587845051E-3</v>
      </c>
      <c r="E988" s="16">
        <f t="shared" si="468"/>
        <v>0</v>
      </c>
      <c r="F988" s="127"/>
      <c r="G988" s="88">
        <f t="shared" si="469"/>
        <v>0</v>
      </c>
      <c r="H988" s="89">
        <f t="shared" si="482"/>
        <v>4.1666666666666666E-3</v>
      </c>
      <c r="I988" s="219"/>
      <c r="J988" s="219"/>
      <c r="K988" s="6">
        <f t="shared" si="490"/>
        <v>0</v>
      </c>
      <c r="M988" s="6">
        <f t="shared" si="470"/>
        <v>0</v>
      </c>
      <c r="N988" s="6">
        <f t="shared" si="471"/>
        <v>0</v>
      </c>
      <c r="O988" s="90">
        <f t="shared" si="472"/>
        <v>0</v>
      </c>
      <c r="P988" s="91">
        <f t="shared" si="473"/>
        <v>0</v>
      </c>
      <c r="Q988" s="6">
        <f t="shared" si="474"/>
        <v>0</v>
      </c>
      <c r="R988" s="87">
        <f t="shared" si="492"/>
        <v>0</v>
      </c>
      <c r="S988" s="6">
        <f t="shared" si="475"/>
        <v>0</v>
      </c>
      <c r="T988" s="83">
        <f t="shared" si="483"/>
        <v>0</v>
      </c>
      <c r="U988" s="91">
        <f t="shared" si="489"/>
        <v>0</v>
      </c>
      <c r="V988" s="91">
        <f t="shared" si="484"/>
        <v>0</v>
      </c>
      <c r="W988" s="1">
        <f t="shared" si="496"/>
        <v>0</v>
      </c>
      <c r="X988" s="1">
        <f t="shared" si="496"/>
        <v>0</v>
      </c>
      <c r="Y988" s="1">
        <f t="shared" si="496"/>
        <v>0</v>
      </c>
      <c r="Z988" s="1">
        <f t="shared" si="496"/>
        <v>0</v>
      </c>
      <c r="AA988" s="1">
        <f t="shared" si="496"/>
        <v>0</v>
      </c>
      <c r="AB988" s="1">
        <f t="shared" si="496"/>
        <v>0</v>
      </c>
      <c r="AC988" s="1">
        <f t="shared" si="496"/>
        <v>0</v>
      </c>
      <c r="AD988" s="1">
        <f t="shared" si="496"/>
        <v>0</v>
      </c>
      <c r="AE988" s="1">
        <f t="shared" si="496"/>
        <v>1</v>
      </c>
      <c r="AF988" s="1">
        <f t="shared" si="496"/>
        <v>1</v>
      </c>
      <c r="AG988" s="1">
        <f t="shared" si="496"/>
        <v>1</v>
      </c>
      <c r="AH988" s="1">
        <f t="shared" si="496"/>
        <v>1</v>
      </c>
      <c r="AI988" s="44">
        <f t="shared" si="485"/>
        <v>0</v>
      </c>
      <c r="AJ988" s="44">
        <f t="shared" si="476"/>
        <v>0</v>
      </c>
      <c r="AK988" s="44">
        <f t="shared" si="493"/>
        <v>0</v>
      </c>
      <c r="AL988" s="4">
        <f t="shared" si="477"/>
        <v>298</v>
      </c>
      <c r="AM988" s="82">
        <f t="shared" si="486"/>
        <v>0</v>
      </c>
      <c r="AN988" s="82">
        <f t="shared" si="478"/>
        <v>0</v>
      </c>
      <c r="AO988" s="48">
        <v>0</v>
      </c>
      <c r="AP988" s="91">
        <f t="shared" si="487"/>
        <v>0</v>
      </c>
      <c r="AQ988" s="91">
        <f t="shared" si="488"/>
        <v>0</v>
      </c>
    </row>
    <row r="989" spans="1:43">
      <c r="A989" s="190">
        <f t="shared" si="479"/>
        <v>90.637577002053376</v>
      </c>
      <c r="B989" s="82">
        <f t="shared" si="480"/>
        <v>25</v>
      </c>
      <c r="C989" s="83">
        <f t="shared" si="481"/>
        <v>299</v>
      </c>
      <c r="D989" s="14">
        <f t="shared" si="467"/>
        <v>2.6283369587845051E-3</v>
      </c>
      <c r="E989" s="16">
        <f t="shared" si="468"/>
        <v>0</v>
      </c>
      <c r="F989" s="127"/>
      <c r="G989" s="88">
        <f t="shared" si="469"/>
        <v>0</v>
      </c>
      <c r="H989" s="89">
        <f t="shared" si="482"/>
        <v>4.1666666666666666E-3</v>
      </c>
      <c r="I989" s="219"/>
      <c r="J989" s="219"/>
      <c r="K989" s="6">
        <f t="shared" si="490"/>
        <v>0</v>
      </c>
      <c r="M989" s="6">
        <f t="shared" si="470"/>
        <v>0</v>
      </c>
      <c r="N989" s="6">
        <f t="shared" si="471"/>
        <v>0</v>
      </c>
      <c r="O989" s="90">
        <f t="shared" si="472"/>
        <v>0</v>
      </c>
      <c r="P989" s="91">
        <f t="shared" si="473"/>
        <v>0</v>
      </c>
      <c r="Q989" s="6">
        <f t="shared" si="474"/>
        <v>0</v>
      </c>
      <c r="R989" s="87">
        <f t="shared" si="492"/>
        <v>0</v>
      </c>
      <c r="S989" s="6">
        <f t="shared" si="475"/>
        <v>0</v>
      </c>
      <c r="T989" s="83">
        <f t="shared" si="483"/>
        <v>0</v>
      </c>
      <c r="U989" s="91">
        <f t="shared" si="489"/>
        <v>0</v>
      </c>
      <c r="V989" s="91">
        <f t="shared" si="484"/>
        <v>0</v>
      </c>
      <c r="W989" s="1">
        <f t="shared" si="496"/>
        <v>0</v>
      </c>
      <c r="X989" s="1">
        <f t="shared" si="496"/>
        <v>0</v>
      </c>
      <c r="Y989" s="1">
        <f t="shared" si="496"/>
        <v>0</v>
      </c>
      <c r="Z989" s="1">
        <f t="shared" si="496"/>
        <v>0</v>
      </c>
      <c r="AA989" s="1">
        <f t="shared" si="496"/>
        <v>0</v>
      </c>
      <c r="AB989" s="1">
        <f t="shared" si="496"/>
        <v>0</v>
      </c>
      <c r="AC989" s="1">
        <f t="shared" si="496"/>
        <v>0</v>
      </c>
      <c r="AD989" s="1">
        <f t="shared" si="496"/>
        <v>0</v>
      </c>
      <c r="AE989" s="1">
        <f t="shared" si="496"/>
        <v>1</v>
      </c>
      <c r="AF989" s="1">
        <f t="shared" si="496"/>
        <v>1</v>
      </c>
      <c r="AG989" s="1">
        <f t="shared" si="496"/>
        <v>1</v>
      </c>
      <c r="AH989" s="1">
        <f t="shared" si="496"/>
        <v>1</v>
      </c>
      <c r="AI989" s="44">
        <f t="shared" si="485"/>
        <v>0</v>
      </c>
      <c r="AJ989" s="44">
        <f t="shared" si="476"/>
        <v>0</v>
      </c>
      <c r="AK989" s="44">
        <f t="shared" si="493"/>
        <v>0</v>
      </c>
      <c r="AL989" s="4">
        <f t="shared" si="477"/>
        <v>299</v>
      </c>
      <c r="AM989" s="82">
        <f t="shared" si="486"/>
        <v>0</v>
      </c>
      <c r="AN989" s="82">
        <f t="shared" si="478"/>
        <v>0</v>
      </c>
      <c r="AO989" s="48">
        <v>0</v>
      </c>
      <c r="AP989" s="91">
        <f t="shared" si="487"/>
        <v>0</v>
      </c>
      <c r="AQ989" s="91">
        <f t="shared" si="488"/>
        <v>0</v>
      </c>
    </row>
    <row r="990" spans="1:43">
      <c r="A990" s="190">
        <f t="shared" si="479"/>
        <v>90.720910335386719</v>
      </c>
      <c r="B990" s="82">
        <f t="shared" si="480"/>
        <v>25</v>
      </c>
      <c r="C990" s="83">
        <f t="shared" si="481"/>
        <v>300</v>
      </c>
      <c r="D990" s="14">
        <f t="shared" si="467"/>
        <v>2.6283369587845051E-3</v>
      </c>
      <c r="E990" s="16">
        <f t="shared" si="468"/>
        <v>0</v>
      </c>
      <c r="F990" s="127"/>
      <c r="G990" s="88">
        <f t="shared" si="469"/>
        <v>0</v>
      </c>
      <c r="H990" s="89">
        <f t="shared" si="482"/>
        <v>4.1666666666666666E-3</v>
      </c>
      <c r="I990" s="219"/>
      <c r="J990" s="219"/>
      <c r="K990" s="6">
        <f t="shared" si="490"/>
        <v>0</v>
      </c>
      <c r="M990" s="6">
        <f t="shared" si="470"/>
        <v>0</v>
      </c>
      <c r="N990" s="6">
        <f t="shared" si="471"/>
        <v>0</v>
      </c>
      <c r="O990" s="90">
        <f t="shared" si="472"/>
        <v>0</v>
      </c>
      <c r="P990" s="91">
        <f t="shared" si="473"/>
        <v>0</v>
      </c>
      <c r="Q990" s="6">
        <f t="shared" si="474"/>
        <v>0</v>
      </c>
      <c r="R990" s="87">
        <f t="shared" si="492"/>
        <v>0</v>
      </c>
      <c r="S990" s="6">
        <f t="shared" si="475"/>
        <v>0</v>
      </c>
      <c r="T990" s="83">
        <f t="shared" si="483"/>
        <v>0</v>
      </c>
      <c r="U990" s="91">
        <f t="shared" si="489"/>
        <v>0</v>
      </c>
      <c r="V990" s="91">
        <f t="shared" si="484"/>
        <v>0</v>
      </c>
      <c r="W990" s="1">
        <f t="shared" si="496"/>
        <v>0</v>
      </c>
      <c r="X990" s="1">
        <f t="shared" si="496"/>
        <v>0</v>
      </c>
      <c r="Y990" s="1">
        <f t="shared" si="496"/>
        <v>0</v>
      </c>
      <c r="Z990" s="1">
        <f t="shared" si="496"/>
        <v>0</v>
      </c>
      <c r="AA990" s="1">
        <f t="shared" si="496"/>
        <v>0</v>
      </c>
      <c r="AB990" s="1">
        <f t="shared" si="496"/>
        <v>0</v>
      </c>
      <c r="AC990" s="1">
        <f t="shared" si="496"/>
        <v>0</v>
      </c>
      <c r="AD990" s="1">
        <f t="shared" si="496"/>
        <v>0</v>
      </c>
      <c r="AE990" s="1">
        <f t="shared" si="496"/>
        <v>1</v>
      </c>
      <c r="AF990" s="1">
        <f t="shared" si="496"/>
        <v>1</v>
      </c>
      <c r="AG990" s="1">
        <f t="shared" si="496"/>
        <v>1</v>
      </c>
      <c r="AH990" s="1">
        <f t="shared" si="496"/>
        <v>1</v>
      </c>
      <c r="AI990" s="44">
        <f t="shared" si="485"/>
        <v>0</v>
      </c>
      <c r="AJ990" s="44">
        <f t="shared" si="476"/>
        <v>0</v>
      </c>
      <c r="AK990" s="44">
        <f t="shared" si="493"/>
        <v>0</v>
      </c>
      <c r="AL990" s="4">
        <f t="shared" si="477"/>
        <v>300</v>
      </c>
      <c r="AM990" s="82">
        <f t="shared" si="486"/>
        <v>0</v>
      </c>
      <c r="AN990" s="82">
        <f t="shared" si="478"/>
        <v>0</v>
      </c>
      <c r="AO990" s="48">
        <v>0</v>
      </c>
      <c r="AP990" s="91">
        <f t="shared" si="487"/>
        <v>0</v>
      </c>
      <c r="AQ990" s="91">
        <f t="shared" si="488"/>
        <v>0</v>
      </c>
    </row>
    <row r="991" spans="1:43">
      <c r="A991" s="190">
        <f t="shared" si="479"/>
        <v>90.804243668720048</v>
      </c>
      <c r="B991" s="82">
        <f t="shared" si="480"/>
        <v>26</v>
      </c>
      <c r="C991" s="83">
        <f t="shared" si="481"/>
        <v>301</v>
      </c>
      <c r="D991" s="14">
        <f t="shared" si="467"/>
        <v>2.6283369587845051E-3</v>
      </c>
      <c r="E991" s="16">
        <f t="shared" si="468"/>
        <v>0</v>
      </c>
      <c r="F991" s="127"/>
      <c r="G991" s="88">
        <f t="shared" si="469"/>
        <v>0</v>
      </c>
      <c r="H991" s="89">
        <f t="shared" si="482"/>
        <v>4.1666666666666666E-3</v>
      </c>
      <c r="I991" s="219"/>
      <c r="J991" s="219"/>
      <c r="K991" s="6">
        <f t="shared" si="490"/>
        <v>0</v>
      </c>
      <c r="M991" s="6">
        <f t="shared" si="470"/>
        <v>0</v>
      </c>
      <c r="N991" s="6">
        <f t="shared" si="471"/>
        <v>0</v>
      </c>
      <c r="O991" s="90">
        <f t="shared" si="472"/>
        <v>0</v>
      </c>
      <c r="P991" s="91">
        <f t="shared" si="473"/>
        <v>0</v>
      </c>
      <c r="Q991" s="6">
        <f t="shared" si="474"/>
        <v>0</v>
      </c>
      <c r="R991" s="87">
        <f t="shared" si="492"/>
        <v>0</v>
      </c>
      <c r="S991" s="6">
        <f t="shared" si="475"/>
        <v>0</v>
      </c>
      <c r="T991" s="83">
        <f t="shared" si="483"/>
        <v>0</v>
      </c>
      <c r="U991" s="91">
        <f t="shared" si="489"/>
        <v>0</v>
      </c>
      <c r="V991" s="91">
        <f t="shared" si="484"/>
        <v>0</v>
      </c>
      <c r="W991" s="1">
        <f t="shared" ref="W991:AH1000" si="497">IF($B991&lt;=W$78,1,0)</f>
        <v>0</v>
      </c>
      <c r="X991" s="1">
        <f t="shared" si="497"/>
        <v>0</v>
      </c>
      <c r="Y991" s="1">
        <f t="shared" si="497"/>
        <v>0</v>
      </c>
      <c r="Z991" s="1">
        <f t="shared" si="497"/>
        <v>0</v>
      </c>
      <c r="AA991" s="1">
        <f t="shared" si="497"/>
        <v>0</v>
      </c>
      <c r="AB991" s="1">
        <f t="shared" si="497"/>
        <v>0</v>
      </c>
      <c r="AC991" s="1">
        <f t="shared" si="497"/>
        <v>0</v>
      </c>
      <c r="AD991" s="1">
        <f t="shared" si="497"/>
        <v>0</v>
      </c>
      <c r="AE991" s="1">
        <f t="shared" si="497"/>
        <v>0</v>
      </c>
      <c r="AF991" s="1">
        <f t="shared" si="497"/>
        <v>1</v>
      </c>
      <c r="AG991" s="1">
        <f t="shared" si="497"/>
        <v>1</v>
      </c>
      <c r="AH991" s="1">
        <f t="shared" si="497"/>
        <v>1</v>
      </c>
      <c r="AI991" s="44">
        <f t="shared" si="485"/>
        <v>0</v>
      </c>
      <c r="AJ991" s="44">
        <f t="shared" si="476"/>
        <v>0</v>
      </c>
      <c r="AK991" s="44">
        <f t="shared" si="493"/>
        <v>0</v>
      </c>
      <c r="AL991" s="4">
        <f t="shared" si="477"/>
        <v>301</v>
      </c>
      <c r="AM991" s="82">
        <f t="shared" si="486"/>
        <v>0</v>
      </c>
      <c r="AN991" s="82">
        <f t="shared" si="478"/>
        <v>0</v>
      </c>
      <c r="AO991" s="48">
        <v>0</v>
      </c>
      <c r="AP991" s="91">
        <f t="shared" si="487"/>
        <v>0</v>
      </c>
      <c r="AQ991" s="91">
        <f t="shared" si="488"/>
        <v>0</v>
      </c>
    </row>
    <row r="992" spans="1:43">
      <c r="A992" s="190">
        <f t="shared" si="479"/>
        <v>90.887577002053376</v>
      </c>
      <c r="B992" s="82">
        <f t="shared" si="480"/>
        <v>26</v>
      </c>
      <c r="C992" s="83">
        <f t="shared" si="481"/>
        <v>302</v>
      </c>
      <c r="D992" s="14">
        <f t="shared" si="467"/>
        <v>2.6283369587845051E-3</v>
      </c>
      <c r="E992" s="16">
        <f t="shared" si="468"/>
        <v>0</v>
      </c>
      <c r="F992" s="127"/>
      <c r="G992" s="88">
        <f t="shared" si="469"/>
        <v>0</v>
      </c>
      <c r="H992" s="89">
        <f t="shared" si="482"/>
        <v>4.1666666666666666E-3</v>
      </c>
      <c r="I992" s="219"/>
      <c r="J992" s="219"/>
      <c r="K992" s="6">
        <f t="shared" si="490"/>
        <v>0</v>
      </c>
      <c r="M992" s="6">
        <f t="shared" si="470"/>
        <v>0</v>
      </c>
      <c r="N992" s="6">
        <f t="shared" si="471"/>
        <v>0</v>
      </c>
      <c r="O992" s="90">
        <f t="shared" si="472"/>
        <v>0</v>
      </c>
      <c r="P992" s="91">
        <f t="shared" si="473"/>
        <v>0</v>
      </c>
      <c r="Q992" s="6">
        <f t="shared" si="474"/>
        <v>0</v>
      </c>
      <c r="R992" s="87">
        <f t="shared" si="492"/>
        <v>0</v>
      </c>
      <c r="S992" s="6">
        <f t="shared" si="475"/>
        <v>0</v>
      </c>
      <c r="T992" s="83">
        <f t="shared" si="483"/>
        <v>0</v>
      </c>
      <c r="U992" s="91">
        <f t="shared" si="489"/>
        <v>0</v>
      </c>
      <c r="V992" s="91">
        <f t="shared" si="484"/>
        <v>0</v>
      </c>
      <c r="W992" s="1">
        <f t="shared" si="497"/>
        <v>0</v>
      </c>
      <c r="X992" s="1">
        <f t="shared" si="497"/>
        <v>0</v>
      </c>
      <c r="Y992" s="1">
        <f t="shared" si="497"/>
        <v>0</v>
      </c>
      <c r="Z992" s="1">
        <f t="shared" si="497"/>
        <v>0</v>
      </c>
      <c r="AA992" s="1">
        <f t="shared" si="497"/>
        <v>0</v>
      </c>
      <c r="AB992" s="1">
        <f t="shared" si="497"/>
        <v>0</v>
      </c>
      <c r="AC992" s="1">
        <f t="shared" si="497"/>
        <v>0</v>
      </c>
      <c r="AD992" s="1">
        <f t="shared" si="497"/>
        <v>0</v>
      </c>
      <c r="AE992" s="1">
        <f t="shared" si="497"/>
        <v>0</v>
      </c>
      <c r="AF992" s="1">
        <f t="shared" si="497"/>
        <v>1</v>
      </c>
      <c r="AG992" s="1">
        <f t="shared" si="497"/>
        <v>1</v>
      </c>
      <c r="AH992" s="1">
        <f t="shared" si="497"/>
        <v>1</v>
      </c>
      <c r="AI992" s="44">
        <f t="shared" si="485"/>
        <v>0</v>
      </c>
      <c r="AJ992" s="44">
        <f t="shared" si="476"/>
        <v>0</v>
      </c>
      <c r="AK992" s="44">
        <f t="shared" si="493"/>
        <v>0</v>
      </c>
      <c r="AL992" s="4">
        <f t="shared" si="477"/>
        <v>302</v>
      </c>
      <c r="AM992" s="82">
        <f t="shared" si="486"/>
        <v>0</v>
      </c>
      <c r="AN992" s="82">
        <f t="shared" si="478"/>
        <v>0</v>
      </c>
      <c r="AO992" s="48">
        <v>0</v>
      </c>
      <c r="AP992" s="91">
        <f t="shared" si="487"/>
        <v>0</v>
      </c>
      <c r="AQ992" s="91">
        <f t="shared" si="488"/>
        <v>0</v>
      </c>
    </row>
    <row r="993" spans="1:43">
      <c r="A993" s="190">
        <f t="shared" si="479"/>
        <v>90.970910335386719</v>
      </c>
      <c r="B993" s="82">
        <f t="shared" si="480"/>
        <v>26</v>
      </c>
      <c r="C993" s="83">
        <f t="shared" si="481"/>
        <v>303</v>
      </c>
      <c r="D993" s="14">
        <f t="shared" si="467"/>
        <v>2.6283369587845051E-3</v>
      </c>
      <c r="E993" s="16">
        <f t="shared" si="468"/>
        <v>0</v>
      </c>
      <c r="F993" s="127"/>
      <c r="G993" s="88">
        <f t="shared" si="469"/>
        <v>0</v>
      </c>
      <c r="H993" s="89">
        <f t="shared" si="482"/>
        <v>4.1666666666666666E-3</v>
      </c>
      <c r="I993" s="219"/>
      <c r="J993" s="219"/>
      <c r="K993" s="6">
        <f t="shared" si="490"/>
        <v>0</v>
      </c>
      <c r="M993" s="6">
        <f t="shared" si="470"/>
        <v>0</v>
      </c>
      <c r="N993" s="6">
        <f t="shared" si="471"/>
        <v>0</v>
      </c>
      <c r="O993" s="90">
        <f t="shared" si="472"/>
        <v>0</v>
      </c>
      <c r="P993" s="91">
        <f t="shared" si="473"/>
        <v>0</v>
      </c>
      <c r="Q993" s="6">
        <f t="shared" si="474"/>
        <v>0</v>
      </c>
      <c r="R993" s="87">
        <f t="shared" si="492"/>
        <v>0</v>
      </c>
      <c r="S993" s="6">
        <f t="shared" si="475"/>
        <v>0</v>
      </c>
      <c r="T993" s="83">
        <f t="shared" si="483"/>
        <v>0</v>
      </c>
      <c r="U993" s="91">
        <f t="shared" si="489"/>
        <v>0</v>
      </c>
      <c r="V993" s="91">
        <f t="shared" si="484"/>
        <v>0</v>
      </c>
      <c r="W993" s="1">
        <f t="shared" si="497"/>
        <v>0</v>
      </c>
      <c r="X993" s="1">
        <f t="shared" si="497"/>
        <v>0</v>
      </c>
      <c r="Y993" s="1">
        <f t="shared" si="497"/>
        <v>0</v>
      </c>
      <c r="Z993" s="1">
        <f t="shared" si="497"/>
        <v>0</v>
      </c>
      <c r="AA993" s="1">
        <f t="shared" si="497"/>
        <v>0</v>
      </c>
      <c r="AB993" s="1">
        <f t="shared" si="497"/>
        <v>0</v>
      </c>
      <c r="AC993" s="1">
        <f t="shared" si="497"/>
        <v>0</v>
      </c>
      <c r="AD993" s="1">
        <f t="shared" si="497"/>
        <v>0</v>
      </c>
      <c r="AE993" s="1">
        <f t="shared" si="497"/>
        <v>0</v>
      </c>
      <c r="AF993" s="1">
        <f t="shared" si="497"/>
        <v>1</v>
      </c>
      <c r="AG993" s="1">
        <f t="shared" si="497"/>
        <v>1</v>
      </c>
      <c r="AH993" s="1">
        <f t="shared" si="497"/>
        <v>1</v>
      </c>
      <c r="AI993" s="44">
        <f t="shared" si="485"/>
        <v>0</v>
      </c>
      <c r="AJ993" s="44">
        <f t="shared" si="476"/>
        <v>0</v>
      </c>
      <c r="AK993" s="44">
        <f t="shared" si="493"/>
        <v>0</v>
      </c>
      <c r="AL993" s="4">
        <f t="shared" si="477"/>
        <v>303</v>
      </c>
      <c r="AM993" s="82">
        <f t="shared" si="486"/>
        <v>0</v>
      </c>
      <c r="AN993" s="82">
        <f t="shared" si="478"/>
        <v>0</v>
      </c>
      <c r="AO993" s="48">
        <v>0</v>
      </c>
      <c r="AP993" s="91">
        <f t="shared" si="487"/>
        <v>0</v>
      </c>
      <c r="AQ993" s="91">
        <f t="shared" si="488"/>
        <v>0</v>
      </c>
    </row>
    <row r="994" spans="1:43">
      <c r="A994" s="190">
        <f t="shared" si="479"/>
        <v>91.054243668720048</v>
      </c>
      <c r="B994" s="82">
        <f t="shared" si="480"/>
        <v>26</v>
      </c>
      <c r="C994" s="83">
        <f t="shared" si="481"/>
        <v>304</v>
      </c>
      <c r="D994" s="14">
        <f t="shared" si="467"/>
        <v>2.6283369587845051E-3</v>
      </c>
      <c r="E994" s="16">
        <f t="shared" si="468"/>
        <v>0</v>
      </c>
      <c r="F994" s="127"/>
      <c r="G994" s="88">
        <f t="shared" si="469"/>
        <v>0</v>
      </c>
      <c r="H994" s="89">
        <f t="shared" si="482"/>
        <v>4.1666666666666666E-3</v>
      </c>
      <c r="I994" s="219"/>
      <c r="J994" s="219"/>
      <c r="K994" s="6">
        <f t="shared" si="490"/>
        <v>0</v>
      </c>
      <c r="M994" s="6">
        <f t="shared" si="470"/>
        <v>0</v>
      </c>
      <c r="N994" s="6">
        <f t="shared" si="471"/>
        <v>0</v>
      </c>
      <c r="O994" s="90">
        <f t="shared" si="472"/>
        <v>0</v>
      </c>
      <c r="P994" s="91">
        <f t="shared" si="473"/>
        <v>0</v>
      </c>
      <c r="Q994" s="6">
        <f t="shared" si="474"/>
        <v>0</v>
      </c>
      <c r="R994" s="87">
        <f t="shared" si="492"/>
        <v>0</v>
      </c>
      <c r="S994" s="6">
        <f t="shared" si="475"/>
        <v>0</v>
      </c>
      <c r="T994" s="83">
        <f t="shared" si="483"/>
        <v>0</v>
      </c>
      <c r="U994" s="91">
        <f t="shared" si="489"/>
        <v>0</v>
      </c>
      <c r="V994" s="91">
        <f t="shared" si="484"/>
        <v>0</v>
      </c>
      <c r="W994" s="1">
        <f t="shared" si="497"/>
        <v>0</v>
      </c>
      <c r="X994" s="1">
        <f t="shared" si="497"/>
        <v>0</v>
      </c>
      <c r="Y994" s="1">
        <f t="shared" si="497"/>
        <v>0</v>
      </c>
      <c r="Z994" s="1">
        <f t="shared" si="497"/>
        <v>0</v>
      </c>
      <c r="AA994" s="1">
        <f t="shared" si="497"/>
        <v>0</v>
      </c>
      <c r="AB994" s="1">
        <f t="shared" si="497"/>
        <v>0</v>
      </c>
      <c r="AC994" s="1">
        <f t="shared" si="497"/>
        <v>0</v>
      </c>
      <c r="AD994" s="1">
        <f t="shared" si="497"/>
        <v>0</v>
      </c>
      <c r="AE994" s="1">
        <f t="shared" si="497"/>
        <v>0</v>
      </c>
      <c r="AF994" s="1">
        <f t="shared" si="497"/>
        <v>1</v>
      </c>
      <c r="AG994" s="1">
        <f t="shared" si="497"/>
        <v>1</v>
      </c>
      <c r="AH994" s="1">
        <f t="shared" si="497"/>
        <v>1</v>
      </c>
      <c r="AI994" s="44">
        <f t="shared" si="485"/>
        <v>0</v>
      </c>
      <c r="AJ994" s="44">
        <f t="shared" si="476"/>
        <v>0</v>
      </c>
      <c r="AK994" s="44">
        <f t="shared" si="493"/>
        <v>0</v>
      </c>
      <c r="AL994" s="4">
        <f t="shared" si="477"/>
        <v>304</v>
      </c>
      <c r="AM994" s="82">
        <f t="shared" si="486"/>
        <v>0</v>
      </c>
      <c r="AN994" s="82">
        <f t="shared" si="478"/>
        <v>0</v>
      </c>
      <c r="AO994" s="48">
        <v>0</v>
      </c>
      <c r="AP994" s="91">
        <f t="shared" si="487"/>
        <v>0</v>
      </c>
      <c r="AQ994" s="91">
        <f t="shared" si="488"/>
        <v>0</v>
      </c>
    </row>
    <row r="995" spans="1:43">
      <c r="A995" s="190">
        <f t="shared" si="479"/>
        <v>91.137577002053376</v>
      </c>
      <c r="B995" s="82">
        <f t="shared" si="480"/>
        <v>26</v>
      </c>
      <c r="C995" s="83">
        <f t="shared" si="481"/>
        <v>305</v>
      </c>
      <c r="D995" s="14">
        <f t="shared" si="467"/>
        <v>2.6283369587845051E-3</v>
      </c>
      <c r="E995" s="16">
        <f t="shared" si="468"/>
        <v>0</v>
      </c>
      <c r="F995" s="127"/>
      <c r="G995" s="88">
        <f t="shared" si="469"/>
        <v>0</v>
      </c>
      <c r="H995" s="89">
        <f t="shared" si="482"/>
        <v>4.1666666666666666E-3</v>
      </c>
      <c r="I995" s="219"/>
      <c r="J995" s="219"/>
      <c r="K995" s="6">
        <f t="shared" si="490"/>
        <v>0</v>
      </c>
      <c r="M995" s="6">
        <f t="shared" si="470"/>
        <v>0</v>
      </c>
      <c r="N995" s="6">
        <f t="shared" si="471"/>
        <v>0</v>
      </c>
      <c r="O995" s="90">
        <f t="shared" si="472"/>
        <v>0</v>
      </c>
      <c r="P995" s="91">
        <f t="shared" si="473"/>
        <v>0</v>
      </c>
      <c r="Q995" s="6">
        <f t="shared" si="474"/>
        <v>0</v>
      </c>
      <c r="R995" s="87">
        <f t="shared" si="492"/>
        <v>0</v>
      </c>
      <c r="S995" s="6">
        <f t="shared" si="475"/>
        <v>0</v>
      </c>
      <c r="T995" s="83">
        <f t="shared" si="483"/>
        <v>0</v>
      </c>
      <c r="U995" s="91">
        <f t="shared" si="489"/>
        <v>0</v>
      </c>
      <c r="V995" s="91">
        <f t="shared" si="484"/>
        <v>0</v>
      </c>
      <c r="W995" s="1">
        <f t="shared" si="497"/>
        <v>0</v>
      </c>
      <c r="X995" s="1">
        <f t="shared" si="497"/>
        <v>0</v>
      </c>
      <c r="Y995" s="1">
        <f t="shared" si="497"/>
        <v>0</v>
      </c>
      <c r="Z995" s="1">
        <f t="shared" si="497"/>
        <v>0</v>
      </c>
      <c r="AA995" s="1">
        <f t="shared" si="497"/>
        <v>0</v>
      </c>
      <c r="AB995" s="1">
        <f t="shared" si="497"/>
        <v>0</v>
      </c>
      <c r="AC995" s="1">
        <f t="shared" si="497"/>
        <v>0</v>
      </c>
      <c r="AD995" s="1">
        <f t="shared" si="497"/>
        <v>0</v>
      </c>
      <c r="AE995" s="1">
        <f t="shared" si="497"/>
        <v>0</v>
      </c>
      <c r="AF995" s="1">
        <f t="shared" si="497"/>
        <v>1</v>
      </c>
      <c r="AG995" s="1">
        <f t="shared" si="497"/>
        <v>1</v>
      </c>
      <c r="AH995" s="1">
        <f t="shared" si="497"/>
        <v>1</v>
      </c>
      <c r="AI995" s="44">
        <f t="shared" si="485"/>
        <v>0</v>
      </c>
      <c r="AJ995" s="44">
        <f t="shared" si="476"/>
        <v>0</v>
      </c>
      <c r="AK995" s="44">
        <f t="shared" si="493"/>
        <v>0</v>
      </c>
      <c r="AL995" s="4">
        <f t="shared" si="477"/>
        <v>305</v>
      </c>
      <c r="AM995" s="82">
        <f t="shared" si="486"/>
        <v>0</v>
      </c>
      <c r="AN995" s="82">
        <f t="shared" si="478"/>
        <v>0</v>
      </c>
      <c r="AO995" s="48">
        <v>0</v>
      </c>
      <c r="AP995" s="91">
        <f t="shared" si="487"/>
        <v>0</v>
      </c>
      <c r="AQ995" s="91">
        <f t="shared" si="488"/>
        <v>0</v>
      </c>
    </row>
    <row r="996" spans="1:43">
      <c r="A996" s="190">
        <f t="shared" si="479"/>
        <v>91.220910335386719</v>
      </c>
      <c r="B996" s="82">
        <f t="shared" si="480"/>
        <v>26</v>
      </c>
      <c r="C996" s="83">
        <f t="shared" si="481"/>
        <v>306</v>
      </c>
      <c r="D996" s="14">
        <f t="shared" si="467"/>
        <v>2.6283369587845051E-3</v>
      </c>
      <c r="E996" s="16">
        <f t="shared" si="468"/>
        <v>0</v>
      </c>
      <c r="F996" s="127"/>
      <c r="G996" s="88">
        <f t="shared" si="469"/>
        <v>0</v>
      </c>
      <c r="H996" s="89">
        <f t="shared" si="482"/>
        <v>4.1666666666666666E-3</v>
      </c>
      <c r="I996" s="219"/>
      <c r="J996" s="219"/>
      <c r="K996" s="6">
        <f t="shared" si="490"/>
        <v>0</v>
      </c>
      <c r="M996" s="6">
        <f t="shared" si="470"/>
        <v>0</v>
      </c>
      <c r="N996" s="6">
        <f t="shared" si="471"/>
        <v>0</v>
      </c>
      <c r="O996" s="90">
        <f t="shared" si="472"/>
        <v>0</v>
      </c>
      <c r="P996" s="91">
        <f t="shared" si="473"/>
        <v>0</v>
      </c>
      <c r="Q996" s="6">
        <f t="shared" si="474"/>
        <v>0</v>
      </c>
      <c r="R996" s="87">
        <f t="shared" si="492"/>
        <v>0</v>
      </c>
      <c r="S996" s="6">
        <f t="shared" si="475"/>
        <v>0</v>
      </c>
      <c r="T996" s="83">
        <f t="shared" si="483"/>
        <v>0</v>
      </c>
      <c r="U996" s="91">
        <f t="shared" si="489"/>
        <v>0</v>
      </c>
      <c r="V996" s="91">
        <f t="shared" si="484"/>
        <v>0</v>
      </c>
      <c r="W996" s="1">
        <f t="shared" si="497"/>
        <v>0</v>
      </c>
      <c r="X996" s="1">
        <f t="shared" si="497"/>
        <v>0</v>
      </c>
      <c r="Y996" s="1">
        <f t="shared" si="497"/>
        <v>0</v>
      </c>
      <c r="Z996" s="1">
        <f t="shared" si="497"/>
        <v>0</v>
      </c>
      <c r="AA996" s="1">
        <f t="shared" si="497"/>
        <v>0</v>
      </c>
      <c r="AB996" s="1">
        <f t="shared" si="497"/>
        <v>0</v>
      </c>
      <c r="AC996" s="1">
        <f t="shared" si="497"/>
        <v>0</v>
      </c>
      <c r="AD996" s="1">
        <f t="shared" si="497"/>
        <v>0</v>
      </c>
      <c r="AE996" s="1">
        <f t="shared" si="497"/>
        <v>0</v>
      </c>
      <c r="AF996" s="1">
        <f t="shared" si="497"/>
        <v>1</v>
      </c>
      <c r="AG996" s="1">
        <f t="shared" si="497"/>
        <v>1</v>
      </c>
      <c r="AH996" s="1">
        <f t="shared" si="497"/>
        <v>1</v>
      </c>
      <c r="AI996" s="44">
        <f t="shared" si="485"/>
        <v>0</v>
      </c>
      <c r="AJ996" s="44">
        <f t="shared" si="476"/>
        <v>0</v>
      </c>
      <c r="AK996" s="44">
        <f t="shared" si="493"/>
        <v>0</v>
      </c>
      <c r="AL996" s="4">
        <f t="shared" si="477"/>
        <v>306</v>
      </c>
      <c r="AM996" s="82">
        <f t="shared" si="486"/>
        <v>0</v>
      </c>
      <c r="AN996" s="82">
        <f t="shared" si="478"/>
        <v>0</v>
      </c>
      <c r="AO996" s="48">
        <v>0</v>
      </c>
      <c r="AP996" s="91">
        <f t="shared" si="487"/>
        <v>0</v>
      </c>
      <c r="AQ996" s="91">
        <f t="shared" si="488"/>
        <v>0</v>
      </c>
    </row>
    <row r="997" spans="1:43">
      <c r="A997" s="190">
        <f t="shared" si="479"/>
        <v>91.304243668720048</v>
      </c>
      <c r="B997" s="82">
        <f t="shared" si="480"/>
        <v>26</v>
      </c>
      <c r="C997" s="83">
        <f t="shared" si="481"/>
        <v>307</v>
      </c>
      <c r="D997" s="14">
        <f t="shared" si="467"/>
        <v>2.6283369587845051E-3</v>
      </c>
      <c r="E997" s="16">
        <f t="shared" si="468"/>
        <v>0</v>
      </c>
      <c r="F997" s="127"/>
      <c r="G997" s="88">
        <f t="shared" si="469"/>
        <v>0</v>
      </c>
      <c r="H997" s="89">
        <f t="shared" si="482"/>
        <v>4.1666666666666666E-3</v>
      </c>
      <c r="I997" s="219"/>
      <c r="J997" s="219"/>
      <c r="K997" s="6">
        <f t="shared" si="490"/>
        <v>0</v>
      </c>
      <c r="M997" s="6">
        <f t="shared" si="470"/>
        <v>0</v>
      </c>
      <c r="N997" s="6">
        <f t="shared" si="471"/>
        <v>0</v>
      </c>
      <c r="O997" s="90">
        <f t="shared" si="472"/>
        <v>0</v>
      </c>
      <c r="P997" s="91">
        <f t="shared" si="473"/>
        <v>0</v>
      </c>
      <c r="Q997" s="6">
        <f t="shared" si="474"/>
        <v>0</v>
      </c>
      <c r="R997" s="87">
        <f t="shared" si="492"/>
        <v>0</v>
      </c>
      <c r="S997" s="6">
        <f t="shared" si="475"/>
        <v>0</v>
      </c>
      <c r="T997" s="83">
        <f t="shared" si="483"/>
        <v>0</v>
      </c>
      <c r="U997" s="91">
        <f t="shared" si="489"/>
        <v>0</v>
      </c>
      <c r="V997" s="91">
        <f t="shared" si="484"/>
        <v>0</v>
      </c>
      <c r="W997" s="1">
        <f t="shared" si="497"/>
        <v>0</v>
      </c>
      <c r="X997" s="1">
        <f t="shared" si="497"/>
        <v>0</v>
      </c>
      <c r="Y997" s="1">
        <f t="shared" si="497"/>
        <v>0</v>
      </c>
      <c r="Z997" s="1">
        <f t="shared" si="497"/>
        <v>0</v>
      </c>
      <c r="AA997" s="1">
        <f t="shared" si="497"/>
        <v>0</v>
      </c>
      <c r="AB997" s="1">
        <f t="shared" si="497"/>
        <v>0</v>
      </c>
      <c r="AC997" s="1">
        <f t="shared" si="497"/>
        <v>0</v>
      </c>
      <c r="AD997" s="1">
        <f t="shared" si="497"/>
        <v>0</v>
      </c>
      <c r="AE997" s="1">
        <f t="shared" si="497"/>
        <v>0</v>
      </c>
      <c r="AF997" s="1">
        <f t="shared" si="497"/>
        <v>1</v>
      </c>
      <c r="AG997" s="1">
        <f t="shared" si="497"/>
        <v>1</v>
      </c>
      <c r="AH997" s="1">
        <f t="shared" si="497"/>
        <v>1</v>
      </c>
      <c r="AI997" s="44">
        <f t="shared" si="485"/>
        <v>0</v>
      </c>
      <c r="AJ997" s="44">
        <f t="shared" si="476"/>
        <v>0</v>
      </c>
      <c r="AK997" s="44">
        <f t="shared" si="493"/>
        <v>0</v>
      </c>
      <c r="AL997" s="4">
        <f t="shared" si="477"/>
        <v>307</v>
      </c>
      <c r="AM997" s="82">
        <f t="shared" si="486"/>
        <v>0</v>
      </c>
      <c r="AN997" s="82">
        <f t="shared" si="478"/>
        <v>0</v>
      </c>
      <c r="AO997" s="48">
        <v>0</v>
      </c>
      <c r="AP997" s="91">
        <f t="shared" si="487"/>
        <v>0</v>
      </c>
      <c r="AQ997" s="91">
        <f t="shared" si="488"/>
        <v>0</v>
      </c>
    </row>
    <row r="998" spans="1:43">
      <c r="A998" s="190">
        <f t="shared" si="479"/>
        <v>91.387577002053376</v>
      </c>
      <c r="B998" s="82">
        <f t="shared" si="480"/>
        <v>26</v>
      </c>
      <c r="C998" s="83">
        <f t="shared" si="481"/>
        <v>308</v>
      </c>
      <c r="D998" s="14">
        <f t="shared" si="467"/>
        <v>2.6283369587845051E-3</v>
      </c>
      <c r="E998" s="16">
        <f t="shared" si="468"/>
        <v>0</v>
      </c>
      <c r="F998" s="127"/>
      <c r="G998" s="88">
        <f t="shared" si="469"/>
        <v>0</v>
      </c>
      <c r="H998" s="89">
        <f t="shared" si="482"/>
        <v>4.1666666666666666E-3</v>
      </c>
      <c r="I998" s="219"/>
      <c r="J998" s="219"/>
      <c r="K998" s="6">
        <f t="shared" si="490"/>
        <v>0</v>
      </c>
      <c r="M998" s="6">
        <f t="shared" si="470"/>
        <v>0</v>
      </c>
      <c r="N998" s="6">
        <f t="shared" si="471"/>
        <v>0</v>
      </c>
      <c r="O998" s="90">
        <f t="shared" si="472"/>
        <v>0</v>
      </c>
      <c r="P998" s="91">
        <f t="shared" si="473"/>
        <v>0</v>
      </c>
      <c r="Q998" s="6">
        <f t="shared" si="474"/>
        <v>0</v>
      </c>
      <c r="R998" s="87">
        <f t="shared" si="492"/>
        <v>0</v>
      </c>
      <c r="S998" s="6">
        <f t="shared" si="475"/>
        <v>0</v>
      </c>
      <c r="T998" s="83">
        <f t="shared" si="483"/>
        <v>0</v>
      </c>
      <c r="U998" s="91">
        <f t="shared" si="489"/>
        <v>0</v>
      </c>
      <c r="V998" s="91">
        <f t="shared" si="484"/>
        <v>0</v>
      </c>
      <c r="W998" s="1">
        <f t="shared" si="497"/>
        <v>0</v>
      </c>
      <c r="X998" s="1">
        <f t="shared" si="497"/>
        <v>0</v>
      </c>
      <c r="Y998" s="1">
        <f t="shared" si="497"/>
        <v>0</v>
      </c>
      <c r="Z998" s="1">
        <f t="shared" si="497"/>
        <v>0</v>
      </c>
      <c r="AA998" s="1">
        <f t="shared" si="497"/>
        <v>0</v>
      </c>
      <c r="AB998" s="1">
        <f t="shared" si="497"/>
        <v>0</v>
      </c>
      <c r="AC998" s="1">
        <f t="shared" si="497"/>
        <v>0</v>
      </c>
      <c r="AD998" s="1">
        <f t="shared" si="497"/>
        <v>0</v>
      </c>
      <c r="AE998" s="1">
        <f t="shared" si="497"/>
        <v>0</v>
      </c>
      <c r="AF998" s="1">
        <f t="shared" si="497"/>
        <v>1</v>
      </c>
      <c r="AG998" s="1">
        <f t="shared" si="497"/>
        <v>1</v>
      </c>
      <c r="AH998" s="1">
        <f t="shared" si="497"/>
        <v>1</v>
      </c>
      <c r="AI998" s="44">
        <f t="shared" si="485"/>
        <v>0</v>
      </c>
      <c r="AJ998" s="44">
        <f t="shared" si="476"/>
        <v>0</v>
      </c>
      <c r="AK998" s="44">
        <f t="shared" si="493"/>
        <v>0</v>
      </c>
      <c r="AL998" s="4">
        <f t="shared" si="477"/>
        <v>308</v>
      </c>
      <c r="AM998" s="82">
        <f t="shared" si="486"/>
        <v>0</v>
      </c>
      <c r="AN998" s="82">
        <f t="shared" si="478"/>
        <v>0</v>
      </c>
      <c r="AO998" s="48">
        <v>0</v>
      </c>
      <c r="AP998" s="91">
        <f t="shared" si="487"/>
        <v>0</v>
      </c>
      <c r="AQ998" s="91">
        <f t="shared" si="488"/>
        <v>0</v>
      </c>
    </row>
    <row r="999" spans="1:43">
      <c r="A999" s="190">
        <f t="shared" si="479"/>
        <v>91.470910335386719</v>
      </c>
      <c r="B999" s="82">
        <f t="shared" si="480"/>
        <v>26</v>
      </c>
      <c r="C999" s="83">
        <f t="shared" si="481"/>
        <v>309</v>
      </c>
      <c r="D999" s="14">
        <f t="shared" si="467"/>
        <v>2.6283369587845051E-3</v>
      </c>
      <c r="E999" s="16">
        <f t="shared" si="468"/>
        <v>0</v>
      </c>
      <c r="F999" s="127"/>
      <c r="G999" s="88">
        <f t="shared" si="469"/>
        <v>0</v>
      </c>
      <c r="H999" s="89">
        <f t="shared" si="482"/>
        <v>4.1666666666666666E-3</v>
      </c>
      <c r="I999" s="219"/>
      <c r="J999" s="219"/>
      <c r="K999" s="6">
        <f t="shared" si="490"/>
        <v>0</v>
      </c>
      <c r="M999" s="6">
        <f t="shared" si="470"/>
        <v>0</v>
      </c>
      <c r="N999" s="6">
        <f t="shared" si="471"/>
        <v>0</v>
      </c>
      <c r="O999" s="90">
        <f t="shared" si="472"/>
        <v>0</v>
      </c>
      <c r="P999" s="91">
        <f t="shared" si="473"/>
        <v>0</v>
      </c>
      <c r="Q999" s="6">
        <f t="shared" si="474"/>
        <v>0</v>
      </c>
      <c r="R999" s="87">
        <f t="shared" si="492"/>
        <v>0</v>
      </c>
      <c r="S999" s="6">
        <f t="shared" si="475"/>
        <v>0</v>
      </c>
      <c r="T999" s="83">
        <f t="shared" si="483"/>
        <v>0</v>
      </c>
      <c r="U999" s="91">
        <f t="shared" si="489"/>
        <v>0</v>
      </c>
      <c r="V999" s="91">
        <f t="shared" si="484"/>
        <v>0</v>
      </c>
      <c r="W999" s="1">
        <f t="shared" si="497"/>
        <v>0</v>
      </c>
      <c r="X999" s="1">
        <f t="shared" si="497"/>
        <v>0</v>
      </c>
      <c r="Y999" s="1">
        <f t="shared" si="497"/>
        <v>0</v>
      </c>
      <c r="Z999" s="1">
        <f t="shared" si="497"/>
        <v>0</v>
      </c>
      <c r="AA999" s="1">
        <f t="shared" si="497"/>
        <v>0</v>
      </c>
      <c r="AB999" s="1">
        <f t="shared" si="497"/>
        <v>0</v>
      </c>
      <c r="AC999" s="1">
        <f t="shared" si="497"/>
        <v>0</v>
      </c>
      <c r="AD999" s="1">
        <f t="shared" si="497"/>
        <v>0</v>
      </c>
      <c r="AE999" s="1">
        <f t="shared" si="497"/>
        <v>0</v>
      </c>
      <c r="AF999" s="1">
        <f t="shared" si="497"/>
        <v>1</v>
      </c>
      <c r="AG999" s="1">
        <f t="shared" si="497"/>
        <v>1</v>
      </c>
      <c r="AH999" s="1">
        <f t="shared" si="497"/>
        <v>1</v>
      </c>
      <c r="AI999" s="44">
        <f t="shared" si="485"/>
        <v>0</v>
      </c>
      <c r="AJ999" s="44">
        <f t="shared" si="476"/>
        <v>0</v>
      </c>
      <c r="AK999" s="44">
        <f t="shared" si="493"/>
        <v>0</v>
      </c>
      <c r="AL999" s="4">
        <f t="shared" si="477"/>
        <v>309</v>
      </c>
      <c r="AM999" s="82">
        <f t="shared" si="486"/>
        <v>0</v>
      </c>
      <c r="AN999" s="82">
        <f t="shared" si="478"/>
        <v>0</v>
      </c>
      <c r="AO999" s="48">
        <v>0</v>
      </c>
      <c r="AP999" s="91">
        <f t="shared" si="487"/>
        <v>0</v>
      </c>
      <c r="AQ999" s="91">
        <f t="shared" si="488"/>
        <v>0</v>
      </c>
    </row>
    <row r="1000" spans="1:43">
      <c r="A1000" s="190">
        <f t="shared" si="479"/>
        <v>91.554243668720048</v>
      </c>
      <c r="B1000" s="82">
        <f t="shared" si="480"/>
        <v>26</v>
      </c>
      <c r="C1000" s="83">
        <f t="shared" si="481"/>
        <v>310</v>
      </c>
      <c r="D1000" s="14">
        <f t="shared" si="467"/>
        <v>2.6283369587845051E-3</v>
      </c>
      <c r="E1000" s="16">
        <f t="shared" si="468"/>
        <v>0</v>
      </c>
      <c r="F1000" s="127"/>
      <c r="G1000" s="88">
        <f t="shared" si="469"/>
        <v>0</v>
      </c>
      <c r="H1000" s="89">
        <f t="shared" si="482"/>
        <v>4.1666666666666666E-3</v>
      </c>
      <c r="I1000" s="219"/>
      <c r="J1000" s="219"/>
      <c r="K1000" s="6">
        <f t="shared" si="490"/>
        <v>0</v>
      </c>
      <c r="M1000" s="6">
        <f t="shared" si="470"/>
        <v>0</v>
      </c>
      <c r="N1000" s="6">
        <f t="shared" si="471"/>
        <v>0</v>
      </c>
      <c r="O1000" s="90">
        <f t="shared" si="472"/>
        <v>0</v>
      </c>
      <c r="P1000" s="91">
        <f t="shared" si="473"/>
        <v>0</v>
      </c>
      <c r="Q1000" s="6">
        <f t="shared" si="474"/>
        <v>0</v>
      </c>
      <c r="R1000" s="87">
        <f t="shared" si="492"/>
        <v>0</v>
      </c>
      <c r="S1000" s="6">
        <f t="shared" si="475"/>
        <v>0</v>
      </c>
      <c r="T1000" s="83">
        <f t="shared" si="483"/>
        <v>0</v>
      </c>
      <c r="U1000" s="91">
        <f t="shared" si="489"/>
        <v>0</v>
      </c>
      <c r="V1000" s="91">
        <f t="shared" si="484"/>
        <v>0</v>
      </c>
      <c r="W1000" s="1">
        <f t="shared" si="497"/>
        <v>0</v>
      </c>
      <c r="X1000" s="1">
        <f t="shared" si="497"/>
        <v>0</v>
      </c>
      <c r="Y1000" s="1">
        <f t="shared" si="497"/>
        <v>0</v>
      </c>
      <c r="Z1000" s="1">
        <f t="shared" si="497"/>
        <v>0</v>
      </c>
      <c r="AA1000" s="1">
        <f t="shared" si="497"/>
        <v>0</v>
      </c>
      <c r="AB1000" s="1">
        <f t="shared" si="497"/>
        <v>0</v>
      </c>
      <c r="AC1000" s="1">
        <f t="shared" si="497"/>
        <v>0</v>
      </c>
      <c r="AD1000" s="1">
        <f t="shared" si="497"/>
        <v>0</v>
      </c>
      <c r="AE1000" s="1">
        <f t="shared" si="497"/>
        <v>0</v>
      </c>
      <c r="AF1000" s="1">
        <f t="shared" si="497"/>
        <v>1</v>
      </c>
      <c r="AG1000" s="1">
        <f t="shared" si="497"/>
        <v>1</v>
      </c>
      <c r="AH1000" s="1">
        <f t="shared" si="497"/>
        <v>1</v>
      </c>
      <c r="AI1000" s="44">
        <f t="shared" si="485"/>
        <v>0</v>
      </c>
      <c r="AJ1000" s="44">
        <f t="shared" si="476"/>
        <v>0</v>
      </c>
      <c r="AK1000" s="44">
        <f t="shared" si="493"/>
        <v>0</v>
      </c>
      <c r="AL1000" s="4">
        <f t="shared" si="477"/>
        <v>310</v>
      </c>
      <c r="AM1000" s="82">
        <f t="shared" si="486"/>
        <v>0</v>
      </c>
      <c r="AN1000" s="82">
        <f t="shared" si="478"/>
        <v>0</v>
      </c>
      <c r="AO1000" s="48">
        <v>0</v>
      </c>
      <c r="AP1000" s="91">
        <f t="shared" si="487"/>
        <v>0</v>
      </c>
      <c r="AQ1000" s="91">
        <f t="shared" si="488"/>
        <v>0</v>
      </c>
    </row>
    <row r="1001" spans="1:43">
      <c r="A1001" s="190">
        <f t="shared" si="479"/>
        <v>91.637577002053376</v>
      </c>
      <c r="B1001" s="82">
        <f t="shared" si="480"/>
        <v>26</v>
      </c>
      <c r="C1001" s="83">
        <f t="shared" si="481"/>
        <v>311</v>
      </c>
      <c r="D1001" s="14">
        <f t="shared" si="467"/>
        <v>2.6283369587845051E-3</v>
      </c>
      <c r="E1001" s="16">
        <f t="shared" si="468"/>
        <v>0</v>
      </c>
      <c r="F1001" s="127"/>
      <c r="G1001" s="88">
        <f t="shared" si="469"/>
        <v>0</v>
      </c>
      <c r="H1001" s="89">
        <f t="shared" si="482"/>
        <v>4.1666666666666666E-3</v>
      </c>
      <c r="I1001" s="219"/>
      <c r="J1001" s="219"/>
      <c r="K1001" s="6">
        <f t="shared" si="490"/>
        <v>0</v>
      </c>
      <c r="M1001" s="6">
        <f t="shared" si="470"/>
        <v>0</v>
      </c>
      <c r="N1001" s="6">
        <f t="shared" si="471"/>
        <v>0</v>
      </c>
      <c r="O1001" s="90">
        <f t="shared" si="472"/>
        <v>0</v>
      </c>
      <c r="P1001" s="91">
        <f t="shared" si="473"/>
        <v>0</v>
      </c>
      <c r="Q1001" s="6">
        <f t="shared" si="474"/>
        <v>0</v>
      </c>
      <c r="R1001" s="87">
        <f t="shared" si="492"/>
        <v>0</v>
      </c>
      <c r="S1001" s="6">
        <f t="shared" si="475"/>
        <v>0</v>
      </c>
      <c r="T1001" s="83">
        <f t="shared" si="483"/>
        <v>0</v>
      </c>
      <c r="U1001" s="91">
        <f t="shared" si="489"/>
        <v>0</v>
      </c>
      <c r="V1001" s="91">
        <f t="shared" si="484"/>
        <v>0</v>
      </c>
      <c r="W1001" s="1">
        <f t="shared" ref="W1001:AH1010" si="498">IF($B1001&lt;=W$78,1,0)</f>
        <v>0</v>
      </c>
      <c r="X1001" s="1">
        <f t="shared" si="498"/>
        <v>0</v>
      </c>
      <c r="Y1001" s="1">
        <f t="shared" si="498"/>
        <v>0</v>
      </c>
      <c r="Z1001" s="1">
        <f t="shared" si="498"/>
        <v>0</v>
      </c>
      <c r="AA1001" s="1">
        <f t="shared" si="498"/>
        <v>0</v>
      </c>
      <c r="AB1001" s="1">
        <f t="shared" si="498"/>
        <v>0</v>
      </c>
      <c r="AC1001" s="1">
        <f t="shared" si="498"/>
        <v>0</v>
      </c>
      <c r="AD1001" s="1">
        <f t="shared" si="498"/>
        <v>0</v>
      </c>
      <c r="AE1001" s="1">
        <f t="shared" si="498"/>
        <v>0</v>
      </c>
      <c r="AF1001" s="1">
        <f t="shared" si="498"/>
        <v>1</v>
      </c>
      <c r="AG1001" s="1">
        <f t="shared" si="498"/>
        <v>1</v>
      </c>
      <c r="AH1001" s="1">
        <f t="shared" si="498"/>
        <v>1</v>
      </c>
      <c r="AI1001" s="44">
        <f t="shared" si="485"/>
        <v>0</v>
      </c>
      <c r="AJ1001" s="44">
        <f t="shared" si="476"/>
        <v>0</v>
      </c>
      <c r="AK1001" s="44">
        <f t="shared" si="493"/>
        <v>0</v>
      </c>
      <c r="AL1001" s="4">
        <f t="shared" si="477"/>
        <v>311</v>
      </c>
      <c r="AM1001" s="82">
        <f t="shared" si="486"/>
        <v>0</v>
      </c>
      <c r="AN1001" s="82">
        <f t="shared" si="478"/>
        <v>0</v>
      </c>
      <c r="AO1001" s="48">
        <v>0</v>
      </c>
      <c r="AP1001" s="91">
        <f t="shared" si="487"/>
        <v>0</v>
      </c>
      <c r="AQ1001" s="91">
        <f t="shared" si="488"/>
        <v>0</v>
      </c>
    </row>
    <row r="1002" spans="1:43">
      <c r="A1002" s="190">
        <f t="shared" si="479"/>
        <v>91.720910335386719</v>
      </c>
      <c r="B1002" s="82">
        <f t="shared" si="480"/>
        <v>26</v>
      </c>
      <c r="C1002" s="83">
        <f t="shared" si="481"/>
        <v>312</v>
      </c>
      <c r="D1002" s="14">
        <f t="shared" si="467"/>
        <v>2.6283369587845051E-3</v>
      </c>
      <c r="E1002" s="16">
        <f t="shared" si="468"/>
        <v>0</v>
      </c>
      <c r="F1002" s="127"/>
      <c r="G1002" s="88">
        <f t="shared" si="469"/>
        <v>0</v>
      </c>
      <c r="H1002" s="89">
        <f t="shared" si="482"/>
        <v>4.1666666666666666E-3</v>
      </c>
      <c r="I1002" s="219"/>
      <c r="J1002" s="219"/>
      <c r="K1002" s="6">
        <f t="shared" si="490"/>
        <v>0</v>
      </c>
      <c r="M1002" s="6">
        <f t="shared" si="470"/>
        <v>0</v>
      </c>
      <c r="N1002" s="6">
        <f t="shared" si="471"/>
        <v>0</v>
      </c>
      <c r="O1002" s="90">
        <f t="shared" si="472"/>
        <v>0</v>
      </c>
      <c r="P1002" s="91">
        <f t="shared" si="473"/>
        <v>0</v>
      </c>
      <c r="Q1002" s="6">
        <f t="shared" si="474"/>
        <v>0</v>
      </c>
      <c r="R1002" s="87">
        <f t="shared" si="492"/>
        <v>0</v>
      </c>
      <c r="S1002" s="6">
        <f t="shared" si="475"/>
        <v>0</v>
      </c>
      <c r="T1002" s="83">
        <f t="shared" si="483"/>
        <v>0</v>
      </c>
      <c r="U1002" s="91">
        <f t="shared" si="489"/>
        <v>0</v>
      </c>
      <c r="V1002" s="91">
        <f t="shared" si="484"/>
        <v>0</v>
      </c>
      <c r="W1002" s="1">
        <f t="shared" si="498"/>
        <v>0</v>
      </c>
      <c r="X1002" s="1">
        <f t="shared" si="498"/>
        <v>0</v>
      </c>
      <c r="Y1002" s="1">
        <f t="shared" si="498"/>
        <v>0</v>
      </c>
      <c r="Z1002" s="1">
        <f t="shared" si="498"/>
        <v>0</v>
      </c>
      <c r="AA1002" s="1">
        <f t="shared" si="498"/>
        <v>0</v>
      </c>
      <c r="AB1002" s="1">
        <f t="shared" si="498"/>
        <v>0</v>
      </c>
      <c r="AC1002" s="1">
        <f t="shared" si="498"/>
        <v>0</v>
      </c>
      <c r="AD1002" s="1">
        <f t="shared" si="498"/>
        <v>0</v>
      </c>
      <c r="AE1002" s="1">
        <f t="shared" si="498"/>
        <v>0</v>
      </c>
      <c r="AF1002" s="1">
        <f t="shared" si="498"/>
        <v>1</v>
      </c>
      <c r="AG1002" s="1">
        <f t="shared" si="498"/>
        <v>1</v>
      </c>
      <c r="AH1002" s="1">
        <f t="shared" si="498"/>
        <v>1</v>
      </c>
      <c r="AI1002" s="44">
        <f t="shared" si="485"/>
        <v>0</v>
      </c>
      <c r="AJ1002" s="44">
        <f t="shared" si="476"/>
        <v>0</v>
      </c>
      <c r="AK1002" s="44">
        <f t="shared" si="493"/>
        <v>0</v>
      </c>
      <c r="AL1002" s="4">
        <f t="shared" si="477"/>
        <v>312</v>
      </c>
      <c r="AM1002" s="82">
        <f t="shared" si="486"/>
        <v>0</v>
      </c>
      <c r="AN1002" s="82">
        <f t="shared" si="478"/>
        <v>0</v>
      </c>
      <c r="AO1002" s="48">
        <v>0</v>
      </c>
      <c r="AP1002" s="91">
        <f t="shared" si="487"/>
        <v>0</v>
      </c>
      <c r="AQ1002" s="91">
        <f t="shared" si="488"/>
        <v>0</v>
      </c>
    </row>
    <row r="1003" spans="1:43">
      <c r="A1003" s="190">
        <f t="shared" si="479"/>
        <v>91.804243668720048</v>
      </c>
      <c r="B1003" s="82">
        <f t="shared" si="480"/>
        <v>27</v>
      </c>
      <c r="C1003" s="83">
        <f t="shared" si="481"/>
        <v>313</v>
      </c>
      <c r="D1003" s="14">
        <f t="shared" si="467"/>
        <v>2.6283369587845051E-3</v>
      </c>
      <c r="E1003" s="16">
        <f t="shared" si="468"/>
        <v>0</v>
      </c>
      <c r="F1003" s="127"/>
      <c r="G1003" s="88">
        <f t="shared" si="469"/>
        <v>0</v>
      </c>
      <c r="H1003" s="89">
        <f t="shared" si="482"/>
        <v>4.1666666666666666E-3</v>
      </c>
      <c r="I1003" s="219"/>
      <c r="J1003" s="219"/>
      <c r="K1003" s="6">
        <f t="shared" si="490"/>
        <v>0</v>
      </c>
      <c r="M1003" s="6">
        <f t="shared" si="470"/>
        <v>0</v>
      </c>
      <c r="N1003" s="6">
        <f t="shared" si="471"/>
        <v>0</v>
      </c>
      <c r="O1003" s="90">
        <f t="shared" si="472"/>
        <v>0</v>
      </c>
      <c r="P1003" s="91">
        <f t="shared" si="473"/>
        <v>0</v>
      </c>
      <c r="Q1003" s="6">
        <f t="shared" si="474"/>
        <v>0</v>
      </c>
      <c r="R1003" s="87">
        <f t="shared" si="492"/>
        <v>0</v>
      </c>
      <c r="S1003" s="6">
        <f t="shared" si="475"/>
        <v>0</v>
      </c>
      <c r="T1003" s="83">
        <f t="shared" si="483"/>
        <v>0</v>
      </c>
      <c r="U1003" s="91">
        <f t="shared" si="489"/>
        <v>0</v>
      </c>
      <c r="V1003" s="91">
        <f t="shared" si="484"/>
        <v>0</v>
      </c>
      <c r="W1003" s="1">
        <f t="shared" si="498"/>
        <v>0</v>
      </c>
      <c r="X1003" s="1">
        <f t="shared" si="498"/>
        <v>0</v>
      </c>
      <c r="Y1003" s="1">
        <f t="shared" si="498"/>
        <v>0</v>
      </c>
      <c r="Z1003" s="1">
        <f t="shared" si="498"/>
        <v>0</v>
      </c>
      <c r="AA1003" s="1">
        <f t="shared" si="498"/>
        <v>0</v>
      </c>
      <c r="AB1003" s="1">
        <f t="shared" si="498"/>
        <v>0</v>
      </c>
      <c r="AC1003" s="1">
        <f t="shared" si="498"/>
        <v>0</v>
      </c>
      <c r="AD1003" s="1">
        <f t="shared" si="498"/>
        <v>0</v>
      </c>
      <c r="AE1003" s="1">
        <f t="shared" si="498"/>
        <v>0</v>
      </c>
      <c r="AF1003" s="1">
        <f t="shared" si="498"/>
        <v>1</v>
      </c>
      <c r="AG1003" s="1">
        <f t="shared" si="498"/>
        <v>1</v>
      </c>
      <c r="AH1003" s="1">
        <f t="shared" si="498"/>
        <v>1</v>
      </c>
      <c r="AI1003" s="44">
        <f t="shared" si="485"/>
        <v>0</v>
      </c>
      <c r="AJ1003" s="44">
        <f t="shared" si="476"/>
        <v>0</v>
      </c>
      <c r="AK1003" s="44">
        <f t="shared" si="493"/>
        <v>0</v>
      </c>
      <c r="AL1003" s="4">
        <f t="shared" si="477"/>
        <v>313</v>
      </c>
      <c r="AM1003" s="82">
        <f t="shared" si="486"/>
        <v>0</v>
      </c>
      <c r="AN1003" s="82">
        <f t="shared" si="478"/>
        <v>0</v>
      </c>
      <c r="AO1003" s="48">
        <v>0</v>
      </c>
      <c r="AP1003" s="91">
        <f t="shared" si="487"/>
        <v>0</v>
      </c>
      <c r="AQ1003" s="91">
        <f t="shared" si="488"/>
        <v>0</v>
      </c>
    </row>
    <row r="1004" spans="1:43">
      <c r="A1004" s="190">
        <f t="shared" si="479"/>
        <v>91.887577002053376</v>
      </c>
      <c r="B1004" s="82">
        <f t="shared" si="480"/>
        <v>27</v>
      </c>
      <c r="C1004" s="83">
        <f t="shared" si="481"/>
        <v>314</v>
      </c>
      <c r="D1004" s="14">
        <f t="shared" si="467"/>
        <v>2.6283369587845051E-3</v>
      </c>
      <c r="E1004" s="16">
        <f t="shared" si="468"/>
        <v>0</v>
      </c>
      <c r="F1004" s="127"/>
      <c r="G1004" s="88">
        <f t="shared" si="469"/>
        <v>0</v>
      </c>
      <c r="H1004" s="89">
        <f t="shared" si="482"/>
        <v>4.1666666666666666E-3</v>
      </c>
      <c r="I1004" s="219"/>
      <c r="J1004" s="219"/>
      <c r="K1004" s="6">
        <f t="shared" si="490"/>
        <v>0</v>
      </c>
      <c r="M1004" s="6">
        <f t="shared" si="470"/>
        <v>0</v>
      </c>
      <c r="N1004" s="6">
        <f t="shared" si="471"/>
        <v>0</v>
      </c>
      <c r="O1004" s="90">
        <f t="shared" si="472"/>
        <v>0</v>
      </c>
      <c r="P1004" s="91">
        <f t="shared" si="473"/>
        <v>0</v>
      </c>
      <c r="Q1004" s="6">
        <f t="shared" si="474"/>
        <v>0</v>
      </c>
      <c r="R1004" s="87">
        <f t="shared" si="492"/>
        <v>0</v>
      </c>
      <c r="S1004" s="6">
        <f t="shared" si="475"/>
        <v>0</v>
      </c>
      <c r="T1004" s="83">
        <f t="shared" si="483"/>
        <v>0</v>
      </c>
      <c r="U1004" s="91">
        <f t="shared" si="489"/>
        <v>0</v>
      </c>
      <c r="V1004" s="91">
        <f t="shared" si="484"/>
        <v>0</v>
      </c>
      <c r="W1004" s="1">
        <f t="shared" si="498"/>
        <v>0</v>
      </c>
      <c r="X1004" s="1">
        <f t="shared" si="498"/>
        <v>0</v>
      </c>
      <c r="Y1004" s="1">
        <f t="shared" si="498"/>
        <v>0</v>
      </c>
      <c r="Z1004" s="1">
        <f t="shared" si="498"/>
        <v>0</v>
      </c>
      <c r="AA1004" s="1">
        <f t="shared" si="498"/>
        <v>0</v>
      </c>
      <c r="AB1004" s="1">
        <f t="shared" si="498"/>
        <v>0</v>
      </c>
      <c r="AC1004" s="1">
        <f t="shared" si="498"/>
        <v>0</v>
      </c>
      <c r="AD1004" s="1">
        <f t="shared" si="498"/>
        <v>0</v>
      </c>
      <c r="AE1004" s="1">
        <f t="shared" si="498"/>
        <v>0</v>
      </c>
      <c r="AF1004" s="1">
        <f t="shared" si="498"/>
        <v>1</v>
      </c>
      <c r="AG1004" s="1">
        <f t="shared" si="498"/>
        <v>1</v>
      </c>
      <c r="AH1004" s="1">
        <f t="shared" si="498"/>
        <v>1</v>
      </c>
      <c r="AI1004" s="44">
        <f t="shared" si="485"/>
        <v>0</v>
      </c>
      <c r="AJ1004" s="44">
        <f t="shared" si="476"/>
        <v>0</v>
      </c>
      <c r="AK1004" s="44">
        <f t="shared" si="493"/>
        <v>0</v>
      </c>
      <c r="AL1004" s="4">
        <f t="shared" si="477"/>
        <v>314</v>
      </c>
      <c r="AM1004" s="82">
        <f t="shared" si="486"/>
        <v>0</v>
      </c>
      <c r="AN1004" s="82">
        <f t="shared" si="478"/>
        <v>0</v>
      </c>
      <c r="AO1004" s="48">
        <v>0</v>
      </c>
      <c r="AP1004" s="91">
        <f t="shared" si="487"/>
        <v>0</v>
      </c>
      <c r="AQ1004" s="91">
        <f t="shared" si="488"/>
        <v>0</v>
      </c>
    </row>
    <row r="1005" spans="1:43">
      <c r="A1005" s="190">
        <f t="shared" si="479"/>
        <v>91.970910335386719</v>
      </c>
      <c r="B1005" s="82">
        <f t="shared" si="480"/>
        <v>27</v>
      </c>
      <c r="C1005" s="83">
        <f t="shared" si="481"/>
        <v>315</v>
      </c>
      <c r="D1005" s="14">
        <f t="shared" si="467"/>
        <v>2.6283369587845051E-3</v>
      </c>
      <c r="E1005" s="16">
        <f t="shared" si="468"/>
        <v>0</v>
      </c>
      <c r="F1005" s="127"/>
      <c r="G1005" s="88">
        <f t="shared" si="469"/>
        <v>0</v>
      </c>
      <c r="H1005" s="89">
        <f t="shared" si="482"/>
        <v>4.1666666666666666E-3</v>
      </c>
      <c r="I1005" s="219"/>
      <c r="J1005" s="219"/>
      <c r="K1005" s="6">
        <f t="shared" si="490"/>
        <v>0</v>
      </c>
      <c r="M1005" s="6">
        <f t="shared" si="470"/>
        <v>0</v>
      </c>
      <c r="N1005" s="6">
        <f t="shared" si="471"/>
        <v>0</v>
      </c>
      <c r="O1005" s="90">
        <f t="shared" si="472"/>
        <v>0</v>
      </c>
      <c r="P1005" s="91">
        <f t="shared" si="473"/>
        <v>0</v>
      </c>
      <c r="Q1005" s="6">
        <f t="shared" si="474"/>
        <v>0</v>
      </c>
      <c r="R1005" s="87">
        <f t="shared" si="492"/>
        <v>0</v>
      </c>
      <c r="S1005" s="6">
        <f t="shared" si="475"/>
        <v>0</v>
      </c>
      <c r="T1005" s="83">
        <f t="shared" si="483"/>
        <v>0</v>
      </c>
      <c r="U1005" s="91">
        <f t="shared" si="489"/>
        <v>0</v>
      </c>
      <c r="V1005" s="91">
        <f t="shared" si="484"/>
        <v>0</v>
      </c>
      <c r="W1005" s="1">
        <f t="shared" si="498"/>
        <v>0</v>
      </c>
      <c r="X1005" s="1">
        <f t="shared" si="498"/>
        <v>0</v>
      </c>
      <c r="Y1005" s="1">
        <f t="shared" si="498"/>
        <v>0</v>
      </c>
      <c r="Z1005" s="1">
        <f t="shared" si="498"/>
        <v>0</v>
      </c>
      <c r="AA1005" s="1">
        <f t="shared" si="498"/>
        <v>0</v>
      </c>
      <c r="AB1005" s="1">
        <f t="shared" si="498"/>
        <v>0</v>
      </c>
      <c r="AC1005" s="1">
        <f t="shared" si="498"/>
        <v>0</v>
      </c>
      <c r="AD1005" s="1">
        <f t="shared" si="498"/>
        <v>0</v>
      </c>
      <c r="AE1005" s="1">
        <f t="shared" si="498"/>
        <v>0</v>
      </c>
      <c r="AF1005" s="1">
        <f t="shared" si="498"/>
        <v>1</v>
      </c>
      <c r="AG1005" s="1">
        <f t="shared" si="498"/>
        <v>1</v>
      </c>
      <c r="AH1005" s="1">
        <f t="shared" si="498"/>
        <v>1</v>
      </c>
      <c r="AI1005" s="44">
        <f t="shared" si="485"/>
        <v>0</v>
      </c>
      <c r="AJ1005" s="44">
        <f t="shared" si="476"/>
        <v>0</v>
      </c>
      <c r="AK1005" s="44">
        <f t="shared" si="493"/>
        <v>0</v>
      </c>
      <c r="AL1005" s="4">
        <f t="shared" si="477"/>
        <v>315</v>
      </c>
      <c r="AM1005" s="82">
        <f t="shared" si="486"/>
        <v>0</v>
      </c>
      <c r="AN1005" s="82">
        <f t="shared" si="478"/>
        <v>0</v>
      </c>
      <c r="AO1005" s="48">
        <v>0</v>
      </c>
      <c r="AP1005" s="91">
        <f t="shared" si="487"/>
        <v>0</v>
      </c>
      <c r="AQ1005" s="91">
        <f t="shared" si="488"/>
        <v>0</v>
      </c>
    </row>
    <row r="1006" spans="1:43">
      <c r="A1006" s="190">
        <f t="shared" si="479"/>
        <v>92.054243668720048</v>
      </c>
      <c r="B1006" s="82">
        <f t="shared" si="480"/>
        <v>27</v>
      </c>
      <c r="C1006" s="83">
        <f t="shared" si="481"/>
        <v>316</v>
      </c>
      <c r="D1006" s="14">
        <f t="shared" si="467"/>
        <v>2.6283369587845051E-3</v>
      </c>
      <c r="E1006" s="16">
        <f t="shared" si="468"/>
        <v>0</v>
      </c>
      <c r="F1006" s="127"/>
      <c r="G1006" s="88">
        <f t="shared" si="469"/>
        <v>0</v>
      </c>
      <c r="H1006" s="89">
        <f t="shared" si="482"/>
        <v>4.1666666666666666E-3</v>
      </c>
      <c r="I1006" s="219"/>
      <c r="J1006" s="219"/>
      <c r="K1006" s="6">
        <f t="shared" si="490"/>
        <v>0</v>
      </c>
      <c r="M1006" s="6">
        <f t="shared" si="470"/>
        <v>0</v>
      </c>
      <c r="N1006" s="6">
        <f t="shared" si="471"/>
        <v>0</v>
      </c>
      <c r="O1006" s="90">
        <f t="shared" si="472"/>
        <v>0</v>
      </c>
      <c r="P1006" s="91">
        <f t="shared" si="473"/>
        <v>0</v>
      </c>
      <c r="Q1006" s="6">
        <f t="shared" si="474"/>
        <v>0</v>
      </c>
      <c r="R1006" s="87">
        <f t="shared" si="492"/>
        <v>0</v>
      </c>
      <c r="S1006" s="6">
        <f t="shared" si="475"/>
        <v>0</v>
      </c>
      <c r="T1006" s="83">
        <f t="shared" si="483"/>
        <v>0</v>
      </c>
      <c r="U1006" s="91">
        <f t="shared" si="489"/>
        <v>0</v>
      </c>
      <c r="V1006" s="91">
        <f t="shared" si="484"/>
        <v>0</v>
      </c>
      <c r="W1006" s="1">
        <f t="shared" si="498"/>
        <v>0</v>
      </c>
      <c r="X1006" s="1">
        <f t="shared" si="498"/>
        <v>0</v>
      </c>
      <c r="Y1006" s="1">
        <f t="shared" si="498"/>
        <v>0</v>
      </c>
      <c r="Z1006" s="1">
        <f t="shared" si="498"/>
        <v>0</v>
      </c>
      <c r="AA1006" s="1">
        <f t="shared" si="498"/>
        <v>0</v>
      </c>
      <c r="AB1006" s="1">
        <f t="shared" si="498"/>
        <v>0</v>
      </c>
      <c r="AC1006" s="1">
        <f t="shared" si="498"/>
        <v>0</v>
      </c>
      <c r="AD1006" s="1">
        <f t="shared" si="498"/>
        <v>0</v>
      </c>
      <c r="AE1006" s="1">
        <f t="shared" si="498"/>
        <v>0</v>
      </c>
      <c r="AF1006" s="1">
        <f t="shared" si="498"/>
        <v>1</v>
      </c>
      <c r="AG1006" s="1">
        <f t="shared" si="498"/>
        <v>1</v>
      </c>
      <c r="AH1006" s="1">
        <f t="shared" si="498"/>
        <v>1</v>
      </c>
      <c r="AI1006" s="44">
        <f t="shared" si="485"/>
        <v>0</v>
      </c>
      <c r="AJ1006" s="44">
        <f t="shared" si="476"/>
        <v>0</v>
      </c>
      <c r="AK1006" s="44">
        <f t="shared" si="493"/>
        <v>0</v>
      </c>
      <c r="AL1006" s="4">
        <f t="shared" si="477"/>
        <v>316</v>
      </c>
      <c r="AM1006" s="82">
        <f t="shared" si="486"/>
        <v>0</v>
      </c>
      <c r="AN1006" s="82">
        <f t="shared" si="478"/>
        <v>0</v>
      </c>
      <c r="AO1006" s="48">
        <v>0</v>
      </c>
      <c r="AP1006" s="91">
        <f t="shared" si="487"/>
        <v>0</v>
      </c>
      <c r="AQ1006" s="91">
        <f t="shared" si="488"/>
        <v>0</v>
      </c>
    </row>
    <row r="1007" spans="1:43">
      <c r="A1007" s="190">
        <f t="shared" si="479"/>
        <v>92.137577002053376</v>
      </c>
      <c r="B1007" s="82">
        <f t="shared" si="480"/>
        <v>27</v>
      </c>
      <c r="C1007" s="83">
        <f t="shared" si="481"/>
        <v>317</v>
      </c>
      <c r="D1007" s="14">
        <f t="shared" si="467"/>
        <v>2.6283369587845051E-3</v>
      </c>
      <c r="E1007" s="16">
        <f t="shared" si="468"/>
        <v>0</v>
      </c>
      <c r="F1007" s="127"/>
      <c r="G1007" s="88">
        <f t="shared" si="469"/>
        <v>0</v>
      </c>
      <c r="H1007" s="89">
        <f t="shared" si="482"/>
        <v>4.1666666666666666E-3</v>
      </c>
      <c r="I1007" s="219"/>
      <c r="J1007" s="219"/>
      <c r="K1007" s="6">
        <f t="shared" si="490"/>
        <v>0</v>
      </c>
      <c r="M1007" s="6">
        <f t="shared" si="470"/>
        <v>0</v>
      </c>
      <c r="N1007" s="6">
        <f t="shared" si="471"/>
        <v>0</v>
      </c>
      <c r="O1007" s="90">
        <f t="shared" si="472"/>
        <v>0</v>
      </c>
      <c r="P1007" s="91">
        <f t="shared" si="473"/>
        <v>0</v>
      </c>
      <c r="Q1007" s="6">
        <f t="shared" si="474"/>
        <v>0</v>
      </c>
      <c r="R1007" s="87">
        <f t="shared" si="492"/>
        <v>0</v>
      </c>
      <c r="S1007" s="6">
        <f t="shared" si="475"/>
        <v>0</v>
      </c>
      <c r="T1007" s="83">
        <f t="shared" si="483"/>
        <v>0</v>
      </c>
      <c r="U1007" s="91">
        <f t="shared" si="489"/>
        <v>0</v>
      </c>
      <c r="V1007" s="91">
        <f t="shared" si="484"/>
        <v>0</v>
      </c>
      <c r="W1007" s="1">
        <f t="shared" si="498"/>
        <v>0</v>
      </c>
      <c r="X1007" s="1">
        <f t="shared" si="498"/>
        <v>0</v>
      </c>
      <c r="Y1007" s="1">
        <f t="shared" si="498"/>
        <v>0</v>
      </c>
      <c r="Z1007" s="1">
        <f t="shared" si="498"/>
        <v>0</v>
      </c>
      <c r="AA1007" s="1">
        <f t="shared" si="498"/>
        <v>0</v>
      </c>
      <c r="AB1007" s="1">
        <f t="shared" si="498"/>
        <v>0</v>
      </c>
      <c r="AC1007" s="1">
        <f t="shared" si="498"/>
        <v>0</v>
      </c>
      <c r="AD1007" s="1">
        <f t="shared" si="498"/>
        <v>0</v>
      </c>
      <c r="AE1007" s="1">
        <f t="shared" si="498"/>
        <v>0</v>
      </c>
      <c r="AF1007" s="1">
        <f t="shared" si="498"/>
        <v>1</v>
      </c>
      <c r="AG1007" s="1">
        <f t="shared" si="498"/>
        <v>1</v>
      </c>
      <c r="AH1007" s="1">
        <f t="shared" si="498"/>
        <v>1</v>
      </c>
      <c r="AI1007" s="44">
        <f t="shared" si="485"/>
        <v>0</v>
      </c>
      <c r="AJ1007" s="44">
        <f t="shared" si="476"/>
        <v>0</v>
      </c>
      <c r="AK1007" s="44">
        <f t="shared" si="493"/>
        <v>0</v>
      </c>
      <c r="AL1007" s="4">
        <f t="shared" si="477"/>
        <v>317</v>
      </c>
      <c r="AM1007" s="82">
        <f t="shared" si="486"/>
        <v>0</v>
      </c>
      <c r="AN1007" s="82">
        <f t="shared" si="478"/>
        <v>0</v>
      </c>
      <c r="AO1007" s="48">
        <v>0</v>
      </c>
      <c r="AP1007" s="91">
        <f t="shared" si="487"/>
        <v>0</v>
      </c>
      <c r="AQ1007" s="91">
        <f t="shared" si="488"/>
        <v>0</v>
      </c>
    </row>
    <row r="1008" spans="1:43">
      <c r="A1008" s="190">
        <f t="shared" si="479"/>
        <v>92.220910335386719</v>
      </c>
      <c r="B1008" s="82">
        <f t="shared" si="480"/>
        <v>27</v>
      </c>
      <c r="C1008" s="83">
        <f t="shared" si="481"/>
        <v>318</v>
      </c>
      <c r="D1008" s="14">
        <f t="shared" si="467"/>
        <v>2.6283369587845051E-3</v>
      </c>
      <c r="E1008" s="16">
        <f t="shared" si="468"/>
        <v>0</v>
      </c>
      <c r="F1008" s="127"/>
      <c r="G1008" s="88">
        <f t="shared" si="469"/>
        <v>0</v>
      </c>
      <c r="H1008" s="89">
        <f t="shared" si="482"/>
        <v>4.1666666666666666E-3</v>
      </c>
      <c r="I1008" s="219"/>
      <c r="J1008" s="219"/>
      <c r="K1008" s="6">
        <f t="shared" si="490"/>
        <v>0</v>
      </c>
      <c r="M1008" s="6">
        <f t="shared" si="470"/>
        <v>0</v>
      </c>
      <c r="N1008" s="6">
        <f t="shared" si="471"/>
        <v>0</v>
      </c>
      <c r="O1008" s="90">
        <f t="shared" si="472"/>
        <v>0</v>
      </c>
      <c r="P1008" s="91">
        <f t="shared" si="473"/>
        <v>0</v>
      </c>
      <c r="Q1008" s="6">
        <f t="shared" si="474"/>
        <v>0</v>
      </c>
      <c r="R1008" s="87">
        <f t="shared" si="492"/>
        <v>0</v>
      </c>
      <c r="S1008" s="6">
        <f t="shared" si="475"/>
        <v>0</v>
      </c>
      <c r="T1008" s="83">
        <f t="shared" si="483"/>
        <v>0</v>
      </c>
      <c r="U1008" s="91">
        <f t="shared" si="489"/>
        <v>0</v>
      </c>
      <c r="V1008" s="91">
        <f t="shared" si="484"/>
        <v>0</v>
      </c>
      <c r="W1008" s="1">
        <f t="shared" si="498"/>
        <v>0</v>
      </c>
      <c r="X1008" s="1">
        <f t="shared" si="498"/>
        <v>0</v>
      </c>
      <c r="Y1008" s="1">
        <f t="shared" si="498"/>
        <v>0</v>
      </c>
      <c r="Z1008" s="1">
        <f t="shared" si="498"/>
        <v>0</v>
      </c>
      <c r="AA1008" s="1">
        <f t="shared" si="498"/>
        <v>0</v>
      </c>
      <c r="AB1008" s="1">
        <f t="shared" si="498"/>
        <v>0</v>
      </c>
      <c r="AC1008" s="1">
        <f t="shared" si="498"/>
        <v>0</v>
      </c>
      <c r="AD1008" s="1">
        <f t="shared" si="498"/>
        <v>0</v>
      </c>
      <c r="AE1008" s="1">
        <f t="shared" si="498"/>
        <v>0</v>
      </c>
      <c r="AF1008" s="1">
        <f t="shared" si="498"/>
        <v>1</v>
      </c>
      <c r="AG1008" s="1">
        <f t="shared" si="498"/>
        <v>1</v>
      </c>
      <c r="AH1008" s="1">
        <f t="shared" si="498"/>
        <v>1</v>
      </c>
      <c r="AI1008" s="44">
        <f t="shared" si="485"/>
        <v>0</v>
      </c>
      <c r="AJ1008" s="44">
        <f t="shared" si="476"/>
        <v>0</v>
      </c>
      <c r="AK1008" s="44">
        <f t="shared" si="493"/>
        <v>0</v>
      </c>
      <c r="AL1008" s="4">
        <f t="shared" si="477"/>
        <v>318</v>
      </c>
      <c r="AM1008" s="82">
        <f t="shared" si="486"/>
        <v>0</v>
      </c>
      <c r="AN1008" s="82">
        <f t="shared" si="478"/>
        <v>0</v>
      </c>
      <c r="AO1008" s="48">
        <v>0</v>
      </c>
      <c r="AP1008" s="91">
        <f t="shared" si="487"/>
        <v>0</v>
      </c>
      <c r="AQ1008" s="91">
        <f t="shared" si="488"/>
        <v>0</v>
      </c>
    </row>
    <row r="1009" spans="1:43">
      <c r="A1009" s="190">
        <f t="shared" si="479"/>
        <v>92.304243668720048</v>
      </c>
      <c r="B1009" s="82">
        <f t="shared" si="480"/>
        <v>27</v>
      </c>
      <c r="C1009" s="83">
        <f t="shared" si="481"/>
        <v>319</v>
      </c>
      <c r="D1009" s="14">
        <f t="shared" si="467"/>
        <v>2.6283369587845051E-3</v>
      </c>
      <c r="E1009" s="16">
        <f t="shared" si="468"/>
        <v>0</v>
      </c>
      <c r="F1009" s="127"/>
      <c r="G1009" s="88">
        <f t="shared" si="469"/>
        <v>0</v>
      </c>
      <c r="H1009" s="89">
        <f t="shared" si="482"/>
        <v>4.1666666666666666E-3</v>
      </c>
      <c r="I1009" s="219"/>
      <c r="J1009" s="219"/>
      <c r="K1009" s="6">
        <f t="shared" si="490"/>
        <v>0</v>
      </c>
      <c r="M1009" s="6">
        <f t="shared" si="470"/>
        <v>0</v>
      </c>
      <c r="N1009" s="6">
        <f t="shared" si="471"/>
        <v>0</v>
      </c>
      <c r="O1009" s="90">
        <f t="shared" si="472"/>
        <v>0</v>
      </c>
      <c r="P1009" s="91">
        <f t="shared" si="473"/>
        <v>0</v>
      </c>
      <c r="Q1009" s="6">
        <f t="shared" si="474"/>
        <v>0</v>
      </c>
      <c r="R1009" s="87">
        <f t="shared" si="492"/>
        <v>0</v>
      </c>
      <c r="S1009" s="6">
        <f t="shared" si="475"/>
        <v>0</v>
      </c>
      <c r="T1009" s="83">
        <f t="shared" si="483"/>
        <v>0</v>
      </c>
      <c r="U1009" s="91">
        <f t="shared" si="489"/>
        <v>0</v>
      </c>
      <c r="V1009" s="91">
        <f t="shared" si="484"/>
        <v>0</v>
      </c>
      <c r="W1009" s="1">
        <f t="shared" si="498"/>
        <v>0</v>
      </c>
      <c r="X1009" s="1">
        <f t="shared" si="498"/>
        <v>0</v>
      </c>
      <c r="Y1009" s="1">
        <f t="shared" si="498"/>
        <v>0</v>
      </c>
      <c r="Z1009" s="1">
        <f t="shared" si="498"/>
        <v>0</v>
      </c>
      <c r="AA1009" s="1">
        <f t="shared" si="498"/>
        <v>0</v>
      </c>
      <c r="AB1009" s="1">
        <f t="shared" si="498"/>
        <v>0</v>
      </c>
      <c r="AC1009" s="1">
        <f t="shared" si="498"/>
        <v>0</v>
      </c>
      <c r="AD1009" s="1">
        <f t="shared" si="498"/>
        <v>0</v>
      </c>
      <c r="AE1009" s="1">
        <f t="shared" si="498"/>
        <v>0</v>
      </c>
      <c r="AF1009" s="1">
        <f t="shared" si="498"/>
        <v>1</v>
      </c>
      <c r="AG1009" s="1">
        <f t="shared" si="498"/>
        <v>1</v>
      </c>
      <c r="AH1009" s="1">
        <f t="shared" si="498"/>
        <v>1</v>
      </c>
      <c r="AI1009" s="44">
        <f t="shared" si="485"/>
        <v>0</v>
      </c>
      <c r="AJ1009" s="44">
        <f t="shared" si="476"/>
        <v>0</v>
      </c>
      <c r="AK1009" s="44">
        <f t="shared" si="493"/>
        <v>0</v>
      </c>
      <c r="AL1009" s="4">
        <f t="shared" si="477"/>
        <v>319</v>
      </c>
      <c r="AM1009" s="82">
        <f t="shared" si="486"/>
        <v>0</v>
      </c>
      <c r="AN1009" s="82">
        <f t="shared" si="478"/>
        <v>0</v>
      </c>
      <c r="AO1009" s="48">
        <v>0</v>
      </c>
      <c r="AP1009" s="91">
        <f t="shared" si="487"/>
        <v>0</v>
      </c>
      <c r="AQ1009" s="91">
        <f t="shared" si="488"/>
        <v>0</v>
      </c>
    </row>
    <row r="1010" spans="1:43">
      <c r="A1010" s="190">
        <f t="shared" si="479"/>
        <v>92.387577002053376</v>
      </c>
      <c r="B1010" s="82">
        <f t="shared" si="480"/>
        <v>27</v>
      </c>
      <c r="C1010" s="83">
        <f t="shared" si="481"/>
        <v>320</v>
      </c>
      <c r="D1010" s="14">
        <f t="shared" si="467"/>
        <v>2.6283369587845051E-3</v>
      </c>
      <c r="E1010" s="16">
        <f t="shared" si="468"/>
        <v>0</v>
      </c>
      <c r="F1010" s="127"/>
      <c r="G1010" s="88">
        <f t="shared" si="469"/>
        <v>0</v>
      </c>
      <c r="H1010" s="89">
        <f t="shared" si="482"/>
        <v>4.1666666666666666E-3</v>
      </c>
      <c r="I1010" s="219"/>
      <c r="J1010" s="219"/>
      <c r="K1010" s="6">
        <f t="shared" si="490"/>
        <v>0</v>
      </c>
      <c r="M1010" s="6">
        <f t="shared" si="470"/>
        <v>0</v>
      </c>
      <c r="N1010" s="6">
        <f t="shared" si="471"/>
        <v>0</v>
      </c>
      <c r="O1010" s="90">
        <f t="shared" si="472"/>
        <v>0</v>
      </c>
      <c r="P1010" s="91">
        <f t="shared" si="473"/>
        <v>0</v>
      </c>
      <c r="Q1010" s="6">
        <f t="shared" si="474"/>
        <v>0</v>
      </c>
      <c r="R1010" s="87">
        <f t="shared" si="492"/>
        <v>0</v>
      </c>
      <c r="S1010" s="6">
        <f t="shared" si="475"/>
        <v>0</v>
      </c>
      <c r="T1010" s="83">
        <f t="shared" si="483"/>
        <v>0</v>
      </c>
      <c r="U1010" s="91">
        <f t="shared" si="489"/>
        <v>0</v>
      </c>
      <c r="V1010" s="91">
        <f t="shared" si="484"/>
        <v>0</v>
      </c>
      <c r="W1010" s="1">
        <f t="shared" si="498"/>
        <v>0</v>
      </c>
      <c r="X1010" s="1">
        <f t="shared" si="498"/>
        <v>0</v>
      </c>
      <c r="Y1010" s="1">
        <f t="shared" si="498"/>
        <v>0</v>
      </c>
      <c r="Z1010" s="1">
        <f t="shared" si="498"/>
        <v>0</v>
      </c>
      <c r="AA1010" s="1">
        <f t="shared" si="498"/>
        <v>0</v>
      </c>
      <c r="AB1010" s="1">
        <f t="shared" si="498"/>
        <v>0</v>
      </c>
      <c r="AC1010" s="1">
        <f t="shared" si="498"/>
        <v>0</v>
      </c>
      <c r="AD1010" s="1">
        <f t="shared" si="498"/>
        <v>0</v>
      </c>
      <c r="AE1010" s="1">
        <f t="shared" si="498"/>
        <v>0</v>
      </c>
      <c r="AF1010" s="1">
        <f t="shared" si="498"/>
        <v>1</v>
      </c>
      <c r="AG1010" s="1">
        <f t="shared" si="498"/>
        <v>1</v>
      </c>
      <c r="AH1010" s="1">
        <f t="shared" si="498"/>
        <v>1</v>
      </c>
      <c r="AI1010" s="44">
        <f t="shared" si="485"/>
        <v>0</v>
      </c>
      <c r="AJ1010" s="44">
        <f t="shared" si="476"/>
        <v>0</v>
      </c>
      <c r="AK1010" s="44">
        <f t="shared" si="493"/>
        <v>0</v>
      </c>
      <c r="AL1010" s="4">
        <f t="shared" si="477"/>
        <v>320</v>
      </c>
      <c r="AM1010" s="82">
        <f t="shared" si="486"/>
        <v>0</v>
      </c>
      <c r="AN1010" s="82">
        <f t="shared" si="478"/>
        <v>0</v>
      </c>
      <c r="AO1010" s="48">
        <v>0</v>
      </c>
      <c r="AP1010" s="91">
        <f t="shared" si="487"/>
        <v>0</v>
      </c>
      <c r="AQ1010" s="91">
        <f t="shared" si="488"/>
        <v>0</v>
      </c>
    </row>
    <row r="1011" spans="1:43">
      <c r="A1011" s="190">
        <f t="shared" si="479"/>
        <v>92.470910335386719</v>
      </c>
      <c r="B1011" s="82">
        <f t="shared" si="480"/>
        <v>27</v>
      </c>
      <c r="C1011" s="83">
        <f t="shared" si="481"/>
        <v>321</v>
      </c>
      <c r="D1011" s="14">
        <f t="shared" ref="D1011:D1074" si="499">Growth_Rate_2_Monthly</f>
        <v>2.6283369587845051E-3</v>
      </c>
      <c r="E1011" s="16">
        <f t="shared" ref="E1011:E1074" si="500">IF(Gtee_Flag="on",1,0)</f>
        <v>0</v>
      </c>
      <c r="F1011" s="127"/>
      <c r="G1011" s="88">
        <f t="shared" ref="G1011:G1074" si="501">IF(B1011&lt;=8,VLOOKUP(Product_Code,Product_Parameters,B1011+5,FALSE),0)</f>
        <v>0</v>
      </c>
      <c r="H1011" s="89">
        <f t="shared" si="482"/>
        <v>4.1666666666666666E-3</v>
      </c>
      <c r="I1011" s="219"/>
      <c r="J1011" s="219"/>
      <c r="K1011" s="6">
        <f t="shared" si="490"/>
        <v>0</v>
      </c>
      <c r="M1011" s="6">
        <f t="shared" ref="M1011:M1074" si="502">(K1011+L1011)*D1011</f>
        <v>0</v>
      </c>
      <c r="N1011" s="6">
        <f t="shared" ref="N1011:N1074" si="503">-(($K1011+(L1011)+M1011/2)*(External_Fund_Charge_Monthly+Fund_Charge_Monthly+Gtee_Charge_Monthly*$E1011))</f>
        <v>0</v>
      </c>
      <c r="O1011" s="90">
        <f t="shared" ref="O1011:O1074" si="504">IF(C1011&gt;=Regular_Income_Start_Month,
MIN(Regular_Income_Amount/12*(1+Income_Escalation_Rate_Annual)^($B1011-1),AJ1011),0)</f>
        <v>0</v>
      </c>
      <c r="P1011" s="91">
        <f t="shared" ref="P1011:P1074" si="505">MAX(IF(C1011&gt;=Regular_Income_Start_Month,
MIN(IF(Income_Type="Fixed Percent",$C$51,0)/12*(K1011+L1011+M1011+N1011),AJ1011),0),0)</f>
        <v>0</v>
      </c>
      <c r="Q1011" s="6">
        <f t="shared" ref="Q1011:Q1074" si="506">MAX(IF(C1011&gt;=Regular_Income_Start_Month,
MIN(H1011*(K1011+L1011+M1011+N1011),AJ1011),0),0)</f>
        <v>0</v>
      </c>
      <c r="R1011" s="87">
        <f t="shared" si="492"/>
        <v>0</v>
      </c>
      <c r="S1011" s="6">
        <f t="shared" ref="S1011:S1074" si="507">-(($K1011+I1011+M1011/2+N1011/2+R1011/2)*(Ongoing_Commission_Monthly)+(I1011)*new_upfront_commission)</f>
        <v>0</v>
      </c>
      <c r="T1011" s="83">
        <f t="shared" si="483"/>
        <v>0</v>
      </c>
      <c r="U1011" s="91">
        <f t="shared" si="489"/>
        <v>0</v>
      </c>
      <c r="V1011" s="91">
        <f t="shared" si="484"/>
        <v>0</v>
      </c>
      <c r="W1011" s="1">
        <f t="shared" ref="W1011:AH1020" si="508">IF($B1011&lt;=W$78,1,0)</f>
        <v>0</v>
      </c>
      <c r="X1011" s="1">
        <f t="shared" si="508"/>
        <v>0</v>
      </c>
      <c r="Y1011" s="1">
        <f t="shared" si="508"/>
        <v>0</v>
      </c>
      <c r="Z1011" s="1">
        <f t="shared" si="508"/>
        <v>0</v>
      </c>
      <c r="AA1011" s="1">
        <f t="shared" si="508"/>
        <v>0</v>
      </c>
      <c r="AB1011" s="1">
        <f t="shared" si="508"/>
        <v>0</v>
      </c>
      <c r="AC1011" s="1">
        <f t="shared" si="508"/>
        <v>0</v>
      </c>
      <c r="AD1011" s="1">
        <f t="shared" si="508"/>
        <v>0</v>
      </c>
      <c r="AE1011" s="1">
        <f t="shared" si="508"/>
        <v>0</v>
      </c>
      <c r="AF1011" s="1">
        <f t="shared" si="508"/>
        <v>1</v>
      </c>
      <c r="AG1011" s="1">
        <f t="shared" si="508"/>
        <v>1</v>
      </c>
      <c r="AH1011" s="1">
        <f t="shared" si="508"/>
        <v>1</v>
      </c>
      <c r="AI1011" s="44">
        <f t="shared" si="485"/>
        <v>0</v>
      </c>
      <c r="AJ1011" s="44">
        <f t="shared" ref="AJ1011:AJ1074" si="509">MAX(0,SUM(K1011:N1011)-$C$66)</f>
        <v>0</v>
      </c>
      <c r="AK1011" s="44">
        <f t="shared" si="493"/>
        <v>0</v>
      </c>
      <c r="AL1011" s="4">
        <f t="shared" ref="AL1011:AL1074" si="510">C1011</f>
        <v>321</v>
      </c>
      <c r="AM1011" s="82">
        <f t="shared" si="486"/>
        <v>0</v>
      </c>
      <c r="AN1011" s="82">
        <f t="shared" ref="AN1011:AN1074" si="511">IF(AND(B1011=Fund_Zero_Year_2,K1012=0,K1011&gt;0),-U1011,IF(AND(B1011+1=Fund_Zero_Year_2,K1012=0,K1011&gt;0),-U1011,0))</f>
        <v>0</v>
      </c>
      <c r="AO1011" s="48">
        <v>0</v>
      </c>
      <c r="AP1011" s="91">
        <f t="shared" si="487"/>
        <v>0</v>
      </c>
      <c r="AQ1011" s="91">
        <f t="shared" si="488"/>
        <v>0</v>
      </c>
    </row>
    <row r="1012" spans="1:43">
      <c r="A1012" s="190">
        <f t="shared" ref="A1012:A1075" si="512">$C$43+C1011/12</f>
        <v>92.554243668720048</v>
      </c>
      <c r="B1012" s="82">
        <f t="shared" ref="B1012:B1075" si="513">INT((C1012-1)/12)+1</f>
        <v>27</v>
      </c>
      <c r="C1012" s="83">
        <f t="shared" ref="C1012:C1075" si="514">C1011+1</f>
        <v>322</v>
      </c>
      <c r="D1012" s="14">
        <f t="shared" si="499"/>
        <v>2.6283369587845051E-3</v>
      </c>
      <c r="E1012" s="16">
        <f t="shared" si="500"/>
        <v>0</v>
      </c>
      <c r="F1012" s="127"/>
      <c r="G1012" s="88">
        <f t="shared" si="501"/>
        <v>0</v>
      </c>
      <c r="H1012" s="89">
        <f t="shared" ref="H1012:H1075" si="515">IF((K1011+L1011+M1011+N1011+R1011)&gt;=2000000,VLOOKUP("&gt;=2000000",Default_IncomeRate_table,3,FALSE),
IF($A1012&lt;71,VLOOKUP("&lt;71",Default_IncomeRate_table,3,FALSE),
IF($A1012&gt;=71,VLOOKUP("&gt;=71",Default_IncomeRate_table,3,FALSE),"")))</f>
        <v>4.1666666666666666E-3</v>
      </c>
      <c r="I1012" s="219"/>
      <c r="J1012" s="219"/>
      <c r="K1012" s="6">
        <f t="shared" si="490"/>
        <v>0</v>
      </c>
      <c r="M1012" s="6">
        <f t="shared" si="502"/>
        <v>0</v>
      </c>
      <c r="N1012" s="6">
        <f t="shared" si="503"/>
        <v>0</v>
      </c>
      <c r="O1012" s="90">
        <f t="shared" si="504"/>
        <v>0</v>
      </c>
      <c r="P1012" s="91">
        <f t="shared" si="505"/>
        <v>0</v>
      </c>
      <c r="Q1012" s="6">
        <f t="shared" si="506"/>
        <v>0</v>
      </c>
      <c r="R1012" s="87">
        <f t="shared" si="492"/>
        <v>0</v>
      </c>
      <c r="S1012" s="6">
        <f t="shared" si="507"/>
        <v>0</v>
      </c>
      <c r="T1012" s="83">
        <f t="shared" ref="T1012:T1075" si="516">SUM(K1012:N1012,R1012)*$G1012</f>
        <v>0</v>
      </c>
      <c r="U1012" s="91">
        <f t="shared" si="489"/>
        <v>0</v>
      </c>
      <c r="V1012" s="91">
        <f t="shared" ref="V1012:V1075" si="517">U1012*D1012</f>
        <v>0</v>
      </c>
      <c r="W1012" s="1">
        <f t="shared" si="508"/>
        <v>0</v>
      </c>
      <c r="X1012" s="1">
        <f t="shared" si="508"/>
        <v>0</v>
      </c>
      <c r="Y1012" s="1">
        <f t="shared" si="508"/>
        <v>0</v>
      </c>
      <c r="Z1012" s="1">
        <f t="shared" si="508"/>
        <v>0</v>
      </c>
      <c r="AA1012" s="1">
        <f t="shared" si="508"/>
        <v>0</v>
      </c>
      <c r="AB1012" s="1">
        <f t="shared" si="508"/>
        <v>0</v>
      </c>
      <c r="AC1012" s="1">
        <f t="shared" si="508"/>
        <v>0</v>
      </c>
      <c r="AD1012" s="1">
        <f t="shared" si="508"/>
        <v>0</v>
      </c>
      <c r="AE1012" s="1">
        <f t="shared" si="508"/>
        <v>0</v>
      </c>
      <c r="AF1012" s="1">
        <f t="shared" si="508"/>
        <v>1</v>
      </c>
      <c r="AG1012" s="1">
        <f t="shared" si="508"/>
        <v>1</v>
      </c>
      <c r="AH1012" s="1">
        <f t="shared" si="508"/>
        <v>1</v>
      </c>
      <c r="AI1012" s="44">
        <f t="shared" ref="AI1012:AI1075" si="518">SUM(K1012:N1012,R1012)</f>
        <v>0</v>
      </c>
      <c r="AJ1012" s="44">
        <f t="shared" si="509"/>
        <v>0</v>
      </c>
      <c r="AK1012" s="44">
        <f t="shared" si="493"/>
        <v>0</v>
      </c>
      <c r="AL1012" s="4">
        <f t="shared" si="510"/>
        <v>322</v>
      </c>
      <c r="AM1012" s="82">
        <f t="shared" ref="AM1012:AM1075" si="519">I1012</f>
        <v>0</v>
      </c>
      <c r="AN1012" s="82">
        <f t="shared" si="511"/>
        <v>0</v>
      </c>
      <c r="AO1012" s="48">
        <v>0</v>
      </c>
      <c r="AP1012" s="91">
        <f t="shared" ref="AP1012:AP1075" si="520">$R1012+AN1012+AM1012</f>
        <v>0</v>
      </c>
      <c r="AQ1012" s="91">
        <f t="shared" ref="AQ1012:AQ1075" si="521">$R1012+AO1012+AM1012</f>
        <v>0</v>
      </c>
    </row>
    <row r="1013" spans="1:43">
      <c r="A1013" s="190">
        <f t="shared" si="512"/>
        <v>92.637577002053376</v>
      </c>
      <c r="B1013" s="82">
        <f t="shared" si="513"/>
        <v>27</v>
      </c>
      <c r="C1013" s="83">
        <f t="shared" si="514"/>
        <v>323</v>
      </c>
      <c r="D1013" s="14">
        <f t="shared" si="499"/>
        <v>2.6283369587845051E-3</v>
      </c>
      <c r="E1013" s="16">
        <f t="shared" si="500"/>
        <v>0</v>
      </c>
      <c r="F1013" s="127"/>
      <c r="G1013" s="88">
        <f t="shared" si="501"/>
        <v>0</v>
      </c>
      <c r="H1013" s="89">
        <f t="shared" si="515"/>
        <v>4.1666666666666666E-3</v>
      </c>
      <c r="I1013" s="219"/>
      <c r="J1013" s="219"/>
      <c r="K1013" s="6">
        <f t="shared" si="490"/>
        <v>0</v>
      </c>
      <c r="M1013" s="6">
        <f t="shared" si="502"/>
        <v>0</v>
      </c>
      <c r="N1013" s="6">
        <f t="shared" si="503"/>
        <v>0</v>
      </c>
      <c r="O1013" s="90">
        <f t="shared" si="504"/>
        <v>0</v>
      </c>
      <c r="P1013" s="91">
        <f t="shared" si="505"/>
        <v>0</v>
      </c>
      <c r="Q1013" s="6">
        <f t="shared" si="506"/>
        <v>0</v>
      </c>
      <c r="R1013" s="87">
        <f t="shared" si="492"/>
        <v>0</v>
      </c>
      <c r="S1013" s="6">
        <f t="shared" si="507"/>
        <v>0</v>
      </c>
      <c r="T1013" s="83">
        <f t="shared" si="516"/>
        <v>0</v>
      </c>
      <c r="U1013" s="91">
        <f t="shared" ref="U1013:U1076" si="522">IF(K1013=0,0,SUM(U1012,R1012,V1012))</f>
        <v>0</v>
      </c>
      <c r="V1013" s="91">
        <f t="shared" si="517"/>
        <v>0</v>
      </c>
      <c r="W1013" s="1">
        <f t="shared" si="508"/>
        <v>0</v>
      </c>
      <c r="X1013" s="1">
        <f t="shared" si="508"/>
        <v>0</v>
      </c>
      <c r="Y1013" s="1">
        <f t="shared" si="508"/>
        <v>0</v>
      </c>
      <c r="Z1013" s="1">
        <f t="shared" si="508"/>
        <v>0</v>
      </c>
      <c r="AA1013" s="1">
        <f t="shared" si="508"/>
        <v>0</v>
      </c>
      <c r="AB1013" s="1">
        <f t="shared" si="508"/>
        <v>0</v>
      </c>
      <c r="AC1013" s="1">
        <f t="shared" si="508"/>
        <v>0</v>
      </c>
      <c r="AD1013" s="1">
        <f t="shared" si="508"/>
        <v>0</v>
      </c>
      <c r="AE1013" s="1">
        <f t="shared" si="508"/>
        <v>0</v>
      </c>
      <c r="AF1013" s="1">
        <f t="shared" si="508"/>
        <v>1</v>
      </c>
      <c r="AG1013" s="1">
        <f t="shared" si="508"/>
        <v>1</v>
      </c>
      <c r="AH1013" s="1">
        <f t="shared" si="508"/>
        <v>1</v>
      </c>
      <c r="AI1013" s="44">
        <f t="shared" si="518"/>
        <v>0</v>
      </c>
      <c r="AJ1013" s="44">
        <f t="shared" si="509"/>
        <v>0</v>
      </c>
      <c r="AK1013" s="44">
        <f t="shared" si="493"/>
        <v>0</v>
      </c>
      <c r="AL1013" s="4">
        <f t="shared" si="510"/>
        <v>323</v>
      </c>
      <c r="AM1013" s="82">
        <f t="shared" si="519"/>
        <v>0</v>
      </c>
      <c r="AN1013" s="82">
        <f t="shared" si="511"/>
        <v>0</v>
      </c>
      <c r="AO1013" s="48">
        <v>0</v>
      </c>
      <c r="AP1013" s="91">
        <f t="shared" si="520"/>
        <v>0</v>
      </c>
      <c r="AQ1013" s="91">
        <f t="shared" si="521"/>
        <v>0</v>
      </c>
    </row>
    <row r="1014" spans="1:43">
      <c r="A1014" s="190">
        <f t="shared" si="512"/>
        <v>92.720910335386719</v>
      </c>
      <c r="B1014" s="82">
        <f t="shared" si="513"/>
        <v>27</v>
      </c>
      <c r="C1014" s="83">
        <f t="shared" si="514"/>
        <v>324</v>
      </c>
      <c r="D1014" s="14">
        <f t="shared" si="499"/>
        <v>2.6283369587845051E-3</v>
      </c>
      <c r="E1014" s="16">
        <f t="shared" si="500"/>
        <v>0</v>
      </c>
      <c r="F1014" s="127"/>
      <c r="G1014" s="88">
        <f t="shared" si="501"/>
        <v>0</v>
      </c>
      <c r="H1014" s="89">
        <f t="shared" si="515"/>
        <v>4.1666666666666666E-3</v>
      </c>
      <c r="I1014" s="219"/>
      <c r="J1014" s="219"/>
      <c r="K1014" s="6">
        <f t="shared" si="490"/>
        <v>0</v>
      </c>
      <c r="M1014" s="6">
        <f t="shared" si="502"/>
        <v>0</v>
      </c>
      <c r="N1014" s="6">
        <f t="shared" si="503"/>
        <v>0</v>
      </c>
      <c r="O1014" s="90">
        <f t="shared" si="504"/>
        <v>0</v>
      </c>
      <c r="P1014" s="91">
        <f t="shared" si="505"/>
        <v>0</v>
      </c>
      <c r="Q1014" s="6">
        <f t="shared" si="506"/>
        <v>0</v>
      </c>
      <c r="R1014" s="87">
        <f t="shared" si="492"/>
        <v>0</v>
      </c>
      <c r="S1014" s="6">
        <f t="shared" si="507"/>
        <v>0</v>
      </c>
      <c r="T1014" s="83">
        <f t="shared" si="516"/>
        <v>0</v>
      </c>
      <c r="U1014" s="91">
        <f t="shared" si="522"/>
        <v>0</v>
      </c>
      <c r="V1014" s="91">
        <f t="shared" si="517"/>
        <v>0</v>
      </c>
      <c r="W1014" s="1">
        <f t="shared" si="508"/>
        <v>0</v>
      </c>
      <c r="X1014" s="1">
        <f t="shared" si="508"/>
        <v>0</v>
      </c>
      <c r="Y1014" s="1">
        <f t="shared" si="508"/>
        <v>0</v>
      </c>
      <c r="Z1014" s="1">
        <f t="shared" si="508"/>
        <v>0</v>
      </c>
      <c r="AA1014" s="1">
        <f t="shared" si="508"/>
        <v>0</v>
      </c>
      <c r="AB1014" s="1">
        <f t="shared" si="508"/>
        <v>0</v>
      </c>
      <c r="AC1014" s="1">
        <f t="shared" si="508"/>
        <v>0</v>
      </c>
      <c r="AD1014" s="1">
        <f t="shared" si="508"/>
        <v>0</v>
      </c>
      <c r="AE1014" s="1">
        <f t="shared" si="508"/>
        <v>0</v>
      </c>
      <c r="AF1014" s="1">
        <f t="shared" si="508"/>
        <v>1</v>
      </c>
      <c r="AG1014" s="1">
        <f t="shared" si="508"/>
        <v>1</v>
      </c>
      <c r="AH1014" s="1">
        <f t="shared" si="508"/>
        <v>1</v>
      </c>
      <c r="AI1014" s="44">
        <f t="shared" si="518"/>
        <v>0</v>
      </c>
      <c r="AJ1014" s="44">
        <f t="shared" si="509"/>
        <v>0</v>
      </c>
      <c r="AK1014" s="44">
        <f t="shared" si="493"/>
        <v>0</v>
      </c>
      <c r="AL1014" s="4">
        <f t="shared" si="510"/>
        <v>324</v>
      </c>
      <c r="AM1014" s="82">
        <f t="shared" si="519"/>
        <v>0</v>
      </c>
      <c r="AN1014" s="82">
        <f t="shared" si="511"/>
        <v>0</v>
      </c>
      <c r="AO1014" s="48">
        <v>0</v>
      </c>
      <c r="AP1014" s="91">
        <f t="shared" si="520"/>
        <v>0</v>
      </c>
      <c r="AQ1014" s="91">
        <f t="shared" si="521"/>
        <v>0</v>
      </c>
    </row>
    <row r="1015" spans="1:43">
      <c r="A1015" s="190">
        <f t="shared" si="512"/>
        <v>92.804243668720048</v>
      </c>
      <c r="B1015" s="82">
        <f t="shared" si="513"/>
        <v>28</v>
      </c>
      <c r="C1015" s="83">
        <f t="shared" si="514"/>
        <v>325</v>
      </c>
      <c r="D1015" s="14">
        <f t="shared" si="499"/>
        <v>2.6283369587845051E-3</v>
      </c>
      <c r="E1015" s="16">
        <f t="shared" si="500"/>
        <v>0</v>
      </c>
      <c r="F1015" s="127"/>
      <c r="G1015" s="88">
        <f t="shared" si="501"/>
        <v>0</v>
      </c>
      <c r="H1015" s="89">
        <f t="shared" si="515"/>
        <v>4.1666666666666666E-3</v>
      </c>
      <c r="I1015" s="219"/>
      <c r="J1015" s="219"/>
      <c r="K1015" s="6">
        <f t="shared" ref="K1015:K1078" si="523">SUM(K1014:M1014,N1014,R1014)</f>
        <v>0</v>
      </c>
      <c r="M1015" s="6">
        <f t="shared" si="502"/>
        <v>0</v>
      </c>
      <c r="N1015" s="6">
        <f t="shared" si="503"/>
        <v>0</v>
      </c>
      <c r="O1015" s="90">
        <f t="shared" si="504"/>
        <v>0</v>
      </c>
      <c r="P1015" s="91">
        <f t="shared" si="505"/>
        <v>0</v>
      </c>
      <c r="Q1015" s="6">
        <f t="shared" si="506"/>
        <v>0</v>
      </c>
      <c r="R1015" s="87">
        <f t="shared" si="492"/>
        <v>0</v>
      </c>
      <c r="S1015" s="6">
        <f t="shared" si="507"/>
        <v>0</v>
      </c>
      <c r="T1015" s="83">
        <f t="shared" si="516"/>
        <v>0</v>
      </c>
      <c r="U1015" s="91">
        <f t="shared" si="522"/>
        <v>0</v>
      </c>
      <c r="V1015" s="91">
        <f t="shared" si="517"/>
        <v>0</v>
      </c>
      <c r="W1015" s="1">
        <f t="shared" si="508"/>
        <v>0</v>
      </c>
      <c r="X1015" s="1">
        <f t="shared" si="508"/>
        <v>0</v>
      </c>
      <c r="Y1015" s="1">
        <f t="shared" si="508"/>
        <v>0</v>
      </c>
      <c r="Z1015" s="1">
        <f t="shared" si="508"/>
        <v>0</v>
      </c>
      <c r="AA1015" s="1">
        <f t="shared" si="508"/>
        <v>0</v>
      </c>
      <c r="AB1015" s="1">
        <f t="shared" si="508"/>
        <v>0</v>
      </c>
      <c r="AC1015" s="1">
        <f t="shared" si="508"/>
        <v>0</v>
      </c>
      <c r="AD1015" s="1">
        <f t="shared" si="508"/>
        <v>0</v>
      </c>
      <c r="AE1015" s="1">
        <f t="shared" si="508"/>
        <v>0</v>
      </c>
      <c r="AF1015" s="1">
        <f t="shared" si="508"/>
        <v>1</v>
      </c>
      <c r="AG1015" s="1">
        <f t="shared" si="508"/>
        <v>1</v>
      </c>
      <c r="AH1015" s="1">
        <f t="shared" si="508"/>
        <v>1</v>
      </c>
      <c r="AI1015" s="44">
        <f t="shared" si="518"/>
        <v>0</v>
      </c>
      <c r="AJ1015" s="44">
        <f t="shared" si="509"/>
        <v>0</v>
      </c>
      <c r="AK1015" s="44">
        <f t="shared" si="493"/>
        <v>0</v>
      </c>
      <c r="AL1015" s="4">
        <f t="shared" si="510"/>
        <v>325</v>
      </c>
      <c r="AM1015" s="82">
        <f t="shared" si="519"/>
        <v>0</v>
      </c>
      <c r="AN1015" s="82">
        <f t="shared" si="511"/>
        <v>0</v>
      </c>
      <c r="AO1015" s="48">
        <v>0</v>
      </c>
      <c r="AP1015" s="91">
        <f t="shared" si="520"/>
        <v>0</v>
      </c>
      <c r="AQ1015" s="91">
        <f t="shared" si="521"/>
        <v>0</v>
      </c>
    </row>
    <row r="1016" spans="1:43">
      <c r="A1016" s="190">
        <f t="shared" si="512"/>
        <v>92.887577002053376</v>
      </c>
      <c r="B1016" s="82">
        <f t="shared" si="513"/>
        <v>28</v>
      </c>
      <c r="C1016" s="83">
        <f t="shared" si="514"/>
        <v>326</v>
      </c>
      <c r="D1016" s="14">
        <f t="shared" si="499"/>
        <v>2.6283369587845051E-3</v>
      </c>
      <c r="E1016" s="16">
        <f t="shared" si="500"/>
        <v>0</v>
      </c>
      <c r="F1016" s="127"/>
      <c r="G1016" s="88">
        <f t="shared" si="501"/>
        <v>0</v>
      </c>
      <c r="H1016" s="89">
        <f t="shared" si="515"/>
        <v>4.1666666666666666E-3</v>
      </c>
      <c r="I1016" s="219"/>
      <c r="J1016" s="219"/>
      <c r="K1016" s="6">
        <f t="shared" si="523"/>
        <v>0</v>
      </c>
      <c r="M1016" s="6">
        <f t="shared" si="502"/>
        <v>0</v>
      </c>
      <c r="N1016" s="6">
        <f t="shared" si="503"/>
        <v>0</v>
      </c>
      <c r="O1016" s="90">
        <f t="shared" si="504"/>
        <v>0</v>
      </c>
      <c r="P1016" s="91">
        <f t="shared" si="505"/>
        <v>0</v>
      </c>
      <c r="Q1016" s="6">
        <f t="shared" si="506"/>
        <v>0</v>
      </c>
      <c r="R1016" s="87">
        <f t="shared" si="492"/>
        <v>0</v>
      </c>
      <c r="S1016" s="6">
        <f t="shared" si="507"/>
        <v>0</v>
      </c>
      <c r="T1016" s="83">
        <f t="shared" si="516"/>
        <v>0</v>
      </c>
      <c r="U1016" s="91">
        <f t="shared" si="522"/>
        <v>0</v>
      </c>
      <c r="V1016" s="91">
        <f t="shared" si="517"/>
        <v>0</v>
      </c>
      <c r="W1016" s="1">
        <f t="shared" si="508"/>
        <v>0</v>
      </c>
      <c r="X1016" s="1">
        <f t="shared" si="508"/>
        <v>0</v>
      </c>
      <c r="Y1016" s="1">
        <f t="shared" si="508"/>
        <v>0</v>
      </c>
      <c r="Z1016" s="1">
        <f t="shared" si="508"/>
        <v>0</v>
      </c>
      <c r="AA1016" s="1">
        <f t="shared" si="508"/>
        <v>0</v>
      </c>
      <c r="AB1016" s="1">
        <f t="shared" si="508"/>
        <v>0</v>
      </c>
      <c r="AC1016" s="1">
        <f t="shared" si="508"/>
        <v>0</v>
      </c>
      <c r="AD1016" s="1">
        <f t="shared" si="508"/>
        <v>0</v>
      </c>
      <c r="AE1016" s="1">
        <f t="shared" si="508"/>
        <v>0</v>
      </c>
      <c r="AF1016" s="1">
        <f t="shared" si="508"/>
        <v>1</v>
      </c>
      <c r="AG1016" s="1">
        <f t="shared" si="508"/>
        <v>1</v>
      </c>
      <c r="AH1016" s="1">
        <f t="shared" si="508"/>
        <v>1</v>
      </c>
      <c r="AI1016" s="44">
        <f t="shared" si="518"/>
        <v>0</v>
      </c>
      <c r="AJ1016" s="44">
        <f t="shared" si="509"/>
        <v>0</v>
      </c>
      <c r="AK1016" s="44">
        <f t="shared" si="493"/>
        <v>0</v>
      </c>
      <c r="AL1016" s="4">
        <f t="shared" si="510"/>
        <v>326</v>
      </c>
      <c r="AM1016" s="82">
        <f t="shared" si="519"/>
        <v>0</v>
      </c>
      <c r="AN1016" s="82">
        <f t="shared" si="511"/>
        <v>0</v>
      </c>
      <c r="AO1016" s="48">
        <v>0</v>
      </c>
      <c r="AP1016" s="91">
        <f t="shared" si="520"/>
        <v>0</v>
      </c>
      <c r="AQ1016" s="91">
        <f t="shared" si="521"/>
        <v>0</v>
      </c>
    </row>
    <row r="1017" spans="1:43">
      <c r="A1017" s="190">
        <f t="shared" si="512"/>
        <v>92.970910335386719</v>
      </c>
      <c r="B1017" s="82">
        <f t="shared" si="513"/>
        <v>28</v>
      </c>
      <c r="C1017" s="83">
        <f t="shared" si="514"/>
        <v>327</v>
      </c>
      <c r="D1017" s="14">
        <f t="shared" si="499"/>
        <v>2.6283369587845051E-3</v>
      </c>
      <c r="E1017" s="16">
        <f t="shared" si="500"/>
        <v>0</v>
      </c>
      <c r="F1017" s="127"/>
      <c r="G1017" s="88">
        <f t="shared" si="501"/>
        <v>0</v>
      </c>
      <c r="H1017" s="89">
        <f t="shared" si="515"/>
        <v>4.1666666666666666E-3</v>
      </c>
      <c r="I1017" s="219"/>
      <c r="J1017" s="219"/>
      <c r="K1017" s="6">
        <f t="shared" si="523"/>
        <v>0</v>
      </c>
      <c r="M1017" s="6">
        <f t="shared" si="502"/>
        <v>0</v>
      </c>
      <c r="N1017" s="6">
        <f t="shared" si="503"/>
        <v>0</v>
      </c>
      <c r="O1017" s="90">
        <f t="shared" si="504"/>
        <v>0</v>
      </c>
      <c r="P1017" s="91">
        <f t="shared" si="505"/>
        <v>0</v>
      </c>
      <c r="Q1017" s="6">
        <f t="shared" si="506"/>
        <v>0</v>
      </c>
      <c r="R1017" s="87">
        <f t="shared" si="492"/>
        <v>0</v>
      </c>
      <c r="S1017" s="6">
        <f t="shared" si="507"/>
        <v>0</v>
      </c>
      <c r="T1017" s="83">
        <f t="shared" si="516"/>
        <v>0</v>
      </c>
      <c r="U1017" s="91">
        <f t="shared" si="522"/>
        <v>0</v>
      </c>
      <c r="V1017" s="91">
        <f t="shared" si="517"/>
        <v>0</v>
      </c>
      <c r="W1017" s="1">
        <f t="shared" si="508"/>
        <v>0</v>
      </c>
      <c r="X1017" s="1">
        <f t="shared" si="508"/>
        <v>0</v>
      </c>
      <c r="Y1017" s="1">
        <f t="shared" si="508"/>
        <v>0</v>
      </c>
      <c r="Z1017" s="1">
        <f t="shared" si="508"/>
        <v>0</v>
      </c>
      <c r="AA1017" s="1">
        <f t="shared" si="508"/>
        <v>0</v>
      </c>
      <c r="AB1017" s="1">
        <f t="shared" si="508"/>
        <v>0</v>
      </c>
      <c r="AC1017" s="1">
        <f t="shared" si="508"/>
        <v>0</v>
      </c>
      <c r="AD1017" s="1">
        <f t="shared" si="508"/>
        <v>0</v>
      </c>
      <c r="AE1017" s="1">
        <f t="shared" si="508"/>
        <v>0</v>
      </c>
      <c r="AF1017" s="1">
        <f t="shared" si="508"/>
        <v>1</v>
      </c>
      <c r="AG1017" s="1">
        <f t="shared" si="508"/>
        <v>1</v>
      </c>
      <c r="AH1017" s="1">
        <f t="shared" si="508"/>
        <v>1</v>
      </c>
      <c r="AI1017" s="44">
        <f t="shared" si="518"/>
        <v>0</v>
      </c>
      <c r="AJ1017" s="44">
        <f t="shared" si="509"/>
        <v>0</v>
      </c>
      <c r="AK1017" s="44">
        <f t="shared" si="493"/>
        <v>0</v>
      </c>
      <c r="AL1017" s="4">
        <f t="shared" si="510"/>
        <v>327</v>
      </c>
      <c r="AM1017" s="82">
        <f t="shared" si="519"/>
        <v>0</v>
      </c>
      <c r="AN1017" s="82">
        <f t="shared" si="511"/>
        <v>0</v>
      </c>
      <c r="AO1017" s="48">
        <v>0</v>
      </c>
      <c r="AP1017" s="91">
        <f t="shared" si="520"/>
        <v>0</v>
      </c>
      <c r="AQ1017" s="91">
        <f t="shared" si="521"/>
        <v>0</v>
      </c>
    </row>
    <row r="1018" spans="1:43">
      <c r="A1018" s="190">
        <f t="shared" si="512"/>
        <v>93.054243668720048</v>
      </c>
      <c r="B1018" s="82">
        <f t="shared" si="513"/>
        <v>28</v>
      </c>
      <c r="C1018" s="83">
        <f t="shared" si="514"/>
        <v>328</v>
      </c>
      <c r="D1018" s="14">
        <f t="shared" si="499"/>
        <v>2.6283369587845051E-3</v>
      </c>
      <c r="E1018" s="16">
        <f t="shared" si="500"/>
        <v>0</v>
      </c>
      <c r="F1018" s="127"/>
      <c r="G1018" s="88">
        <f t="shared" si="501"/>
        <v>0</v>
      </c>
      <c r="H1018" s="89">
        <f t="shared" si="515"/>
        <v>4.1666666666666666E-3</v>
      </c>
      <c r="I1018" s="219"/>
      <c r="J1018" s="219"/>
      <c r="K1018" s="6">
        <f t="shared" si="523"/>
        <v>0</v>
      </c>
      <c r="M1018" s="6">
        <f t="shared" si="502"/>
        <v>0</v>
      </c>
      <c r="N1018" s="6">
        <f t="shared" si="503"/>
        <v>0</v>
      </c>
      <c r="O1018" s="90">
        <f t="shared" si="504"/>
        <v>0</v>
      </c>
      <c r="P1018" s="91">
        <f t="shared" si="505"/>
        <v>0</v>
      </c>
      <c r="Q1018" s="6">
        <f t="shared" si="506"/>
        <v>0</v>
      </c>
      <c r="R1018" s="87">
        <f t="shared" si="492"/>
        <v>0</v>
      </c>
      <c r="S1018" s="6">
        <f t="shared" si="507"/>
        <v>0</v>
      </c>
      <c r="T1018" s="83">
        <f t="shared" si="516"/>
        <v>0</v>
      </c>
      <c r="U1018" s="91">
        <f t="shared" si="522"/>
        <v>0</v>
      </c>
      <c r="V1018" s="91">
        <f t="shared" si="517"/>
        <v>0</v>
      </c>
      <c r="W1018" s="1">
        <f t="shared" si="508"/>
        <v>0</v>
      </c>
      <c r="X1018" s="1">
        <f t="shared" si="508"/>
        <v>0</v>
      </c>
      <c r="Y1018" s="1">
        <f t="shared" si="508"/>
        <v>0</v>
      </c>
      <c r="Z1018" s="1">
        <f t="shared" si="508"/>
        <v>0</v>
      </c>
      <c r="AA1018" s="1">
        <f t="shared" si="508"/>
        <v>0</v>
      </c>
      <c r="AB1018" s="1">
        <f t="shared" si="508"/>
        <v>0</v>
      </c>
      <c r="AC1018" s="1">
        <f t="shared" si="508"/>
        <v>0</v>
      </c>
      <c r="AD1018" s="1">
        <f t="shared" si="508"/>
        <v>0</v>
      </c>
      <c r="AE1018" s="1">
        <f t="shared" si="508"/>
        <v>0</v>
      </c>
      <c r="AF1018" s="1">
        <f t="shared" si="508"/>
        <v>1</v>
      </c>
      <c r="AG1018" s="1">
        <f t="shared" si="508"/>
        <v>1</v>
      </c>
      <c r="AH1018" s="1">
        <f t="shared" si="508"/>
        <v>1</v>
      </c>
      <c r="AI1018" s="44">
        <f t="shared" si="518"/>
        <v>0</v>
      </c>
      <c r="AJ1018" s="44">
        <f t="shared" si="509"/>
        <v>0</v>
      </c>
      <c r="AK1018" s="44">
        <f t="shared" si="493"/>
        <v>0</v>
      </c>
      <c r="AL1018" s="4">
        <f t="shared" si="510"/>
        <v>328</v>
      </c>
      <c r="AM1018" s="82">
        <f t="shared" si="519"/>
        <v>0</v>
      </c>
      <c r="AN1018" s="82">
        <f t="shared" si="511"/>
        <v>0</v>
      </c>
      <c r="AO1018" s="48">
        <v>0</v>
      </c>
      <c r="AP1018" s="91">
        <f t="shared" si="520"/>
        <v>0</v>
      </c>
      <c r="AQ1018" s="91">
        <f t="shared" si="521"/>
        <v>0</v>
      </c>
    </row>
    <row r="1019" spans="1:43">
      <c r="A1019" s="190">
        <f t="shared" si="512"/>
        <v>93.137577002053376</v>
      </c>
      <c r="B1019" s="82">
        <f t="shared" si="513"/>
        <v>28</v>
      </c>
      <c r="C1019" s="83">
        <f t="shared" si="514"/>
        <v>329</v>
      </c>
      <c r="D1019" s="14">
        <f t="shared" si="499"/>
        <v>2.6283369587845051E-3</v>
      </c>
      <c r="E1019" s="16">
        <f t="shared" si="500"/>
        <v>0</v>
      </c>
      <c r="F1019" s="127"/>
      <c r="G1019" s="88">
        <f t="shared" si="501"/>
        <v>0</v>
      </c>
      <c r="H1019" s="89">
        <f t="shared" si="515"/>
        <v>4.1666666666666666E-3</v>
      </c>
      <c r="I1019" s="219"/>
      <c r="J1019" s="219"/>
      <c r="K1019" s="6">
        <f t="shared" si="523"/>
        <v>0</v>
      </c>
      <c r="M1019" s="6">
        <f t="shared" si="502"/>
        <v>0</v>
      </c>
      <c r="N1019" s="6">
        <f t="shared" si="503"/>
        <v>0</v>
      </c>
      <c r="O1019" s="90">
        <f t="shared" si="504"/>
        <v>0</v>
      </c>
      <c r="P1019" s="91">
        <f t="shared" si="505"/>
        <v>0</v>
      </c>
      <c r="Q1019" s="6">
        <f t="shared" si="506"/>
        <v>0</v>
      </c>
      <c r="R1019" s="87">
        <f t="shared" si="492"/>
        <v>0</v>
      </c>
      <c r="S1019" s="6">
        <f t="shared" si="507"/>
        <v>0</v>
      </c>
      <c r="T1019" s="83">
        <f t="shared" si="516"/>
        <v>0</v>
      </c>
      <c r="U1019" s="91">
        <f t="shared" si="522"/>
        <v>0</v>
      </c>
      <c r="V1019" s="91">
        <f t="shared" si="517"/>
        <v>0</v>
      </c>
      <c r="W1019" s="1">
        <f t="shared" si="508"/>
        <v>0</v>
      </c>
      <c r="X1019" s="1">
        <f t="shared" si="508"/>
        <v>0</v>
      </c>
      <c r="Y1019" s="1">
        <f t="shared" si="508"/>
        <v>0</v>
      </c>
      <c r="Z1019" s="1">
        <f t="shared" si="508"/>
        <v>0</v>
      </c>
      <c r="AA1019" s="1">
        <f t="shared" si="508"/>
        <v>0</v>
      </c>
      <c r="AB1019" s="1">
        <f t="shared" si="508"/>
        <v>0</v>
      </c>
      <c r="AC1019" s="1">
        <f t="shared" si="508"/>
        <v>0</v>
      </c>
      <c r="AD1019" s="1">
        <f t="shared" si="508"/>
        <v>0</v>
      </c>
      <c r="AE1019" s="1">
        <f t="shared" si="508"/>
        <v>0</v>
      </c>
      <c r="AF1019" s="1">
        <f t="shared" si="508"/>
        <v>1</v>
      </c>
      <c r="AG1019" s="1">
        <f t="shared" si="508"/>
        <v>1</v>
      </c>
      <c r="AH1019" s="1">
        <f t="shared" si="508"/>
        <v>1</v>
      </c>
      <c r="AI1019" s="44">
        <f t="shared" si="518"/>
        <v>0</v>
      </c>
      <c r="AJ1019" s="44">
        <f t="shared" si="509"/>
        <v>0</v>
      </c>
      <c r="AK1019" s="44">
        <f t="shared" si="493"/>
        <v>0</v>
      </c>
      <c r="AL1019" s="4">
        <f t="shared" si="510"/>
        <v>329</v>
      </c>
      <c r="AM1019" s="82">
        <f t="shared" si="519"/>
        <v>0</v>
      </c>
      <c r="AN1019" s="82">
        <f t="shared" si="511"/>
        <v>0</v>
      </c>
      <c r="AO1019" s="48">
        <v>0</v>
      </c>
      <c r="AP1019" s="91">
        <f t="shared" si="520"/>
        <v>0</v>
      </c>
      <c r="AQ1019" s="91">
        <f t="shared" si="521"/>
        <v>0</v>
      </c>
    </row>
    <row r="1020" spans="1:43">
      <c r="A1020" s="190">
        <f t="shared" si="512"/>
        <v>93.220910335386719</v>
      </c>
      <c r="B1020" s="82">
        <f t="shared" si="513"/>
        <v>28</v>
      </c>
      <c r="C1020" s="83">
        <f t="shared" si="514"/>
        <v>330</v>
      </c>
      <c r="D1020" s="14">
        <f t="shared" si="499"/>
        <v>2.6283369587845051E-3</v>
      </c>
      <c r="E1020" s="16">
        <f t="shared" si="500"/>
        <v>0</v>
      </c>
      <c r="F1020" s="127"/>
      <c r="G1020" s="88">
        <f t="shared" si="501"/>
        <v>0</v>
      </c>
      <c r="H1020" s="89">
        <f t="shared" si="515"/>
        <v>4.1666666666666666E-3</v>
      </c>
      <c r="I1020" s="219"/>
      <c r="J1020" s="219"/>
      <c r="K1020" s="6">
        <f t="shared" si="523"/>
        <v>0</v>
      </c>
      <c r="M1020" s="6">
        <f t="shared" si="502"/>
        <v>0</v>
      </c>
      <c r="N1020" s="6">
        <f t="shared" si="503"/>
        <v>0</v>
      </c>
      <c r="O1020" s="90">
        <f t="shared" si="504"/>
        <v>0</v>
      </c>
      <c r="P1020" s="91">
        <f t="shared" si="505"/>
        <v>0</v>
      </c>
      <c r="Q1020" s="6">
        <f t="shared" si="506"/>
        <v>0</v>
      </c>
      <c r="R1020" s="87">
        <f t="shared" si="492"/>
        <v>0</v>
      </c>
      <c r="S1020" s="6">
        <f t="shared" si="507"/>
        <v>0</v>
      </c>
      <c r="T1020" s="83">
        <f t="shared" si="516"/>
        <v>0</v>
      </c>
      <c r="U1020" s="91">
        <f t="shared" si="522"/>
        <v>0</v>
      </c>
      <c r="V1020" s="91">
        <f t="shared" si="517"/>
        <v>0</v>
      </c>
      <c r="W1020" s="1">
        <f t="shared" si="508"/>
        <v>0</v>
      </c>
      <c r="X1020" s="1">
        <f t="shared" si="508"/>
        <v>0</v>
      </c>
      <c r="Y1020" s="1">
        <f t="shared" si="508"/>
        <v>0</v>
      </c>
      <c r="Z1020" s="1">
        <f t="shared" si="508"/>
        <v>0</v>
      </c>
      <c r="AA1020" s="1">
        <f t="shared" si="508"/>
        <v>0</v>
      </c>
      <c r="AB1020" s="1">
        <f t="shared" si="508"/>
        <v>0</v>
      </c>
      <c r="AC1020" s="1">
        <f t="shared" si="508"/>
        <v>0</v>
      </c>
      <c r="AD1020" s="1">
        <f t="shared" si="508"/>
        <v>0</v>
      </c>
      <c r="AE1020" s="1">
        <f t="shared" si="508"/>
        <v>0</v>
      </c>
      <c r="AF1020" s="1">
        <f t="shared" si="508"/>
        <v>1</v>
      </c>
      <c r="AG1020" s="1">
        <f t="shared" si="508"/>
        <v>1</v>
      </c>
      <c r="AH1020" s="1">
        <f t="shared" si="508"/>
        <v>1</v>
      </c>
      <c r="AI1020" s="44">
        <f t="shared" si="518"/>
        <v>0</v>
      </c>
      <c r="AJ1020" s="44">
        <f t="shared" si="509"/>
        <v>0</v>
      </c>
      <c r="AK1020" s="44">
        <f t="shared" si="493"/>
        <v>0</v>
      </c>
      <c r="AL1020" s="4">
        <f t="shared" si="510"/>
        <v>330</v>
      </c>
      <c r="AM1020" s="82">
        <f t="shared" si="519"/>
        <v>0</v>
      </c>
      <c r="AN1020" s="82">
        <f t="shared" si="511"/>
        <v>0</v>
      </c>
      <c r="AO1020" s="48">
        <v>0</v>
      </c>
      <c r="AP1020" s="91">
        <f t="shared" si="520"/>
        <v>0</v>
      </c>
      <c r="AQ1020" s="91">
        <f t="shared" si="521"/>
        <v>0</v>
      </c>
    </row>
    <row r="1021" spans="1:43">
      <c r="A1021" s="190">
        <f t="shared" si="512"/>
        <v>93.304243668720048</v>
      </c>
      <c r="B1021" s="82">
        <f t="shared" si="513"/>
        <v>28</v>
      </c>
      <c r="C1021" s="83">
        <f t="shared" si="514"/>
        <v>331</v>
      </c>
      <c r="D1021" s="14">
        <f t="shared" si="499"/>
        <v>2.6283369587845051E-3</v>
      </c>
      <c r="E1021" s="16">
        <f t="shared" si="500"/>
        <v>0</v>
      </c>
      <c r="F1021" s="127"/>
      <c r="G1021" s="88">
        <f t="shared" si="501"/>
        <v>0</v>
      </c>
      <c r="H1021" s="89">
        <f t="shared" si="515"/>
        <v>4.1666666666666666E-3</v>
      </c>
      <c r="I1021" s="219"/>
      <c r="J1021" s="219"/>
      <c r="K1021" s="6">
        <f t="shared" si="523"/>
        <v>0</v>
      </c>
      <c r="M1021" s="6">
        <f t="shared" si="502"/>
        <v>0</v>
      </c>
      <c r="N1021" s="6">
        <f t="shared" si="503"/>
        <v>0</v>
      </c>
      <c r="O1021" s="90">
        <f t="shared" si="504"/>
        <v>0</v>
      </c>
      <c r="P1021" s="91">
        <f t="shared" si="505"/>
        <v>0</v>
      </c>
      <c r="Q1021" s="6">
        <f t="shared" si="506"/>
        <v>0</v>
      </c>
      <c r="R1021" s="87">
        <f t="shared" si="492"/>
        <v>0</v>
      </c>
      <c r="S1021" s="6">
        <f t="shared" si="507"/>
        <v>0</v>
      </c>
      <c r="T1021" s="83">
        <f t="shared" si="516"/>
        <v>0</v>
      </c>
      <c r="U1021" s="91">
        <f t="shared" si="522"/>
        <v>0</v>
      </c>
      <c r="V1021" s="91">
        <f t="shared" si="517"/>
        <v>0</v>
      </c>
      <c r="W1021" s="1">
        <f t="shared" ref="W1021:AH1030" si="524">IF($B1021&lt;=W$78,1,0)</f>
        <v>0</v>
      </c>
      <c r="X1021" s="1">
        <f t="shared" si="524"/>
        <v>0</v>
      </c>
      <c r="Y1021" s="1">
        <f t="shared" si="524"/>
        <v>0</v>
      </c>
      <c r="Z1021" s="1">
        <f t="shared" si="524"/>
        <v>0</v>
      </c>
      <c r="AA1021" s="1">
        <f t="shared" si="524"/>
        <v>0</v>
      </c>
      <c r="AB1021" s="1">
        <f t="shared" si="524"/>
        <v>0</v>
      </c>
      <c r="AC1021" s="1">
        <f t="shared" si="524"/>
        <v>0</v>
      </c>
      <c r="AD1021" s="1">
        <f t="shared" si="524"/>
        <v>0</v>
      </c>
      <c r="AE1021" s="1">
        <f t="shared" si="524"/>
        <v>0</v>
      </c>
      <c r="AF1021" s="1">
        <f t="shared" si="524"/>
        <v>1</v>
      </c>
      <c r="AG1021" s="1">
        <f t="shared" si="524"/>
        <v>1</v>
      </c>
      <c r="AH1021" s="1">
        <f t="shared" si="524"/>
        <v>1</v>
      </c>
      <c r="AI1021" s="44">
        <f t="shared" si="518"/>
        <v>0</v>
      </c>
      <c r="AJ1021" s="44">
        <f t="shared" si="509"/>
        <v>0</v>
      </c>
      <c r="AK1021" s="44">
        <f t="shared" si="493"/>
        <v>0</v>
      </c>
      <c r="AL1021" s="4">
        <f t="shared" si="510"/>
        <v>331</v>
      </c>
      <c r="AM1021" s="82">
        <f t="shared" si="519"/>
        <v>0</v>
      </c>
      <c r="AN1021" s="82">
        <f t="shared" si="511"/>
        <v>0</v>
      </c>
      <c r="AO1021" s="48">
        <v>0</v>
      </c>
      <c r="AP1021" s="91">
        <f t="shared" si="520"/>
        <v>0</v>
      </c>
      <c r="AQ1021" s="91">
        <f t="shared" si="521"/>
        <v>0</v>
      </c>
    </row>
    <row r="1022" spans="1:43">
      <c r="A1022" s="190">
        <f t="shared" si="512"/>
        <v>93.387577002053376</v>
      </c>
      <c r="B1022" s="82">
        <f t="shared" si="513"/>
        <v>28</v>
      </c>
      <c r="C1022" s="83">
        <f t="shared" si="514"/>
        <v>332</v>
      </c>
      <c r="D1022" s="14">
        <f t="shared" si="499"/>
        <v>2.6283369587845051E-3</v>
      </c>
      <c r="E1022" s="16">
        <f t="shared" si="500"/>
        <v>0</v>
      </c>
      <c r="F1022" s="127"/>
      <c r="G1022" s="88">
        <f t="shared" si="501"/>
        <v>0</v>
      </c>
      <c r="H1022" s="89">
        <f t="shared" si="515"/>
        <v>4.1666666666666666E-3</v>
      </c>
      <c r="I1022" s="219"/>
      <c r="J1022" s="219"/>
      <c r="K1022" s="6">
        <f t="shared" si="523"/>
        <v>0</v>
      </c>
      <c r="M1022" s="6">
        <f t="shared" si="502"/>
        <v>0</v>
      </c>
      <c r="N1022" s="6">
        <f t="shared" si="503"/>
        <v>0</v>
      </c>
      <c r="O1022" s="90">
        <f t="shared" si="504"/>
        <v>0</v>
      </c>
      <c r="P1022" s="91">
        <f t="shared" si="505"/>
        <v>0</v>
      </c>
      <c r="Q1022" s="6">
        <f t="shared" si="506"/>
        <v>0</v>
      </c>
      <c r="R1022" s="87">
        <f t="shared" si="492"/>
        <v>0</v>
      </c>
      <c r="S1022" s="6">
        <f t="shared" si="507"/>
        <v>0</v>
      </c>
      <c r="T1022" s="83">
        <f t="shared" si="516"/>
        <v>0</v>
      </c>
      <c r="U1022" s="91">
        <f t="shared" si="522"/>
        <v>0</v>
      </c>
      <c r="V1022" s="91">
        <f t="shared" si="517"/>
        <v>0</v>
      </c>
      <c r="W1022" s="1">
        <f t="shared" si="524"/>
        <v>0</v>
      </c>
      <c r="X1022" s="1">
        <f t="shared" si="524"/>
        <v>0</v>
      </c>
      <c r="Y1022" s="1">
        <f t="shared" si="524"/>
        <v>0</v>
      </c>
      <c r="Z1022" s="1">
        <f t="shared" si="524"/>
        <v>0</v>
      </c>
      <c r="AA1022" s="1">
        <f t="shared" si="524"/>
        <v>0</v>
      </c>
      <c r="AB1022" s="1">
        <f t="shared" si="524"/>
        <v>0</v>
      </c>
      <c r="AC1022" s="1">
        <f t="shared" si="524"/>
        <v>0</v>
      </c>
      <c r="AD1022" s="1">
        <f t="shared" si="524"/>
        <v>0</v>
      </c>
      <c r="AE1022" s="1">
        <f t="shared" si="524"/>
        <v>0</v>
      </c>
      <c r="AF1022" s="1">
        <f t="shared" si="524"/>
        <v>1</v>
      </c>
      <c r="AG1022" s="1">
        <f t="shared" si="524"/>
        <v>1</v>
      </c>
      <c r="AH1022" s="1">
        <f t="shared" si="524"/>
        <v>1</v>
      </c>
      <c r="AI1022" s="44">
        <f t="shared" si="518"/>
        <v>0</v>
      </c>
      <c r="AJ1022" s="44">
        <f t="shared" si="509"/>
        <v>0</v>
      </c>
      <c r="AK1022" s="44">
        <f t="shared" si="493"/>
        <v>0</v>
      </c>
      <c r="AL1022" s="4">
        <f t="shared" si="510"/>
        <v>332</v>
      </c>
      <c r="AM1022" s="82">
        <f t="shared" si="519"/>
        <v>0</v>
      </c>
      <c r="AN1022" s="82">
        <f t="shared" si="511"/>
        <v>0</v>
      </c>
      <c r="AO1022" s="48">
        <v>0</v>
      </c>
      <c r="AP1022" s="91">
        <f t="shared" si="520"/>
        <v>0</v>
      </c>
      <c r="AQ1022" s="91">
        <f t="shared" si="521"/>
        <v>0</v>
      </c>
    </row>
    <row r="1023" spans="1:43">
      <c r="A1023" s="190">
        <f t="shared" si="512"/>
        <v>93.470910335386719</v>
      </c>
      <c r="B1023" s="82">
        <f t="shared" si="513"/>
        <v>28</v>
      </c>
      <c r="C1023" s="83">
        <f t="shared" si="514"/>
        <v>333</v>
      </c>
      <c r="D1023" s="14">
        <f t="shared" si="499"/>
        <v>2.6283369587845051E-3</v>
      </c>
      <c r="E1023" s="16">
        <f t="shared" si="500"/>
        <v>0</v>
      </c>
      <c r="F1023" s="127"/>
      <c r="G1023" s="88">
        <f t="shared" si="501"/>
        <v>0</v>
      </c>
      <c r="H1023" s="89">
        <f t="shared" si="515"/>
        <v>4.1666666666666666E-3</v>
      </c>
      <c r="I1023" s="219"/>
      <c r="J1023" s="219"/>
      <c r="K1023" s="6">
        <f t="shared" si="523"/>
        <v>0</v>
      </c>
      <c r="M1023" s="6">
        <f t="shared" si="502"/>
        <v>0</v>
      </c>
      <c r="N1023" s="6">
        <f t="shared" si="503"/>
        <v>0</v>
      </c>
      <c r="O1023" s="90">
        <f t="shared" si="504"/>
        <v>0</v>
      </c>
      <c r="P1023" s="91">
        <f t="shared" si="505"/>
        <v>0</v>
      </c>
      <c r="Q1023" s="6">
        <f t="shared" si="506"/>
        <v>0</v>
      </c>
      <c r="R1023" s="87">
        <f t="shared" si="492"/>
        <v>0</v>
      </c>
      <c r="S1023" s="6">
        <f t="shared" si="507"/>
        <v>0</v>
      </c>
      <c r="T1023" s="83">
        <f t="shared" si="516"/>
        <v>0</v>
      </c>
      <c r="U1023" s="91">
        <f t="shared" si="522"/>
        <v>0</v>
      </c>
      <c r="V1023" s="91">
        <f t="shared" si="517"/>
        <v>0</v>
      </c>
      <c r="W1023" s="1">
        <f t="shared" si="524"/>
        <v>0</v>
      </c>
      <c r="X1023" s="1">
        <f t="shared" si="524"/>
        <v>0</v>
      </c>
      <c r="Y1023" s="1">
        <f t="shared" si="524"/>
        <v>0</v>
      </c>
      <c r="Z1023" s="1">
        <f t="shared" si="524"/>
        <v>0</v>
      </c>
      <c r="AA1023" s="1">
        <f t="shared" si="524"/>
        <v>0</v>
      </c>
      <c r="AB1023" s="1">
        <f t="shared" si="524"/>
        <v>0</v>
      </c>
      <c r="AC1023" s="1">
        <f t="shared" si="524"/>
        <v>0</v>
      </c>
      <c r="AD1023" s="1">
        <f t="shared" si="524"/>
        <v>0</v>
      </c>
      <c r="AE1023" s="1">
        <f t="shared" si="524"/>
        <v>0</v>
      </c>
      <c r="AF1023" s="1">
        <f t="shared" si="524"/>
        <v>1</v>
      </c>
      <c r="AG1023" s="1">
        <f t="shared" si="524"/>
        <v>1</v>
      </c>
      <c r="AH1023" s="1">
        <f t="shared" si="524"/>
        <v>1</v>
      </c>
      <c r="AI1023" s="44">
        <f t="shared" si="518"/>
        <v>0</v>
      </c>
      <c r="AJ1023" s="44">
        <f t="shared" si="509"/>
        <v>0</v>
      </c>
      <c r="AK1023" s="44">
        <f t="shared" si="493"/>
        <v>0</v>
      </c>
      <c r="AL1023" s="4">
        <f t="shared" si="510"/>
        <v>333</v>
      </c>
      <c r="AM1023" s="82">
        <f t="shared" si="519"/>
        <v>0</v>
      </c>
      <c r="AN1023" s="82">
        <f t="shared" si="511"/>
        <v>0</v>
      </c>
      <c r="AO1023" s="48">
        <v>0</v>
      </c>
      <c r="AP1023" s="91">
        <f t="shared" si="520"/>
        <v>0</v>
      </c>
      <c r="AQ1023" s="91">
        <f t="shared" si="521"/>
        <v>0</v>
      </c>
    </row>
    <row r="1024" spans="1:43">
      <c r="A1024" s="190">
        <f t="shared" si="512"/>
        <v>93.554243668720048</v>
      </c>
      <c r="B1024" s="82">
        <f t="shared" si="513"/>
        <v>28</v>
      </c>
      <c r="C1024" s="83">
        <f t="shared" si="514"/>
        <v>334</v>
      </c>
      <c r="D1024" s="14">
        <f t="shared" si="499"/>
        <v>2.6283369587845051E-3</v>
      </c>
      <c r="E1024" s="16">
        <f t="shared" si="500"/>
        <v>0</v>
      </c>
      <c r="F1024" s="127"/>
      <c r="G1024" s="88">
        <f t="shared" si="501"/>
        <v>0</v>
      </c>
      <c r="H1024" s="89">
        <f t="shared" si="515"/>
        <v>4.1666666666666666E-3</v>
      </c>
      <c r="I1024" s="219"/>
      <c r="J1024" s="219"/>
      <c r="K1024" s="6">
        <f t="shared" si="523"/>
        <v>0</v>
      </c>
      <c r="M1024" s="6">
        <f t="shared" si="502"/>
        <v>0</v>
      </c>
      <c r="N1024" s="6">
        <f t="shared" si="503"/>
        <v>0</v>
      </c>
      <c r="O1024" s="90">
        <f t="shared" si="504"/>
        <v>0</v>
      </c>
      <c r="P1024" s="91">
        <f t="shared" si="505"/>
        <v>0</v>
      </c>
      <c r="Q1024" s="6">
        <f t="shared" si="506"/>
        <v>0</v>
      </c>
      <c r="R1024" s="87">
        <f t="shared" ref="R1024:R1087" si="525">-MIN(MAX(O1024,P1024,Q1024,-R1012*1.02),AJ1024)</f>
        <v>0</v>
      </c>
      <c r="S1024" s="6">
        <f t="shared" si="507"/>
        <v>0</v>
      </c>
      <c r="T1024" s="83">
        <f t="shared" si="516"/>
        <v>0</v>
      </c>
      <c r="U1024" s="91">
        <f t="shared" si="522"/>
        <v>0</v>
      </c>
      <c r="V1024" s="91">
        <f t="shared" si="517"/>
        <v>0</v>
      </c>
      <c r="W1024" s="1">
        <f t="shared" si="524"/>
        <v>0</v>
      </c>
      <c r="X1024" s="1">
        <f t="shared" si="524"/>
        <v>0</v>
      </c>
      <c r="Y1024" s="1">
        <f t="shared" si="524"/>
        <v>0</v>
      </c>
      <c r="Z1024" s="1">
        <f t="shared" si="524"/>
        <v>0</v>
      </c>
      <c r="AA1024" s="1">
        <f t="shared" si="524"/>
        <v>0</v>
      </c>
      <c r="AB1024" s="1">
        <f t="shared" si="524"/>
        <v>0</v>
      </c>
      <c r="AC1024" s="1">
        <f t="shared" si="524"/>
        <v>0</v>
      </c>
      <c r="AD1024" s="1">
        <f t="shared" si="524"/>
        <v>0</v>
      </c>
      <c r="AE1024" s="1">
        <f t="shared" si="524"/>
        <v>0</v>
      </c>
      <c r="AF1024" s="1">
        <f t="shared" si="524"/>
        <v>1</v>
      </c>
      <c r="AG1024" s="1">
        <f t="shared" si="524"/>
        <v>1</v>
      </c>
      <c r="AH1024" s="1">
        <f t="shared" si="524"/>
        <v>1</v>
      </c>
      <c r="AI1024" s="44">
        <f t="shared" si="518"/>
        <v>0</v>
      </c>
      <c r="AJ1024" s="44">
        <f t="shared" si="509"/>
        <v>0</v>
      </c>
      <c r="AK1024" s="44">
        <f t="shared" ref="AK1024:AK1087" si="526">IF(R1024=0,0,IF(R1024&gt;R1012,"Y","N"))</f>
        <v>0</v>
      </c>
      <c r="AL1024" s="4">
        <f t="shared" si="510"/>
        <v>334</v>
      </c>
      <c r="AM1024" s="82">
        <f t="shared" si="519"/>
        <v>0</v>
      </c>
      <c r="AN1024" s="82">
        <f t="shared" si="511"/>
        <v>0</v>
      </c>
      <c r="AO1024" s="48">
        <v>0</v>
      </c>
      <c r="AP1024" s="91">
        <f t="shared" si="520"/>
        <v>0</v>
      </c>
      <c r="AQ1024" s="91">
        <f t="shared" si="521"/>
        <v>0</v>
      </c>
    </row>
    <row r="1025" spans="1:43">
      <c r="A1025" s="190">
        <f t="shared" si="512"/>
        <v>93.637577002053376</v>
      </c>
      <c r="B1025" s="82">
        <f t="shared" si="513"/>
        <v>28</v>
      </c>
      <c r="C1025" s="83">
        <f t="shared" si="514"/>
        <v>335</v>
      </c>
      <c r="D1025" s="14">
        <f t="shared" si="499"/>
        <v>2.6283369587845051E-3</v>
      </c>
      <c r="E1025" s="16">
        <f t="shared" si="500"/>
        <v>0</v>
      </c>
      <c r="F1025" s="127"/>
      <c r="G1025" s="88">
        <f t="shared" si="501"/>
        <v>0</v>
      </c>
      <c r="H1025" s="89">
        <f t="shared" si="515"/>
        <v>4.1666666666666666E-3</v>
      </c>
      <c r="I1025" s="219"/>
      <c r="J1025" s="219"/>
      <c r="K1025" s="6">
        <f t="shared" si="523"/>
        <v>0</v>
      </c>
      <c r="M1025" s="6">
        <f t="shared" si="502"/>
        <v>0</v>
      </c>
      <c r="N1025" s="6">
        <f t="shared" si="503"/>
        <v>0</v>
      </c>
      <c r="O1025" s="90">
        <f t="shared" si="504"/>
        <v>0</v>
      </c>
      <c r="P1025" s="91">
        <f t="shared" si="505"/>
        <v>0</v>
      </c>
      <c r="Q1025" s="6">
        <f t="shared" si="506"/>
        <v>0</v>
      </c>
      <c r="R1025" s="87">
        <f t="shared" si="525"/>
        <v>0</v>
      </c>
      <c r="S1025" s="6">
        <f t="shared" si="507"/>
        <v>0</v>
      </c>
      <c r="T1025" s="83">
        <f t="shared" si="516"/>
        <v>0</v>
      </c>
      <c r="U1025" s="91">
        <f t="shared" si="522"/>
        <v>0</v>
      </c>
      <c r="V1025" s="91">
        <f t="shared" si="517"/>
        <v>0</v>
      </c>
      <c r="W1025" s="1">
        <f t="shared" si="524"/>
        <v>0</v>
      </c>
      <c r="X1025" s="1">
        <f t="shared" si="524"/>
        <v>0</v>
      </c>
      <c r="Y1025" s="1">
        <f t="shared" si="524"/>
        <v>0</v>
      </c>
      <c r="Z1025" s="1">
        <f t="shared" si="524"/>
        <v>0</v>
      </c>
      <c r="AA1025" s="1">
        <f t="shared" si="524"/>
        <v>0</v>
      </c>
      <c r="AB1025" s="1">
        <f t="shared" si="524"/>
        <v>0</v>
      </c>
      <c r="AC1025" s="1">
        <f t="shared" si="524"/>
        <v>0</v>
      </c>
      <c r="AD1025" s="1">
        <f t="shared" si="524"/>
        <v>0</v>
      </c>
      <c r="AE1025" s="1">
        <f t="shared" si="524"/>
        <v>0</v>
      </c>
      <c r="AF1025" s="1">
        <f t="shared" si="524"/>
        <v>1</v>
      </c>
      <c r="AG1025" s="1">
        <f t="shared" si="524"/>
        <v>1</v>
      </c>
      <c r="AH1025" s="1">
        <f t="shared" si="524"/>
        <v>1</v>
      </c>
      <c r="AI1025" s="44">
        <f t="shared" si="518"/>
        <v>0</v>
      </c>
      <c r="AJ1025" s="44">
        <f t="shared" si="509"/>
        <v>0</v>
      </c>
      <c r="AK1025" s="44">
        <f t="shared" si="526"/>
        <v>0</v>
      </c>
      <c r="AL1025" s="4">
        <f t="shared" si="510"/>
        <v>335</v>
      </c>
      <c r="AM1025" s="82">
        <f t="shared" si="519"/>
        <v>0</v>
      </c>
      <c r="AN1025" s="82">
        <f t="shared" si="511"/>
        <v>0</v>
      </c>
      <c r="AO1025" s="48">
        <v>0</v>
      </c>
      <c r="AP1025" s="91">
        <f t="shared" si="520"/>
        <v>0</v>
      </c>
      <c r="AQ1025" s="91">
        <f t="shared" si="521"/>
        <v>0</v>
      </c>
    </row>
    <row r="1026" spans="1:43">
      <c r="A1026" s="190">
        <f t="shared" si="512"/>
        <v>93.720910335386719</v>
      </c>
      <c r="B1026" s="82">
        <f t="shared" si="513"/>
        <v>28</v>
      </c>
      <c r="C1026" s="83">
        <f t="shared" si="514"/>
        <v>336</v>
      </c>
      <c r="D1026" s="14">
        <f t="shared" si="499"/>
        <v>2.6283369587845051E-3</v>
      </c>
      <c r="E1026" s="16">
        <f t="shared" si="500"/>
        <v>0</v>
      </c>
      <c r="F1026" s="127"/>
      <c r="G1026" s="88">
        <f t="shared" si="501"/>
        <v>0</v>
      </c>
      <c r="H1026" s="89">
        <f t="shared" si="515"/>
        <v>4.1666666666666666E-3</v>
      </c>
      <c r="I1026" s="219"/>
      <c r="J1026" s="219"/>
      <c r="K1026" s="6">
        <f t="shared" si="523"/>
        <v>0</v>
      </c>
      <c r="M1026" s="6">
        <f t="shared" si="502"/>
        <v>0</v>
      </c>
      <c r="N1026" s="6">
        <f t="shared" si="503"/>
        <v>0</v>
      </c>
      <c r="O1026" s="90">
        <f t="shared" si="504"/>
        <v>0</v>
      </c>
      <c r="P1026" s="91">
        <f t="shared" si="505"/>
        <v>0</v>
      </c>
      <c r="Q1026" s="6">
        <f t="shared" si="506"/>
        <v>0</v>
      </c>
      <c r="R1026" s="87">
        <f t="shared" si="525"/>
        <v>0</v>
      </c>
      <c r="S1026" s="6">
        <f t="shared" si="507"/>
        <v>0</v>
      </c>
      <c r="T1026" s="83">
        <f t="shared" si="516"/>
        <v>0</v>
      </c>
      <c r="U1026" s="91">
        <f t="shared" si="522"/>
        <v>0</v>
      </c>
      <c r="V1026" s="91">
        <f t="shared" si="517"/>
        <v>0</v>
      </c>
      <c r="W1026" s="1">
        <f t="shared" si="524"/>
        <v>0</v>
      </c>
      <c r="X1026" s="1">
        <f t="shared" si="524"/>
        <v>0</v>
      </c>
      <c r="Y1026" s="1">
        <f t="shared" si="524"/>
        <v>0</v>
      </c>
      <c r="Z1026" s="1">
        <f t="shared" si="524"/>
        <v>0</v>
      </c>
      <c r="AA1026" s="1">
        <f t="shared" si="524"/>
        <v>0</v>
      </c>
      <c r="AB1026" s="1">
        <f t="shared" si="524"/>
        <v>0</v>
      </c>
      <c r="AC1026" s="1">
        <f t="shared" si="524"/>
        <v>0</v>
      </c>
      <c r="AD1026" s="1">
        <f t="shared" si="524"/>
        <v>0</v>
      </c>
      <c r="AE1026" s="1">
        <f t="shared" si="524"/>
        <v>0</v>
      </c>
      <c r="AF1026" s="1">
        <f t="shared" si="524"/>
        <v>1</v>
      </c>
      <c r="AG1026" s="1">
        <f t="shared" si="524"/>
        <v>1</v>
      </c>
      <c r="AH1026" s="1">
        <f t="shared" si="524"/>
        <v>1</v>
      </c>
      <c r="AI1026" s="44">
        <f t="shared" si="518"/>
        <v>0</v>
      </c>
      <c r="AJ1026" s="44">
        <f t="shared" si="509"/>
        <v>0</v>
      </c>
      <c r="AK1026" s="44">
        <f t="shared" si="526"/>
        <v>0</v>
      </c>
      <c r="AL1026" s="4">
        <f t="shared" si="510"/>
        <v>336</v>
      </c>
      <c r="AM1026" s="82">
        <f t="shared" si="519"/>
        <v>0</v>
      </c>
      <c r="AN1026" s="82">
        <f t="shared" si="511"/>
        <v>0</v>
      </c>
      <c r="AO1026" s="48">
        <v>0</v>
      </c>
      <c r="AP1026" s="91">
        <f t="shared" si="520"/>
        <v>0</v>
      </c>
      <c r="AQ1026" s="91">
        <f t="shared" si="521"/>
        <v>0</v>
      </c>
    </row>
    <row r="1027" spans="1:43">
      <c r="A1027" s="190">
        <f t="shared" si="512"/>
        <v>93.804243668720048</v>
      </c>
      <c r="B1027" s="82">
        <f t="shared" si="513"/>
        <v>29</v>
      </c>
      <c r="C1027" s="83">
        <f t="shared" si="514"/>
        <v>337</v>
      </c>
      <c r="D1027" s="14">
        <f t="shared" si="499"/>
        <v>2.6283369587845051E-3</v>
      </c>
      <c r="E1027" s="16">
        <f t="shared" si="500"/>
        <v>0</v>
      </c>
      <c r="F1027" s="127"/>
      <c r="G1027" s="88">
        <f t="shared" si="501"/>
        <v>0</v>
      </c>
      <c r="H1027" s="89">
        <f t="shared" si="515"/>
        <v>4.1666666666666666E-3</v>
      </c>
      <c r="I1027" s="219"/>
      <c r="J1027" s="219"/>
      <c r="K1027" s="6">
        <f t="shared" si="523"/>
        <v>0</v>
      </c>
      <c r="M1027" s="6">
        <f t="shared" si="502"/>
        <v>0</v>
      </c>
      <c r="N1027" s="6">
        <f t="shared" si="503"/>
        <v>0</v>
      </c>
      <c r="O1027" s="90">
        <f t="shared" si="504"/>
        <v>0</v>
      </c>
      <c r="P1027" s="91">
        <f t="shared" si="505"/>
        <v>0</v>
      </c>
      <c r="Q1027" s="6">
        <f t="shared" si="506"/>
        <v>0</v>
      </c>
      <c r="R1027" s="87">
        <f t="shared" si="525"/>
        <v>0</v>
      </c>
      <c r="S1027" s="6">
        <f t="shared" si="507"/>
        <v>0</v>
      </c>
      <c r="T1027" s="83">
        <f t="shared" si="516"/>
        <v>0</v>
      </c>
      <c r="U1027" s="91">
        <f t="shared" si="522"/>
        <v>0</v>
      </c>
      <c r="V1027" s="91">
        <f t="shared" si="517"/>
        <v>0</v>
      </c>
      <c r="W1027" s="1">
        <f t="shared" si="524"/>
        <v>0</v>
      </c>
      <c r="X1027" s="1">
        <f t="shared" si="524"/>
        <v>0</v>
      </c>
      <c r="Y1027" s="1">
        <f t="shared" si="524"/>
        <v>0</v>
      </c>
      <c r="Z1027" s="1">
        <f t="shared" si="524"/>
        <v>0</v>
      </c>
      <c r="AA1027" s="1">
        <f t="shared" si="524"/>
        <v>0</v>
      </c>
      <c r="AB1027" s="1">
        <f t="shared" si="524"/>
        <v>0</v>
      </c>
      <c r="AC1027" s="1">
        <f t="shared" si="524"/>
        <v>0</v>
      </c>
      <c r="AD1027" s="1">
        <f t="shared" si="524"/>
        <v>0</v>
      </c>
      <c r="AE1027" s="1">
        <f t="shared" si="524"/>
        <v>0</v>
      </c>
      <c r="AF1027" s="1">
        <f t="shared" si="524"/>
        <v>1</v>
      </c>
      <c r="AG1027" s="1">
        <f t="shared" si="524"/>
        <v>1</v>
      </c>
      <c r="AH1027" s="1">
        <f t="shared" si="524"/>
        <v>1</v>
      </c>
      <c r="AI1027" s="44">
        <f t="shared" si="518"/>
        <v>0</v>
      </c>
      <c r="AJ1027" s="44">
        <f t="shared" si="509"/>
        <v>0</v>
      </c>
      <c r="AK1027" s="44">
        <f t="shared" si="526"/>
        <v>0</v>
      </c>
      <c r="AL1027" s="4">
        <f t="shared" si="510"/>
        <v>337</v>
      </c>
      <c r="AM1027" s="82">
        <f t="shared" si="519"/>
        <v>0</v>
      </c>
      <c r="AN1027" s="82">
        <f t="shared" si="511"/>
        <v>0</v>
      </c>
      <c r="AO1027" s="48">
        <v>0</v>
      </c>
      <c r="AP1027" s="91">
        <f t="shared" si="520"/>
        <v>0</v>
      </c>
      <c r="AQ1027" s="91">
        <f t="shared" si="521"/>
        <v>0</v>
      </c>
    </row>
    <row r="1028" spans="1:43">
      <c r="A1028" s="190">
        <f t="shared" si="512"/>
        <v>93.887577002053376</v>
      </c>
      <c r="B1028" s="82">
        <f t="shared" si="513"/>
        <v>29</v>
      </c>
      <c r="C1028" s="83">
        <f t="shared" si="514"/>
        <v>338</v>
      </c>
      <c r="D1028" s="14">
        <f t="shared" si="499"/>
        <v>2.6283369587845051E-3</v>
      </c>
      <c r="E1028" s="16">
        <f t="shared" si="500"/>
        <v>0</v>
      </c>
      <c r="F1028" s="127"/>
      <c r="G1028" s="88">
        <f t="shared" si="501"/>
        <v>0</v>
      </c>
      <c r="H1028" s="89">
        <f t="shared" si="515"/>
        <v>4.1666666666666666E-3</v>
      </c>
      <c r="I1028" s="219"/>
      <c r="J1028" s="219"/>
      <c r="K1028" s="6">
        <f t="shared" si="523"/>
        <v>0</v>
      </c>
      <c r="M1028" s="6">
        <f t="shared" si="502"/>
        <v>0</v>
      </c>
      <c r="N1028" s="6">
        <f t="shared" si="503"/>
        <v>0</v>
      </c>
      <c r="O1028" s="90">
        <f t="shared" si="504"/>
        <v>0</v>
      </c>
      <c r="P1028" s="91">
        <f t="shared" si="505"/>
        <v>0</v>
      </c>
      <c r="Q1028" s="6">
        <f t="shared" si="506"/>
        <v>0</v>
      </c>
      <c r="R1028" s="87">
        <f t="shared" si="525"/>
        <v>0</v>
      </c>
      <c r="S1028" s="6">
        <f t="shared" si="507"/>
        <v>0</v>
      </c>
      <c r="T1028" s="83">
        <f t="shared" si="516"/>
        <v>0</v>
      </c>
      <c r="U1028" s="91">
        <f t="shared" si="522"/>
        <v>0</v>
      </c>
      <c r="V1028" s="91">
        <f t="shared" si="517"/>
        <v>0</v>
      </c>
      <c r="W1028" s="1">
        <f t="shared" si="524"/>
        <v>0</v>
      </c>
      <c r="X1028" s="1">
        <f t="shared" si="524"/>
        <v>0</v>
      </c>
      <c r="Y1028" s="1">
        <f t="shared" si="524"/>
        <v>0</v>
      </c>
      <c r="Z1028" s="1">
        <f t="shared" si="524"/>
        <v>0</v>
      </c>
      <c r="AA1028" s="1">
        <f t="shared" si="524"/>
        <v>0</v>
      </c>
      <c r="AB1028" s="1">
        <f t="shared" si="524"/>
        <v>0</v>
      </c>
      <c r="AC1028" s="1">
        <f t="shared" si="524"/>
        <v>0</v>
      </c>
      <c r="AD1028" s="1">
        <f t="shared" si="524"/>
        <v>0</v>
      </c>
      <c r="AE1028" s="1">
        <f t="shared" si="524"/>
        <v>0</v>
      </c>
      <c r="AF1028" s="1">
        <f t="shared" si="524"/>
        <v>1</v>
      </c>
      <c r="AG1028" s="1">
        <f t="shared" si="524"/>
        <v>1</v>
      </c>
      <c r="AH1028" s="1">
        <f t="shared" si="524"/>
        <v>1</v>
      </c>
      <c r="AI1028" s="44">
        <f t="shared" si="518"/>
        <v>0</v>
      </c>
      <c r="AJ1028" s="44">
        <f t="shared" si="509"/>
        <v>0</v>
      </c>
      <c r="AK1028" s="44">
        <f t="shared" si="526"/>
        <v>0</v>
      </c>
      <c r="AL1028" s="4">
        <f t="shared" si="510"/>
        <v>338</v>
      </c>
      <c r="AM1028" s="82">
        <f t="shared" si="519"/>
        <v>0</v>
      </c>
      <c r="AN1028" s="82">
        <f t="shared" si="511"/>
        <v>0</v>
      </c>
      <c r="AO1028" s="48">
        <v>0</v>
      </c>
      <c r="AP1028" s="91">
        <f t="shared" si="520"/>
        <v>0</v>
      </c>
      <c r="AQ1028" s="91">
        <f t="shared" si="521"/>
        <v>0</v>
      </c>
    </row>
    <row r="1029" spans="1:43">
      <c r="A1029" s="190">
        <f t="shared" si="512"/>
        <v>93.970910335386719</v>
      </c>
      <c r="B1029" s="82">
        <f t="shared" si="513"/>
        <v>29</v>
      </c>
      <c r="C1029" s="83">
        <f t="shared" si="514"/>
        <v>339</v>
      </c>
      <c r="D1029" s="14">
        <f t="shared" si="499"/>
        <v>2.6283369587845051E-3</v>
      </c>
      <c r="E1029" s="16">
        <f t="shared" si="500"/>
        <v>0</v>
      </c>
      <c r="F1029" s="127"/>
      <c r="G1029" s="88">
        <f t="shared" si="501"/>
        <v>0</v>
      </c>
      <c r="H1029" s="89">
        <f t="shared" si="515"/>
        <v>4.1666666666666666E-3</v>
      </c>
      <c r="I1029" s="219"/>
      <c r="J1029" s="219"/>
      <c r="K1029" s="6">
        <f t="shared" si="523"/>
        <v>0</v>
      </c>
      <c r="M1029" s="6">
        <f t="shared" si="502"/>
        <v>0</v>
      </c>
      <c r="N1029" s="6">
        <f t="shared" si="503"/>
        <v>0</v>
      </c>
      <c r="O1029" s="90">
        <f t="shared" si="504"/>
        <v>0</v>
      </c>
      <c r="P1029" s="91">
        <f t="shared" si="505"/>
        <v>0</v>
      </c>
      <c r="Q1029" s="6">
        <f t="shared" si="506"/>
        <v>0</v>
      </c>
      <c r="R1029" s="87">
        <f t="shared" si="525"/>
        <v>0</v>
      </c>
      <c r="S1029" s="6">
        <f t="shared" si="507"/>
        <v>0</v>
      </c>
      <c r="T1029" s="83">
        <f t="shared" si="516"/>
        <v>0</v>
      </c>
      <c r="U1029" s="91">
        <f t="shared" si="522"/>
        <v>0</v>
      </c>
      <c r="V1029" s="91">
        <f t="shared" si="517"/>
        <v>0</v>
      </c>
      <c r="W1029" s="1">
        <f t="shared" si="524"/>
        <v>0</v>
      </c>
      <c r="X1029" s="1">
        <f t="shared" si="524"/>
        <v>0</v>
      </c>
      <c r="Y1029" s="1">
        <f t="shared" si="524"/>
        <v>0</v>
      </c>
      <c r="Z1029" s="1">
        <f t="shared" si="524"/>
        <v>0</v>
      </c>
      <c r="AA1029" s="1">
        <f t="shared" si="524"/>
        <v>0</v>
      </c>
      <c r="AB1029" s="1">
        <f t="shared" si="524"/>
        <v>0</v>
      </c>
      <c r="AC1029" s="1">
        <f t="shared" si="524"/>
        <v>0</v>
      </c>
      <c r="AD1029" s="1">
        <f t="shared" si="524"/>
        <v>0</v>
      </c>
      <c r="AE1029" s="1">
        <f t="shared" si="524"/>
        <v>0</v>
      </c>
      <c r="AF1029" s="1">
        <f t="shared" si="524"/>
        <v>1</v>
      </c>
      <c r="AG1029" s="1">
        <f t="shared" si="524"/>
        <v>1</v>
      </c>
      <c r="AH1029" s="1">
        <f t="shared" si="524"/>
        <v>1</v>
      </c>
      <c r="AI1029" s="44">
        <f t="shared" si="518"/>
        <v>0</v>
      </c>
      <c r="AJ1029" s="44">
        <f t="shared" si="509"/>
        <v>0</v>
      </c>
      <c r="AK1029" s="44">
        <f t="shared" si="526"/>
        <v>0</v>
      </c>
      <c r="AL1029" s="4">
        <f t="shared" si="510"/>
        <v>339</v>
      </c>
      <c r="AM1029" s="82">
        <f t="shared" si="519"/>
        <v>0</v>
      </c>
      <c r="AN1029" s="82">
        <f t="shared" si="511"/>
        <v>0</v>
      </c>
      <c r="AO1029" s="48">
        <v>0</v>
      </c>
      <c r="AP1029" s="91">
        <f t="shared" si="520"/>
        <v>0</v>
      </c>
      <c r="AQ1029" s="91">
        <f t="shared" si="521"/>
        <v>0</v>
      </c>
    </row>
    <row r="1030" spans="1:43">
      <c r="A1030" s="190">
        <f t="shared" si="512"/>
        <v>94.054243668720048</v>
      </c>
      <c r="B1030" s="82">
        <f t="shared" si="513"/>
        <v>29</v>
      </c>
      <c r="C1030" s="83">
        <f t="shared" si="514"/>
        <v>340</v>
      </c>
      <c r="D1030" s="14">
        <f t="shared" si="499"/>
        <v>2.6283369587845051E-3</v>
      </c>
      <c r="E1030" s="16">
        <f t="shared" si="500"/>
        <v>0</v>
      </c>
      <c r="F1030" s="127"/>
      <c r="G1030" s="88">
        <f t="shared" si="501"/>
        <v>0</v>
      </c>
      <c r="H1030" s="89">
        <f t="shared" si="515"/>
        <v>4.1666666666666666E-3</v>
      </c>
      <c r="I1030" s="219"/>
      <c r="J1030" s="219"/>
      <c r="K1030" s="6">
        <f t="shared" si="523"/>
        <v>0</v>
      </c>
      <c r="M1030" s="6">
        <f t="shared" si="502"/>
        <v>0</v>
      </c>
      <c r="N1030" s="6">
        <f t="shared" si="503"/>
        <v>0</v>
      </c>
      <c r="O1030" s="90">
        <f t="shared" si="504"/>
        <v>0</v>
      </c>
      <c r="P1030" s="91">
        <f t="shared" si="505"/>
        <v>0</v>
      </c>
      <c r="Q1030" s="6">
        <f t="shared" si="506"/>
        <v>0</v>
      </c>
      <c r="R1030" s="87">
        <f t="shared" si="525"/>
        <v>0</v>
      </c>
      <c r="S1030" s="6">
        <f t="shared" si="507"/>
        <v>0</v>
      </c>
      <c r="T1030" s="83">
        <f t="shared" si="516"/>
        <v>0</v>
      </c>
      <c r="U1030" s="91">
        <f t="shared" si="522"/>
        <v>0</v>
      </c>
      <c r="V1030" s="91">
        <f t="shared" si="517"/>
        <v>0</v>
      </c>
      <c r="W1030" s="1">
        <f t="shared" si="524"/>
        <v>0</v>
      </c>
      <c r="X1030" s="1">
        <f t="shared" si="524"/>
        <v>0</v>
      </c>
      <c r="Y1030" s="1">
        <f t="shared" si="524"/>
        <v>0</v>
      </c>
      <c r="Z1030" s="1">
        <f t="shared" si="524"/>
        <v>0</v>
      </c>
      <c r="AA1030" s="1">
        <f t="shared" si="524"/>
        <v>0</v>
      </c>
      <c r="AB1030" s="1">
        <f t="shared" si="524"/>
        <v>0</v>
      </c>
      <c r="AC1030" s="1">
        <f t="shared" si="524"/>
        <v>0</v>
      </c>
      <c r="AD1030" s="1">
        <f t="shared" si="524"/>
        <v>0</v>
      </c>
      <c r="AE1030" s="1">
        <f t="shared" si="524"/>
        <v>0</v>
      </c>
      <c r="AF1030" s="1">
        <f t="shared" si="524"/>
        <v>1</v>
      </c>
      <c r="AG1030" s="1">
        <f t="shared" si="524"/>
        <v>1</v>
      </c>
      <c r="AH1030" s="1">
        <f t="shared" si="524"/>
        <v>1</v>
      </c>
      <c r="AI1030" s="44">
        <f t="shared" si="518"/>
        <v>0</v>
      </c>
      <c r="AJ1030" s="44">
        <f t="shared" si="509"/>
        <v>0</v>
      </c>
      <c r="AK1030" s="44">
        <f t="shared" si="526"/>
        <v>0</v>
      </c>
      <c r="AL1030" s="4">
        <f t="shared" si="510"/>
        <v>340</v>
      </c>
      <c r="AM1030" s="82">
        <f t="shared" si="519"/>
        <v>0</v>
      </c>
      <c r="AN1030" s="82">
        <f t="shared" si="511"/>
        <v>0</v>
      </c>
      <c r="AO1030" s="48">
        <v>0</v>
      </c>
      <c r="AP1030" s="91">
        <f t="shared" si="520"/>
        <v>0</v>
      </c>
      <c r="AQ1030" s="91">
        <f t="shared" si="521"/>
        <v>0</v>
      </c>
    </row>
    <row r="1031" spans="1:43">
      <c r="A1031" s="190">
        <f t="shared" si="512"/>
        <v>94.137577002053376</v>
      </c>
      <c r="B1031" s="82">
        <f t="shared" si="513"/>
        <v>29</v>
      </c>
      <c r="C1031" s="83">
        <f t="shared" si="514"/>
        <v>341</v>
      </c>
      <c r="D1031" s="14">
        <f t="shared" si="499"/>
        <v>2.6283369587845051E-3</v>
      </c>
      <c r="E1031" s="16">
        <f t="shared" si="500"/>
        <v>0</v>
      </c>
      <c r="F1031" s="127"/>
      <c r="G1031" s="88">
        <f t="shared" si="501"/>
        <v>0</v>
      </c>
      <c r="H1031" s="89">
        <f t="shared" si="515"/>
        <v>4.1666666666666666E-3</v>
      </c>
      <c r="I1031" s="219"/>
      <c r="J1031" s="219"/>
      <c r="K1031" s="6">
        <f t="shared" si="523"/>
        <v>0</v>
      </c>
      <c r="M1031" s="6">
        <f t="shared" si="502"/>
        <v>0</v>
      </c>
      <c r="N1031" s="6">
        <f t="shared" si="503"/>
        <v>0</v>
      </c>
      <c r="O1031" s="90">
        <f t="shared" si="504"/>
        <v>0</v>
      </c>
      <c r="P1031" s="91">
        <f t="shared" si="505"/>
        <v>0</v>
      </c>
      <c r="Q1031" s="6">
        <f t="shared" si="506"/>
        <v>0</v>
      </c>
      <c r="R1031" s="87">
        <f t="shared" si="525"/>
        <v>0</v>
      </c>
      <c r="S1031" s="6">
        <f t="shared" si="507"/>
        <v>0</v>
      </c>
      <c r="T1031" s="83">
        <f t="shared" si="516"/>
        <v>0</v>
      </c>
      <c r="U1031" s="91">
        <f t="shared" si="522"/>
        <v>0</v>
      </c>
      <c r="V1031" s="91">
        <f t="shared" si="517"/>
        <v>0</v>
      </c>
      <c r="W1031" s="1">
        <f t="shared" ref="W1031:AH1040" si="527">IF($B1031&lt;=W$78,1,0)</f>
        <v>0</v>
      </c>
      <c r="X1031" s="1">
        <f t="shared" si="527"/>
        <v>0</v>
      </c>
      <c r="Y1031" s="1">
        <f t="shared" si="527"/>
        <v>0</v>
      </c>
      <c r="Z1031" s="1">
        <f t="shared" si="527"/>
        <v>0</v>
      </c>
      <c r="AA1031" s="1">
        <f t="shared" si="527"/>
        <v>0</v>
      </c>
      <c r="AB1031" s="1">
        <f t="shared" si="527"/>
        <v>0</v>
      </c>
      <c r="AC1031" s="1">
        <f t="shared" si="527"/>
        <v>0</v>
      </c>
      <c r="AD1031" s="1">
        <f t="shared" si="527"/>
        <v>0</v>
      </c>
      <c r="AE1031" s="1">
        <f t="shared" si="527"/>
        <v>0</v>
      </c>
      <c r="AF1031" s="1">
        <f t="shared" si="527"/>
        <v>1</v>
      </c>
      <c r="AG1031" s="1">
        <f t="shared" si="527"/>
        <v>1</v>
      </c>
      <c r="AH1031" s="1">
        <f t="shared" si="527"/>
        <v>1</v>
      </c>
      <c r="AI1031" s="44">
        <f t="shared" si="518"/>
        <v>0</v>
      </c>
      <c r="AJ1031" s="44">
        <f t="shared" si="509"/>
        <v>0</v>
      </c>
      <c r="AK1031" s="44">
        <f t="shared" si="526"/>
        <v>0</v>
      </c>
      <c r="AL1031" s="4">
        <f t="shared" si="510"/>
        <v>341</v>
      </c>
      <c r="AM1031" s="82">
        <f t="shared" si="519"/>
        <v>0</v>
      </c>
      <c r="AN1031" s="82">
        <f t="shared" si="511"/>
        <v>0</v>
      </c>
      <c r="AO1031" s="48">
        <v>0</v>
      </c>
      <c r="AP1031" s="91">
        <f t="shared" si="520"/>
        <v>0</v>
      </c>
      <c r="AQ1031" s="91">
        <f t="shared" si="521"/>
        <v>0</v>
      </c>
    </row>
    <row r="1032" spans="1:43">
      <c r="A1032" s="190">
        <f t="shared" si="512"/>
        <v>94.220910335386719</v>
      </c>
      <c r="B1032" s="82">
        <f t="shared" si="513"/>
        <v>29</v>
      </c>
      <c r="C1032" s="83">
        <f t="shared" si="514"/>
        <v>342</v>
      </c>
      <c r="D1032" s="14">
        <f t="shared" si="499"/>
        <v>2.6283369587845051E-3</v>
      </c>
      <c r="E1032" s="16">
        <f t="shared" si="500"/>
        <v>0</v>
      </c>
      <c r="F1032" s="127"/>
      <c r="G1032" s="88">
        <f t="shared" si="501"/>
        <v>0</v>
      </c>
      <c r="H1032" s="89">
        <f t="shared" si="515"/>
        <v>4.1666666666666666E-3</v>
      </c>
      <c r="I1032" s="219"/>
      <c r="J1032" s="219"/>
      <c r="K1032" s="6">
        <f t="shared" si="523"/>
        <v>0</v>
      </c>
      <c r="M1032" s="6">
        <f t="shared" si="502"/>
        <v>0</v>
      </c>
      <c r="N1032" s="6">
        <f t="shared" si="503"/>
        <v>0</v>
      </c>
      <c r="O1032" s="90">
        <f t="shared" si="504"/>
        <v>0</v>
      </c>
      <c r="P1032" s="91">
        <f t="shared" si="505"/>
        <v>0</v>
      </c>
      <c r="Q1032" s="6">
        <f t="shared" si="506"/>
        <v>0</v>
      </c>
      <c r="R1032" s="87">
        <f t="shared" si="525"/>
        <v>0</v>
      </c>
      <c r="S1032" s="6">
        <f t="shared" si="507"/>
        <v>0</v>
      </c>
      <c r="T1032" s="83">
        <f t="shared" si="516"/>
        <v>0</v>
      </c>
      <c r="U1032" s="91">
        <f t="shared" si="522"/>
        <v>0</v>
      </c>
      <c r="V1032" s="91">
        <f t="shared" si="517"/>
        <v>0</v>
      </c>
      <c r="W1032" s="1">
        <f t="shared" si="527"/>
        <v>0</v>
      </c>
      <c r="X1032" s="1">
        <f t="shared" si="527"/>
        <v>0</v>
      </c>
      <c r="Y1032" s="1">
        <f t="shared" si="527"/>
        <v>0</v>
      </c>
      <c r="Z1032" s="1">
        <f t="shared" si="527"/>
        <v>0</v>
      </c>
      <c r="AA1032" s="1">
        <f t="shared" si="527"/>
        <v>0</v>
      </c>
      <c r="AB1032" s="1">
        <f t="shared" si="527"/>
        <v>0</v>
      </c>
      <c r="AC1032" s="1">
        <f t="shared" si="527"/>
        <v>0</v>
      </c>
      <c r="AD1032" s="1">
        <f t="shared" si="527"/>
        <v>0</v>
      </c>
      <c r="AE1032" s="1">
        <f t="shared" si="527"/>
        <v>0</v>
      </c>
      <c r="AF1032" s="1">
        <f t="shared" si="527"/>
        <v>1</v>
      </c>
      <c r="AG1032" s="1">
        <f t="shared" si="527"/>
        <v>1</v>
      </c>
      <c r="AH1032" s="1">
        <f t="shared" si="527"/>
        <v>1</v>
      </c>
      <c r="AI1032" s="44">
        <f t="shared" si="518"/>
        <v>0</v>
      </c>
      <c r="AJ1032" s="44">
        <f t="shared" si="509"/>
        <v>0</v>
      </c>
      <c r="AK1032" s="44">
        <f t="shared" si="526"/>
        <v>0</v>
      </c>
      <c r="AL1032" s="4">
        <f t="shared" si="510"/>
        <v>342</v>
      </c>
      <c r="AM1032" s="82">
        <f t="shared" si="519"/>
        <v>0</v>
      </c>
      <c r="AN1032" s="82">
        <f t="shared" si="511"/>
        <v>0</v>
      </c>
      <c r="AO1032" s="48">
        <v>0</v>
      </c>
      <c r="AP1032" s="91">
        <f t="shared" si="520"/>
        <v>0</v>
      </c>
      <c r="AQ1032" s="91">
        <f t="shared" si="521"/>
        <v>0</v>
      </c>
    </row>
    <row r="1033" spans="1:43">
      <c r="A1033" s="190">
        <f t="shared" si="512"/>
        <v>94.304243668720048</v>
      </c>
      <c r="B1033" s="82">
        <f t="shared" si="513"/>
        <v>29</v>
      </c>
      <c r="C1033" s="83">
        <f t="shared" si="514"/>
        <v>343</v>
      </c>
      <c r="D1033" s="14">
        <f t="shared" si="499"/>
        <v>2.6283369587845051E-3</v>
      </c>
      <c r="E1033" s="16">
        <f t="shared" si="500"/>
        <v>0</v>
      </c>
      <c r="F1033" s="127"/>
      <c r="G1033" s="88">
        <f t="shared" si="501"/>
        <v>0</v>
      </c>
      <c r="H1033" s="89">
        <f t="shared" si="515"/>
        <v>4.1666666666666666E-3</v>
      </c>
      <c r="I1033" s="219"/>
      <c r="J1033" s="219"/>
      <c r="K1033" s="6">
        <f t="shared" si="523"/>
        <v>0</v>
      </c>
      <c r="M1033" s="6">
        <f t="shared" si="502"/>
        <v>0</v>
      </c>
      <c r="N1033" s="6">
        <f t="shared" si="503"/>
        <v>0</v>
      </c>
      <c r="O1033" s="90">
        <f t="shared" si="504"/>
        <v>0</v>
      </c>
      <c r="P1033" s="91">
        <f t="shared" si="505"/>
        <v>0</v>
      </c>
      <c r="Q1033" s="6">
        <f t="shared" si="506"/>
        <v>0</v>
      </c>
      <c r="R1033" s="87">
        <f t="shared" si="525"/>
        <v>0</v>
      </c>
      <c r="S1033" s="6">
        <f t="shared" si="507"/>
        <v>0</v>
      </c>
      <c r="T1033" s="83">
        <f t="shared" si="516"/>
        <v>0</v>
      </c>
      <c r="U1033" s="91">
        <f t="shared" si="522"/>
        <v>0</v>
      </c>
      <c r="V1033" s="91">
        <f t="shared" si="517"/>
        <v>0</v>
      </c>
      <c r="W1033" s="1">
        <f t="shared" si="527"/>
        <v>0</v>
      </c>
      <c r="X1033" s="1">
        <f t="shared" si="527"/>
        <v>0</v>
      </c>
      <c r="Y1033" s="1">
        <f t="shared" si="527"/>
        <v>0</v>
      </c>
      <c r="Z1033" s="1">
        <f t="shared" si="527"/>
        <v>0</v>
      </c>
      <c r="AA1033" s="1">
        <f t="shared" si="527"/>
        <v>0</v>
      </c>
      <c r="AB1033" s="1">
        <f t="shared" si="527"/>
        <v>0</v>
      </c>
      <c r="AC1033" s="1">
        <f t="shared" si="527"/>
        <v>0</v>
      </c>
      <c r="AD1033" s="1">
        <f t="shared" si="527"/>
        <v>0</v>
      </c>
      <c r="AE1033" s="1">
        <f t="shared" si="527"/>
        <v>0</v>
      </c>
      <c r="AF1033" s="1">
        <f t="shared" si="527"/>
        <v>1</v>
      </c>
      <c r="AG1033" s="1">
        <f t="shared" si="527"/>
        <v>1</v>
      </c>
      <c r="AH1033" s="1">
        <f t="shared" si="527"/>
        <v>1</v>
      </c>
      <c r="AI1033" s="44">
        <f t="shared" si="518"/>
        <v>0</v>
      </c>
      <c r="AJ1033" s="44">
        <f t="shared" si="509"/>
        <v>0</v>
      </c>
      <c r="AK1033" s="44">
        <f t="shared" si="526"/>
        <v>0</v>
      </c>
      <c r="AL1033" s="4">
        <f t="shared" si="510"/>
        <v>343</v>
      </c>
      <c r="AM1033" s="82">
        <f t="shared" si="519"/>
        <v>0</v>
      </c>
      <c r="AN1033" s="82">
        <f t="shared" si="511"/>
        <v>0</v>
      </c>
      <c r="AO1033" s="48">
        <v>0</v>
      </c>
      <c r="AP1033" s="91">
        <f t="shared" si="520"/>
        <v>0</v>
      </c>
      <c r="AQ1033" s="91">
        <f t="shared" si="521"/>
        <v>0</v>
      </c>
    </row>
    <row r="1034" spans="1:43">
      <c r="A1034" s="190">
        <f t="shared" si="512"/>
        <v>94.387577002053376</v>
      </c>
      <c r="B1034" s="82">
        <f t="shared" si="513"/>
        <v>29</v>
      </c>
      <c r="C1034" s="83">
        <f t="shared" si="514"/>
        <v>344</v>
      </c>
      <c r="D1034" s="14">
        <f t="shared" si="499"/>
        <v>2.6283369587845051E-3</v>
      </c>
      <c r="E1034" s="16">
        <f t="shared" si="500"/>
        <v>0</v>
      </c>
      <c r="F1034" s="127"/>
      <c r="G1034" s="88">
        <f t="shared" si="501"/>
        <v>0</v>
      </c>
      <c r="H1034" s="89">
        <f t="shared" si="515"/>
        <v>4.1666666666666666E-3</v>
      </c>
      <c r="I1034" s="219"/>
      <c r="J1034" s="219"/>
      <c r="K1034" s="6">
        <f t="shared" si="523"/>
        <v>0</v>
      </c>
      <c r="M1034" s="6">
        <f t="shared" si="502"/>
        <v>0</v>
      </c>
      <c r="N1034" s="6">
        <f t="shared" si="503"/>
        <v>0</v>
      </c>
      <c r="O1034" s="90">
        <f t="shared" si="504"/>
        <v>0</v>
      </c>
      <c r="P1034" s="91">
        <f t="shared" si="505"/>
        <v>0</v>
      </c>
      <c r="Q1034" s="6">
        <f t="shared" si="506"/>
        <v>0</v>
      </c>
      <c r="R1034" s="87">
        <f t="shared" si="525"/>
        <v>0</v>
      </c>
      <c r="S1034" s="6">
        <f t="shared" si="507"/>
        <v>0</v>
      </c>
      <c r="T1034" s="83">
        <f t="shared" si="516"/>
        <v>0</v>
      </c>
      <c r="U1034" s="91">
        <f t="shared" si="522"/>
        <v>0</v>
      </c>
      <c r="V1034" s="91">
        <f t="shared" si="517"/>
        <v>0</v>
      </c>
      <c r="W1034" s="1">
        <f t="shared" si="527"/>
        <v>0</v>
      </c>
      <c r="X1034" s="1">
        <f t="shared" si="527"/>
        <v>0</v>
      </c>
      <c r="Y1034" s="1">
        <f t="shared" si="527"/>
        <v>0</v>
      </c>
      <c r="Z1034" s="1">
        <f t="shared" si="527"/>
        <v>0</v>
      </c>
      <c r="AA1034" s="1">
        <f t="shared" si="527"/>
        <v>0</v>
      </c>
      <c r="AB1034" s="1">
        <f t="shared" si="527"/>
        <v>0</v>
      </c>
      <c r="AC1034" s="1">
        <f t="shared" si="527"/>
        <v>0</v>
      </c>
      <c r="AD1034" s="1">
        <f t="shared" si="527"/>
        <v>0</v>
      </c>
      <c r="AE1034" s="1">
        <f t="shared" si="527"/>
        <v>0</v>
      </c>
      <c r="AF1034" s="1">
        <f t="shared" si="527"/>
        <v>1</v>
      </c>
      <c r="AG1034" s="1">
        <f t="shared" si="527"/>
        <v>1</v>
      </c>
      <c r="AH1034" s="1">
        <f t="shared" si="527"/>
        <v>1</v>
      </c>
      <c r="AI1034" s="44">
        <f t="shared" si="518"/>
        <v>0</v>
      </c>
      <c r="AJ1034" s="44">
        <f t="shared" si="509"/>
        <v>0</v>
      </c>
      <c r="AK1034" s="44">
        <f t="shared" si="526"/>
        <v>0</v>
      </c>
      <c r="AL1034" s="4">
        <f t="shared" si="510"/>
        <v>344</v>
      </c>
      <c r="AM1034" s="82">
        <f t="shared" si="519"/>
        <v>0</v>
      </c>
      <c r="AN1034" s="82">
        <f t="shared" si="511"/>
        <v>0</v>
      </c>
      <c r="AO1034" s="48">
        <v>0</v>
      </c>
      <c r="AP1034" s="91">
        <f t="shared" si="520"/>
        <v>0</v>
      </c>
      <c r="AQ1034" s="91">
        <f t="shared" si="521"/>
        <v>0</v>
      </c>
    </row>
    <row r="1035" spans="1:43">
      <c r="A1035" s="190">
        <f t="shared" si="512"/>
        <v>94.470910335386719</v>
      </c>
      <c r="B1035" s="82">
        <f t="shared" si="513"/>
        <v>29</v>
      </c>
      <c r="C1035" s="83">
        <f t="shared" si="514"/>
        <v>345</v>
      </c>
      <c r="D1035" s="14">
        <f t="shared" si="499"/>
        <v>2.6283369587845051E-3</v>
      </c>
      <c r="E1035" s="16">
        <f t="shared" si="500"/>
        <v>0</v>
      </c>
      <c r="F1035" s="127"/>
      <c r="G1035" s="88">
        <f t="shared" si="501"/>
        <v>0</v>
      </c>
      <c r="H1035" s="89">
        <f t="shared" si="515"/>
        <v>4.1666666666666666E-3</v>
      </c>
      <c r="I1035" s="219"/>
      <c r="J1035" s="219"/>
      <c r="K1035" s="6">
        <f t="shared" si="523"/>
        <v>0</v>
      </c>
      <c r="M1035" s="6">
        <f t="shared" si="502"/>
        <v>0</v>
      </c>
      <c r="N1035" s="6">
        <f t="shared" si="503"/>
        <v>0</v>
      </c>
      <c r="O1035" s="90">
        <f t="shared" si="504"/>
        <v>0</v>
      </c>
      <c r="P1035" s="91">
        <f t="shared" si="505"/>
        <v>0</v>
      </c>
      <c r="Q1035" s="6">
        <f t="shared" si="506"/>
        <v>0</v>
      </c>
      <c r="R1035" s="87">
        <f t="shared" si="525"/>
        <v>0</v>
      </c>
      <c r="S1035" s="6">
        <f t="shared" si="507"/>
        <v>0</v>
      </c>
      <c r="T1035" s="83">
        <f t="shared" si="516"/>
        <v>0</v>
      </c>
      <c r="U1035" s="91">
        <f t="shared" si="522"/>
        <v>0</v>
      </c>
      <c r="V1035" s="91">
        <f t="shared" si="517"/>
        <v>0</v>
      </c>
      <c r="W1035" s="1">
        <f t="shared" si="527"/>
        <v>0</v>
      </c>
      <c r="X1035" s="1">
        <f t="shared" si="527"/>
        <v>0</v>
      </c>
      <c r="Y1035" s="1">
        <f t="shared" si="527"/>
        <v>0</v>
      </c>
      <c r="Z1035" s="1">
        <f t="shared" si="527"/>
        <v>0</v>
      </c>
      <c r="AA1035" s="1">
        <f t="shared" si="527"/>
        <v>0</v>
      </c>
      <c r="AB1035" s="1">
        <f t="shared" si="527"/>
        <v>0</v>
      </c>
      <c r="AC1035" s="1">
        <f t="shared" si="527"/>
        <v>0</v>
      </c>
      <c r="AD1035" s="1">
        <f t="shared" si="527"/>
        <v>0</v>
      </c>
      <c r="AE1035" s="1">
        <f t="shared" si="527"/>
        <v>0</v>
      </c>
      <c r="AF1035" s="1">
        <f t="shared" si="527"/>
        <v>1</v>
      </c>
      <c r="AG1035" s="1">
        <f t="shared" si="527"/>
        <v>1</v>
      </c>
      <c r="AH1035" s="1">
        <f t="shared" si="527"/>
        <v>1</v>
      </c>
      <c r="AI1035" s="44">
        <f t="shared" si="518"/>
        <v>0</v>
      </c>
      <c r="AJ1035" s="44">
        <f t="shared" si="509"/>
        <v>0</v>
      </c>
      <c r="AK1035" s="44">
        <f t="shared" si="526"/>
        <v>0</v>
      </c>
      <c r="AL1035" s="4">
        <f t="shared" si="510"/>
        <v>345</v>
      </c>
      <c r="AM1035" s="82">
        <f t="shared" si="519"/>
        <v>0</v>
      </c>
      <c r="AN1035" s="82">
        <f t="shared" si="511"/>
        <v>0</v>
      </c>
      <c r="AO1035" s="48">
        <v>0</v>
      </c>
      <c r="AP1035" s="91">
        <f t="shared" si="520"/>
        <v>0</v>
      </c>
      <c r="AQ1035" s="91">
        <f t="shared" si="521"/>
        <v>0</v>
      </c>
    </row>
    <row r="1036" spans="1:43">
      <c r="A1036" s="190">
        <f t="shared" si="512"/>
        <v>94.554243668720048</v>
      </c>
      <c r="B1036" s="82">
        <f t="shared" si="513"/>
        <v>29</v>
      </c>
      <c r="C1036" s="83">
        <f t="shared" si="514"/>
        <v>346</v>
      </c>
      <c r="D1036" s="14">
        <f t="shared" si="499"/>
        <v>2.6283369587845051E-3</v>
      </c>
      <c r="E1036" s="16">
        <f t="shared" si="500"/>
        <v>0</v>
      </c>
      <c r="F1036" s="127"/>
      <c r="G1036" s="88">
        <f t="shared" si="501"/>
        <v>0</v>
      </c>
      <c r="H1036" s="89">
        <f t="shared" si="515"/>
        <v>4.1666666666666666E-3</v>
      </c>
      <c r="I1036" s="219"/>
      <c r="J1036" s="219"/>
      <c r="K1036" s="6">
        <f t="shared" si="523"/>
        <v>0</v>
      </c>
      <c r="M1036" s="6">
        <f t="shared" si="502"/>
        <v>0</v>
      </c>
      <c r="N1036" s="6">
        <f t="shared" si="503"/>
        <v>0</v>
      </c>
      <c r="O1036" s="90">
        <f t="shared" si="504"/>
        <v>0</v>
      </c>
      <c r="P1036" s="91">
        <f t="shared" si="505"/>
        <v>0</v>
      </c>
      <c r="Q1036" s="6">
        <f t="shared" si="506"/>
        <v>0</v>
      </c>
      <c r="R1036" s="87">
        <f t="shared" si="525"/>
        <v>0</v>
      </c>
      <c r="S1036" s="6">
        <f t="shared" si="507"/>
        <v>0</v>
      </c>
      <c r="T1036" s="83">
        <f t="shared" si="516"/>
        <v>0</v>
      </c>
      <c r="U1036" s="91">
        <f t="shared" si="522"/>
        <v>0</v>
      </c>
      <c r="V1036" s="91">
        <f t="shared" si="517"/>
        <v>0</v>
      </c>
      <c r="W1036" s="1">
        <f t="shared" si="527"/>
        <v>0</v>
      </c>
      <c r="X1036" s="1">
        <f t="shared" si="527"/>
        <v>0</v>
      </c>
      <c r="Y1036" s="1">
        <f t="shared" si="527"/>
        <v>0</v>
      </c>
      <c r="Z1036" s="1">
        <f t="shared" si="527"/>
        <v>0</v>
      </c>
      <c r="AA1036" s="1">
        <f t="shared" si="527"/>
        <v>0</v>
      </c>
      <c r="AB1036" s="1">
        <f t="shared" si="527"/>
        <v>0</v>
      </c>
      <c r="AC1036" s="1">
        <f t="shared" si="527"/>
        <v>0</v>
      </c>
      <c r="AD1036" s="1">
        <f t="shared" si="527"/>
        <v>0</v>
      </c>
      <c r="AE1036" s="1">
        <f t="shared" si="527"/>
        <v>0</v>
      </c>
      <c r="AF1036" s="1">
        <f t="shared" si="527"/>
        <v>1</v>
      </c>
      <c r="AG1036" s="1">
        <f t="shared" si="527"/>
        <v>1</v>
      </c>
      <c r="AH1036" s="1">
        <f t="shared" si="527"/>
        <v>1</v>
      </c>
      <c r="AI1036" s="44">
        <f t="shared" si="518"/>
        <v>0</v>
      </c>
      <c r="AJ1036" s="44">
        <f t="shared" si="509"/>
        <v>0</v>
      </c>
      <c r="AK1036" s="44">
        <f t="shared" si="526"/>
        <v>0</v>
      </c>
      <c r="AL1036" s="4">
        <f t="shared" si="510"/>
        <v>346</v>
      </c>
      <c r="AM1036" s="82">
        <f t="shared" si="519"/>
        <v>0</v>
      </c>
      <c r="AN1036" s="82">
        <f t="shared" si="511"/>
        <v>0</v>
      </c>
      <c r="AO1036" s="48">
        <v>0</v>
      </c>
      <c r="AP1036" s="91">
        <f t="shared" si="520"/>
        <v>0</v>
      </c>
      <c r="AQ1036" s="91">
        <f t="shared" si="521"/>
        <v>0</v>
      </c>
    </row>
    <row r="1037" spans="1:43">
      <c r="A1037" s="190">
        <f t="shared" si="512"/>
        <v>94.637577002053376</v>
      </c>
      <c r="B1037" s="82">
        <f t="shared" si="513"/>
        <v>29</v>
      </c>
      <c r="C1037" s="83">
        <f t="shared" si="514"/>
        <v>347</v>
      </c>
      <c r="D1037" s="14">
        <f t="shared" si="499"/>
        <v>2.6283369587845051E-3</v>
      </c>
      <c r="E1037" s="16">
        <f t="shared" si="500"/>
        <v>0</v>
      </c>
      <c r="F1037" s="127"/>
      <c r="G1037" s="88">
        <f t="shared" si="501"/>
        <v>0</v>
      </c>
      <c r="H1037" s="89">
        <f t="shared" si="515"/>
        <v>4.1666666666666666E-3</v>
      </c>
      <c r="I1037" s="219"/>
      <c r="J1037" s="219"/>
      <c r="K1037" s="6">
        <f t="shared" si="523"/>
        <v>0</v>
      </c>
      <c r="M1037" s="6">
        <f t="shared" si="502"/>
        <v>0</v>
      </c>
      <c r="N1037" s="6">
        <f t="shared" si="503"/>
        <v>0</v>
      </c>
      <c r="O1037" s="90">
        <f t="shared" si="504"/>
        <v>0</v>
      </c>
      <c r="P1037" s="91">
        <f t="shared" si="505"/>
        <v>0</v>
      </c>
      <c r="Q1037" s="6">
        <f t="shared" si="506"/>
        <v>0</v>
      </c>
      <c r="R1037" s="87">
        <f t="shared" si="525"/>
        <v>0</v>
      </c>
      <c r="S1037" s="6">
        <f t="shared" si="507"/>
        <v>0</v>
      </c>
      <c r="T1037" s="83">
        <f t="shared" si="516"/>
        <v>0</v>
      </c>
      <c r="U1037" s="91">
        <f t="shared" si="522"/>
        <v>0</v>
      </c>
      <c r="V1037" s="91">
        <f t="shared" si="517"/>
        <v>0</v>
      </c>
      <c r="W1037" s="1">
        <f t="shared" si="527"/>
        <v>0</v>
      </c>
      <c r="X1037" s="1">
        <f t="shared" si="527"/>
        <v>0</v>
      </c>
      <c r="Y1037" s="1">
        <f t="shared" si="527"/>
        <v>0</v>
      </c>
      <c r="Z1037" s="1">
        <f t="shared" si="527"/>
        <v>0</v>
      </c>
      <c r="AA1037" s="1">
        <f t="shared" si="527"/>
        <v>0</v>
      </c>
      <c r="AB1037" s="1">
        <f t="shared" si="527"/>
        <v>0</v>
      </c>
      <c r="AC1037" s="1">
        <f t="shared" si="527"/>
        <v>0</v>
      </c>
      <c r="AD1037" s="1">
        <f t="shared" si="527"/>
        <v>0</v>
      </c>
      <c r="AE1037" s="1">
        <f t="shared" si="527"/>
        <v>0</v>
      </c>
      <c r="AF1037" s="1">
        <f t="shared" si="527"/>
        <v>1</v>
      </c>
      <c r="AG1037" s="1">
        <f t="shared" si="527"/>
        <v>1</v>
      </c>
      <c r="AH1037" s="1">
        <f t="shared" si="527"/>
        <v>1</v>
      </c>
      <c r="AI1037" s="44">
        <f t="shared" si="518"/>
        <v>0</v>
      </c>
      <c r="AJ1037" s="44">
        <f t="shared" si="509"/>
        <v>0</v>
      </c>
      <c r="AK1037" s="44">
        <f t="shared" si="526"/>
        <v>0</v>
      </c>
      <c r="AL1037" s="4">
        <f t="shared" si="510"/>
        <v>347</v>
      </c>
      <c r="AM1037" s="82">
        <f t="shared" si="519"/>
        <v>0</v>
      </c>
      <c r="AN1037" s="82">
        <f t="shared" si="511"/>
        <v>0</v>
      </c>
      <c r="AO1037" s="48">
        <v>0</v>
      </c>
      <c r="AP1037" s="91">
        <f t="shared" si="520"/>
        <v>0</v>
      </c>
      <c r="AQ1037" s="91">
        <f t="shared" si="521"/>
        <v>0</v>
      </c>
    </row>
    <row r="1038" spans="1:43">
      <c r="A1038" s="190">
        <f t="shared" si="512"/>
        <v>94.720910335386719</v>
      </c>
      <c r="B1038" s="82">
        <f t="shared" si="513"/>
        <v>29</v>
      </c>
      <c r="C1038" s="83">
        <f t="shared" si="514"/>
        <v>348</v>
      </c>
      <c r="D1038" s="14">
        <f t="shared" si="499"/>
        <v>2.6283369587845051E-3</v>
      </c>
      <c r="E1038" s="16">
        <f t="shared" si="500"/>
        <v>0</v>
      </c>
      <c r="F1038" s="127"/>
      <c r="G1038" s="88">
        <f t="shared" si="501"/>
        <v>0</v>
      </c>
      <c r="H1038" s="89">
        <f t="shared" si="515"/>
        <v>4.1666666666666666E-3</v>
      </c>
      <c r="I1038" s="219"/>
      <c r="J1038" s="219"/>
      <c r="K1038" s="6">
        <f t="shared" si="523"/>
        <v>0</v>
      </c>
      <c r="M1038" s="6">
        <f t="shared" si="502"/>
        <v>0</v>
      </c>
      <c r="N1038" s="6">
        <f t="shared" si="503"/>
        <v>0</v>
      </c>
      <c r="O1038" s="90">
        <f t="shared" si="504"/>
        <v>0</v>
      </c>
      <c r="P1038" s="91">
        <f t="shared" si="505"/>
        <v>0</v>
      </c>
      <c r="Q1038" s="6">
        <f t="shared" si="506"/>
        <v>0</v>
      </c>
      <c r="R1038" s="87">
        <f t="shared" si="525"/>
        <v>0</v>
      </c>
      <c r="S1038" s="6">
        <f t="shared" si="507"/>
        <v>0</v>
      </c>
      <c r="T1038" s="83">
        <f t="shared" si="516"/>
        <v>0</v>
      </c>
      <c r="U1038" s="91">
        <f t="shared" si="522"/>
        <v>0</v>
      </c>
      <c r="V1038" s="91">
        <f t="shared" si="517"/>
        <v>0</v>
      </c>
      <c r="W1038" s="1">
        <f t="shared" si="527"/>
        <v>0</v>
      </c>
      <c r="X1038" s="1">
        <f t="shared" si="527"/>
        <v>0</v>
      </c>
      <c r="Y1038" s="1">
        <f t="shared" si="527"/>
        <v>0</v>
      </c>
      <c r="Z1038" s="1">
        <f t="shared" si="527"/>
        <v>0</v>
      </c>
      <c r="AA1038" s="1">
        <f t="shared" si="527"/>
        <v>0</v>
      </c>
      <c r="AB1038" s="1">
        <f t="shared" si="527"/>
        <v>0</v>
      </c>
      <c r="AC1038" s="1">
        <f t="shared" si="527"/>
        <v>0</v>
      </c>
      <c r="AD1038" s="1">
        <f t="shared" si="527"/>
        <v>0</v>
      </c>
      <c r="AE1038" s="1">
        <f t="shared" si="527"/>
        <v>0</v>
      </c>
      <c r="AF1038" s="1">
        <f t="shared" si="527"/>
        <v>1</v>
      </c>
      <c r="AG1038" s="1">
        <f t="shared" si="527"/>
        <v>1</v>
      </c>
      <c r="AH1038" s="1">
        <f t="shared" si="527"/>
        <v>1</v>
      </c>
      <c r="AI1038" s="44">
        <f t="shared" si="518"/>
        <v>0</v>
      </c>
      <c r="AJ1038" s="44">
        <f t="shared" si="509"/>
        <v>0</v>
      </c>
      <c r="AK1038" s="44">
        <f t="shared" si="526"/>
        <v>0</v>
      </c>
      <c r="AL1038" s="4">
        <f t="shared" si="510"/>
        <v>348</v>
      </c>
      <c r="AM1038" s="82">
        <f t="shared" si="519"/>
        <v>0</v>
      </c>
      <c r="AN1038" s="82">
        <f t="shared" si="511"/>
        <v>0</v>
      </c>
      <c r="AO1038" s="48">
        <v>0</v>
      </c>
      <c r="AP1038" s="91">
        <f t="shared" si="520"/>
        <v>0</v>
      </c>
      <c r="AQ1038" s="91">
        <f t="shared" si="521"/>
        <v>0</v>
      </c>
    </row>
    <row r="1039" spans="1:43">
      <c r="A1039" s="190">
        <f t="shared" si="512"/>
        <v>94.804243668720048</v>
      </c>
      <c r="B1039" s="82">
        <f t="shared" si="513"/>
        <v>30</v>
      </c>
      <c r="C1039" s="83">
        <f t="shared" si="514"/>
        <v>349</v>
      </c>
      <c r="D1039" s="14">
        <f t="shared" si="499"/>
        <v>2.6283369587845051E-3</v>
      </c>
      <c r="E1039" s="16">
        <f t="shared" si="500"/>
        <v>0</v>
      </c>
      <c r="F1039" s="127"/>
      <c r="G1039" s="88">
        <f t="shared" si="501"/>
        <v>0</v>
      </c>
      <c r="H1039" s="89">
        <f t="shared" si="515"/>
        <v>4.1666666666666666E-3</v>
      </c>
      <c r="I1039" s="219"/>
      <c r="J1039" s="219"/>
      <c r="K1039" s="6">
        <f t="shared" si="523"/>
        <v>0</v>
      </c>
      <c r="M1039" s="6">
        <f t="shared" si="502"/>
        <v>0</v>
      </c>
      <c r="N1039" s="6">
        <f t="shared" si="503"/>
        <v>0</v>
      </c>
      <c r="O1039" s="90">
        <f t="shared" si="504"/>
        <v>0</v>
      </c>
      <c r="P1039" s="91">
        <f t="shared" si="505"/>
        <v>0</v>
      </c>
      <c r="Q1039" s="6">
        <f t="shared" si="506"/>
        <v>0</v>
      </c>
      <c r="R1039" s="87">
        <f t="shared" si="525"/>
        <v>0</v>
      </c>
      <c r="S1039" s="6">
        <f t="shared" si="507"/>
        <v>0</v>
      </c>
      <c r="T1039" s="83">
        <f t="shared" si="516"/>
        <v>0</v>
      </c>
      <c r="U1039" s="91">
        <f t="shared" si="522"/>
        <v>0</v>
      </c>
      <c r="V1039" s="91">
        <f t="shared" si="517"/>
        <v>0</v>
      </c>
      <c r="W1039" s="1">
        <f t="shared" si="527"/>
        <v>0</v>
      </c>
      <c r="X1039" s="1">
        <f t="shared" si="527"/>
        <v>0</v>
      </c>
      <c r="Y1039" s="1">
        <f t="shared" si="527"/>
        <v>0</v>
      </c>
      <c r="Z1039" s="1">
        <f t="shared" si="527"/>
        <v>0</v>
      </c>
      <c r="AA1039" s="1">
        <f t="shared" si="527"/>
        <v>0</v>
      </c>
      <c r="AB1039" s="1">
        <f t="shared" si="527"/>
        <v>0</v>
      </c>
      <c r="AC1039" s="1">
        <f t="shared" si="527"/>
        <v>0</v>
      </c>
      <c r="AD1039" s="1">
        <f t="shared" si="527"/>
        <v>0</v>
      </c>
      <c r="AE1039" s="1">
        <f t="shared" si="527"/>
        <v>0</v>
      </c>
      <c r="AF1039" s="1">
        <f t="shared" si="527"/>
        <v>1</v>
      </c>
      <c r="AG1039" s="1">
        <f t="shared" si="527"/>
        <v>1</v>
      </c>
      <c r="AH1039" s="1">
        <f t="shared" si="527"/>
        <v>1</v>
      </c>
      <c r="AI1039" s="44">
        <f t="shared" si="518"/>
        <v>0</v>
      </c>
      <c r="AJ1039" s="44">
        <f t="shared" si="509"/>
        <v>0</v>
      </c>
      <c r="AK1039" s="44">
        <f t="shared" si="526"/>
        <v>0</v>
      </c>
      <c r="AL1039" s="4">
        <f t="shared" si="510"/>
        <v>349</v>
      </c>
      <c r="AM1039" s="82">
        <f t="shared" si="519"/>
        <v>0</v>
      </c>
      <c r="AN1039" s="82">
        <f t="shared" si="511"/>
        <v>0</v>
      </c>
      <c r="AO1039" s="48">
        <v>0</v>
      </c>
      <c r="AP1039" s="91">
        <f t="shared" si="520"/>
        <v>0</v>
      </c>
      <c r="AQ1039" s="91">
        <f t="shared" si="521"/>
        <v>0</v>
      </c>
    </row>
    <row r="1040" spans="1:43">
      <c r="A1040" s="190">
        <f t="shared" si="512"/>
        <v>94.887577002053376</v>
      </c>
      <c r="B1040" s="82">
        <f t="shared" si="513"/>
        <v>30</v>
      </c>
      <c r="C1040" s="83">
        <f t="shared" si="514"/>
        <v>350</v>
      </c>
      <c r="D1040" s="14">
        <f t="shared" si="499"/>
        <v>2.6283369587845051E-3</v>
      </c>
      <c r="E1040" s="16">
        <f t="shared" si="500"/>
        <v>0</v>
      </c>
      <c r="F1040" s="127"/>
      <c r="G1040" s="88">
        <f t="shared" si="501"/>
        <v>0</v>
      </c>
      <c r="H1040" s="89">
        <f t="shared" si="515"/>
        <v>4.1666666666666666E-3</v>
      </c>
      <c r="I1040" s="219"/>
      <c r="J1040" s="219"/>
      <c r="K1040" s="6">
        <f t="shared" si="523"/>
        <v>0</v>
      </c>
      <c r="M1040" s="6">
        <f t="shared" si="502"/>
        <v>0</v>
      </c>
      <c r="N1040" s="6">
        <f t="shared" si="503"/>
        <v>0</v>
      </c>
      <c r="O1040" s="90">
        <f t="shared" si="504"/>
        <v>0</v>
      </c>
      <c r="P1040" s="91">
        <f t="shared" si="505"/>
        <v>0</v>
      </c>
      <c r="Q1040" s="6">
        <f t="shared" si="506"/>
        <v>0</v>
      </c>
      <c r="R1040" s="87">
        <f t="shared" si="525"/>
        <v>0</v>
      </c>
      <c r="S1040" s="6">
        <f t="shared" si="507"/>
        <v>0</v>
      </c>
      <c r="T1040" s="83">
        <f t="shared" si="516"/>
        <v>0</v>
      </c>
      <c r="U1040" s="91">
        <f t="shared" si="522"/>
        <v>0</v>
      </c>
      <c r="V1040" s="91">
        <f t="shared" si="517"/>
        <v>0</v>
      </c>
      <c r="W1040" s="1">
        <f t="shared" si="527"/>
        <v>0</v>
      </c>
      <c r="X1040" s="1">
        <f t="shared" si="527"/>
        <v>0</v>
      </c>
      <c r="Y1040" s="1">
        <f t="shared" si="527"/>
        <v>0</v>
      </c>
      <c r="Z1040" s="1">
        <f t="shared" si="527"/>
        <v>0</v>
      </c>
      <c r="AA1040" s="1">
        <f t="shared" si="527"/>
        <v>0</v>
      </c>
      <c r="AB1040" s="1">
        <f t="shared" si="527"/>
        <v>0</v>
      </c>
      <c r="AC1040" s="1">
        <f t="shared" si="527"/>
        <v>0</v>
      </c>
      <c r="AD1040" s="1">
        <f t="shared" si="527"/>
        <v>0</v>
      </c>
      <c r="AE1040" s="1">
        <f t="shared" si="527"/>
        <v>0</v>
      </c>
      <c r="AF1040" s="1">
        <f t="shared" si="527"/>
        <v>1</v>
      </c>
      <c r="AG1040" s="1">
        <f t="shared" si="527"/>
        <v>1</v>
      </c>
      <c r="AH1040" s="1">
        <f t="shared" si="527"/>
        <v>1</v>
      </c>
      <c r="AI1040" s="44">
        <f t="shared" si="518"/>
        <v>0</v>
      </c>
      <c r="AJ1040" s="44">
        <f t="shared" si="509"/>
        <v>0</v>
      </c>
      <c r="AK1040" s="44">
        <f t="shared" si="526"/>
        <v>0</v>
      </c>
      <c r="AL1040" s="4">
        <f t="shared" si="510"/>
        <v>350</v>
      </c>
      <c r="AM1040" s="82">
        <f t="shared" si="519"/>
        <v>0</v>
      </c>
      <c r="AN1040" s="82">
        <f t="shared" si="511"/>
        <v>0</v>
      </c>
      <c r="AO1040" s="48">
        <v>0</v>
      </c>
      <c r="AP1040" s="91">
        <f t="shared" si="520"/>
        <v>0</v>
      </c>
      <c r="AQ1040" s="91">
        <f t="shared" si="521"/>
        <v>0</v>
      </c>
    </row>
    <row r="1041" spans="1:43">
      <c r="A1041" s="190">
        <f t="shared" si="512"/>
        <v>94.970910335386719</v>
      </c>
      <c r="B1041" s="82">
        <f t="shared" si="513"/>
        <v>30</v>
      </c>
      <c r="C1041" s="83">
        <f t="shared" si="514"/>
        <v>351</v>
      </c>
      <c r="D1041" s="14">
        <f t="shared" si="499"/>
        <v>2.6283369587845051E-3</v>
      </c>
      <c r="E1041" s="16">
        <f t="shared" si="500"/>
        <v>0</v>
      </c>
      <c r="F1041" s="127"/>
      <c r="G1041" s="88">
        <f t="shared" si="501"/>
        <v>0</v>
      </c>
      <c r="H1041" s="89">
        <f t="shared" si="515"/>
        <v>4.1666666666666666E-3</v>
      </c>
      <c r="I1041" s="219"/>
      <c r="J1041" s="219"/>
      <c r="K1041" s="6">
        <f t="shared" si="523"/>
        <v>0</v>
      </c>
      <c r="M1041" s="6">
        <f t="shared" si="502"/>
        <v>0</v>
      </c>
      <c r="N1041" s="6">
        <f t="shared" si="503"/>
        <v>0</v>
      </c>
      <c r="O1041" s="90">
        <f t="shared" si="504"/>
        <v>0</v>
      </c>
      <c r="P1041" s="91">
        <f t="shared" si="505"/>
        <v>0</v>
      </c>
      <c r="Q1041" s="6">
        <f t="shared" si="506"/>
        <v>0</v>
      </c>
      <c r="R1041" s="87">
        <f t="shared" si="525"/>
        <v>0</v>
      </c>
      <c r="S1041" s="6">
        <f t="shared" si="507"/>
        <v>0</v>
      </c>
      <c r="T1041" s="83">
        <f t="shared" si="516"/>
        <v>0</v>
      </c>
      <c r="U1041" s="91">
        <f t="shared" si="522"/>
        <v>0</v>
      </c>
      <c r="V1041" s="91">
        <f t="shared" si="517"/>
        <v>0</v>
      </c>
      <c r="W1041" s="1">
        <f t="shared" ref="W1041:AH1050" si="528">IF($B1041&lt;=W$78,1,0)</f>
        <v>0</v>
      </c>
      <c r="X1041" s="1">
        <f t="shared" si="528"/>
        <v>0</v>
      </c>
      <c r="Y1041" s="1">
        <f t="shared" si="528"/>
        <v>0</v>
      </c>
      <c r="Z1041" s="1">
        <f t="shared" si="528"/>
        <v>0</v>
      </c>
      <c r="AA1041" s="1">
        <f t="shared" si="528"/>
        <v>0</v>
      </c>
      <c r="AB1041" s="1">
        <f t="shared" si="528"/>
        <v>0</v>
      </c>
      <c r="AC1041" s="1">
        <f t="shared" si="528"/>
        <v>0</v>
      </c>
      <c r="AD1041" s="1">
        <f t="shared" si="528"/>
        <v>0</v>
      </c>
      <c r="AE1041" s="1">
        <f t="shared" si="528"/>
        <v>0</v>
      </c>
      <c r="AF1041" s="1">
        <f t="shared" si="528"/>
        <v>1</v>
      </c>
      <c r="AG1041" s="1">
        <f t="shared" si="528"/>
        <v>1</v>
      </c>
      <c r="AH1041" s="1">
        <f t="shared" si="528"/>
        <v>1</v>
      </c>
      <c r="AI1041" s="44">
        <f t="shared" si="518"/>
        <v>0</v>
      </c>
      <c r="AJ1041" s="44">
        <f t="shared" si="509"/>
        <v>0</v>
      </c>
      <c r="AK1041" s="44">
        <f t="shared" si="526"/>
        <v>0</v>
      </c>
      <c r="AL1041" s="4">
        <f t="shared" si="510"/>
        <v>351</v>
      </c>
      <c r="AM1041" s="82">
        <f t="shared" si="519"/>
        <v>0</v>
      </c>
      <c r="AN1041" s="82">
        <f t="shared" si="511"/>
        <v>0</v>
      </c>
      <c r="AO1041" s="48">
        <v>0</v>
      </c>
      <c r="AP1041" s="91">
        <f t="shared" si="520"/>
        <v>0</v>
      </c>
      <c r="AQ1041" s="91">
        <f t="shared" si="521"/>
        <v>0</v>
      </c>
    </row>
    <row r="1042" spans="1:43">
      <c r="A1042" s="190">
        <f t="shared" si="512"/>
        <v>95.054243668720048</v>
      </c>
      <c r="B1042" s="82">
        <f t="shared" si="513"/>
        <v>30</v>
      </c>
      <c r="C1042" s="83">
        <f t="shared" si="514"/>
        <v>352</v>
      </c>
      <c r="D1042" s="14">
        <f t="shared" si="499"/>
        <v>2.6283369587845051E-3</v>
      </c>
      <c r="E1042" s="16">
        <f t="shared" si="500"/>
        <v>0</v>
      </c>
      <c r="F1042" s="127"/>
      <c r="G1042" s="88">
        <f t="shared" si="501"/>
        <v>0</v>
      </c>
      <c r="H1042" s="89">
        <f t="shared" si="515"/>
        <v>4.1666666666666666E-3</v>
      </c>
      <c r="I1042" s="219"/>
      <c r="J1042" s="219"/>
      <c r="K1042" s="6">
        <f t="shared" si="523"/>
        <v>0</v>
      </c>
      <c r="M1042" s="6">
        <f t="shared" si="502"/>
        <v>0</v>
      </c>
      <c r="N1042" s="6">
        <f t="shared" si="503"/>
        <v>0</v>
      </c>
      <c r="O1042" s="90">
        <f t="shared" si="504"/>
        <v>0</v>
      </c>
      <c r="P1042" s="91">
        <f t="shared" si="505"/>
        <v>0</v>
      </c>
      <c r="Q1042" s="6">
        <f t="shared" si="506"/>
        <v>0</v>
      </c>
      <c r="R1042" s="87">
        <f t="shared" si="525"/>
        <v>0</v>
      </c>
      <c r="S1042" s="6">
        <f t="shared" si="507"/>
        <v>0</v>
      </c>
      <c r="T1042" s="83">
        <f t="shared" si="516"/>
        <v>0</v>
      </c>
      <c r="U1042" s="91">
        <f t="shared" si="522"/>
        <v>0</v>
      </c>
      <c r="V1042" s="91">
        <f t="shared" si="517"/>
        <v>0</v>
      </c>
      <c r="W1042" s="1">
        <f t="shared" si="528"/>
        <v>0</v>
      </c>
      <c r="X1042" s="1">
        <f t="shared" si="528"/>
        <v>0</v>
      </c>
      <c r="Y1042" s="1">
        <f t="shared" si="528"/>
        <v>0</v>
      </c>
      <c r="Z1042" s="1">
        <f t="shared" si="528"/>
        <v>0</v>
      </c>
      <c r="AA1042" s="1">
        <f t="shared" si="528"/>
        <v>0</v>
      </c>
      <c r="AB1042" s="1">
        <f t="shared" si="528"/>
        <v>0</v>
      </c>
      <c r="AC1042" s="1">
        <f t="shared" si="528"/>
        <v>0</v>
      </c>
      <c r="AD1042" s="1">
        <f t="shared" si="528"/>
        <v>0</v>
      </c>
      <c r="AE1042" s="1">
        <f t="shared" si="528"/>
        <v>0</v>
      </c>
      <c r="AF1042" s="1">
        <f t="shared" si="528"/>
        <v>1</v>
      </c>
      <c r="AG1042" s="1">
        <f t="shared" si="528"/>
        <v>1</v>
      </c>
      <c r="AH1042" s="1">
        <f t="shared" si="528"/>
        <v>1</v>
      </c>
      <c r="AI1042" s="44">
        <f t="shared" si="518"/>
        <v>0</v>
      </c>
      <c r="AJ1042" s="44">
        <f t="shared" si="509"/>
        <v>0</v>
      </c>
      <c r="AK1042" s="44">
        <f t="shared" si="526"/>
        <v>0</v>
      </c>
      <c r="AL1042" s="4">
        <f t="shared" si="510"/>
        <v>352</v>
      </c>
      <c r="AM1042" s="82">
        <f t="shared" si="519"/>
        <v>0</v>
      </c>
      <c r="AN1042" s="82">
        <f t="shared" si="511"/>
        <v>0</v>
      </c>
      <c r="AO1042" s="48">
        <v>0</v>
      </c>
      <c r="AP1042" s="91">
        <f t="shared" si="520"/>
        <v>0</v>
      </c>
      <c r="AQ1042" s="91">
        <f t="shared" si="521"/>
        <v>0</v>
      </c>
    </row>
    <row r="1043" spans="1:43">
      <c r="A1043" s="190">
        <f t="shared" si="512"/>
        <v>95.137577002053376</v>
      </c>
      <c r="B1043" s="82">
        <f t="shared" si="513"/>
        <v>30</v>
      </c>
      <c r="C1043" s="83">
        <f t="shared" si="514"/>
        <v>353</v>
      </c>
      <c r="D1043" s="14">
        <f t="shared" si="499"/>
        <v>2.6283369587845051E-3</v>
      </c>
      <c r="E1043" s="16">
        <f t="shared" si="500"/>
        <v>0</v>
      </c>
      <c r="F1043" s="127"/>
      <c r="G1043" s="88">
        <f t="shared" si="501"/>
        <v>0</v>
      </c>
      <c r="H1043" s="89">
        <f t="shared" si="515"/>
        <v>4.1666666666666666E-3</v>
      </c>
      <c r="I1043" s="219"/>
      <c r="J1043" s="219"/>
      <c r="K1043" s="6">
        <f t="shared" si="523"/>
        <v>0</v>
      </c>
      <c r="M1043" s="6">
        <f t="shared" si="502"/>
        <v>0</v>
      </c>
      <c r="N1043" s="6">
        <f t="shared" si="503"/>
        <v>0</v>
      </c>
      <c r="O1043" s="90">
        <f t="shared" si="504"/>
        <v>0</v>
      </c>
      <c r="P1043" s="91">
        <f t="shared" si="505"/>
        <v>0</v>
      </c>
      <c r="Q1043" s="6">
        <f t="shared" si="506"/>
        <v>0</v>
      </c>
      <c r="R1043" s="87">
        <f t="shared" si="525"/>
        <v>0</v>
      </c>
      <c r="S1043" s="6">
        <f t="shared" si="507"/>
        <v>0</v>
      </c>
      <c r="T1043" s="83">
        <f t="shared" si="516"/>
        <v>0</v>
      </c>
      <c r="U1043" s="91">
        <f t="shared" si="522"/>
        <v>0</v>
      </c>
      <c r="V1043" s="91">
        <f t="shared" si="517"/>
        <v>0</v>
      </c>
      <c r="W1043" s="1">
        <f t="shared" si="528"/>
        <v>0</v>
      </c>
      <c r="X1043" s="1">
        <f t="shared" si="528"/>
        <v>0</v>
      </c>
      <c r="Y1043" s="1">
        <f t="shared" si="528"/>
        <v>0</v>
      </c>
      <c r="Z1043" s="1">
        <f t="shared" si="528"/>
        <v>0</v>
      </c>
      <c r="AA1043" s="1">
        <f t="shared" si="528"/>
        <v>0</v>
      </c>
      <c r="AB1043" s="1">
        <f t="shared" si="528"/>
        <v>0</v>
      </c>
      <c r="AC1043" s="1">
        <f t="shared" si="528"/>
        <v>0</v>
      </c>
      <c r="AD1043" s="1">
        <f t="shared" si="528"/>
        <v>0</v>
      </c>
      <c r="AE1043" s="1">
        <f t="shared" si="528"/>
        <v>0</v>
      </c>
      <c r="AF1043" s="1">
        <f t="shared" si="528"/>
        <v>1</v>
      </c>
      <c r="AG1043" s="1">
        <f t="shared" si="528"/>
        <v>1</v>
      </c>
      <c r="AH1043" s="1">
        <f t="shared" si="528"/>
        <v>1</v>
      </c>
      <c r="AI1043" s="44">
        <f t="shared" si="518"/>
        <v>0</v>
      </c>
      <c r="AJ1043" s="44">
        <f t="shared" si="509"/>
        <v>0</v>
      </c>
      <c r="AK1043" s="44">
        <f t="shared" si="526"/>
        <v>0</v>
      </c>
      <c r="AL1043" s="4">
        <f t="shared" si="510"/>
        <v>353</v>
      </c>
      <c r="AM1043" s="82">
        <f t="shared" si="519"/>
        <v>0</v>
      </c>
      <c r="AN1043" s="82">
        <f t="shared" si="511"/>
        <v>0</v>
      </c>
      <c r="AO1043" s="48">
        <v>0</v>
      </c>
      <c r="AP1043" s="91">
        <f t="shared" si="520"/>
        <v>0</v>
      </c>
      <c r="AQ1043" s="91">
        <f t="shared" si="521"/>
        <v>0</v>
      </c>
    </row>
    <row r="1044" spans="1:43">
      <c r="A1044" s="190">
        <f t="shared" si="512"/>
        <v>95.220910335386719</v>
      </c>
      <c r="B1044" s="82">
        <f t="shared" si="513"/>
        <v>30</v>
      </c>
      <c r="C1044" s="83">
        <f t="shared" si="514"/>
        <v>354</v>
      </c>
      <c r="D1044" s="14">
        <f t="shared" si="499"/>
        <v>2.6283369587845051E-3</v>
      </c>
      <c r="E1044" s="16">
        <f t="shared" si="500"/>
        <v>0</v>
      </c>
      <c r="F1044" s="127"/>
      <c r="G1044" s="88">
        <f t="shared" si="501"/>
        <v>0</v>
      </c>
      <c r="H1044" s="89">
        <f t="shared" si="515"/>
        <v>4.1666666666666666E-3</v>
      </c>
      <c r="I1044" s="219"/>
      <c r="J1044" s="219"/>
      <c r="K1044" s="6">
        <f t="shared" si="523"/>
        <v>0</v>
      </c>
      <c r="M1044" s="6">
        <f t="shared" si="502"/>
        <v>0</v>
      </c>
      <c r="N1044" s="6">
        <f t="shared" si="503"/>
        <v>0</v>
      </c>
      <c r="O1044" s="90">
        <f t="shared" si="504"/>
        <v>0</v>
      </c>
      <c r="P1044" s="91">
        <f t="shared" si="505"/>
        <v>0</v>
      </c>
      <c r="Q1044" s="6">
        <f t="shared" si="506"/>
        <v>0</v>
      </c>
      <c r="R1044" s="87">
        <f t="shared" si="525"/>
        <v>0</v>
      </c>
      <c r="S1044" s="6">
        <f t="shared" si="507"/>
        <v>0</v>
      </c>
      <c r="T1044" s="83">
        <f t="shared" si="516"/>
        <v>0</v>
      </c>
      <c r="U1044" s="91">
        <f t="shared" si="522"/>
        <v>0</v>
      </c>
      <c r="V1044" s="91">
        <f t="shared" si="517"/>
        <v>0</v>
      </c>
      <c r="W1044" s="1">
        <f t="shared" si="528"/>
        <v>0</v>
      </c>
      <c r="X1044" s="1">
        <f t="shared" si="528"/>
        <v>0</v>
      </c>
      <c r="Y1044" s="1">
        <f t="shared" si="528"/>
        <v>0</v>
      </c>
      <c r="Z1044" s="1">
        <f t="shared" si="528"/>
        <v>0</v>
      </c>
      <c r="AA1044" s="1">
        <f t="shared" si="528"/>
        <v>0</v>
      </c>
      <c r="AB1044" s="1">
        <f t="shared" si="528"/>
        <v>0</v>
      </c>
      <c r="AC1044" s="1">
        <f t="shared" si="528"/>
        <v>0</v>
      </c>
      <c r="AD1044" s="1">
        <f t="shared" si="528"/>
        <v>0</v>
      </c>
      <c r="AE1044" s="1">
        <f t="shared" si="528"/>
        <v>0</v>
      </c>
      <c r="AF1044" s="1">
        <f t="shared" si="528"/>
        <v>1</v>
      </c>
      <c r="AG1044" s="1">
        <f t="shared" si="528"/>
        <v>1</v>
      </c>
      <c r="AH1044" s="1">
        <f t="shared" si="528"/>
        <v>1</v>
      </c>
      <c r="AI1044" s="44">
        <f t="shared" si="518"/>
        <v>0</v>
      </c>
      <c r="AJ1044" s="44">
        <f t="shared" si="509"/>
        <v>0</v>
      </c>
      <c r="AK1044" s="44">
        <f t="shared" si="526"/>
        <v>0</v>
      </c>
      <c r="AL1044" s="4">
        <f t="shared" si="510"/>
        <v>354</v>
      </c>
      <c r="AM1044" s="82">
        <f t="shared" si="519"/>
        <v>0</v>
      </c>
      <c r="AN1044" s="82">
        <f t="shared" si="511"/>
        <v>0</v>
      </c>
      <c r="AO1044" s="48">
        <v>0</v>
      </c>
      <c r="AP1044" s="91">
        <f t="shared" si="520"/>
        <v>0</v>
      </c>
      <c r="AQ1044" s="91">
        <f t="shared" si="521"/>
        <v>0</v>
      </c>
    </row>
    <row r="1045" spans="1:43">
      <c r="A1045" s="190">
        <f t="shared" si="512"/>
        <v>95.304243668720048</v>
      </c>
      <c r="B1045" s="82">
        <f t="shared" si="513"/>
        <v>30</v>
      </c>
      <c r="C1045" s="83">
        <f t="shared" si="514"/>
        <v>355</v>
      </c>
      <c r="D1045" s="14">
        <f t="shared" si="499"/>
        <v>2.6283369587845051E-3</v>
      </c>
      <c r="E1045" s="16">
        <f t="shared" si="500"/>
        <v>0</v>
      </c>
      <c r="F1045" s="127"/>
      <c r="G1045" s="88">
        <f t="shared" si="501"/>
        <v>0</v>
      </c>
      <c r="H1045" s="89">
        <f t="shared" si="515"/>
        <v>4.1666666666666666E-3</v>
      </c>
      <c r="I1045" s="219"/>
      <c r="J1045" s="219"/>
      <c r="K1045" s="6">
        <f t="shared" si="523"/>
        <v>0</v>
      </c>
      <c r="M1045" s="6">
        <f t="shared" si="502"/>
        <v>0</v>
      </c>
      <c r="N1045" s="6">
        <f t="shared" si="503"/>
        <v>0</v>
      </c>
      <c r="O1045" s="90">
        <f t="shared" si="504"/>
        <v>0</v>
      </c>
      <c r="P1045" s="91">
        <f t="shared" si="505"/>
        <v>0</v>
      </c>
      <c r="Q1045" s="6">
        <f t="shared" si="506"/>
        <v>0</v>
      </c>
      <c r="R1045" s="87">
        <f t="shared" si="525"/>
        <v>0</v>
      </c>
      <c r="S1045" s="6">
        <f t="shared" si="507"/>
        <v>0</v>
      </c>
      <c r="T1045" s="83">
        <f t="shared" si="516"/>
        <v>0</v>
      </c>
      <c r="U1045" s="91">
        <f t="shared" si="522"/>
        <v>0</v>
      </c>
      <c r="V1045" s="91">
        <f t="shared" si="517"/>
        <v>0</v>
      </c>
      <c r="W1045" s="1">
        <f t="shared" si="528"/>
        <v>0</v>
      </c>
      <c r="X1045" s="1">
        <f t="shared" si="528"/>
        <v>0</v>
      </c>
      <c r="Y1045" s="1">
        <f t="shared" si="528"/>
        <v>0</v>
      </c>
      <c r="Z1045" s="1">
        <f t="shared" si="528"/>
        <v>0</v>
      </c>
      <c r="AA1045" s="1">
        <f t="shared" si="528"/>
        <v>0</v>
      </c>
      <c r="AB1045" s="1">
        <f t="shared" si="528"/>
        <v>0</v>
      </c>
      <c r="AC1045" s="1">
        <f t="shared" si="528"/>
        <v>0</v>
      </c>
      <c r="AD1045" s="1">
        <f t="shared" si="528"/>
        <v>0</v>
      </c>
      <c r="AE1045" s="1">
        <f t="shared" si="528"/>
        <v>0</v>
      </c>
      <c r="AF1045" s="1">
        <f t="shared" si="528"/>
        <v>1</v>
      </c>
      <c r="AG1045" s="1">
        <f t="shared" si="528"/>
        <v>1</v>
      </c>
      <c r="AH1045" s="1">
        <f t="shared" si="528"/>
        <v>1</v>
      </c>
      <c r="AI1045" s="44">
        <f t="shared" si="518"/>
        <v>0</v>
      </c>
      <c r="AJ1045" s="44">
        <f t="shared" si="509"/>
        <v>0</v>
      </c>
      <c r="AK1045" s="44">
        <f t="shared" si="526"/>
        <v>0</v>
      </c>
      <c r="AL1045" s="4">
        <f t="shared" si="510"/>
        <v>355</v>
      </c>
      <c r="AM1045" s="82">
        <f t="shared" si="519"/>
        <v>0</v>
      </c>
      <c r="AN1045" s="82">
        <f t="shared" si="511"/>
        <v>0</v>
      </c>
      <c r="AO1045" s="48">
        <v>0</v>
      </c>
      <c r="AP1045" s="91">
        <f t="shared" si="520"/>
        <v>0</v>
      </c>
      <c r="AQ1045" s="91">
        <f t="shared" si="521"/>
        <v>0</v>
      </c>
    </row>
    <row r="1046" spans="1:43">
      <c r="A1046" s="190">
        <f t="shared" si="512"/>
        <v>95.387577002053376</v>
      </c>
      <c r="B1046" s="82">
        <f t="shared" si="513"/>
        <v>30</v>
      </c>
      <c r="C1046" s="83">
        <f t="shared" si="514"/>
        <v>356</v>
      </c>
      <c r="D1046" s="14">
        <f t="shared" si="499"/>
        <v>2.6283369587845051E-3</v>
      </c>
      <c r="E1046" s="16">
        <f t="shared" si="500"/>
        <v>0</v>
      </c>
      <c r="F1046" s="127"/>
      <c r="G1046" s="88">
        <f t="shared" si="501"/>
        <v>0</v>
      </c>
      <c r="H1046" s="89">
        <f t="shared" si="515"/>
        <v>4.1666666666666666E-3</v>
      </c>
      <c r="I1046" s="219"/>
      <c r="J1046" s="219"/>
      <c r="K1046" s="6">
        <f t="shared" si="523"/>
        <v>0</v>
      </c>
      <c r="M1046" s="6">
        <f t="shared" si="502"/>
        <v>0</v>
      </c>
      <c r="N1046" s="6">
        <f t="shared" si="503"/>
        <v>0</v>
      </c>
      <c r="O1046" s="90">
        <f t="shared" si="504"/>
        <v>0</v>
      </c>
      <c r="P1046" s="91">
        <f t="shared" si="505"/>
        <v>0</v>
      </c>
      <c r="Q1046" s="6">
        <f t="shared" si="506"/>
        <v>0</v>
      </c>
      <c r="R1046" s="87">
        <f t="shared" si="525"/>
        <v>0</v>
      </c>
      <c r="S1046" s="6">
        <f t="shared" si="507"/>
        <v>0</v>
      </c>
      <c r="T1046" s="83">
        <f t="shared" si="516"/>
        <v>0</v>
      </c>
      <c r="U1046" s="91">
        <f t="shared" si="522"/>
        <v>0</v>
      </c>
      <c r="V1046" s="91">
        <f t="shared" si="517"/>
        <v>0</v>
      </c>
      <c r="W1046" s="1">
        <f t="shared" si="528"/>
        <v>0</v>
      </c>
      <c r="X1046" s="1">
        <f t="shared" si="528"/>
        <v>0</v>
      </c>
      <c r="Y1046" s="1">
        <f t="shared" si="528"/>
        <v>0</v>
      </c>
      <c r="Z1046" s="1">
        <f t="shared" si="528"/>
        <v>0</v>
      </c>
      <c r="AA1046" s="1">
        <f t="shared" si="528"/>
        <v>0</v>
      </c>
      <c r="AB1046" s="1">
        <f t="shared" si="528"/>
        <v>0</v>
      </c>
      <c r="AC1046" s="1">
        <f t="shared" si="528"/>
        <v>0</v>
      </c>
      <c r="AD1046" s="1">
        <f t="shared" si="528"/>
        <v>0</v>
      </c>
      <c r="AE1046" s="1">
        <f t="shared" si="528"/>
        <v>0</v>
      </c>
      <c r="AF1046" s="1">
        <f t="shared" si="528"/>
        <v>1</v>
      </c>
      <c r="AG1046" s="1">
        <f t="shared" si="528"/>
        <v>1</v>
      </c>
      <c r="AH1046" s="1">
        <f t="shared" si="528"/>
        <v>1</v>
      </c>
      <c r="AI1046" s="44">
        <f t="shared" si="518"/>
        <v>0</v>
      </c>
      <c r="AJ1046" s="44">
        <f t="shared" si="509"/>
        <v>0</v>
      </c>
      <c r="AK1046" s="44">
        <f t="shared" si="526"/>
        <v>0</v>
      </c>
      <c r="AL1046" s="4">
        <f t="shared" si="510"/>
        <v>356</v>
      </c>
      <c r="AM1046" s="82">
        <f t="shared" si="519"/>
        <v>0</v>
      </c>
      <c r="AN1046" s="82">
        <f t="shared" si="511"/>
        <v>0</v>
      </c>
      <c r="AO1046" s="48">
        <v>0</v>
      </c>
      <c r="AP1046" s="91">
        <f t="shared" si="520"/>
        <v>0</v>
      </c>
      <c r="AQ1046" s="91">
        <f t="shared" si="521"/>
        <v>0</v>
      </c>
    </row>
    <row r="1047" spans="1:43">
      <c r="A1047" s="190">
        <f t="shared" si="512"/>
        <v>95.470910335386719</v>
      </c>
      <c r="B1047" s="82">
        <f t="shared" si="513"/>
        <v>30</v>
      </c>
      <c r="C1047" s="83">
        <f t="shared" si="514"/>
        <v>357</v>
      </c>
      <c r="D1047" s="14">
        <f t="shared" si="499"/>
        <v>2.6283369587845051E-3</v>
      </c>
      <c r="E1047" s="16">
        <f t="shared" si="500"/>
        <v>0</v>
      </c>
      <c r="F1047" s="127"/>
      <c r="G1047" s="88">
        <f t="shared" si="501"/>
        <v>0</v>
      </c>
      <c r="H1047" s="89">
        <f t="shared" si="515"/>
        <v>4.1666666666666666E-3</v>
      </c>
      <c r="I1047" s="219"/>
      <c r="J1047" s="219"/>
      <c r="K1047" s="6">
        <f t="shared" si="523"/>
        <v>0</v>
      </c>
      <c r="M1047" s="6">
        <f t="shared" si="502"/>
        <v>0</v>
      </c>
      <c r="N1047" s="6">
        <f t="shared" si="503"/>
        <v>0</v>
      </c>
      <c r="O1047" s="90">
        <f t="shared" si="504"/>
        <v>0</v>
      </c>
      <c r="P1047" s="91">
        <f t="shared" si="505"/>
        <v>0</v>
      </c>
      <c r="Q1047" s="6">
        <f t="shared" si="506"/>
        <v>0</v>
      </c>
      <c r="R1047" s="87">
        <f t="shared" si="525"/>
        <v>0</v>
      </c>
      <c r="S1047" s="6">
        <f t="shared" si="507"/>
        <v>0</v>
      </c>
      <c r="T1047" s="83">
        <f t="shared" si="516"/>
        <v>0</v>
      </c>
      <c r="U1047" s="91">
        <f t="shared" si="522"/>
        <v>0</v>
      </c>
      <c r="V1047" s="91">
        <f t="shared" si="517"/>
        <v>0</v>
      </c>
      <c r="W1047" s="1">
        <f t="shared" si="528"/>
        <v>0</v>
      </c>
      <c r="X1047" s="1">
        <f t="shared" si="528"/>
        <v>0</v>
      </c>
      <c r="Y1047" s="1">
        <f t="shared" si="528"/>
        <v>0</v>
      </c>
      <c r="Z1047" s="1">
        <f t="shared" si="528"/>
        <v>0</v>
      </c>
      <c r="AA1047" s="1">
        <f t="shared" si="528"/>
        <v>0</v>
      </c>
      <c r="AB1047" s="1">
        <f t="shared" si="528"/>
        <v>0</v>
      </c>
      <c r="AC1047" s="1">
        <f t="shared" si="528"/>
        <v>0</v>
      </c>
      <c r="AD1047" s="1">
        <f t="shared" si="528"/>
        <v>0</v>
      </c>
      <c r="AE1047" s="1">
        <f t="shared" si="528"/>
        <v>0</v>
      </c>
      <c r="AF1047" s="1">
        <f t="shared" si="528"/>
        <v>1</v>
      </c>
      <c r="AG1047" s="1">
        <f t="shared" si="528"/>
        <v>1</v>
      </c>
      <c r="AH1047" s="1">
        <f t="shared" si="528"/>
        <v>1</v>
      </c>
      <c r="AI1047" s="44">
        <f t="shared" si="518"/>
        <v>0</v>
      </c>
      <c r="AJ1047" s="44">
        <f t="shared" si="509"/>
        <v>0</v>
      </c>
      <c r="AK1047" s="44">
        <f t="shared" si="526"/>
        <v>0</v>
      </c>
      <c r="AL1047" s="4">
        <f t="shared" si="510"/>
        <v>357</v>
      </c>
      <c r="AM1047" s="82">
        <f t="shared" si="519"/>
        <v>0</v>
      </c>
      <c r="AN1047" s="82">
        <f t="shared" si="511"/>
        <v>0</v>
      </c>
      <c r="AO1047" s="48">
        <v>0</v>
      </c>
      <c r="AP1047" s="91">
        <f t="shared" si="520"/>
        <v>0</v>
      </c>
      <c r="AQ1047" s="91">
        <f t="shared" si="521"/>
        <v>0</v>
      </c>
    </row>
    <row r="1048" spans="1:43">
      <c r="A1048" s="190">
        <f t="shared" si="512"/>
        <v>95.554243668720048</v>
      </c>
      <c r="B1048" s="82">
        <f t="shared" si="513"/>
        <v>30</v>
      </c>
      <c r="C1048" s="83">
        <f t="shared" si="514"/>
        <v>358</v>
      </c>
      <c r="D1048" s="14">
        <f t="shared" si="499"/>
        <v>2.6283369587845051E-3</v>
      </c>
      <c r="E1048" s="16">
        <f t="shared" si="500"/>
        <v>0</v>
      </c>
      <c r="F1048" s="127"/>
      <c r="G1048" s="88">
        <f t="shared" si="501"/>
        <v>0</v>
      </c>
      <c r="H1048" s="89">
        <f t="shared" si="515"/>
        <v>4.1666666666666666E-3</v>
      </c>
      <c r="I1048" s="219"/>
      <c r="J1048" s="219"/>
      <c r="K1048" s="6">
        <f t="shared" si="523"/>
        <v>0</v>
      </c>
      <c r="M1048" s="6">
        <f t="shared" si="502"/>
        <v>0</v>
      </c>
      <c r="N1048" s="6">
        <f t="shared" si="503"/>
        <v>0</v>
      </c>
      <c r="O1048" s="90">
        <f t="shared" si="504"/>
        <v>0</v>
      </c>
      <c r="P1048" s="91">
        <f t="shared" si="505"/>
        <v>0</v>
      </c>
      <c r="Q1048" s="6">
        <f t="shared" si="506"/>
        <v>0</v>
      </c>
      <c r="R1048" s="87">
        <f t="shared" si="525"/>
        <v>0</v>
      </c>
      <c r="S1048" s="6">
        <f t="shared" si="507"/>
        <v>0</v>
      </c>
      <c r="T1048" s="83">
        <f t="shared" si="516"/>
        <v>0</v>
      </c>
      <c r="U1048" s="91">
        <f t="shared" si="522"/>
        <v>0</v>
      </c>
      <c r="V1048" s="91">
        <f t="shared" si="517"/>
        <v>0</v>
      </c>
      <c r="W1048" s="1">
        <f t="shared" si="528"/>
        <v>0</v>
      </c>
      <c r="X1048" s="1">
        <f t="shared" si="528"/>
        <v>0</v>
      </c>
      <c r="Y1048" s="1">
        <f t="shared" si="528"/>
        <v>0</v>
      </c>
      <c r="Z1048" s="1">
        <f t="shared" si="528"/>
        <v>0</v>
      </c>
      <c r="AA1048" s="1">
        <f t="shared" si="528"/>
        <v>0</v>
      </c>
      <c r="AB1048" s="1">
        <f t="shared" si="528"/>
        <v>0</v>
      </c>
      <c r="AC1048" s="1">
        <f t="shared" si="528"/>
        <v>0</v>
      </c>
      <c r="AD1048" s="1">
        <f t="shared" si="528"/>
        <v>0</v>
      </c>
      <c r="AE1048" s="1">
        <f t="shared" si="528"/>
        <v>0</v>
      </c>
      <c r="AF1048" s="1">
        <f t="shared" si="528"/>
        <v>1</v>
      </c>
      <c r="AG1048" s="1">
        <f t="shared" si="528"/>
        <v>1</v>
      </c>
      <c r="AH1048" s="1">
        <f t="shared" si="528"/>
        <v>1</v>
      </c>
      <c r="AI1048" s="44">
        <f t="shared" si="518"/>
        <v>0</v>
      </c>
      <c r="AJ1048" s="44">
        <f t="shared" si="509"/>
        <v>0</v>
      </c>
      <c r="AK1048" s="44">
        <f t="shared" si="526"/>
        <v>0</v>
      </c>
      <c r="AL1048" s="4">
        <f t="shared" si="510"/>
        <v>358</v>
      </c>
      <c r="AM1048" s="82">
        <f t="shared" si="519"/>
        <v>0</v>
      </c>
      <c r="AN1048" s="82">
        <f t="shared" si="511"/>
        <v>0</v>
      </c>
      <c r="AO1048" s="48">
        <v>0</v>
      </c>
      <c r="AP1048" s="91">
        <f t="shared" si="520"/>
        <v>0</v>
      </c>
      <c r="AQ1048" s="91">
        <f t="shared" si="521"/>
        <v>0</v>
      </c>
    </row>
    <row r="1049" spans="1:43">
      <c r="A1049" s="190">
        <f t="shared" si="512"/>
        <v>95.637577002053376</v>
      </c>
      <c r="B1049" s="82">
        <f t="shared" si="513"/>
        <v>30</v>
      </c>
      <c r="C1049" s="83">
        <f t="shared" si="514"/>
        <v>359</v>
      </c>
      <c r="D1049" s="14">
        <f t="shared" si="499"/>
        <v>2.6283369587845051E-3</v>
      </c>
      <c r="E1049" s="16">
        <f t="shared" si="500"/>
        <v>0</v>
      </c>
      <c r="F1049" s="127"/>
      <c r="G1049" s="88">
        <f t="shared" si="501"/>
        <v>0</v>
      </c>
      <c r="H1049" s="89">
        <f t="shared" si="515"/>
        <v>4.1666666666666666E-3</v>
      </c>
      <c r="I1049" s="219"/>
      <c r="J1049" s="219"/>
      <c r="K1049" s="6">
        <f t="shared" si="523"/>
        <v>0</v>
      </c>
      <c r="M1049" s="6">
        <f t="shared" si="502"/>
        <v>0</v>
      </c>
      <c r="N1049" s="6">
        <f t="shared" si="503"/>
        <v>0</v>
      </c>
      <c r="O1049" s="90">
        <f t="shared" si="504"/>
        <v>0</v>
      </c>
      <c r="P1049" s="91">
        <f t="shared" si="505"/>
        <v>0</v>
      </c>
      <c r="Q1049" s="6">
        <f t="shared" si="506"/>
        <v>0</v>
      </c>
      <c r="R1049" s="87">
        <f t="shared" si="525"/>
        <v>0</v>
      </c>
      <c r="S1049" s="6">
        <f t="shared" si="507"/>
        <v>0</v>
      </c>
      <c r="T1049" s="83">
        <f t="shared" si="516"/>
        <v>0</v>
      </c>
      <c r="U1049" s="91">
        <f t="shared" si="522"/>
        <v>0</v>
      </c>
      <c r="V1049" s="91">
        <f t="shared" si="517"/>
        <v>0</v>
      </c>
      <c r="W1049" s="1">
        <f t="shared" si="528"/>
        <v>0</v>
      </c>
      <c r="X1049" s="1">
        <f t="shared" si="528"/>
        <v>0</v>
      </c>
      <c r="Y1049" s="1">
        <f t="shared" si="528"/>
        <v>0</v>
      </c>
      <c r="Z1049" s="1">
        <f t="shared" si="528"/>
        <v>0</v>
      </c>
      <c r="AA1049" s="1">
        <f t="shared" si="528"/>
        <v>0</v>
      </c>
      <c r="AB1049" s="1">
        <f t="shared" si="528"/>
        <v>0</v>
      </c>
      <c r="AC1049" s="1">
        <f t="shared" si="528"/>
        <v>0</v>
      </c>
      <c r="AD1049" s="1">
        <f t="shared" si="528"/>
        <v>0</v>
      </c>
      <c r="AE1049" s="1">
        <f t="shared" si="528"/>
        <v>0</v>
      </c>
      <c r="AF1049" s="1">
        <f t="shared" si="528"/>
        <v>1</v>
      </c>
      <c r="AG1049" s="1">
        <f t="shared" si="528"/>
        <v>1</v>
      </c>
      <c r="AH1049" s="1">
        <f t="shared" si="528"/>
        <v>1</v>
      </c>
      <c r="AI1049" s="44">
        <f t="shared" si="518"/>
        <v>0</v>
      </c>
      <c r="AJ1049" s="44">
        <f t="shared" si="509"/>
        <v>0</v>
      </c>
      <c r="AK1049" s="44">
        <f t="shared" si="526"/>
        <v>0</v>
      </c>
      <c r="AL1049" s="4">
        <f t="shared" si="510"/>
        <v>359</v>
      </c>
      <c r="AM1049" s="82">
        <f t="shared" si="519"/>
        <v>0</v>
      </c>
      <c r="AN1049" s="82">
        <f t="shared" si="511"/>
        <v>0</v>
      </c>
      <c r="AO1049" s="48">
        <v>0</v>
      </c>
      <c r="AP1049" s="91">
        <f t="shared" si="520"/>
        <v>0</v>
      </c>
      <c r="AQ1049" s="91">
        <f t="shared" si="521"/>
        <v>0</v>
      </c>
    </row>
    <row r="1050" spans="1:43">
      <c r="A1050" s="190">
        <f t="shared" si="512"/>
        <v>95.720910335386719</v>
      </c>
      <c r="B1050" s="82">
        <f t="shared" si="513"/>
        <v>30</v>
      </c>
      <c r="C1050" s="83">
        <f t="shared" si="514"/>
        <v>360</v>
      </c>
      <c r="D1050" s="14">
        <f t="shared" si="499"/>
        <v>2.6283369587845051E-3</v>
      </c>
      <c r="E1050" s="16">
        <f t="shared" si="500"/>
        <v>0</v>
      </c>
      <c r="F1050" s="127"/>
      <c r="G1050" s="88">
        <f t="shared" si="501"/>
        <v>0</v>
      </c>
      <c r="H1050" s="89">
        <f t="shared" si="515"/>
        <v>4.1666666666666666E-3</v>
      </c>
      <c r="I1050" s="219"/>
      <c r="J1050" s="219"/>
      <c r="K1050" s="6">
        <f t="shared" si="523"/>
        <v>0</v>
      </c>
      <c r="M1050" s="6">
        <f t="shared" si="502"/>
        <v>0</v>
      </c>
      <c r="N1050" s="6">
        <f t="shared" si="503"/>
        <v>0</v>
      </c>
      <c r="O1050" s="90">
        <f t="shared" si="504"/>
        <v>0</v>
      </c>
      <c r="P1050" s="91">
        <f t="shared" si="505"/>
        <v>0</v>
      </c>
      <c r="Q1050" s="6">
        <f t="shared" si="506"/>
        <v>0</v>
      </c>
      <c r="R1050" s="87">
        <f t="shared" si="525"/>
        <v>0</v>
      </c>
      <c r="S1050" s="6">
        <f t="shared" si="507"/>
        <v>0</v>
      </c>
      <c r="T1050" s="83">
        <f t="shared" si="516"/>
        <v>0</v>
      </c>
      <c r="U1050" s="91">
        <f t="shared" si="522"/>
        <v>0</v>
      </c>
      <c r="V1050" s="91">
        <f t="shared" si="517"/>
        <v>0</v>
      </c>
      <c r="W1050" s="1">
        <f t="shared" si="528"/>
        <v>0</v>
      </c>
      <c r="X1050" s="1">
        <f t="shared" si="528"/>
        <v>0</v>
      </c>
      <c r="Y1050" s="1">
        <f t="shared" si="528"/>
        <v>0</v>
      </c>
      <c r="Z1050" s="1">
        <f t="shared" si="528"/>
        <v>0</v>
      </c>
      <c r="AA1050" s="1">
        <f t="shared" si="528"/>
        <v>0</v>
      </c>
      <c r="AB1050" s="1">
        <f t="shared" si="528"/>
        <v>0</v>
      </c>
      <c r="AC1050" s="1">
        <f t="shared" si="528"/>
        <v>0</v>
      </c>
      <c r="AD1050" s="1">
        <f t="shared" si="528"/>
        <v>0</v>
      </c>
      <c r="AE1050" s="1">
        <f t="shared" si="528"/>
        <v>0</v>
      </c>
      <c r="AF1050" s="1">
        <f t="shared" si="528"/>
        <v>1</v>
      </c>
      <c r="AG1050" s="1">
        <f t="shared" si="528"/>
        <v>1</v>
      </c>
      <c r="AH1050" s="1">
        <f t="shared" si="528"/>
        <v>1</v>
      </c>
      <c r="AI1050" s="44">
        <f t="shared" si="518"/>
        <v>0</v>
      </c>
      <c r="AJ1050" s="44">
        <f t="shared" si="509"/>
        <v>0</v>
      </c>
      <c r="AK1050" s="44">
        <f t="shared" si="526"/>
        <v>0</v>
      </c>
      <c r="AL1050" s="4">
        <f t="shared" si="510"/>
        <v>360</v>
      </c>
      <c r="AM1050" s="82">
        <f t="shared" si="519"/>
        <v>0</v>
      </c>
      <c r="AN1050" s="82">
        <f t="shared" si="511"/>
        <v>0</v>
      </c>
      <c r="AO1050" s="48">
        <v>0</v>
      </c>
      <c r="AP1050" s="91">
        <f t="shared" si="520"/>
        <v>0</v>
      </c>
      <c r="AQ1050" s="91">
        <f t="shared" si="521"/>
        <v>0</v>
      </c>
    </row>
    <row r="1051" spans="1:43">
      <c r="A1051" s="190">
        <f t="shared" si="512"/>
        <v>95.804243668720048</v>
      </c>
      <c r="B1051" s="82">
        <f t="shared" si="513"/>
        <v>31</v>
      </c>
      <c r="C1051" s="83">
        <f t="shared" si="514"/>
        <v>361</v>
      </c>
      <c r="D1051" s="14">
        <f t="shared" si="499"/>
        <v>2.6283369587845051E-3</v>
      </c>
      <c r="E1051" s="16">
        <f t="shared" si="500"/>
        <v>0</v>
      </c>
      <c r="F1051" s="127"/>
      <c r="G1051" s="88">
        <f t="shared" si="501"/>
        <v>0</v>
      </c>
      <c r="H1051" s="89">
        <f t="shared" si="515"/>
        <v>4.1666666666666666E-3</v>
      </c>
      <c r="I1051" s="219"/>
      <c r="J1051" s="219"/>
      <c r="K1051" s="6">
        <f t="shared" si="523"/>
        <v>0</v>
      </c>
      <c r="M1051" s="6">
        <f t="shared" si="502"/>
        <v>0</v>
      </c>
      <c r="N1051" s="6">
        <f t="shared" si="503"/>
        <v>0</v>
      </c>
      <c r="O1051" s="90">
        <f t="shared" si="504"/>
        <v>0</v>
      </c>
      <c r="P1051" s="91">
        <f t="shared" si="505"/>
        <v>0</v>
      </c>
      <c r="Q1051" s="6">
        <f t="shared" si="506"/>
        <v>0</v>
      </c>
      <c r="R1051" s="87">
        <f t="shared" si="525"/>
        <v>0</v>
      </c>
      <c r="S1051" s="6">
        <f t="shared" si="507"/>
        <v>0</v>
      </c>
      <c r="T1051" s="83">
        <f t="shared" si="516"/>
        <v>0</v>
      </c>
      <c r="U1051" s="91">
        <f t="shared" si="522"/>
        <v>0</v>
      </c>
      <c r="V1051" s="91">
        <f t="shared" si="517"/>
        <v>0</v>
      </c>
      <c r="W1051" s="1">
        <f t="shared" ref="W1051:AH1060" si="529">IF($B1051&lt;=W$78,1,0)</f>
        <v>0</v>
      </c>
      <c r="X1051" s="1">
        <f t="shared" si="529"/>
        <v>0</v>
      </c>
      <c r="Y1051" s="1">
        <f t="shared" si="529"/>
        <v>0</v>
      </c>
      <c r="Z1051" s="1">
        <f t="shared" si="529"/>
        <v>0</v>
      </c>
      <c r="AA1051" s="1">
        <f t="shared" si="529"/>
        <v>0</v>
      </c>
      <c r="AB1051" s="1">
        <f t="shared" si="529"/>
        <v>0</v>
      </c>
      <c r="AC1051" s="1">
        <f t="shared" si="529"/>
        <v>0</v>
      </c>
      <c r="AD1051" s="1">
        <f t="shared" si="529"/>
        <v>0</v>
      </c>
      <c r="AE1051" s="1">
        <f t="shared" si="529"/>
        <v>0</v>
      </c>
      <c r="AF1051" s="1">
        <f t="shared" si="529"/>
        <v>0</v>
      </c>
      <c r="AG1051" s="1">
        <f t="shared" si="529"/>
        <v>1</v>
      </c>
      <c r="AH1051" s="1">
        <f t="shared" si="529"/>
        <v>1</v>
      </c>
      <c r="AI1051" s="44">
        <f t="shared" si="518"/>
        <v>0</v>
      </c>
      <c r="AJ1051" s="44">
        <f t="shared" si="509"/>
        <v>0</v>
      </c>
      <c r="AK1051" s="44">
        <f t="shared" si="526"/>
        <v>0</v>
      </c>
      <c r="AL1051" s="4">
        <f t="shared" si="510"/>
        <v>361</v>
      </c>
      <c r="AM1051" s="82">
        <f t="shared" si="519"/>
        <v>0</v>
      </c>
      <c r="AN1051" s="82">
        <f t="shared" si="511"/>
        <v>0</v>
      </c>
      <c r="AO1051" s="48">
        <v>0</v>
      </c>
      <c r="AP1051" s="91">
        <f t="shared" si="520"/>
        <v>0</v>
      </c>
      <c r="AQ1051" s="91">
        <f t="shared" si="521"/>
        <v>0</v>
      </c>
    </row>
    <row r="1052" spans="1:43">
      <c r="A1052" s="190">
        <f t="shared" si="512"/>
        <v>95.887577002053376</v>
      </c>
      <c r="B1052" s="82">
        <f t="shared" si="513"/>
        <v>31</v>
      </c>
      <c r="C1052" s="83">
        <f t="shared" si="514"/>
        <v>362</v>
      </c>
      <c r="D1052" s="14">
        <f t="shared" si="499"/>
        <v>2.6283369587845051E-3</v>
      </c>
      <c r="E1052" s="16">
        <f t="shared" si="500"/>
        <v>0</v>
      </c>
      <c r="F1052" s="127"/>
      <c r="G1052" s="88">
        <f t="shared" si="501"/>
        <v>0</v>
      </c>
      <c r="H1052" s="89">
        <f t="shared" si="515"/>
        <v>4.1666666666666666E-3</v>
      </c>
      <c r="I1052" s="219"/>
      <c r="J1052" s="219"/>
      <c r="K1052" s="6">
        <f t="shared" si="523"/>
        <v>0</v>
      </c>
      <c r="M1052" s="6">
        <f t="shared" si="502"/>
        <v>0</v>
      </c>
      <c r="N1052" s="6">
        <f t="shared" si="503"/>
        <v>0</v>
      </c>
      <c r="O1052" s="90">
        <f t="shared" si="504"/>
        <v>0</v>
      </c>
      <c r="P1052" s="91">
        <f t="shared" si="505"/>
        <v>0</v>
      </c>
      <c r="Q1052" s="6">
        <f t="shared" si="506"/>
        <v>0</v>
      </c>
      <c r="R1052" s="87">
        <f t="shared" si="525"/>
        <v>0</v>
      </c>
      <c r="S1052" s="6">
        <f t="shared" si="507"/>
        <v>0</v>
      </c>
      <c r="T1052" s="83">
        <f t="shared" si="516"/>
        <v>0</v>
      </c>
      <c r="U1052" s="91">
        <f t="shared" si="522"/>
        <v>0</v>
      </c>
      <c r="V1052" s="91">
        <f t="shared" si="517"/>
        <v>0</v>
      </c>
      <c r="W1052" s="1">
        <f t="shared" si="529"/>
        <v>0</v>
      </c>
      <c r="X1052" s="1">
        <f t="shared" si="529"/>
        <v>0</v>
      </c>
      <c r="Y1052" s="1">
        <f t="shared" si="529"/>
        <v>0</v>
      </c>
      <c r="Z1052" s="1">
        <f t="shared" si="529"/>
        <v>0</v>
      </c>
      <c r="AA1052" s="1">
        <f t="shared" si="529"/>
        <v>0</v>
      </c>
      <c r="AB1052" s="1">
        <f t="shared" si="529"/>
        <v>0</v>
      </c>
      <c r="AC1052" s="1">
        <f t="shared" si="529"/>
        <v>0</v>
      </c>
      <c r="AD1052" s="1">
        <f t="shared" si="529"/>
        <v>0</v>
      </c>
      <c r="AE1052" s="1">
        <f t="shared" si="529"/>
        <v>0</v>
      </c>
      <c r="AF1052" s="1">
        <f t="shared" si="529"/>
        <v>0</v>
      </c>
      <c r="AG1052" s="1">
        <f t="shared" si="529"/>
        <v>1</v>
      </c>
      <c r="AH1052" s="1">
        <f t="shared" si="529"/>
        <v>1</v>
      </c>
      <c r="AI1052" s="44">
        <f t="shared" si="518"/>
        <v>0</v>
      </c>
      <c r="AJ1052" s="44">
        <f t="shared" si="509"/>
        <v>0</v>
      </c>
      <c r="AK1052" s="44">
        <f t="shared" si="526"/>
        <v>0</v>
      </c>
      <c r="AL1052" s="4">
        <f t="shared" si="510"/>
        <v>362</v>
      </c>
      <c r="AM1052" s="82">
        <f t="shared" si="519"/>
        <v>0</v>
      </c>
      <c r="AN1052" s="82">
        <f t="shared" si="511"/>
        <v>0</v>
      </c>
      <c r="AO1052" s="48">
        <v>0</v>
      </c>
      <c r="AP1052" s="91">
        <f t="shared" si="520"/>
        <v>0</v>
      </c>
      <c r="AQ1052" s="91">
        <f t="shared" si="521"/>
        <v>0</v>
      </c>
    </row>
    <row r="1053" spans="1:43">
      <c r="A1053" s="190">
        <f t="shared" si="512"/>
        <v>95.970910335386719</v>
      </c>
      <c r="B1053" s="82">
        <f t="shared" si="513"/>
        <v>31</v>
      </c>
      <c r="C1053" s="83">
        <f t="shared" si="514"/>
        <v>363</v>
      </c>
      <c r="D1053" s="14">
        <f t="shared" si="499"/>
        <v>2.6283369587845051E-3</v>
      </c>
      <c r="E1053" s="16">
        <f t="shared" si="500"/>
        <v>0</v>
      </c>
      <c r="F1053" s="127"/>
      <c r="G1053" s="88">
        <f t="shared" si="501"/>
        <v>0</v>
      </c>
      <c r="H1053" s="89">
        <f t="shared" si="515"/>
        <v>4.1666666666666666E-3</v>
      </c>
      <c r="I1053" s="219"/>
      <c r="J1053" s="219"/>
      <c r="K1053" s="6">
        <f t="shared" si="523"/>
        <v>0</v>
      </c>
      <c r="M1053" s="6">
        <f t="shared" si="502"/>
        <v>0</v>
      </c>
      <c r="N1053" s="6">
        <f t="shared" si="503"/>
        <v>0</v>
      </c>
      <c r="O1053" s="90">
        <f t="shared" si="504"/>
        <v>0</v>
      </c>
      <c r="P1053" s="91">
        <f t="shared" si="505"/>
        <v>0</v>
      </c>
      <c r="Q1053" s="6">
        <f t="shared" si="506"/>
        <v>0</v>
      </c>
      <c r="R1053" s="87">
        <f t="shared" si="525"/>
        <v>0</v>
      </c>
      <c r="S1053" s="6">
        <f t="shared" si="507"/>
        <v>0</v>
      </c>
      <c r="T1053" s="83">
        <f t="shared" si="516"/>
        <v>0</v>
      </c>
      <c r="U1053" s="91">
        <f t="shared" si="522"/>
        <v>0</v>
      </c>
      <c r="V1053" s="91">
        <f t="shared" si="517"/>
        <v>0</v>
      </c>
      <c r="W1053" s="1">
        <f t="shared" si="529"/>
        <v>0</v>
      </c>
      <c r="X1053" s="1">
        <f t="shared" si="529"/>
        <v>0</v>
      </c>
      <c r="Y1053" s="1">
        <f t="shared" si="529"/>
        <v>0</v>
      </c>
      <c r="Z1053" s="1">
        <f t="shared" si="529"/>
        <v>0</v>
      </c>
      <c r="AA1053" s="1">
        <f t="shared" si="529"/>
        <v>0</v>
      </c>
      <c r="AB1053" s="1">
        <f t="shared" si="529"/>
        <v>0</v>
      </c>
      <c r="AC1053" s="1">
        <f t="shared" si="529"/>
        <v>0</v>
      </c>
      <c r="AD1053" s="1">
        <f t="shared" si="529"/>
        <v>0</v>
      </c>
      <c r="AE1053" s="1">
        <f t="shared" si="529"/>
        <v>0</v>
      </c>
      <c r="AF1053" s="1">
        <f t="shared" si="529"/>
        <v>0</v>
      </c>
      <c r="AG1053" s="1">
        <f t="shared" si="529"/>
        <v>1</v>
      </c>
      <c r="AH1053" s="1">
        <f t="shared" si="529"/>
        <v>1</v>
      </c>
      <c r="AI1053" s="44">
        <f t="shared" si="518"/>
        <v>0</v>
      </c>
      <c r="AJ1053" s="44">
        <f t="shared" si="509"/>
        <v>0</v>
      </c>
      <c r="AK1053" s="44">
        <f t="shared" si="526"/>
        <v>0</v>
      </c>
      <c r="AL1053" s="4">
        <f t="shared" si="510"/>
        <v>363</v>
      </c>
      <c r="AM1053" s="82">
        <f t="shared" si="519"/>
        <v>0</v>
      </c>
      <c r="AN1053" s="82">
        <f t="shared" si="511"/>
        <v>0</v>
      </c>
      <c r="AO1053" s="48">
        <v>0</v>
      </c>
      <c r="AP1053" s="91">
        <f t="shared" si="520"/>
        <v>0</v>
      </c>
      <c r="AQ1053" s="91">
        <f t="shared" si="521"/>
        <v>0</v>
      </c>
    </row>
    <row r="1054" spans="1:43">
      <c r="A1054" s="190">
        <f t="shared" si="512"/>
        <v>96.054243668720048</v>
      </c>
      <c r="B1054" s="82">
        <f t="shared" si="513"/>
        <v>31</v>
      </c>
      <c r="C1054" s="83">
        <f t="shared" si="514"/>
        <v>364</v>
      </c>
      <c r="D1054" s="14">
        <f t="shared" si="499"/>
        <v>2.6283369587845051E-3</v>
      </c>
      <c r="E1054" s="16">
        <f t="shared" si="500"/>
        <v>0</v>
      </c>
      <c r="F1054" s="127"/>
      <c r="G1054" s="88">
        <f t="shared" si="501"/>
        <v>0</v>
      </c>
      <c r="H1054" s="89">
        <f t="shared" si="515"/>
        <v>4.1666666666666666E-3</v>
      </c>
      <c r="I1054" s="219"/>
      <c r="J1054" s="219"/>
      <c r="K1054" s="6">
        <f t="shared" si="523"/>
        <v>0</v>
      </c>
      <c r="M1054" s="6">
        <f t="shared" si="502"/>
        <v>0</v>
      </c>
      <c r="N1054" s="6">
        <f t="shared" si="503"/>
        <v>0</v>
      </c>
      <c r="O1054" s="90">
        <f t="shared" si="504"/>
        <v>0</v>
      </c>
      <c r="P1054" s="91">
        <f t="shared" si="505"/>
        <v>0</v>
      </c>
      <c r="Q1054" s="6">
        <f t="shared" si="506"/>
        <v>0</v>
      </c>
      <c r="R1054" s="87">
        <f t="shared" si="525"/>
        <v>0</v>
      </c>
      <c r="S1054" s="6">
        <f t="shared" si="507"/>
        <v>0</v>
      </c>
      <c r="T1054" s="83">
        <f t="shared" si="516"/>
        <v>0</v>
      </c>
      <c r="U1054" s="91">
        <f t="shared" si="522"/>
        <v>0</v>
      </c>
      <c r="V1054" s="91">
        <f t="shared" si="517"/>
        <v>0</v>
      </c>
      <c r="W1054" s="1">
        <f t="shared" si="529"/>
        <v>0</v>
      </c>
      <c r="X1054" s="1">
        <f t="shared" si="529"/>
        <v>0</v>
      </c>
      <c r="Y1054" s="1">
        <f t="shared" si="529"/>
        <v>0</v>
      </c>
      <c r="Z1054" s="1">
        <f t="shared" si="529"/>
        <v>0</v>
      </c>
      <c r="AA1054" s="1">
        <f t="shared" si="529"/>
        <v>0</v>
      </c>
      <c r="AB1054" s="1">
        <f t="shared" si="529"/>
        <v>0</v>
      </c>
      <c r="AC1054" s="1">
        <f t="shared" si="529"/>
        <v>0</v>
      </c>
      <c r="AD1054" s="1">
        <f t="shared" si="529"/>
        <v>0</v>
      </c>
      <c r="AE1054" s="1">
        <f t="shared" si="529"/>
        <v>0</v>
      </c>
      <c r="AF1054" s="1">
        <f t="shared" si="529"/>
        <v>0</v>
      </c>
      <c r="AG1054" s="1">
        <f t="shared" si="529"/>
        <v>1</v>
      </c>
      <c r="AH1054" s="1">
        <f t="shared" si="529"/>
        <v>1</v>
      </c>
      <c r="AI1054" s="44">
        <f t="shared" si="518"/>
        <v>0</v>
      </c>
      <c r="AJ1054" s="44">
        <f t="shared" si="509"/>
        <v>0</v>
      </c>
      <c r="AK1054" s="44">
        <f t="shared" si="526"/>
        <v>0</v>
      </c>
      <c r="AL1054" s="4">
        <f t="shared" si="510"/>
        <v>364</v>
      </c>
      <c r="AM1054" s="82">
        <f t="shared" si="519"/>
        <v>0</v>
      </c>
      <c r="AN1054" s="82">
        <f t="shared" si="511"/>
        <v>0</v>
      </c>
      <c r="AO1054" s="48">
        <v>0</v>
      </c>
      <c r="AP1054" s="91">
        <f t="shared" si="520"/>
        <v>0</v>
      </c>
      <c r="AQ1054" s="91">
        <f t="shared" si="521"/>
        <v>0</v>
      </c>
    </row>
    <row r="1055" spans="1:43">
      <c r="A1055" s="190">
        <f t="shared" si="512"/>
        <v>96.137577002053376</v>
      </c>
      <c r="B1055" s="82">
        <f t="shared" si="513"/>
        <v>31</v>
      </c>
      <c r="C1055" s="83">
        <f t="shared" si="514"/>
        <v>365</v>
      </c>
      <c r="D1055" s="14">
        <f t="shared" si="499"/>
        <v>2.6283369587845051E-3</v>
      </c>
      <c r="E1055" s="16">
        <f t="shared" si="500"/>
        <v>0</v>
      </c>
      <c r="F1055" s="127"/>
      <c r="G1055" s="88">
        <f t="shared" si="501"/>
        <v>0</v>
      </c>
      <c r="H1055" s="89">
        <f t="shared" si="515"/>
        <v>4.1666666666666666E-3</v>
      </c>
      <c r="I1055" s="219"/>
      <c r="J1055" s="219"/>
      <c r="K1055" s="6">
        <f t="shared" si="523"/>
        <v>0</v>
      </c>
      <c r="M1055" s="6">
        <f t="shared" si="502"/>
        <v>0</v>
      </c>
      <c r="N1055" s="6">
        <f t="shared" si="503"/>
        <v>0</v>
      </c>
      <c r="O1055" s="90">
        <f t="shared" si="504"/>
        <v>0</v>
      </c>
      <c r="P1055" s="91">
        <f t="shared" si="505"/>
        <v>0</v>
      </c>
      <c r="Q1055" s="6">
        <f t="shared" si="506"/>
        <v>0</v>
      </c>
      <c r="R1055" s="87">
        <f t="shared" si="525"/>
        <v>0</v>
      </c>
      <c r="S1055" s="6">
        <f t="shared" si="507"/>
        <v>0</v>
      </c>
      <c r="T1055" s="83">
        <f t="shared" si="516"/>
        <v>0</v>
      </c>
      <c r="U1055" s="91">
        <f t="shared" si="522"/>
        <v>0</v>
      </c>
      <c r="V1055" s="91">
        <f t="shared" si="517"/>
        <v>0</v>
      </c>
      <c r="W1055" s="1">
        <f t="shared" si="529"/>
        <v>0</v>
      </c>
      <c r="X1055" s="1">
        <f t="shared" si="529"/>
        <v>0</v>
      </c>
      <c r="Y1055" s="1">
        <f t="shared" si="529"/>
        <v>0</v>
      </c>
      <c r="Z1055" s="1">
        <f t="shared" si="529"/>
        <v>0</v>
      </c>
      <c r="AA1055" s="1">
        <f t="shared" si="529"/>
        <v>0</v>
      </c>
      <c r="AB1055" s="1">
        <f t="shared" si="529"/>
        <v>0</v>
      </c>
      <c r="AC1055" s="1">
        <f t="shared" si="529"/>
        <v>0</v>
      </c>
      <c r="AD1055" s="1">
        <f t="shared" si="529"/>
        <v>0</v>
      </c>
      <c r="AE1055" s="1">
        <f t="shared" si="529"/>
        <v>0</v>
      </c>
      <c r="AF1055" s="1">
        <f t="shared" si="529"/>
        <v>0</v>
      </c>
      <c r="AG1055" s="1">
        <f t="shared" si="529"/>
        <v>1</v>
      </c>
      <c r="AH1055" s="1">
        <f t="shared" si="529"/>
        <v>1</v>
      </c>
      <c r="AI1055" s="44">
        <f t="shared" si="518"/>
        <v>0</v>
      </c>
      <c r="AJ1055" s="44">
        <f t="shared" si="509"/>
        <v>0</v>
      </c>
      <c r="AK1055" s="44">
        <f t="shared" si="526"/>
        <v>0</v>
      </c>
      <c r="AL1055" s="4">
        <f t="shared" si="510"/>
        <v>365</v>
      </c>
      <c r="AM1055" s="82">
        <f t="shared" si="519"/>
        <v>0</v>
      </c>
      <c r="AN1055" s="82">
        <f t="shared" si="511"/>
        <v>0</v>
      </c>
      <c r="AO1055" s="48">
        <v>0</v>
      </c>
      <c r="AP1055" s="91">
        <f t="shared" si="520"/>
        <v>0</v>
      </c>
      <c r="AQ1055" s="91">
        <f t="shared" si="521"/>
        <v>0</v>
      </c>
    </row>
    <row r="1056" spans="1:43">
      <c r="A1056" s="190">
        <f t="shared" si="512"/>
        <v>96.220910335386719</v>
      </c>
      <c r="B1056" s="82">
        <f t="shared" si="513"/>
        <v>31</v>
      </c>
      <c r="C1056" s="83">
        <f t="shared" si="514"/>
        <v>366</v>
      </c>
      <c r="D1056" s="14">
        <f t="shared" si="499"/>
        <v>2.6283369587845051E-3</v>
      </c>
      <c r="E1056" s="16">
        <f t="shared" si="500"/>
        <v>0</v>
      </c>
      <c r="F1056" s="127"/>
      <c r="G1056" s="88">
        <f t="shared" si="501"/>
        <v>0</v>
      </c>
      <c r="H1056" s="89">
        <f t="shared" si="515"/>
        <v>4.1666666666666666E-3</v>
      </c>
      <c r="I1056" s="219"/>
      <c r="J1056" s="219"/>
      <c r="K1056" s="6">
        <f t="shared" si="523"/>
        <v>0</v>
      </c>
      <c r="M1056" s="6">
        <f t="shared" si="502"/>
        <v>0</v>
      </c>
      <c r="N1056" s="6">
        <f t="shared" si="503"/>
        <v>0</v>
      </c>
      <c r="O1056" s="90">
        <f t="shared" si="504"/>
        <v>0</v>
      </c>
      <c r="P1056" s="91">
        <f t="shared" si="505"/>
        <v>0</v>
      </c>
      <c r="Q1056" s="6">
        <f t="shared" si="506"/>
        <v>0</v>
      </c>
      <c r="R1056" s="87">
        <f t="shared" si="525"/>
        <v>0</v>
      </c>
      <c r="S1056" s="6">
        <f t="shared" si="507"/>
        <v>0</v>
      </c>
      <c r="T1056" s="83">
        <f t="shared" si="516"/>
        <v>0</v>
      </c>
      <c r="U1056" s="91">
        <f t="shared" si="522"/>
        <v>0</v>
      </c>
      <c r="V1056" s="91">
        <f t="shared" si="517"/>
        <v>0</v>
      </c>
      <c r="W1056" s="1">
        <f t="shared" si="529"/>
        <v>0</v>
      </c>
      <c r="X1056" s="1">
        <f t="shared" si="529"/>
        <v>0</v>
      </c>
      <c r="Y1056" s="1">
        <f t="shared" si="529"/>
        <v>0</v>
      </c>
      <c r="Z1056" s="1">
        <f t="shared" si="529"/>
        <v>0</v>
      </c>
      <c r="AA1056" s="1">
        <f t="shared" si="529"/>
        <v>0</v>
      </c>
      <c r="AB1056" s="1">
        <f t="shared" si="529"/>
        <v>0</v>
      </c>
      <c r="AC1056" s="1">
        <f t="shared" si="529"/>
        <v>0</v>
      </c>
      <c r="AD1056" s="1">
        <f t="shared" si="529"/>
        <v>0</v>
      </c>
      <c r="AE1056" s="1">
        <f t="shared" si="529"/>
        <v>0</v>
      </c>
      <c r="AF1056" s="1">
        <f t="shared" si="529"/>
        <v>0</v>
      </c>
      <c r="AG1056" s="1">
        <f t="shared" si="529"/>
        <v>1</v>
      </c>
      <c r="AH1056" s="1">
        <f t="shared" si="529"/>
        <v>1</v>
      </c>
      <c r="AI1056" s="44">
        <f t="shared" si="518"/>
        <v>0</v>
      </c>
      <c r="AJ1056" s="44">
        <f t="shared" si="509"/>
        <v>0</v>
      </c>
      <c r="AK1056" s="44">
        <f t="shared" si="526"/>
        <v>0</v>
      </c>
      <c r="AL1056" s="4">
        <f t="shared" si="510"/>
        <v>366</v>
      </c>
      <c r="AM1056" s="82">
        <f t="shared" si="519"/>
        <v>0</v>
      </c>
      <c r="AN1056" s="82">
        <f t="shared" si="511"/>
        <v>0</v>
      </c>
      <c r="AO1056" s="48">
        <v>0</v>
      </c>
      <c r="AP1056" s="91">
        <f t="shared" si="520"/>
        <v>0</v>
      </c>
      <c r="AQ1056" s="91">
        <f t="shared" si="521"/>
        <v>0</v>
      </c>
    </row>
    <row r="1057" spans="1:43">
      <c r="A1057" s="190">
        <f t="shared" si="512"/>
        <v>96.304243668720048</v>
      </c>
      <c r="B1057" s="82">
        <f t="shared" si="513"/>
        <v>31</v>
      </c>
      <c r="C1057" s="83">
        <f t="shared" si="514"/>
        <v>367</v>
      </c>
      <c r="D1057" s="14">
        <f t="shared" si="499"/>
        <v>2.6283369587845051E-3</v>
      </c>
      <c r="E1057" s="16">
        <f t="shared" si="500"/>
        <v>0</v>
      </c>
      <c r="F1057" s="127"/>
      <c r="G1057" s="88">
        <f t="shared" si="501"/>
        <v>0</v>
      </c>
      <c r="H1057" s="89">
        <f t="shared" si="515"/>
        <v>4.1666666666666666E-3</v>
      </c>
      <c r="I1057" s="219"/>
      <c r="J1057" s="219"/>
      <c r="K1057" s="6">
        <f t="shared" si="523"/>
        <v>0</v>
      </c>
      <c r="M1057" s="6">
        <f t="shared" si="502"/>
        <v>0</v>
      </c>
      <c r="N1057" s="6">
        <f t="shared" si="503"/>
        <v>0</v>
      </c>
      <c r="O1057" s="90">
        <f t="shared" si="504"/>
        <v>0</v>
      </c>
      <c r="P1057" s="91">
        <f t="shared" si="505"/>
        <v>0</v>
      </c>
      <c r="Q1057" s="6">
        <f t="shared" si="506"/>
        <v>0</v>
      </c>
      <c r="R1057" s="87">
        <f t="shared" si="525"/>
        <v>0</v>
      </c>
      <c r="S1057" s="6">
        <f t="shared" si="507"/>
        <v>0</v>
      </c>
      <c r="T1057" s="83">
        <f t="shared" si="516"/>
        <v>0</v>
      </c>
      <c r="U1057" s="91">
        <f t="shared" si="522"/>
        <v>0</v>
      </c>
      <c r="V1057" s="91">
        <f t="shared" si="517"/>
        <v>0</v>
      </c>
      <c r="W1057" s="1">
        <f t="shared" si="529"/>
        <v>0</v>
      </c>
      <c r="X1057" s="1">
        <f t="shared" si="529"/>
        <v>0</v>
      </c>
      <c r="Y1057" s="1">
        <f t="shared" si="529"/>
        <v>0</v>
      </c>
      <c r="Z1057" s="1">
        <f t="shared" si="529"/>
        <v>0</v>
      </c>
      <c r="AA1057" s="1">
        <f t="shared" si="529"/>
        <v>0</v>
      </c>
      <c r="AB1057" s="1">
        <f t="shared" si="529"/>
        <v>0</v>
      </c>
      <c r="AC1057" s="1">
        <f t="shared" si="529"/>
        <v>0</v>
      </c>
      <c r="AD1057" s="1">
        <f t="shared" si="529"/>
        <v>0</v>
      </c>
      <c r="AE1057" s="1">
        <f t="shared" si="529"/>
        <v>0</v>
      </c>
      <c r="AF1057" s="1">
        <f t="shared" si="529"/>
        <v>0</v>
      </c>
      <c r="AG1057" s="1">
        <f t="shared" si="529"/>
        <v>1</v>
      </c>
      <c r="AH1057" s="1">
        <f t="shared" si="529"/>
        <v>1</v>
      </c>
      <c r="AI1057" s="44">
        <f t="shared" si="518"/>
        <v>0</v>
      </c>
      <c r="AJ1057" s="44">
        <f t="shared" si="509"/>
        <v>0</v>
      </c>
      <c r="AK1057" s="44">
        <f t="shared" si="526"/>
        <v>0</v>
      </c>
      <c r="AL1057" s="4">
        <f t="shared" si="510"/>
        <v>367</v>
      </c>
      <c r="AM1057" s="82">
        <f t="shared" si="519"/>
        <v>0</v>
      </c>
      <c r="AN1057" s="82">
        <f t="shared" si="511"/>
        <v>0</v>
      </c>
      <c r="AO1057" s="48">
        <v>0</v>
      </c>
      <c r="AP1057" s="91">
        <f t="shared" si="520"/>
        <v>0</v>
      </c>
      <c r="AQ1057" s="91">
        <f t="shared" si="521"/>
        <v>0</v>
      </c>
    </row>
    <row r="1058" spans="1:43">
      <c r="A1058" s="190">
        <f t="shared" si="512"/>
        <v>96.387577002053376</v>
      </c>
      <c r="B1058" s="82">
        <f t="shared" si="513"/>
        <v>31</v>
      </c>
      <c r="C1058" s="83">
        <f t="shared" si="514"/>
        <v>368</v>
      </c>
      <c r="D1058" s="14">
        <f t="shared" si="499"/>
        <v>2.6283369587845051E-3</v>
      </c>
      <c r="E1058" s="16">
        <f t="shared" si="500"/>
        <v>0</v>
      </c>
      <c r="F1058" s="127"/>
      <c r="G1058" s="88">
        <f t="shared" si="501"/>
        <v>0</v>
      </c>
      <c r="H1058" s="89">
        <f t="shared" si="515"/>
        <v>4.1666666666666666E-3</v>
      </c>
      <c r="I1058" s="219"/>
      <c r="J1058" s="219"/>
      <c r="K1058" s="6">
        <f t="shared" si="523"/>
        <v>0</v>
      </c>
      <c r="M1058" s="6">
        <f t="shared" si="502"/>
        <v>0</v>
      </c>
      <c r="N1058" s="6">
        <f t="shared" si="503"/>
        <v>0</v>
      </c>
      <c r="O1058" s="90">
        <f t="shared" si="504"/>
        <v>0</v>
      </c>
      <c r="P1058" s="91">
        <f t="shared" si="505"/>
        <v>0</v>
      </c>
      <c r="Q1058" s="6">
        <f t="shared" si="506"/>
        <v>0</v>
      </c>
      <c r="R1058" s="87">
        <f t="shared" si="525"/>
        <v>0</v>
      </c>
      <c r="S1058" s="6">
        <f t="shared" si="507"/>
        <v>0</v>
      </c>
      <c r="T1058" s="83">
        <f t="shared" si="516"/>
        <v>0</v>
      </c>
      <c r="U1058" s="91">
        <f t="shared" si="522"/>
        <v>0</v>
      </c>
      <c r="V1058" s="91">
        <f t="shared" si="517"/>
        <v>0</v>
      </c>
      <c r="W1058" s="1">
        <f t="shared" si="529"/>
        <v>0</v>
      </c>
      <c r="X1058" s="1">
        <f t="shared" si="529"/>
        <v>0</v>
      </c>
      <c r="Y1058" s="1">
        <f t="shared" si="529"/>
        <v>0</v>
      </c>
      <c r="Z1058" s="1">
        <f t="shared" si="529"/>
        <v>0</v>
      </c>
      <c r="AA1058" s="1">
        <f t="shared" si="529"/>
        <v>0</v>
      </c>
      <c r="AB1058" s="1">
        <f t="shared" si="529"/>
        <v>0</v>
      </c>
      <c r="AC1058" s="1">
        <f t="shared" si="529"/>
        <v>0</v>
      </c>
      <c r="AD1058" s="1">
        <f t="shared" si="529"/>
        <v>0</v>
      </c>
      <c r="AE1058" s="1">
        <f t="shared" si="529"/>
        <v>0</v>
      </c>
      <c r="AF1058" s="1">
        <f t="shared" si="529"/>
        <v>0</v>
      </c>
      <c r="AG1058" s="1">
        <f t="shared" si="529"/>
        <v>1</v>
      </c>
      <c r="AH1058" s="1">
        <f t="shared" si="529"/>
        <v>1</v>
      </c>
      <c r="AI1058" s="44">
        <f t="shared" si="518"/>
        <v>0</v>
      </c>
      <c r="AJ1058" s="44">
        <f t="shared" si="509"/>
        <v>0</v>
      </c>
      <c r="AK1058" s="44">
        <f t="shared" si="526"/>
        <v>0</v>
      </c>
      <c r="AL1058" s="4">
        <f t="shared" si="510"/>
        <v>368</v>
      </c>
      <c r="AM1058" s="82">
        <f t="shared" si="519"/>
        <v>0</v>
      </c>
      <c r="AN1058" s="82">
        <f t="shared" si="511"/>
        <v>0</v>
      </c>
      <c r="AO1058" s="48">
        <v>0</v>
      </c>
      <c r="AP1058" s="91">
        <f t="shared" si="520"/>
        <v>0</v>
      </c>
      <c r="AQ1058" s="91">
        <f t="shared" si="521"/>
        <v>0</v>
      </c>
    </row>
    <row r="1059" spans="1:43">
      <c r="A1059" s="190">
        <f t="shared" si="512"/>
        <v>96.470910335386719</v>
      </c>
      <c r="B1059" s="82">
        <f t="shared" si="513"/>
        <v>31</v>
      </c>
      <c r="C1059" s="83">
        <f t="shared" si="514"/>
        <v>369</v>
      </c>
      <c r="D1059" s="14">
        <f t="shared" si="499"/>
        <v>2.6283369587845051E-3</v>
      </c>
      <c r="E1059" s="16">
        <f t="shared" si="500"/>
        <v>0</v>
      </c>
      <c r="F1059" s="127"/>
      <c r="G1059" s="88">
        <f t="shared" si="501"/>
        <v>0</v>
      </c>
      <c r="H1059" s="89">
        <f t="shared" si="515"/>
        <v>4.1666666666666666E-3</v>
      </c>
      <c r="I1059" s="219"/>
      <c r="J1059" s="219"/>
      <c r="K1059" s="6">
        <f t="shared" si="523"/>
        <v>0</v>
      </c>
      <c r="M1059" s="6">
        <f t="shared" si="502"/>
        <v>0</v>
      </c>
      <c r="N1059" s="6">
        <f t="shared" si="503"/>
        <v>0</v>
      </c>
      <c r="O1059" s="90">
        <f t="shared" si="504"/>
        <v>0</v>
      </c>
      <c r="P1059" s="91">
        <f t="shared" si="505"/>
        <v>0</v>
      </c>
      <c r="Q1059" s="6">
        <f t="shared" si="506"/>
        <v>0</v>
      </c>
      <c r="R1059" s="87">
        <f t="shared" si="525"/>
        <v>0</v>
      </c>
      <c r="S1059" s="6">
        <f t="shared" si="507"/>
        <v>0</v>
      </c>
      <c r="T1059" s="83">
        <f t="shared" si="516"/>
        <v>0</v>
      </c>
      <c r="U1059" s="91">
        <f t="shared" si="522"/>
        <v>0</v>
      </c>
      <c r="V1059" s="91">
        <f t="shared" si="517"/>
        <v>0</v>
      </c>
      <c r="W1059" s="1">
        <f t="shared" si="529"/>
        <v>0</v>
      </c>
      <c r="X1059" s="1">
        <f t="shared" si="529"/>
        <v>0</v>
      </c>
      <c r="Y1059" s="1">
        <f t="shared" si="529"/>
        <v>0</v>
      </c>
      <c r="Z1059" s="1">
        <f t="shared" si="529"/>
        <v>0</v>
      </c>
      <c r="AA1059" s="1">
        <f t="shared" si="529"/>
        <v>0</v>
      </c>
      <c r="AB1059" s="1">
        <f t="shared" si="529"/>
        <v>0</v>
      </c>
      <c r="AC1059" s="1">
        <f t="shared" si="529"/>
        <v>0</v>
      </c>
      <c r="AD1059" s="1">
        <f t="shared" si="529"/>
        <v>0</v>
      </c>
      <c r="AE1059" s="1">
        <f t="shared" si="529"/>
        <v>0</v>
      </c>
      <c r="AF1059" s="1">
        <f t="shared" si="529"/>
        <v>0</v>
      </c>
      <c r="AG1059" s="1">
        <f t="shared" si="529"/>
        <v>1</v>
      </c>
      <c r="AH1059" s="1">
        <f t="shared" si="529"/>
        <v>1</v>
      </c>
      <c r="AI1059" s="44">
        <f t="shared" si="518"/>
        <v>0</v>
      </c>
      <c r="AJ1059" s="44">
        <f t="shared" si="509"/>
        <v>0</v>
      </c>
      <c r="AK1059" s="44">
        <f t="shared" si="526"/>
        <v>0</v>
      </c>
      <c r="AL1059" s="4">
        <f t="shared" si="510"/>
        <v>369</v>
      </c>
      <c r="AM1059" s="82">
        <f t="shared" si="519"/>
        <v>0</v>
      </c>
      <c r="AN1059" s="82">
        <f t="shared" si="511"/>
        <v>0</v>
      </c>
      <c r="AO1059" s="48">
        <v>0</v>
      </c>
      <c r="AP1059" s="91">
        <f t="shared" si="520"/>
        <v>0</v>
      </c>
      <c r="AQ1059" s="91">
        <f t="shared" si="521"/>
        <v>0</v>
      </c>
    </row>
    <row r="1060" spans="1:43">
      <c r="A1060" s="190">
        <f t="shared" si="512"/>
        <v>96.554243668720048</v>
      </c>
      <c r="B1060" s="82">
        <f t="shared" si="513"/>
        <v>31</v>
      </c>
      <c r="C1060" s="83">
        <f t="shared" si="514"/>
        <v>370</v>
      </c>
      <c r="D1060" s="14">
        <f t="shared" si="499"/>
        <v>2.6283369587845051E-3</v>
      </c>
      <c r="E1060" s="16">
        <f t="shared" si="500"/>
        <v>0</v>
      </c>
      <c r="F1060" s="127"/>
      <c r="G1060" s="88">
        <f t="shared" si="501"/>
        <v>0</v>
      </c>
      <c r="H1060" s="89">
        <f t="shared" si="515"/>
        <v>4.1666666666666666E-3</v>
      </c>
      <c r="I1060" s="219"/>
      <c r="J1060" s="219"/>
      <c r="K1060" s="6">
        <f t="shared" si="523"/>
        <v>0</v>
      </c>
      <c r="M1060" s="6">
        <f t="shared" si="502"/>
        <v>0</v>
      </c>
      <c r="N1060" s="6">
        <f t="shared" si="503"/>
        <v>0</v>
      </c>
      <c r="O1060" s="90">
        <f t="shared" si="504"/>
        <v>0</v>
      </c>
      <c r="P1060" s="91">
        <f t="shared" si="505"/>
        <v>0</v>
      </c>
      <c r="Q1060" s="6">
        <f t="shared" si="506"/>
        <v>0</v>
      </c>
      <c r="R1060" s="87">
        <f t="shared" si="525"/>
        <v>0</v>
      </c>
      <c r="S1060" s="6">
        <f t="shared" si="507"/>
        <v>0</v>
      </c>
      <c r="T1060" s="83">
        <f t="shared" si="516"/>
        <v>0</v>
      </c>
      <c r="U1060" s="91">
        <f t="shared" si="522"/>
        <v>0</v>
      </c>
      <c r="V1060" s="91">
        <f t="shared" si="517"/>
        <v>0</v>
      </c>
      <c r="W1060" s="1">
        <f t="shared" si="529"/>
        <v>0</v>
      </c>
      <c r="X1060" s="1">
        <f t="shared" si="529"/>
        <v>0</v>
      </c>
      <c r="Y1060" s="1">
        <f t="shared" si="529"/>
        <v>0</v>
      </c>
      <c r="Z1060" s="1">
        <f t="shared" si="529"/>
        <v>0</v>
      </c>
      <c r="AA1060" s="1">
        <f t="shared" si="529"/>
        <v>0</v>
      </c>
      <c r="AB1060" s="1">
        <f t="shared" si="529"/>
        <v>0</v>
      </c>
      <c r="AC1060" s="1">
        <f t="shared" si="529"/>
        <v>0</v>
      </c>
      <c r="AD1060" s="1">
        <f t="shared" si="529"/>
        <v>0</v>
      </c>
      <c r="AE1060" s="1">
        <f t="shared" si="529"/>
        <v>0</v>
      </c>
      <c r="AF1060" s="1">
        <f t="shared" si="529"/>
        <v>0</v>
      </c>
      <c r="AG1060" s="1">
        <f t="shared" si="529"/>
        <v>1</v>
      </c>
      <c r="AH1060" s="1">
        <f t="shared" si="529"/>
        <v>1</v>
      </c>
      <c r="AI1060" s="44">
        <f t="shared" si="518"/>
        <v>0</v>
      </c>
      <c r="AJ1060" s="44">
        <f t="shared" si="509"/>
        <v>0</v>
      </c>
      <c r="AK1060" s="44">
        <f t="shared" si="526"/>
        <v>0</v>
      </c>
      <c r="AL1060" s="4">
        <f t="shared" si="510"/>
        <v>370</v>
      </c>
      <c r="AM1060" s="82">
        <f t="shared" si="519"/>
        <v>0</v>
      </c>
      <c r="AN1060" s="82">
        <f t="shared" si="511"/>
        <v>0</v>
      </c>
      <c r="AO1060" s="48">
        <v>0</v>
      </c>
      <c r="AP1060" s="91">
        <f t="shared" si="520"/>
        <v>0</v>
      </c>
      <c r="AQ1060" s="91">
        <f t="shared" si="521"/>
        <v>0</v>
      </c>
    </row>
    <row r="1061" spans="1:43">
      <c r="A1061" s="190">
        <f t="shared" si="512"/>
        <v>96.637577002053376</v>
      </c>
      <c r="B1061" s="82">
        <f t="shared" si="513"/>
        <v>31</v>
      </c>
      <c r="C1061" s="83">
        <f t="shared" si="514"/>
        <v>371</v>
      </c>
      <c r="D1061" s="14">
        <f t="shared" si="499"/>
        <v>2.6283369587845051E-3</v>
      </c>
      <c r="E1061" s="16">
        <f t="shared" si="500"/>
        <v>0</v>
      </c>
      <c r="F1061" s="127"/>
      <c r="G1061" s="88">
        <f t="shared" si="501"/>
        <v>0</v>
      </c>
      <c r="H1061" s="89">
        <f t="shared" si="515"/>
        <v>4.1666666666666666E-3</v>
      </c>
      <c r="I1061" s="219"/>
      <c r="J1061" s="219"/>
      <c r="K1061" s="6">
        <f t="shared" si="523"/>
        <v>0</v>
      </c>
      <c r="M1061" s="6">
        <f t="shared" si="502"/>
        <v>0</v>
      </c>
      <c r="N1061" s="6">
        <f t="shared" si="503"/>
        <v>0</v>
      </c>
      <c r="O1061" s="90">
        <f t="shared" si="504"/>
        <v>0</v>
      </c>
      <c r="P1061" s="91">
        <f t="shared" si="505"/>
        <v>0</v>
      </c>
      <c r="Q1061" s="6">
        <f t="shared" si="506"/>
        <v>0</v>
      </c>
      <c r="R1061" s="87">
        <f t="shared" si="525"/>
        <v>0</v>
      </c>
      <c r="S1061" s="6">
        <f t="shared" si="507"/>
        <v>0</v>
      </c>
      <c r="T1061" s="83">
        <f t="shared" si="516"/>
        <v>0</v>
      </c>
      <c r="U1061" s="91">
        <f t="shared" si="522"/>
        <v>0</v>
      </c>
      <c r="V1061" s="91">
        <f t="shared" si="517"/>
        <v>0</v>
      </c>
      <c r="W1061" s="1">
        <f t="shared" ref="W1061:AH1070" si="530">IF($B1061&lt;=W$78,1,0)</f>
        <v>0</v>
      </c>
      <c r="X1061" s="1">
        <f t="shared" si="530"/>
        <v>0</v>
      </c>
      <c r="Y1061" s="1">
        <f t="shared" si="530"/>
        <v>0</v>
      </c>
      <c r="Z1061" s="1">
        <f t="shared" si="530"/>
        <v>0</v>
      </c>
      <c r="AA1061" s="1">
        <f t="shared" si="530"/>
        <v>0</v>
      </c>
      <c r="AB1061" s="1">
        <f t="shared" si="530"/>
        <v>0</v>
      </c>
      <c r="AC1061" s="1">
        <f t="shared" si="530"/>
        <v>0</v>
      </c>
      <c r="AD1061" s="1">
        <f t="shared" si="530"/>
        <v>0</v>
      </c>
      <c r="AE1061" s="1">
        <f t="shared" si="530"/>
        <v>0</v>
      </c>
      <c r="AF1061" s="1">
        <f t="shared" si="530"/>
        <v>0</v>
      </c>
      <c r="AG1061" s="1">
        <f t="shared" si="530"/>
        <v>1</v>
      </c>
      <c r="AH1061" s="1">
        <f t="shared" si="530"/>
        <v>1</v>
      </c>
      <c r="AI1061" s="44">
        <f t="shared" si="518"/>
        <v>0</v>
      </c>
      <c r="AJ1061" s="44">
        <f t="shared" si="509"/>
        <v>0</v>
      </c>
      <c r="AK1061" s="44">
        <f t="shared" si="526"/>
        <v>0</v>
      </c>
      <c r="AL1061" s="4">
        <f t="shared" si="510"/>
        <v>371</v>
      </c>
      <c r="AM1061" s="82">
        <f t="shared" si="519"/>
        <v>0</v>
      </c>
      <c r="AN1061" s="82">
        <f t="shared" si="511"/>
        <v>0</v>
      </c>
      <c r="AO1061" s="48">
        <v>0</v>
      </c>
      <c r="AP1061" s="91">
        <f t="shared" si="520"/>
        <v>0</v>
      </c>
      <c r="AQ1061" s="91">
        <f t="shared" si="521"/>
        <v>0</v>
      </c>
    </row>
    <row r="1062" spans="1:43">
      <c r="A1062" s="190">
        <f t="shared" si="512"/>
        <v>96.720910335386719</v>
      </c>
      <c r="B1062" s="82">
        <f t="shared" si="513"/>
        <v>31</v>
      </c>
      <c r="C1062" s="83">
        <f t="shared" si="514"/>
        <v>372</v>
      </c>
      <c r="D1062" s="14">
        <f t="shared" si="499"/>
        <v>2.6283369587845051E-3</v>
      </c>
      <c r="E1062" s="16">
        <f t="shared" si="500"/>
        <v>0</v>
      </c>
      <c r="F1062" s="127"/>
      <c r="G1062" s="88">
        <f t="shared" si="501"/>
        <v>0</v>
      </c>
      <c r="H1062" s="89">
        <f t="shared" si="515"/>
        <v>4.1666666666666666E-3</v>
      </c>
      <c r="I1062" s="219"/>
      <c r="J1062" s="219"/>
      <c r="K1062" s="6">
        <f t="shared" si="523"/>
        <v>0</v>
      </c>
      <c r="M1062" s="6">
        <f t="shared" si="502"/>
        <v>0</v>
      </c>
      <c r="N1062" s="6">
        <f t="shared" si="503"/>
        <v>0</v>
      </c>
      <c r="O1062" s="90">
        <f t="shared" si="504"/>
        <v>0</v>
      </c>
      <c r="P1062" s="91">
        <f t="shared" si="505"/>
        <v>0</v>
      </c>
      <c r="Q1062" s="6">
        <f t="shared" si="506"/>
        <v>0</v>
      </c>
      <c r="R1062" s="87">
        <f t="shared" si="525"/>
        <v>0</v>
      </c>
      <c r="S1062" s="6">
        <f t="shared" si="507"/>
        <v>0</v>
      </c>
      <c r="T1062" s="83">
        <f t="shared" si="516"/>
        <v>0</v>
      </c>
      <c r="U1062" s="91">
        <f t="shared" si="522"/>
        <v>0</v>
      </c>
      <c r="V1062" s="91">
        <f t="shared" si="517"/>
        <v>0</v>
      </c>
      <c r="W1062" s="1">
        <f t="shared" si="530"/>
        <v>0</v>
      </c>
      <c r="X1062" s="1">
        <f t="shared" si="530"/>
        <v>0</v>
      </c>
      <c r="Y1062" s="1">
        <f t="shared" si="530"/>
        <v>0</v>
      </c>
      <c r="Z1062" s="1">
        <f t="shared" si="530"/>
        <v>0</v>
      </c>
      <c r="AA1062" s="1">
        <f t="shared" si="530"/>
        <v>0</v>
      </c>
      <c r="AB1062" s="1">
        <f t="shared" si="530"/>
        <v>0</v>
      </c>
      <c r="AC1062" s="1">
        <f t="shared" si="530"/>
        <v>0</v>
      </c>
      <c r="AD1062" s="1">
        <f t="shared" si="530"/>
        <v>0</v>
      </c>
      <c r="AE1062" s="1">
        <f t="shared" si="530"/>
        <v>0</v>
      </c>
      <c r="AF1062" s="1">
        <f t="shared" si="530"/>
        <v>0</v>
      </c>
      <c r="AG1062" s="1">
        <f t="shared" si="530"/>
        <v>1</v>
      </c>
      <c r="AH1062" s="1">
        <f t="shared" si="530"/>
        <v>1</v>
      </c>
      <c r="AI1062" s="44">
        <f t="shared" si="518"/>
        <v>0</v>
      </c>
      <c r="AJ1062" s="44">
        <f t="shared" si="509"/>
        <v>0</v>
      </c>
      <c r="AK1062" s="44">
        <f t="shared" si="526"/>
        <v>0</v>
      </c>
      <c r="AL1062" s="4">
        <f t="shared" si="510"/>
        <v>372</v>
      </c>
      <c r="AM1062" s="82">
        <f t="shared" si="519"/>
        <v>0</v>
      </c>
      <c r="AN1062" s="82">
        <f t="shared" si="511"/>
        <v>0</v>
      </c>
      <c r="AO1062" s="48">
        <v>0</v>
      </c>
      <c r="AP1062" s="91">
        <f t="shared" si="520"/>
        <v>0</v>
      </c>
      <c r="AQ1062" s="91">
        <f t="shared" si="521"/>
        <v>0</v>
      </c>
    </row>
    <row r="1063" spans="1:43">
      <c r="A1063" s="190">
        <f t="shared" si="512"/>
        <v>96.804243668720048</v>
      </c>
      <c r="B1063" s="82">
        <f t="shared" si="513"/>
        <v>32</v>
      </c>
      <c r="C1063" s="83">
        <f t="shared" si="514"/>
        <v>373</v>
      </c>
      <c r="D1063" s="14">
        <f t="shared" si="499"/>
        <v>2.6283369587845051E-3</v>
      </c>
      <c r="E1063" s="16">
        <f t="shared" si="500"/>
        <v>0</v>
      </c>
      <c r="F1063" s="127"/>
      <c r="G1063" s="88">
        <f t="shared" si="501"/>
        <v>0</v>
      </c>
      <c r="H1063" s="89">
        <f t="shared" si="515"/>
        <v>4.1666666666666666E-3</v>
      </c>
      <c r="I1063" s="219"/>
      <c r="J1063" s="219"/>
      <c r="K1063" s="6">
        <f t="shared" si="523"/>
        <v>0</v>
      </c>
      <c r="M1063" s="6">
        <f t="shared" si="502"/>
        <v>0</v>
      </c>
      <c r="N1063" s="6">
        <f t="shared" si="503"/>
        <v>0</v>
      </c>
      <c r="O1063" s="90">
        <f t="shared" si="504"/>
        <v>0</v>
      </c>
      <c r="P1063" s="91">
        <f t="shared" si="505"/>
        <v>0</v>
      </c>
      <c r="Q1063" s="6">
        <f t="shared" si="506"/>
        <v>0</v>
      </c>
      <c r="R1063" s="87">
        <f t="shared" si="525"/>
        <v>0</v>
      </c>
      <c r="S1063" s="6">
        <f t="shared" si="507"/>
        <v>0</v>
      </c>
      <c r="T1063" s="83">
        <f t="shared" si="516"/>
        <v>0</v>
      </c>
      <c r="U1063" s="91">
        <f t="shared" si="522"/>
        <v>0</v>
      </c>
      <c r="V1063" s="91">
        <f t="shared" si="517"/>
        <v>0</v>
      </c>
      <c r="W1063" s="1">
        <f t="shared" si="530"/>
        <v>0</v>
      </c>
      <c r="X1063" s="1">
        <f t="shared" si="530"/>
        <v>0</v>
      </c>
      <c r="Y1063" s="1">
        <f t="shared" si="530"/>
        <v>0</v>
      </c>
      <c r="Z1063" s="1">
        <f t="shared" si="530"/>
        <v>0</v>
      </c>
      <c r="AA1063" s="1">
        <f t="shared" si="530"/>
        <v>0</v>
      </c>
      <c r="AB1063" s="1">
        <f t="shared" si="530"/>
        <v>0</v>
      </c>
      <c r="AC1063" s="1">
        <f t="shared" si="530"/>
        <v>0</v>
      </c>
      <c r="AD1063" s="1">
        <f t="shared" si="530"/>
        <v>0</v>
      </c>
      <c r="AE1063" s="1">
        <f t="shared" si="530"/>
        <v>0</v>
      </c>
      <c r="AF1063" s="1">
        <f t="shared" si="530"/>
        <v>0</v>
      </c>
      <c r="AG1063" s="1">
        <f t="shared" si="530"/>
        <v>1</v>
      </c>
      <c r="AH1063" s="1">
        <f t="shared" si="530"/>
        <v>1</v>
      </c>
      <c r="AI1063" s="44">
        <f t="shared" si="518"/>
        <v>0</v>
      </c>
      <c r="AJ1063" s="44">
        <f t="shared" si="509"/>
        <v>0</v>
      </c>
      <c r="AK1063" s="44">
        <f t="shared" si="526"/>
        <v>0</v>
      </c>
      <c r="AL1063" s="4">
        <f t="shared" si="510"/>
        <v>373</v>
      </c>
      <c r="AM1063" s="82">
        <f t="shared" si="519"/>
        <v>0</v>
      </c>
      <c r="AN1063" s="82">
        <f t="shared" si="511"/>
        <v>0</v>
      </c>
      <c r="AO1063" s="48">
        <v>0</v>
      </c>
      <c r="AP1063" s="91">
        <f t="shared" si="520"/>
        <v>0</v>
      </c>
      <c r="AQ1063" s="91">
        <f t="shared" si="521"/>
        <v>0</v>
      </c>
    </row>
    <row r="1064" spans="1:43">
      <c r="A1064" s="190">
        <f t="shared" si="512"/>
        <v>96.887577002053376</v>
      </c>
      <c r="B1064" s="82">
        <f t="shared" si="513"/>
        <v>32</v>
      </c>
      <c r="C1064" s="83">
        <f t="shared" si="514"/>
        <v>374</v>
      </c>
      <c r="D1064" s="14">
        <f t="shared" si="499"/>
        <v>2.6283369587845051E-3</v>
      </c>
      <c r="E1064" s="16">
        <f t="shared" si="500"/>
        <v>0</v>
      </c>
      <c r="F1064" s="127"/>
      <c r="G1064" s="88">
        <f t="shared" si="501"/>
        <v>0</v>
      </c>
      <c r="H1064" s="89">
        <f t="shared" si="515"/>
        <v>4.1666666666666666E-3</v>
      </c>
      <c r="I1064" s="219"/>
      <c r="J1064" s="219"/>
      <c r="K1064" s="6">
        <f t="shared" si="523"/>
        <v>0</v>
      </c>
      <c r="M1064" s="6">
        <f t="shared" si="502"/>
        <v>0</v>
      </c>
      <c r="N1064" s="6">
        <f t="shared" si="503"/>
        <v>0</v>
      </c>
      <c r="O1064" s="90">
        <f t="shared" si="504"/>
        <v>0</v>
      </c>
      <c r="P1064" s="91">
        <f t="shared" si="505"/>
        <v>0</v>
      </c>
      <c r="Q1064" s="6">
        <f t="shared" si="506"/>
        <v>0</v>
      </c>
      <c r="R1064" s="87">
        <f t="shared" si="525"/>
        <v>0</v>
      </c>
      <c r="S1064" s="6">
        <f t="shared" si="507"/>
        <v>0</v>
      </c>
      <c r="T1064" s="83">
        <f t="shared" si="516"/>
        <v>0</v>
      </c>
      <c r="U1064" s="91">
        <f t="shared" si="522"/>
        <v>0</v>
      </c>
      <c r="V1064" s="91">
        <f t="shared" si="517"/>
        <v>0</v>
      </c>
      <c r="W1064" s="1">
        <f t="shared" si="530"/>
        <v>0</v>
      </c>
      <c r="X1064" s="1">
        <f t="shared" si="530"/>
        <v>0</v>
      </c>
      <c r="Y1064" s="1">
        <f t="shared" si="530"/>
        <v>0</v>
      </c>
      <c r="Z1064" s="1">
        <f t="shared" si="530"/>
        <v>0</v>
      </c>
      <c r="AA1064" s="1">
        <f t="shared" si="530"/>
        <v>0</v>
      </c>
      <c r="AB1064" s="1">
        <f t="shared" si="530"/>
        <v>0</v>
      </c>
      <c r="AC1064" s="1">
        <f t="shared" si="530"/>
        <v>0</v>
      </c>
      <c r="AD1064" s="1">
        <f t="shared" si="530"/>
        <v>0</v>
      </c>
      <c r="AE1064" s="1">
        <f t="shared" si="530"/>
        <v>0</v>
      </c>
      <c r="AF1064" s="1">
        <f t="shared" si="530"/>
        <v>0</v>
      </c>
      <c r="AG1064" s="1">
        <f t="shared" si="530"/>
        <v>1</v>
      </c>
      <c r="AH1064" s="1">
        <f t="shared" si="530"/>
        <v>1</v>
      </c>
      <c r="AI1064" s="44">
        <f t="shared" si="518"/>
        <v>0</v>
      </c>
      <c r="AJ1064" s="44">
        <f t="shared" si="509"/>
        <v>0</v>
      </c>
      <c r="AK1064" s="44">
        <f t="shared" si="526"/>
        <v>0</v>
      </c>
      <c r="AL1064" s="4">
        <f t="shared" si="510"/>
        <v>374</v>
      </c>
      <c r="AM1064" s="82">
        <f t="shared" si="519"/>
        <v>0</v>
      </c>
      <c r="AN1064" s="82">
        <f t="shared" si="511"/>
        <v>0</v>
      </c>
      <c r="AO1064" s="48">
        <v>0</v>
      </c>
      <c r="AP1064" s="91">
        <f t="shared" si="520"/>
        <v>0</v>
      </c>
      <c r="AQ1064" s="91">
        <f t="shared" si="521"/>
        <v>0</v>
      </c>
    </row>
    <row r="1065" spans="1:43">
      <c r="A1065" s="190">
        <f t="shared" si="512"/>
        <v>96.970910335386719</v>
      </c>
      <c r="B1065" s="82">
        <f t="shared" si="513"/>
        <v>32</v>
      </c>
      <c r="C1065" s="83">
        <f t="shared" si="514"/>
        <v>375</v>
      </c>
      <c r="D1065" s="14">
        <f t="shared" si="499"/>
        <v>2.6283369587845051E-3</v>
      </c>
      <c r="E1065" s="16">
        <f t="shared" si="500"/>
        <v>0</v>
      </c>
      <c r="F1065" s="127"/>
      <c r="G1065" s="88">
        <f t="shared" si="501"/>
        <v>0</v>
      </c>
      <c r="H1065" s="89">
        <f t="shared" si="515"/>
        <v>4.1666666666666666E-3</v>
      </c>
      <c r="I1065" s="219"/>
      <c r="J1065" s="219"/>
      <c r="K1065" s="6">
        <f t="shared" si="523"/>
        <v>0</v>
      </c>
      <c r="M1065" s="6">
        <f t="shared" si="502"/>
        <v>0</v>
      </c>
      <c r="N1065" s="6">
        <f t="shared" si="503"/>
        <v>0</v>
      </c>
      <c r="O1065" s="90">
        <f t="shared" si="504"/>
        <v>0</v>
      </c>
      <c r="P1065" s="91">
        <f t="shared" si="505"/>
        <v>0</v>
      </c>
      <c r="Q1065" s="6">
        <f t="shared" si="506"/>
        <v>0</v>
      </c>
      <c r="R1065" s="87">
        <f t="shared" si="525"/>
        <v>0</v>
      </c>
      <c r="S1065" s="6">
        <f t="shared" si="507"/>
        <v>0</v>
      </c>
      <c r="T1065" s="83">
        <f t="shared" si="516"/>
        <v>0</v>
      </c>
      <c r="U1065" s="91">
        <f t="shared" si="522"/>
        <v>0</v>
      </c>
      <c r="V1065" s="91">
        <f t="shared" si="517"/>
        <v>0</v>
      </c>
      <c r="W1065" s="1">
        <f t="shared" si="530"/>
        <v>0</v>
      </c>
      <c r="X1065" s="1">
        <f t="shared" si="530"/>
        <v>0</v>
      </c>
      <c r="Y1065" s="1">
        <f t="shared" si="530"/>
        <v>0</v>
      </c>
      <c r="Z1065" s="1">
        <f t="shared" si="530"/>
        <v>0</v>
      </c>
      <c r="AA1065" s="1">
        <f t="shared" si="530"/>
        <v>0</v>
      </c>
      <c r="AB1065" s="1">
        <f t="shared" si="530"/>
        <v>0</v>
      </c>
      <c r="AC1065" s="1">
        <f t="shared" si="530"/>
        <v>0</v>
      </c>
      <c r="AD1065" s="1">
        <f t="shared" si="530"/>
        <v>0</v>
      </c>
      <c r="AE1065" s="1">
        <f t="shared" si="530"/>
        <v>0</v>
      </c>
      <c r="AF1065" s="1">
        <f t="shared" si="530"/>
        <v>0</v>
      </c>
      <c r="AG1065" s="1">
        <f t="shared" si="530"/>
        <v>1</v>
      </c>
      <c r="AH1065" s="1">
        <f t="shared" si="530"/>
        <v>1</v>
      </c>
      <c r="AI1065" s="44">
        <f t="shared" si="518"/>
        <v>0</v>
      </c>
      <c r="AJ1065" s="44">
        <f t="shared" si="509"/>
        <v>0</v>
      </c>
      <c r="AK1065" s="44">
        <f t="shared" si="526"/>
        <v>0</v>
      </c>
      <c r="AL1065" s="4">
        <f t="shared" si="510"/>
        <v>375</v>
      </c>
      <c r="AM1065" s="82">
        <f t="shared" si="519"/>
        <v>0</v>
      </c>
      <c r="AN1065" s="82">
        <f t="shared" si="511"/>
        <v>0</v>
      </c>
      <c r="AO1065" s="48">
        <v>0</v>
      </c>
      <c r="AP1065" s="91">
        <f t="shared" si="520"/>
        <v>0</v>
      </c>
      <c r="AQ1065" s="91">
        <f t="shared" si="521"/>
        <v>0</v>
      </c>
    </row>
    <row r="1066" spans="1:43">
      <c r="A1066" s="190">
        <f t="shared" si="512"/>
        <v>97.054243668720048</v>
      </c>
      <c r="B1066" s="82">
        <f t="shared" si="513"/>
        <v>32</v>
      </c>
      <c r="C1066" s="83">
        <f t="shared" si="514"/>
        <v>376</v>
      </c>
      <c r="D1066" s="14">
        <f t="shared" si="499"/>
        <v>2.6283369587845051E-3</v>
      </c>
      <c r="E1066" s="16">
        <f t="shared" si="500"/>
        <v>0</v>
      </c>
      <c r="F1066" s="127"/>
      <c r="G1066" s="88">
        <f t="shared" si="501"/>
        <v>0</v>
      </c>
      <c r="H1066" s="89">
        <f t="shared" si="515"/>
        <v>4.1666666666666666E-3</v>
      </c>
      <c r="I1066" s="219"/>
      <c r="J1066" s="219"/>
      <c r="K1066" s="6">
        <f t="shared" si="523"/>
        <v>0</v>
      </c>
      <c r="M1066" s="6">
        <f t="shared" si="502"/>
        <v>0</v>
      </c>
      <c r="N1066" s="6">
        <f t="shared" si="503"/>
        <v>0</v>
      </c>
      <c r="O1066" s="90">
        <f t="shared" si="504"/>
        <v>0</v>
      </c>
      <c r="P1066" s="91">
        <f t="shared" si="505"/>
        <v>0</v>
      </c>
      <c r="Q1066" s="6">
        <f t="shared" si="506"/>
        <v>0</v>
      </c>
      <c r="R1066" s="87">
        <f t="shared" si="525"/>
        <v>0</v>
      </c>
      <c r="S1066" s="6">
        <f t="shared" si="507"/>
        <v>0</v>
      </c>
      <c r="T1066" s="83">
        <f t="shared" si="516"/>
        <v>0</v>
      </c>
      <c r="U1066" s="91">
        <f t="shared" si="522"/>
        <v>0</v>
      </c>
      <c r="V1066" s="91">
        <f t="shared" si="517"/>
        <v>0</v>
      </c>
      <c r="W1066" s="1">
        <f t="shared" si="530"/>
        <v>0</v>
      </c>
      <c r="X1066" s="1">
        <f t="shared" si="530"/>
        <v>0</v>
      </c>
      <c r="Y1066" s="1">
        <f t="shared" si="530"/>
        <v>0</v>
      </c>
      <c r="Z1066" s="1">
        <f t="shared" si="530"/>
        <v>0</v>
      </c>
      <c r="AA1066" s="1">
        <f t="shared" si="530"/>
        <v>0</v>
      </c>
      <c r="AB1066" s="1">
        <f t="shared" si="530"/>
        <v>0</v>
      </c>
      <c r="AC1066" s="1">
        <f t="shared" si="530"/>
        <v>0</v>
      </c>
      <c r="AD1066" s="1">
        <f t="shared" si="530"/>
        <v>0</v>
      </c>
      <c r="AE1066" s="1">
        <f t="shared" si="530"/>
        <v>0</v>
      </c>
      <c r="AF1066" s="1">
        <f t="shared" si="530"/>
        <v>0</v>
      </c>
      <c r="AG1066" s="1">
        <f t="shared" si="530"/>
        <v>1</v>
      </c>
      <c r="AH1066" s="1">
        <f t="shared" si="530"/>
        <v>1</v>
      </c>
      <c r="AI1066" s="44">
        <f t="shared" si="518"/>
        <v>0</v>
      </c>
      <c r="AJ1066" s="44">
        <f t="shared" si="509"/>
        <v>0</v>
      </c>
      <c r="AK1066" s="44">
        <f t="shared" si="526"/>
        <v>0</v>
      </c>
      <c r="AL1066" s="4">
        <f t="shared" si="510"/>
        <v>376</v>
      </c>
      <c r="AM1066" s="82">
        <f t="shared" si="519"/>
        <v>0</v>
      </c>
      <c r="AN1066" s="82">
        <f t="shared" si="511"/>
        <v>0</v>
      </c>
      <c r="AO1066" s="48">
        <v>0</v>
      </c>
      <c r="AP1066" s="91">
        <f t="shared" si="520"/>
        <v>0</v>
      </c>
      <c r="AQ1066" s="91">
        <f t="shared" si="521"/>
        <v>0</v>
      </c>
    </row>
    <row r="1067" spans="1:43">
      <c r="A1067" s="190">
        <f t="shared" si="512"/>
        <v>97.137577002053376</v>
      </c>
      <c r="B1067" s="82">
        <f t="shared" si="513"/>
        <v>32</v>
      </c>
      <c r="C1067" s="83">
        <f t="shared" si="514"/>
        <v>377</v>
      </c>
      <c r="D1067" s="14">
        <f t="shared" si="499"/>
        <v>2.6283369587845051E-3</v>
      </c>
      <c r="E1067" s="16">
        <f t="shared" si="500"/>
        <v>0</v>
      </c>
      <c r="F1067" s="127"/>
      <c r="G1067" s="88">
        <f t="shared" si="501"/>
        <v>0</v>
      </c>
      <c r="H1067" s="89">
        <f t="shared" si="515"/>
        <v>4.1666666666666666E-3</v>
      </c>
      <c r="I1067" s="219"/>
      <c r="J1067" s="219"/>
      <c r="K1067" s="6">
        <f t="shared" si="523"/>
        <v>0</v>
      </c>
      <c r="M1067" s="6">
        <f t="shared" si="502"/>
        <v>0</v>
      </c>
      <c r="N1067" s="6">
        <f t="shared" si="503"/>
        <v>0</v>
      </c>
      <c r="O1067" s="90">
        <f t="shared" si="504"/>
        <v>0</v>
      </c>
      <c r="P1067" s="91">
        <f t="shared" si="505"/>
        <v>0</v>
      </c>
      <c r="Q1067" s="6">
        <f t="shared" si="506"/>
        <v>0</v>
      </c>
      <c r="R1067" s="87">
        <f t="shared" si="525"/>
        <v>0</v>
      </c>
      <c r="S1067" s="6">
        <f t="shared" si="507"/>
        <v>0</v>
      </c>
      <c r="T1067" s="83">
        <f t="shared" si="516"/>
        <v>0</v>
      </c>
      <c r="U1067" s="91">
        <f t="shared" si="522"/>
        <v>0</v>
      </c>
      <c r="V1067" s="91">
        <f t="shared" si="517"/>
        <v>0</v>
      </c>
      <c r="W1067" s="1">
        <f t="shared" si="530"/>
        <v>0</v>
      </c>
      <c r="X1067" s="1">
        <f t="shared" si="530"/>
        <v>0</v>
      </c>
      <c r="Y1067" s="1">
        <f t="shared" si="530"/>
        <v>0</v>
      </c>
      <c r="Z1067" s="1">
        <f t="shared" si="530"/>
        <v>0</v>
      </c>
      <c r="AA1067" s="1">
        <f t="shared" si="530"/>
        <v>0</v>
      </c>
      <c r="AB1067" s="1">
        <f t="shared" si="530"/>
        <v>0</v>
      </c>
      <c r="AC1067" s="1">
        <f t="shared" si="530"/>
        <v>0</v>
      </c>
      <c r="AD1067" s="1">
        <f t="shared" si="530"/>
        <v>0</v>
      </c>
      <c r="AE1067" s="1">
        <f t="shared" si="530"/>
        <v>0</v>
      </c>
      <c r="AF1067" s="1">
        <f t="shared" si="530"/>
        <v>0</v>
      </c>
      <c r="AG1067" s="1">
        <f t="shared" si="530"/>
        <v>1</v>
      </c>
      <c r="AH1067" s="1">
        <f t="shared" si="530"/>
        <v>1</v>
      </c>
      <c r="AI1067" s="44">
        <f t="shared" si="518"/>
        <v>0</v>
      </c>
      <c r="AJ1067" s="44">
        <f t="shared" si="509"/>
        <v>0</v>
      </c>
      <c r="AK1067" s="44">
        <f t="shared" si="526"/>
        <v>0</v>
      </c>
      <c r="AL1067" s="4">
        <f t="shared" si="510"/>
        <v>377</v>
      </c>
      <c r="AM1067" s="82">
        <f t="shared" si="519"/>
        <v>0</v>
      </c>
      <c r="AN1067" s="82">
        <f t="shared" si="511"/>
        <v>0</v>
      </c>
      <c r="AO1067" s="48">
        <v>0</v>
      </c>
      <c r="AP1067" s="91">
        <f t="shared" si="520"/>
        <v>0</v>
      </c>
      <c r="AQ1067" s="91">
        <f t="shared" si="521"/>
        <v>0</v>
      </c>
    </row>
    <row r="1068" spans="1:43">
      <c r="A1068" s="190">
        <f t="shared" si="512"/>
        <v>97.220910335386719</v>
      </c>
      <c r="B1068" s="82">
        <f t="shared" si="513"/>
        <v>32</v>
      </c>
      <c r="C1068" s="83">
        <f t="shared" si="514"/>
        <v>378</v>
      </c>
      <c r="D1068" s="14">
        <f t="shared" si="499"/>
        <v>2.6283369587845051E-3</v>
      </c>
      <c r="E1068" s="16">
        <f t="shared" si="500"/>
        <v>0</v>
      </c>
      <c r="F1068" s="127"/>
      <c r="G1068" s="88">
        <f t="shared" si="501"/>
        <v>0</v>
      </c>
      <c r="H1068" s="89">
        <f t="shared" si="515"/>
        <v>4.1666666666666666E-3</v>
      </c>
      <c r="I1068" s="219"/>
      <c r="J1068" s="219"/>
      <c r="K1068" s="6">
        <f t="shared" si="523"/>
        <v>0</v>
      </c>
      <c r="M1068" s="6">
        <f t="shared" si="502"/>
        <v>0</v>
      </c>
      <c r="N1068" s="6">
        <f t="shared" si="503"/>
        <v>0</v>
      </c>
      <c r="O1068" s="90">
        <f t="shared" si="504"/>
        <v>0</v>
      </c>
      <c r="P1068" s="91">
        <f t="shared" si="505"/>
        <v>0</v>
      </c>
      <c r="Q1068" s="6">
        <f t="shared" si="506"/>
        <v>0</v>
      </c>
      <c r="R1068" s="87">
        <f t="shared" si="525"/>
        <v>0</v>
      </c>
      <c r="S1068" s="6">
        <f t="shared" si="507"/>
        <v>0</v>
      </c>
      <c r="T1068" s="83">
        <f t="shared" si="516"/>
        <v>0</v>
      </c>
      <c r="U1068" s="91">
        <f t="shared" si="522"/>
        <v>0</v>
      </c>
      <c r="V1068" s="91">
        <f t="shared" si="517"/>
        <v>0</v>
      </c>
      <c r="W1068" s="1">
        <f t="shared" si="530"/>
        <v>0</v>
      </c>
      <c r="X1068" s="1">
        <f t="shared" si="530"/>
        <v>0</v>
      </c>
      <c r="Y1068" s="1">
        <f t="shared" si="530"/>
        <v>0</v>
      </c>
      <c r="Z1068" s="1">
        <f t="shared" si="530"/>
        <v>0</v>
      </c>
      <c r="AA1068" s="1">
        <f t="shared" si="530"/>
        <v>0</v>
      </c>
      <c r="AB1068" s="1">
        <f t="shared" si="530"/>
        <v>0</v>
      </c>
      <c r="AC1068" s="1">
        <f t="shared" si="530"/>
        <v>0</v>
      </c>
      <c r="AD1068" s="1">
        <f t="shared" si="530"/>
        <v>0</v>
      </c>
      <c r="AE1068" s="1">
        <f t="shared" si="530"/>
        <v>0</v>
      </c>
      <c r="AF1068" s="1">
        <f t="shared" si="530"/>
        <v>0</v>
      </c>
      <c r="AG1068" s="1">
        <f t="shared" si="530"/>
        <v>1</v>
      </c>
      <c r="AH1068" s="1">
        <f t="shared" si="530"/>
        <v>1</v>
      </c>
      <c r="AI1068" s="44">
        <f t="shared" si="518"/>
        <v>0</v>
      </c>
      <c r="AJ1068" s="44">
        <f t="shared" si="509"/>
        <v>0</v>
      </c>
      <c r="AK1068" s="44">
        <f t="shared" si="526"/>
        <v>0</v>
      </c>
      <c r="AL1068" s="4">
        <f t="shared" si="510"/>
        <v>378</v>
      </c>
      <c r="AM1068" s="82">
        <f t="shared" si="519"/>
        <v>0</v>
      </c>
      <c r="AN1068" s="82">
        <f t="shared" si="511"/>
        <v>0</v>
      </c>
      <c r="AO1068" s="48">
        <v>0</v>
      </c>
      <c r="AP1068" s="91">
        <f t="shared" si="520"/>
        <v>0</v>
      </c>
      <c r="AQ1068" s="91">
        <f t="shared" si="521"/>
        <v>0</v>
      </c>
    </row>
    <row r="1069" spans="1:43">
      <c r="A1069" s="190">
        <f t="shared" si="512"/>
        <v>97.304243668720048</v>
      </c>
      <c r="B1069" s="82">
        <f t="shared" si="513"/>
        <v>32</v>
      </c>
      <c r="C1069" s="83">
        <f t="shared" si="514"/>
        <v>379</v>
      </c>
      <c r="D1069" s="14">
        <f t="shared" si="499"/>
        <v>2.6283369587845051E-3</v>
      </c>
      <c r="E1069" s="16">
        <f t="shared" si="500"/>
        <v>0</v>
      </c>
      <c r="F1069" s="127"/>
      <c r="G1069" s="88">
        <f t="shared" si="501"/>
        <v>0</v>
      </c>
      <c r="H1069" s="89">
        <f t="shared" si="515"/>
        <v>4.1666666666666666E-3</v>
      </c>
      <c r="I1069" s="219"/>
      <c r="J1069" s="219"/>
      <c r="K1069" s="6">
        <f t="shared" si="523"/>
        <v>0</v>
      </c>
      <c r="M1069" s="6">
        <f t="shared" si="502"/>
        <v>0</v>
      </c>
      <c r="N1069" s="6">
        <f t="shared" si="503"/>
        <v>0</v>
      </c>
      <c r="O1069" s="90">
        <f t="shared" si="504"/>
        <v>0</v>
      </c>
      <c r="P1069" s="91">
        <f t="shared" si="505"/>
        <v>0</v>
      </c>
      <c r="Q1069" s="6">
        <f t="shared" si="506"/>
        <v>0</v>
      </c>
      <c r="R1069" s="87">
        <f t="shared" si="525"/>
        <v>0</v>
      </c>
      <c r="S1069" s="6">
        <f t="shared" si="507"/>
        <v>0</v>
      </c>
      <c r="T1069" s="83">
        <f t="shared" si="516"/>
        <v>0</v>
      </c>
      <c r="U1069" s="91">
        <f t="shared" si="522"/>
        <v>0</v>
      </c>
      <c r="V1069" s="91">
        <f t="shared" si="517"/>
        <v>0</v>
      </c>
      <c r="W1069" s="1">
        <f t="shared" si="530"/>
        <v>0</v>
      </c>
      <c r="X1069" s="1">
        <f t="shared" si="530"/>
        <v>0</v>
      </c>
      <c r="Y1069" s="1">
        <f t="shared" si="530"/>
        <v>0</v>
      </c>
      <c r="Z1069" s="1">
        <f t="shared" si="530"/>
        <v>0</v>
      </c>
      <c r="AA1069" s="1">
        <f t="shared" si="530"/>
        <v>0</v>
      </c>
      <c r="AB1069" s="1">
        <f t="shared" si="530"/>
        <v>0</v>
      </c>
      <c r="AC1069" s="1">
        <f t="shared" si="530"/>
        <v>0</v>
      </c>
      <c r="AD1069" s="1">
        <f t="shared" si="530"/>
        <v>0</v>
      </c>
      <c r="AE1069" s="1">
        <f t="shared" si="530"/>
        <v>0</v>
      </c>
      <c r="AF1069" s="1">
        <f t="shared" si="530"/>
        <v>0</v>
      </c>
      <c r="AG1069" s="1">
        <f t="shared" si="530"/>
        <v>1</v>
      </c>
      <c r="AH1069" s="1">
        <f t="shared" si="530"/>
        <v>1</v>
      </c>
      <c r="AI1069" s="44">
        <f t="shared" si="518"/>
        <v>0</v>
      </c>
      <c r="AJ1069" s="44">
        <f t="shared" si="509"/>
        <v>0</v>
      </c>
      <c r="AK1069" s="44">
        <f t="shared" si="526"/>
        <v>0</v>
      </c>
      <c r="AL1069" s="4">
        <f t="shared" si="510"/>
        <v>379</v>
      </c>
      <c r="AM1069" s="82">
        <f t="shared" si="519"/>
        <v>0</v>
      </c>
      <c r="AN1069" s="82">
        <f t="shared" si="511"/>
        <v>0</v>
      </c>
      <c r="AO1069" s="48">
        <v>0</v>
      </c>
      <c r="AP1069" s="91">
        <f t="shared" si="520"/>
        <v>0</v>
      </c>
      <c r="AQ1069" s="91">
        <f t="shared" si="521"/>
        <v>0</v>
      </c>
    </row>
    <row r="1070" spans="1:43">
      <c r="A1070" s="190">
        <f t="shared" si="512"/>
        <v>97.387577002053376</v>
      </c>
      <c r="B1070" s="82">
        <f t="shared" si="513"/>
        <v>32</v>
      </c>
      <c r="C1070" s="83">
        <f t="shared" si="514"/>
        <v>380</v>
      </c>
      <c r="D1070" s="14">
        <f t="shared" si="499"/>
        <v>2.6283369587845051E-3</v>
      </c>
      <c r="E1070" s="16">
        <f t="shared" si="500"/>
        <v>0</v>
      </c>
      <c r="F1070" s="127"/>
      <c r="G1070" s="88">
        <f t="shared" si="501"/>
        <v>0</v>
      </c>
      <c r="H1070" s="89">
        <f t="shared" si="515"/>
        <v>4.1666666666666666E-3</v>
      </c>
      <c r="I1070" s="219"/>
      <c r="J1070" s="219"/>
      <c r="K1070" s="6">
        <f t="shared" si="523"/>
        <v>0</v>
      </c>
      <c r="M1070" s="6">
        <f t="shared" si="502"/>
        <v>0</v>
      </c>
      <c r="N1070" s="6">
        <f t="shared" si="503"/>
        <v>0</v>
      </c>
      <c r="O1070" s="90">
        <f t="shared" si="504"/>
        <v>0</v>
      </c>
      <c r="P1070" s="91">
        <f t="shared" si="505"/>
        <v>0</v>
      </c>
      <c r="Q1070" s="6">
        <f t="shared" si="506"/>
        <v>0</v>
      </c>
      <c r="R1070" s="87">
        <f t="shared" si="525"/>
        <v>0</v>
      </c>
      <c r="S1070" s="6">
        <f t="shared" si="507"/>
        <v>0</v>
      </c>
      <c r="T1070" s="83">
        <f t="shared" si="516"/>
        <v>0</v>
      </c>
      <c r="U1070" s="91">
        <f t="shared" si="522"/>
        <v>0</v>
      </c>
      <c r="V1070" s="91">
        <f t="shared" si="517"/>
        <v>0</v>
      </c>
      <c r="W1070" s="1">
        <f t="shared" si="530"/>
        <v>0</v>
      </c>
      <c r="X1070" s="1">
        <f t="shared" si="530"/>
        <v>0</v>
      </c>
      <c r="Y1070" s="1">
        <f t="shared" si="530"/>
        <v>0</v>
      </c>
      <c r="Z1070" s="1">
        <f t="shared" si="530"/>
        <v>0</v>
      </c>
      <c r="AA1070" s="1">
        <f t="shared" si="530"/>
        <v>0</v>
      </c>
      <c r="AB1070" s="1">
        <f t="shared" si="530"/>
        <v>0</v>
      </c>
      <c r="AC1070" s="1">
        <f t="shared" si="530"/>
        <v>0</v>
      </c>
      <c r="AD1070" s="1">
        <f t="shared" si="530"/>
        <v>0</v>
      </c>
      <c r="AE1070" s="1">
        <f t="shared" si="530"/>
        <v>0</v>
      </c>
      <c r="AF1070" s="1">
        <f t="shared" si="530"/>
        <v>0</v>
      </c>
      <c r="AG1070" s="1">
        <f t="shared" si="530"/>
        <v>1</v>
      </c>
      <c r="AH1070" s="1">
        <f t="shared" si="530"/>
        <v>1</v>
      </c>
      <c r="AI1070" s="44">
        <f t="shared" si="518"/>
        <v>0</v>
      </c>
      <c r="AJ1070" s="44">
        <f t="shared" si="509"/>
        <v>0</v>
      </c>
      <c r="AK1070" s="44">
        <f t="shared" si="526"/>
        <v>0</v>
      </c>
      <c r="AL1070" s="4">
        <f t="shared" si="510"/>
        <v>380</v>
      </c>
      <c r="AM1070" s="82">
        <f t="shared" si="519"/>
        <v>0</v>
      </c>
      <c r="AN1070" s="82">
        <f t="shared" si="511"/>
        <v>0</v>
      </c>
      <c r="AO1070" s="48">
        <v>0</v>
      </c>
      <c r="AP1070" s="91">
        <f t="shared" si="520"/>
        <v>0</v>
      </c>
      <c r="AQ1070" s="91">
        <f t="shared" si="521"/>
        <v>0</v>
      </c>
    </row>
    <row r="1071" spans="1:43">
      <c r="A1071" s="190">
        <f t="shared" si="512"/>
        <v>97.470910335386719</v>
      </c>
      <c r="B1071" s="82">
        <f t="shared" si="513"/>
        <v>32</v>
      </c>
      <c r="C1071" s="83">
        <f t="shared" si="514"/>
        <v>381</v>
      </c>
      <c r="D1071" s="14">
        <f t="shared" si="499"/>
        <v>2.6283369587845051E-3</v>
      </c>
      <c r="E1071" s="16">
        <f t="shared" si="500"/>
        <v>0</v>
      </c>
      <c r="F1071" s="127"/>
      <c r="G1071" s="88">
        <f t="shared" si="501"/>
        <v>0</v>
      </c>
      <c r="H1071" s="89">
        <f t="shared" si="515"/>
        <v>4.1666666666666666E-3</v>
      </c>
      <c r="I1071" s="219"/>
      <c r="J1071" s="219"/>
      <c r="K1071" s="6">
        <f t="shared" si="523"/>
        <v>0</v>
      </c>
      <c r="M1071" s="6">
        <f t="shared" si="502"/>
        <v>0</v>
      </c>
      <c r="N1071" s="6">
        <f t="shared" si="503"/>
        <v>0</v>
      </c>
      <c r="O1071" s="90">
        <f t="shared" si="504"/>
        <v>0</v>
      </c>
      <c r="P1071" s="91">
        <f t="shared" si="505"/>
        <v>0</v>
      </c>
      <c r="Q1071" s="6">
        <f t="shared" si="506"/>
        <v>0</v>
      </c>
      <c r="R1071" s="87">
        <f t="shared" si="525"/>
        <v>0</v>
      </c>
      <c r="S1071" s="6">
        <f t="shared" si="507"/>
        <v>0</v>
      </c>
      <c r="T1071" s="83">
        <f t="shared" si="516"/>
        <v>0</v>
      </c>
      <c r="U1071" s="91">
        <f t="shared" si="522"/>
        <v>0</v>
      </c>
      <c r="V1071" s="91">
        <f t="shared" si="517"/>
        <v>0</v>
      </c>
      <c r="W1071" s="1">
        <f t="shared" ref="W1071:AH1080" si="531">IF($B1071&lt;=W$78,1,0)</f>
        <v>0</v>
      </c>
      <c r="X1071" s="1">
        <f t="shared" si="531"/>
        <v>0</v>
      </c>
      <c r="Y1071" s="1">
        <f t="shared" si="531"/>
        <v>0</v>
      </c>
      <c r="Z1071" s="1">
        <f t="shared" si="531"/>
        <v>0</v>
      </c>
      <c r="AA1071" s="1">
        <f t="shared" si="531"/>
        <v>0</v>
      </c>
      <c r="AB1071" s="1">
        <f t="shared" si="531"/>
        <v>0</v>
      </c>
      <c r="AC1071" s="1">
        <f t="shared" si="531"/>
        <v>0</v>
      </c>
      <c r="AD1071" s="1">
        <f t="shared" si="531"/>
        <v>0</v>
      </c>
      <c r="AE1071" s="1">
        <f t="shared" si="531"/>
        <v>0</v>
      </c>
      <c r="AF1071" s="1">
        <f t="shared" si="531"/>
        <v>0</v>
      </c>
      <c r="AG1071" s="1">
        <f t="shared" si="531"/>
        <v>1</v>
      </c>
      <c r="AH1071" s="1">
        <f t="shared" si="531"/>
        <v>1</v>
      </c>
      <c r="AI1071" s="44">
        <f t="shared" si="518"/>
        <v>0</v>
      </c>
      <c r="AJ1071" s="44">
        <f t="shared" si="509"/>
        <v>0</v>
      </c>
      <c r="AK1071" s="44">
        <f t="shared" si="526"/>
        <v>0</v>
      </c>
      <c r="AL1071" s="4">
        <f t="shared" si="510"/>
        <v>381</v>
      </c>
      <c r="AM1071" s="82">
        <f t="shared" si="519"/>
        <v>0</v>
      </c>
      <c r="AN1071" s="82">
        <f t="shared" si="511"/>
        <v>0</v>
      </c>
      <c r="AO1071" s="48">
        <v>0</v>
      </c>
      <c r="AP1071" s="91">
        <f t="shared" si="520"/>
        <v>0</v>
      </c>
      <c r="AQ1071" s="91">
        <f t="shared" si="521"/>
        <v>0</v>
      </c>
    </row>
    <row r="1072" spans="1:43">
      <c r="A1072" s="190">
        <f t="shared" si="512"/>
        <v>97.554243668720048</v>
      </c>
      <c r="B1072" s="82">
        <f t="shared" si="513"/>
        <v>32</v>
      </c>
      <c r="C1072" s="83">
        <f t="shared" si="514"/>
        <v>382</v>
      </c>
      <c r="D1072" s="14">
        <f t="shared" si="499"/>
        <v>2.6283369587845051E-3</v>
      </c>
      <c r="E1072" s="16">
        <f t="shared" si="500"/>
        <v>0</v>
      </c>
      <c r="F1072" s="127"/>
      <c r="G1072" s="88">
        <f t="shared" si="501"/>
        <v>0</v>
      </c>
      <c r="H1072" s="89">
        <f t="shared" si="515"/>
        <v>4.1666666666666666E-3</v>
      </c>
      <c r="I1072" s="219"/>
      <c r="J1072" s="219"/>
      <c r="K1072" s="6">
        <f t="shared" si="523"/>
        <v>0</v>
      </c>
      <c r="M1072" s="6">
        <f t="shared" si="502"/>
        <v>0</v>
      </c>
      <c r="N1072" s="6">
        <f t="shared" si="503"/>
        <v>0</v>
      </c>
      <c r="O1072" s="90">
        <f t="shared" si="504"/>
        <v>0</v>
      </c>
      <c r="P1072" s="91">
        <f t="shared" si="505"/>
        <v>0</v>
      </c>
      <c r="Q1072" s="6">
        <f t="shared" si="506"/>
        <v>0</v>
      </c>
      <c r="R1072" s="87">
        <f t="shared" si="525"/>
        <v>0</v>
      </c>
      <c r="S1072" s="6">
        <f t="shared" si="507"/>
        <v>0</v>
      </c>
      <c r="T1072" s="83">
        <f t="shared" si="516"/>
        <v>0</v>
      </c>
      <c r="U1072" s="91">
        <f t="shared" si="522"/>
        <v>0</v>
      </c>
      <c r="V1072" s="91">
        <f t="shared" si="517"/>
        <v>0</v>
      </c>
      <c r="W1072" s="1">
        <f t="shared" si="531"/>
        <v>0</v>
      </c>
      <c r="X1072" s="1">
        <f t="shared" si="531"/>
        <v>0</v>
      </c>
      <c r="Y1072" s="1">
        <f t="shared" si="531"/>
        <v>0</v>
      </c>
      <c r="Z1072" s="1">
        <f t="shared" si="531"/>
        <v>0</v>
      </c>
      <c r="AA1072" s="1">
        <f t="shared" si="531"/>
        <v>0</v>
      </c>
      <c r="AB1072" s="1">
        <f t="shared" si="531"/>
        <v>0</v>
      </c>
      <c r="AC1072" s="1">
        <f t="shared" si="531"/>
        <v>0</v>
      </c>
      <c r="AD1072" s="1">
        <f t="shared" si="531"/>
        <v>0</v>
      </c>
      <c r="AE1072" s="1">
        <f t="shared" si="531"/>
        <v>0</v>
      </c>
      <c r="AF1072" s="1">
        <f t="shared" si="531"/>
        <v>0</v>
      </c>
      <c r="AG1072" s="1">
        <f t="shared" si="531"/>
        <v>1</v>
      </c>
      <c r="AH1072" s="1">
        <f t="shared" si="531"/>
        <v>1</v>
      </c>
      <c r="AI1072" s="44">
        <f t="shared" si="518"/>
        <v>0</v>
      </c>
      <c r="AJ1072" s="44">
        <f t="shared" si="509"/>
        <v>0</v>
      </c>
      <c r="AK1072" s="44">
        <f t="shared" si="526"/>
        <v>0</v>
      </c>
      <c r="AL1072" s="4">
        <f t="shared" si="510"/>
        <v>382</v>
      </c>
      <c r="AM1072" s="82">
        <f t="shared" si="519"/>
        <v>0</v>
      </c>
      <c r="AN1072" s="82">
        <f t="shared" si="511"/>
        <v>0</v>
      </c>
      <c r="AO1072" s="48">
        <v>0</v>
      </c>
      <c r="AP1072" s="91">
        <f t="shared" si="520"/>
        <v>0</v>
      </c>
      <c r="AQ1072" s="91">
        <f t="shared" si="521"/>
        <v>0</v>
      </c>
    </row>
    <row r="1073" spans="1:43">
      <c r="A1073" s="190">
        <f t="shared" si="512"/>
        <v>97.637577002053376</v>
      </c>
      <c r="B1073" s="82">
        <f t="shared" si="513"/>
        <v>32</v>
      </c>
      <c r="C1073" s="83">
        <f t="shared" si="514"/>
        <v>383</v>
      </c>
      <c r="D1073" s="14">
        <f t="shared" si="499"/>
        <v>2.6283369587845051E-3</v>
      </c>
      <c r="E1073" s="16">
        <f t="shared" si="500"/>
        <v>0</v>
      </c>
      <c r="F1073" s="127"/>
      <c r="G1073" s="88">
        <f t="shared" si="501"/>
        <v>0</v>
      </c>
      <c r="H1073" s="89">
        <f t="shared" si="515"/>
        <v>4.1666666666666666E-3</v>
      </c>
      <c r="I1073" s="219"/>
      <c r="J1073" s="219"/>
      <c r="K1073" s="6">
        <f t="shared" si="523"/>
        <v>0</v>
      </c>
      <c r="M1073" s="6">
        <f t="shared" si="502"/>
        <v>0</v>
      </c>
      <c r="N1073" s="6">
        <f t="shared" si="503"/>
        <v>0</v>
      </c>
      <c r="O1073" s="90">
        <f t="shared" si="504"/>
        <v>0</v>
      </c>
      <c r="P1073" s="91">
        <f t="shared" si="505"/>
        <v>0</v>
      </c>
      <c r="Q1073" s="6">
        <f t="shared" si="506"/>
        <v>0</v>
      </c>
      <c r="R1073" s="87">
        <f t="shared" si="525"/>
        <v>0</v>
      </c>
      <c r="S1073" s="6">
        <f t="shared" si="507"/>
        <v>0</v>
      </c>
      <c r="T1073" s="83">
        <f t="shared" si="516"/>
        <v>0</v>
      </c>
      <c r="U1073" s="91">
        <f t="shared" si="522"/>
        <v>0</v>
      </c>
      <c r="V1073" s="91">
        <f t="shared" si="517"/>
        <v>0</v>
      </c>
      <c r="W1073" s="1">
        <f t="shared" si="531"/>
        <v>0</v>
      </c>
      <c r="X1073" s="1">
        <f t="shared" si="531"/>
        <v>0</v>
      </c>
      <c r="Y1073" s="1">
        <f t="shared" si="531"/>
        <v>0</v>
      </c>
      <c r="Z1073" s="1">
        <f t="shared" si="531"/>
        <v>0</v>
      </c>
      <c r="AA1073" s="1">
        <f t="shared" si="531"/>
        <v>0</v>
      </c>
      <c r="AB1073" s="1">
        <f t="shared" si="531"/>
        <v>0</v>
      </c>
      <c r="AC1073" s="1">
        <f t="shared" si="531"/>
        <v>0</v>
      </c>
      <c r="AD1073" s="1">
        <f t="shared" si="531"/>
        <v>0</v>
      </c>
      <c r="AE1073" s="1">
        <f t="shared" si="531"/>
        <v>0</v>
      </c>
      <c r="AF1073" s="1">
        <f t="shared" si="531"/>
        <v>0</v>
      </c>
      <c r="AG1073" s="1">
        <f t="shared" si="531"/>
        <v>1</v>
      </c>
      <c r="AH1073" s="1">
        <f t="shared" si="531"/>
        <v>1</v>
      </c>
      <c r="AI1073" s="44">
        <f t="shared" si="518"/>
        <v>0</v>
      </c>
      <c r="AJ1073" s="44">
        <f t="shared" si="509"/>
        <v>0</v>
      </c>
      <c r="AK1073" s="44">
        <f t="shared" si="526"/>
        <v>0</v>
      </c>
      <c r="AL1073" s="4">
        <f t="shared" si="510"/>
        <v>383</v>
      </c>
      <c r="AM1073" s="82">
        <f t="shared" si="519"/>
        <v>0</v>
      </c>
      <c r="AN1073" s="82">
        <f t="shared" si="511"/>
        <v>0</v>
      </c>
      <c r="AO1073" s="48">
        <v>0</v>
      </c>
      <c r="AP1073" s="91">
        <f t="shared" si="520"/>
        <v>0</v>
      </c>
      <c r="AQ1073" s="91">
        <f t="shared" si="521"/>
        <v>0</v>
      </c>
    </row>
    <row r="1074" spans="1:43">
      <c r="A1074" s="190">
        <f t="shared" si="512"/>
        <v>97.720910335386719</v>
      </c>
      <c r="B1074" s="82">
        <f t="shared" si="513"/>
        <v>32</v>
      </c>
      <c r="C1074" s="83">
        <f t="shared" si="514"/>
        <v>384</v>
      </c>
      <c r="D1074" s="14">
        <f t="shared" si="499"/>
        <v>2.6283369587845051E-3</v>
      </c>
      <c r="E1074" s="16">
        <f t="shared" si="500"/>
        <v>0</v>
      </c>
      <c r="F1074" s="127"/>
      <c r="G1074" s="88">
        <f t="shared" si="501"/>
        <v>0</v>
      </c>
      <c r="H1074" s="89">
        <f t="shared" si="515"/>
        <v>4.1666666666666666E-3</v>
      </c>
      <c r="I1074" s="219"/>
      <c r="J1074" s="219"/>
      <c r="K1074" s="6">
        <f t="shared" si="523"/>
        <v>0</v>
      </c>
      <c r="M1074" s="6">
        <f t="shared" si="502"/>
        <v>0</v>
      </c>
      <c r="N1074" s="6">
        <f t="shared" si="503"/>
        <v>0</v>
      </c>
      <c r="O1074" s="90">
        <f t="shared" si="504"/>
        <v>0</v>
      </c>
      <c r="P1074" s="91">
        <f t="shared" si="505"/>
        <v>0</v>
      </c>
      <c r="Q1074" s="6">
        <f t="shared" si="506"/>
        <v>0</v>
      </c>
      <c r="R1074" s="87">
        <f t="shared" si="525"/>
        <v>0</v>
      </c>
      <c r="S1074" s="6">
        <f t="shared" si="507"/>
        <v>0</v>
      </c>
      <c r="T1074" s="83">
        <f t="shared" si="516"/>
        <v>0</v>
      </c>
      <c r="U1074" s="91">
        <f t="shared" si="522"/>
        <v>0</v>
      </c>
      <c r="V1074" s="91">
        <f t="shared" si="517"/>
        <v>0</v>
      </c>
      <c r="W1074" s="1">
        <f t="shared" si="531"/>
        <v>0</v>
      </c>
      <c r="X1074" s="1">
        <f t="shared" si="531"/>
        <v>0</v>
      </c>
      <c r="Y1074" s="1">
        <f t="shared" si="531"/>
        <v>0</v>
      </c>
      <c r="Z1074" s="1">
        <f t="shared" si="531"/>
        <v>0</v>
      </c>
      <c r="AA1074" s="1">
        <f t="shared" si="531"/>
        <v>0</v>
      </c>
      <c r="AB1074" s="1">
        <f t="shared" si="531"/>
        <v>0</v>
      </c>
      <c r="AC1074" s="1">
        <f t="shared" si="531"/>
        <v>0</v>
      </c>
      <c r="AD1074" s="1">
        <f t="shared" si="531"/>
        <v>0</v>
      </c>
      <c r="AE1074" s="1">
        <f t="shared" si="531"/>
        <v>0</v>
      </c>
      <c r="AF1074" s="1">
        <f t="shared" si="531"/>
        <v>0</v>
      </c>
      <c r="AG1074" s="1">
        <f t="shared" si="531"/>
        <v>1</v>
      </c>
      <c r="AH1074" s="1">
        <f t="shared" si="531"/>
        <v>1</v>
      </c>
      <c r="AI1074" s="44">
        <f t="shared" si="518"/>
        <v>0</v>
      </c>
      <c r="AJ1074" s="44">
        <f t="shared" si="509"/>
        <v>0</v>
      </c>
      <c r="AK1074" s="44">
        <f t="shared" si="526"/>
        <v>0</v>
      </c>
      <c r="AL1074" s="4">
        <f t="shared" si="510"/>
        <v>384</v>
      </c>
      <c r="AM1074" s="82">
        <f t="shared" si="519"/>
        <v>0</v>
      </c>
      <c r="AN1074" s="82">
        <f t="shared" si="511"/>
        <v>0</v>
      </c>
      <c r="AO1074" s="48">
        <v>0</v>
      </c>
      <c r="AP1074" s="91">
        <f t="shared" si="520"/>
        <v>0</v>
      </c>
      <c r="AQ1074" s="91">
        <f t="shared" si="521"/>
        <v>0</v>
      </c>
    </row>
    <row r="1075" spans="1:43">
      <c r="A1075" s="190">
        <f t="shared" si="512"/>
        <v>97.804243668720048</v>
      </c>
      <c r="B1075" s="82">
        <f t="shared" si="513"/>
        <v>33</v>
      </c>
      <c r="C1075" s="83">
        <f t="shared" si="514"/>
        <v>385</v>
      </c>
      <c r="D1075" s="14">
        <f t="shared" ref="D1075:D1138" si="532">Growth_Rate_2_Monthly</f>
        <v>2.6283369587845051E-3</v>
      </c>
      <c r="E1075" s="16">
        <f t="shared" ref="E1075:E1138" si="533">IF(Gtee_Flag="on",1,0)</f>
        <v>0</v>
      </c>
      <c r="F1075" s="127"/>
      <c r="G1075" s="88">
        <f t="shared" ref="G1075:G1138" si="534">IF(B1075&lt;=8,VLOOKUP(Product_Code,Product_Parameters,B1075+5,FALSE),0)</f>
        <v>0</v>
      </c>
      <c r="H1075" s="89">
        <f t="shared" si="515"/>
        <v>4.1666666666666666E-3</v>
      </c>
      <c r="I1075" s="219"/>
      <c r="J1075" s="219"/>
      <c r="K1075" s="6">
        <f t="shared" si="523"/>
        <v>0</v>
      </c>
      <c r="M1075" s="6">
        <f t="shared" ref="M1075:M1138" si="535">(K1075+L1075)*D1075</f>
        <v>0</v>
      </c>
      <c r="N1075" s="6">
        <f t="shared" ref="N1075:N1138" si="536">-(($K1075+(L1075)+M1075/2)*(External_Fund_Charge_Monthly+Fund_Charge_Monthly+Gtee_Charge_Monthly*$E1075))</f>
        <v>0</v>
      </c>
      <c r="O1075" s="90">
        <f t="shared" ref="O1075:O1138" si="537">IF(C1075&gt;=Regular_Income_Start_Month,
MIN(Regular_Income_Amount/12*(1+Income_Escalation_Rate_Annual)^($B1075-1),AJ1075),0)</f>
        <v>0</v>
      </c>
      <c r="P1075" s="91">
        <f t="shared" ref="P1075:P1138" si="538">MAX(IF(C1075&gt;=Regular_Income_Start_Month,
MIN(IF(Income_Type="Fixed Percent",$C$51,0)/12*(K1075+L1075+M1075+N1075),AJ1075),0),0)</f>
        <v>0</v>
      </c>
      <c r="Q1075" s="6">
        <f t="shared" ref="Q1075:Q1138" si="539">MAX(IF(C1075&gt;=Regular_Income_Start_Month,
MIN(H1075*(K1075+L1075+M1075+N1075),AJ1075),0),0)</f>
        <v>0</v>
      </c>
      <c r="R1075" s="87">
        <f t="shared" si="525"/>
        <v>0</v>
      </c>
      <c r="S1075" s="6">
        <f t="shared" ref="S1075:S1138" si="540">-(($K1075+I1075+M1075/2+N1075/2+R1075/2)*(Ongoing_Commission_Monthly)+(I1075)*new_upfront_commission)</f>
        <v>0</v>
      </c>
      <c r="T1075" s="83">
        <f t="shared" si="516"/>
        <v>0</v>
      </c>
      <c r="U1075" s="91">
        <f t="shared" si="522"/>
        <v>0</v>
      </c>
      <c r="V1075" s="91">
        <f t="shared" si="517"/>
        <v>0</v>
      </c>
      <c r="W1075" s="1">
        <f t="shared" si="531"/>
        <v>0</v>
      </c>
      <c r="X1075" s="1">
        <f t="shared" si="531"/>
        <v>0</v>
      </c>
      <c r="Y1075" s="1">
        <f t="shared" si="531"/>
        <v>0</v>
      </c>
      <c r="Z1075" s="1">
        <f t="shared" si="531"/>
        <v>0</v>
      </c>
      <c r="AA1075" s="1">
        <f t="shared" si="531"/>
        <v>0</v>
      </c>
      <c r="AB1075" s="1">
        <f t="shared" si="531"/>
        <v>0</v>
      </c>
      <c r="AC1075" s="1">
        <f t="shared" si="531"/>
        <v>0</v>
      </c>
      <c r="AD1075" s="1">
        <f t="shared" si="531"/>
        <v>0</v>
      </c>
      <c r="AE1075" s="1">
        <f t="shared" si="531"/>
        <v>0</v>
      </c>
      <c r="AF1075" s="1">
        <f t="shared" si="531"/>
        <v>0</v>
      </c>
      <c r="AG1075" s="1">
        <f t="shared" si="531"/>
        <v>1</v>
      </c>
      <c r="AH1075" s="1">
        <f t="shared" si="531"/>
        <v>1</v>
      </c>
      <c r="AI1075" s="44">
        <f t="shared" si="518"/>
        <v>0</v>
      </c>
      <c r="AJ1075" s="44">
        <f t="shared" ref="AJ1075:AJ1138" si="541">MAX(0,SUM(K1075:N1075)-$C$66)</f>
        <v>0</v>
      </c>
      <c r="AK1075" s="44">
        <f t="shared" si="526"/>
        <v>0</v>
      </c>
      <c r="AL1075" s="4">
        <f t="shared" ref="AL1075:AL1138" si="542">C1075</f>
        <v>385</v>
      </c>
      <c r="AM1075" s="82">
        <f t="shared" si="519"/>
        <v>0</v>
      </c>
      <c r="AN1075" s="82">
        <f t="shared" ref="AN1075:AN1138" si="543">IF(AND(B1075=Fund_Zero_Year_2,K1076=0,K1075&gt;0),-U1075,IF(AND(B1075+1=Fund_Zero_Year_2,K1076=0,K1075&gt;0),-U1075,0))</f>
        <v>0</v>
      </c>
      <c r="AO1075" s="48">
        <v>0</v>
      </c>
      <c r="AP1075" s="91">
        <f t="shared" si="520"/>
        <v>0</v>
      </c>
      <c r="AQ1075" s="91">
        <f t="shared" si="521"/>
        <v>0</v>
      </c>
    </row>
    <row r="1076" spans="1:43">
      <c r="A1076" s="190">
        <f t="shared" ref="A1076:A1139" si="544">$C$43+C1075/12</f>
        <v>97.887577002053376</v>
      </c>
      <c r="B1076" s="82">
        <f t="shared" ref="B1076:B1139" si="545">INT((C1076-1)/12)+1</f>
        <v>33</v>
      </c>
      <c r="C1076" s="83">
        <f t="shared" ref="C1076:C1139" si="546">C1075+1</f>
        <v>386</v>
      </c>
      <c r="D1076" s="14">
        <f t="shared" si="532"/>
        <v>2.6283369587845051E-3</v>
      </c>
      <c r="E1076" s="16">
        <f t="shared" si="533"/>
        <v>0</v>
      </c>
      <c r="F1076" s="127"/>
      <c r="G1076" s="88">
        <f t="shared" si="534"/>
        <v>0</v>
      </c>
      <c r="H1076" s="89">
        <f t="shared" ref="H1076:H1139" si="547">IF((K1075+L1075+M1075+N1075+R1075)&gt;=2000000,VLOOKUP("&gt;=2000000",Default_IncomeRate_table,3,FALSE),
IF($A1076&lt;71,VLOOKUP("&lt;71",Default_IncomeRate_table,3,FALSE),
IF($A1076&gt;=71,VLOOKUP("&gt;=71",Default_IncomeRate_table,3,FALSE),"")))</f>
        <v>4.1666666666666666E-3</v>
      </c>
      <c r="I1076" s="219"/>
      <c r="J1076" s="219"/>
      <c r="K1076" s="6">
        <f t="shared" si="523"/>
        <v>0</v>
      </c>
      <c r="M1076" s="6">
        <f t="shared" si="535"/>
        <v>0</v>
      </c>
      <c r="N1076" s="6">
        <f t="shared" si="536"/>
        <v>0</v>
      </c>
      <c r="O1076" s="90">
        <f t="shared" si="537"/>
        <v>0</v>
      </c>
      <c r="P1076" s="91">
        <f t="shared" si="538"/>
        <v>0</v>
      </c>
      <c r="Q1076" s="6">
        <f t="shared" si="539"/>
        <v>0</v>
      </c>
      <c r="R1076" s="87">
        <f t="shared" si="525"/>
        <v>0</v>
      </c>
      <c r="S1076" s="6">
        <f t="shared" si="540"/>
        <v>0</v>
      </c>
      <c r="T1076" s="83">
        <f t="shared" ref="T1076:T1139" si="548">SUM(K1076:N1076,R1076)*$G1076</f>
        <v>0</v>
      </c>
      <c r="U1076" s="91">
        <f t="shared" si="522"/>
        <v>0</v>
      </c>
      <c r="V1076" s="91">
        <f t="shared" ref="V1076:V1139" si="549">U1076*D1076</f>
        <v>0</v>
      </c>
      <c r="W1076" s="1">
        <f t="shared" si="531"/>
        <v>0</v>
      </c>
      <c r="X1076" s="1">
        <f t="shared" si="531"/>
        <v>0</v>
      </c>
      <c r="Y1076" s="1">
        <f t="shared" si="531"/>
        <v>0</v>
      </c>
      <c r="Z1076" s="1">
        <f t="shared" si="531"/>
        <v>0</v>
      </c>
      <c r="AA1076" s="1">
        <f t="shared" si="531"/>
        <v>0</v>
      </c>
      <c r="AB1076" s="1">
        <f t="shared" si="531"/>
        <v>0</v>
      </c>
      <c r="AC1076" s="1">
        <f t="shared" si="531"/>
        <v>0</v>
      </c>
      <c r="AD1076" s="1">
        <f t="shared" si="531"/>
        <v>0</v>
      </c>
      <c r="AE1076" s="1">
        <f t="shared" si="531"/>
        <v>0</v>
      </c>
      <c r="AF1076" s="1">
        <f t="shared" si="531"/>
        <v>0</v>
      </c>
      <c r="AG1076" s="1">
        <f t="shared" si="531"/>
        <v>1</v>
      </c>
      <c r="AH1076" s="1">
        <f t="shared" si="531"/>
        <v>1</v>
      </c>
      <c r="AI1076" s="44">
        <f t="shared" ref="AI1076:AI1139" si="550">SUM(K1076:N1076,R1076)</f>
        <v>0</v>
      </c>
      <c r="AJ1076" s="44">
        <f t="shared" si="541"/>
        <v>0</v>
      </c>
      <c r="AK1076" s="44">
        <f t="shared" si="526"/>
        <v>0</v>
      </c>
      <c r="AL1076" s="4">
        <f t="shared" si="542"/>
        <v>386</v>
      </c>
      <c r="AM1076" s="82">
        <f t="shared" ref="AM1076:AM1139" si="551">I1076</f>
        <v>0</v>
      </c>
      <c r="AN1076" s="82">
        <f t="shared" si="543"/>
        <v>0</v>
      </c>
      <c r="AO1076" s="48">
        <v>0</v>
      </c>
      <c r="AP1076" s="91">
        <f t="shared" ref="AP1076:AP1139" si="552">$R1076+AN1076+AM1076</f>
        <v>0</v>
      </c>
      <c r="AQ1076" s="91">
        <f t="shared" ref="AQ1076:AQ1139" si="553">$R1076+AO1076+AM1076</f>
        <v>0</v>
      </c>
    </row>
    <row r="1077" spans="1:43">
      <c r="A1077" s="190">
        <f t="shared" si="544"/>
        <v>97.970910335386719</v>
      </c>
      <c r="B1077" s="82">
        <f t="shared" si="545"/>
        <v>33</v>
      </c>
      <c r="C1077" s="83">
        <f t="shared" si="546"/>
        <v>387</v>
      </c>
      <c r="D1077" s="14">
        <f t="shared" si="532"/>
        <v>2.6283369587845051E-3</v>
      </c>
      <c r="E1077" s="16">
        <f t="shared" si="533"/>
        <v>0</v>
      </c>
      <c r="F1077" s="127"/>
      <c r="G1077" s="88">
        <f t="shared" si="534"/>
        <v>0</v>
      </c>
      <c r="H1077" s="89">
        <f t="shared" si="547"/>
        <v>4.1666666666666666E-3</v>
      </c>
      <c r="I1077" s="219"/>
      <c r="J1077" s="219"/>
      <c r="K1077" s="6">
        <f t="shared" si="523"/>
        <v>0</v>
      </c>
      <c r="M1077" s="6">
        <f t="shared" si="535"/>
        <v>0</v>
      </c>
      <c r="N1077" s="6">
        <f t="shared" si="536"/>
        <v>0</v>
      </c>
      <c r="O1077" s="90">
        <f t="shared" si="537"/>
        <v>0</v>
      </c>
      <c r="P1077" s="91">
        <f t="shared" si="538"/>
        <v>0</v>
      </c>
      <c r="Q1077" s="6">
        <f t="shared" si="539"/>
        <v>0</v>
      </c>
      <c r="R1077" s="87">
        <f t="shared" si="525"/>
        <v>0</v>
      </c>
      <c r="S1077" s="6">
        <f t="shared" si="540"/>
        <v>0</v>
      </c>
      <c r="T1077" s="83">
        <f t="shared" si="548"/>
        <v>0</v>
      </c>
      <c r="U1077" s="91">
        <f t="shared" ref="U1077:U1140" si="554">IF(K1077=0,0,SUM(U1076,R1076,V1076))</f>
        <v>0</v>
      </c>
      <c r="V1077" s="91">
        <f t="shared" si="549"/>
        <v>0</v>
      </c>
      <c r="W1077" s="1">
        <f t="shared" si="531"/>
        <v>0</v>
      </c>
      <c r="X1077" s="1">
        <f t="shared" si="531"/>
        <v>0</v>
      </c>
      <c r="Y1077" s="1">
        <f t="shared" si="531"/>
        <v>0</v>
      </c>
      <c r="Z1077" s="1">
        <f t="shared" si="531"/>
        <v>0</v>
      </c>
      <c r="AA1077" s="1">
        <f t="shared" si="531"/>
        <v>0</v>
      </c>
      <c r="AB1077" s="1">
        <f t="shared" si="531"/>
        <v>0</v>
      </c>
      <c r="AC1077" s="1">
        <f t="shared" si="531"/>
        <v>0</v>
      </c>
      <c r="AD1077" s="1">
        <f t="shared" si="531"/>
        <v>0</v>
      </c>
      <c r="AE1077" s="1">
        <f t="shared" si="531"/>
        <v>0</v>
      </c>
      <c r="AF1077" s="1">
        <f t="shared" si="531"/>
        <v>0</v>
      </c>
      <c r="AG1077" s="1">
        <f t="shared" si="531"/>
        <v>1</v>
      </c>
      <c r="AH1077" s="1">
        <f t="shared" si="531"/>
        <v>1</v>
      </c>
      <c r="AI1077" s="44">
        <f t="shared" si="550"/>
        <v>0</v>
      </c>
      <c r="AJ1077" s="44">
        <f t="shared" si="541"/>
        <v>0</v>
      </c>
      <c r="AK1077" s="44">
        <f t="shared" si="526"/>
        <v>0</v>
      </c>
      <c r="AL1077" s="4">
        <f t="shared" si="542"/>
        <v>387</v>
      </c>
      <c r="AM1077" s="82">
        <f t="shared" si="551"/>
        <v>0</v>
      </c>
      <c r="AN1077" s="82">
        <f t="shared" si="543"/>
        <v>0</v>
      </c>
      <c r="AO1077" s="48">
        <v>0</v>
      </c>
      <c r="AP1077" s="91">
        <f t="shared" si="552"/>
        <v>0</v>
      </c>
      <c r="AQ1077" s="91">
        <f t="shared" si="553"/>
        <v>0</v>
      </c>
    </row>
    <row r="1078" spans="1:43">
      <c r="A1078" s="190">
        <f t="shared" si="544"/>
        <v>98.054243668720048</v>
      </c>
      <c r="B1078" s="82">
        <f t="shared" si="545"/>
        <v>33</v>
      </c>
      <c r="C1078" s="83">
        <f t="shared" si="546"/>
        <v>388</v>
      </c>
      <c r="D1078" s="14">
        <f t="shared" si="532"/>
        <v>2.6283369587845051E-3</v>
      </c>
      <c r="E1078" s="16">
        <f t="shared" si="533"/>
        <v>0</v>
      </c>
      <c r="F1078" s="127"/>
      <c r="G1078" s="88">
        <f t="shared" si="534"/>
        <v>0</v>
      </c>
      <c r="H1078" s="89">
        <f t="shared" si="547"/>
        <v>4.1666666666666666E-3</v>
      </c>
      <c r="I1078" s="219"/>
      <c r="J1078" s="219"/>
      <c r="K1078" s="6">
        <f t="shared" si="523"/>
        <v>0</v>
      </c>
      <c r="M1078" s="6">
        <f t="shared" si="535"/>
        <v>0</v>
      </c>
      <c r="N1078" s="6">
        <f t="shared" si="536"/>
        <v>0</v>
      </c>
      <c r="O1078" s="90">
        <f t="shared" si="537"/>
        <v>0</v>
      </c>
      <c r="P1078" s="91">
        <f t="shared" si="538"/>
        <v>0</v>
      </c>
      <c r="Q1078" s="6">
        <f t="shared" si="539"/>
        <v>0</v>
      </c>
      <c r="R1078" s="87">
        <f t="shared" si="525"/>
        <v>0</v>
      </c>
      <c r="S1078" s="6">
        <f t="shared" si="540"/>
        <v>0</v>
      </c>
      <c r="T1078" s="83">
        <f t="shared" si="548"/>
        <v>0</v>
      </c>
      <c r="U1078" s="91">
        <f t="shared" si="554"/>
        <v>0</v>
      </c>
      <c r="V1078" s="91">
        <f t="shared" si="549"/>
        <v>0</v>
      </c>
      <c r="W1078" s="1">
        <f t="shared" si="531"/>
        <v>0</v>
      </c>
      <c r="X1078" s="1">
        <f t="shared" si="531"/>
        <v>0</v>
      </c>
      <c r="Y1078" s="1">
        <f t="shared" si="531"/>
        <v>0</v>
      </c>
      <c r="Z1078" s="1">
        <f t="shared" si="531"/>
        <v>0</v>
      </c>
      <c r="AA1078" s="1">
        <f t="shared" si="531"/>
        <v>0</v>
      </c>
      <c r="AB1078" s="1">
        <f t="shared" si="531"/>
        <v>0</v>
      </c>
      <c r="AC1078" s="1">
        <f t="shared" si="531"/>
        <v>0</v>
      </c>
      <c r="AD1078" s="1">
        <f t="shared" si="531"/>
        <v>0</v>
      </c>
      <c r="AE1078" s="1">
        <f t="shared" si="531"/>
        <v>0</v>
      </c>
      <c r="AF1078" s="1">
        <f t="shared" si="531"/>
        <v>0</v>
      </c>
      <c r="AG1078" s="1">
        <f t="shared" si="531"/>
        <v>1</v>
      </c>
      <c r="AH1078" s="1">
        <f t="shared" si="531"/>
        <v>1</v>
      </c>
      <c r="AI1078" s="44">
        <f t="shared" si="550"/>
        <v>0</v>
      </c>
      <c r="AJ1078" s="44">
        <f t="shared" si="541"/>
        <v>0</v>
      </c>
      <c r="AK1078" s="44">
        <f t="shared" si="526"/>
        <v>0</v>
      </c>
      <c r="AL1078" s="4">
        <f t="shared" si="542"/>
        <v>388</v>
      </c>
      <c r="AM1078" s="82">
        <f t="shared" si="551"/>
        <v>0</v>
      </c>
      <c r="AN1078" s="82">
        <f t="shared" si="543"/>
        <v>0</v>
      </c>
      <c r="AO1078" s="48">
        <v>0</v>
      </c>
      <c r="AP1078" s="91">
        <f t="shared" si="552"/>
        <v>0</v>
      </c>
      <c r="AQ1078" s="91">
        <f t="shared" si="553"/>
        <v>0</v>
      </c>
    </row>
    <row r="1079" spans="1:43">
      <c r="A1079" s="190">
        <f t="shared" si="544"/>
        <v>98.137577002053376</v>
      </c>
      <c r="B1079" s="82">
        <f t="shared" si="545"/>
        <v>33</v>
      </c>
      <c r="C1079" s="83">
        <f t="shared" si="546"/>
        <v>389</v>
      </c>
      <c r="D1079" s="14">
        <f t="shared" si="532"/>
        <v>2.6283369587845051E-3</v>
      </c>
      <c r="E1079" s="16">
        <f t="shared" si="533"/>
        <v>0</v>
      </c>
      <c r="F1079" s="127"/>
      <c r="G1079" s="88">
        <f t="shared" si="534"/>
        <v>0</v>
      </c>
      <c r="H1079" s="89">
        <f t="shared" si="547"/>
        <v>4.1666666666666666E-3</v>
      </c>
      <c r="I1079" s="219"/>
      <c r="J1079" s="219"/>
      <c r="K1079" s="6">
        <f t="shared" ref="K1079:K1142" si="555">SUM(K1078:M1078,N1078,R1078)</f>
        <v>0</v>
      </c>
      <c r="M1079" s="6">
        <f t="shared" si="535"/>
        <v>0</v>
      </c>
      <c r="N1079" s="6">
        <f t="shared" si="536"/>
        <v>0</v>
      </c>
      <c r="O1079" s="90">
        <f t="shared" si="537"/>
        <v>0</v>
      </c>
      <c r="P1079" s="91">
        <f t="shared" si="538"/>
        <v>0</v>
      </c>
      <c r="Q1079" s="6">
        <f t="shared" si="539"/>
        <v>0</v>
      </c>
      <c r="R1079" s="87">
        <f t="shared" si="525"/>
        <v>0</v>
      </c>
      <c r="S1079" s="6">
        <f t="shared" si="540"/>
        <v>0</v>
      </c>
      <c r="T1079" s="83">
        <f t="shared" si="548"/>
        <v>0</v>
      </c>
      <c r="U1079" s="91">
        <f t="shared" si="554"/>
        <v>0</v>
      </c>
      <c r="V1079" s="91">
        <f t="shared" si="549"/>
        <v>0</v>
      </c>
      <c r="W1079" s="1">
        <f t="shared" si="531"/>
        <v>0</v>
      </c>
      <c r="X1079" s="1">
        <f t="shared" si="531"/>
        <v>0</v>
      </c>
      <c r="Y1079" s="1">
        <f t="shared" si="531"/>
        <v>0</v>
      </c>
      <c r="Z1079" s="1">
        <f t="shared" si="531"/>
        <v>0</v>
      </c>
      <c r="AA1079" s="1">
        <f t="shared" si="531"/>
        <v>0</v>
      </c>
      <c r="AB1079" s="1">
        <f t="shared" si="531"/>
        <v>0</v>
      </c>
      <c r="AC1079" s="1">
        <f t="shared" si="531"/>
        <v>0</v>
      </c>
      <c r="AD1079" s="1">
        <f t="shared" si="531"/>
        <v>0</v>
      </c>
      <c r="AE1079" s="1">
        <f t="shared" si="531"/>
        <v>0</v>
      </c>
      <c r="AF1079" s="1">
        <f t="shared" si="531"/>
        <v>0</v>
      </c>
      <c r="AG1079" s="1">
        <f t="shared" si="531"/>
        <v>1</v>
      </c>
      <c r="AH1079" s="1">
        <f t="shared" si="531"/>
        <v>1</v>
      </c>
      <c r="AI1079" s="44">
        <f t="shared" si="550"/>
        <v>0</v>
      </c>
      <c r="AJ1079" s="44">
        <f t="shared" si="541"/>
        <v>0</v>
      </c>
      <c r="AK1079" s="44">
        <f t="shared" si="526"/>
        <v>0</v>
      </c>
      <c r="AL1079" s="4">
        <f t="shared" si="542"/>
        <v>389</v>
      </c>
      <c r="AM1079" s="82">
        <f t="shared" si="551"/>
        <v>0</v>
      </c>
      <c r="AN1079" s="82">
        <f t="shared" si="543"/>
        <v>0</v>
      </c>
      <c r="AO1079" s="48">
        <v>0</v>
      </c>
      <c r="AP1079" s="91">
        <f t="shared" si="552"/>
        <v>0</v>
      </c>
      <c r="AQ1079" s="91">
        <f t="shared" si="553"/>
        <v>0</v>
      </c>
    </row>
    <row r="1080" spans="1:43">
      <c r="A1080" s="190">
        <f t="shared" si="544"/>
        <v>98.220910335386719</v>
      </c>
      <c r="B1080" s="82">
        <f t="shared" si="545"/>
        <v>33</v>
      </c>
      <c r="C1080" s="83">
        <f t="shared" si="546"/>
        <v>390</v>
      </c>
      <c r="D1080" s="14">
        <f t="shared" si="532"/>
        <v>2.6283369587845051E-3</v>
      </c>
      <c r="E1080" s="16">
        <f t="shared" si="533"/>
        <v>0</v>
      </c>
      <c r="F1080" s="127"/>
      <c r="G1080" s="88">
        <f t="shared" si="534"/>
        <v>0</v>
      </c>
      <c r="H1080" s="89">
        <f t="shared" si="547"/>
        <v>4.1666666666666666E-3</v>
      </c>
      <c r="I1080" s="219"/>
      <c r="J1080" s="219"/>
      <c r="K1080" s="6">
        <f t="shared" si="555"/>
        <v>0</v>
      </c>
      <c r="M1080" s="6">
        <f t="shared" si="535"/>
        <v>0</v>
      </c>
      <c r="N1080" s="6">
        <f t="shared" si="536"/>
        <v>0</v>
      </c>
      <c r="O1080" s="90">
        <f t="shared" si="537"/>
        <v>0</v>
      </c>
      <c r="P1080" s="91">
        <f t="shared" si="538"/>
        <v>0</v>
      </c>
      <c r="Q1080" s="6">
        <f t="shared" si="539"/>
        <v>0</v>
      </c>
      <c r="R1080" s="87">
        <f t="shared" si="525"/>
        <v>0</v>
      </c>
      <c r="S1080" s="6">
        <f t="shared" si="540"/>
        <v>0</v>
      </c>
      <c r="T1080" s="83">
        <f t="shared" si="548"/>
        <v>0</v>
      </c>
      <c r="U1080" s="91">
        <f t="shared" si="554"/>
        <v>0</v>
      </c>
      <c r="V1080" s="91">
        <f t="shared" si="549"/>
        <v>0</v>
      </c>
      <c r="W1080" s="1">
        <f t="shared" si="531"/>
        <v>0</v>
      </c>
      <c r="X1080" s="1">
        <f t="shared" si="531"/>
        <v>0</v>
      </c>
      <c r="Y1080" s="1">
        <f t="shared" si="531"/>
        <v>0</v>
      </c>
      <c r="Z1080" s="1">
        <f t="shared" si="531"/>
        <v>0</v>
      </c>
      <c r="AA1080" s="1">
        <f t="shared" si="531"/>
        <v>0</v>
      </c>
      <c r="AB1080" s="1">
        <f t="shared" si="531"/>
        <v>0</v>
      </c>
      <c r="AC1080" s="1">
        <f t="shared" si="531"/>
        <v>0</v>
      </c>
      <c r="AD1080" s="1">
        <f t="shared" si="531"/>
        <v>0</v>
      </c>
      <c r="AE1080" s="1">
        <f t="shared" si="531"/>
        <v>0</v>
      </c>
      <c r="AF1080" s="1">
        <f t="shared" si="531"/>
        <v>0</v>
      </c>
      <c r="AG1080" s="1">
        <f t="shared" si="531"/>
        <v>1</v>
      </c>
      <c r="AH1080" s="1">
        <f t="shared" si="531"/>
        <v>1</v>
      </c>
      <c r="AI1080" s="44">
        <f t="shared" si="550"/>
        <v>0</v>
      </c>
      <c r="AJ1080" s="44">
        <f t="shared" si="541"/>
        <v>0</v>
      </c>
      <c r="AK1080" s="44">
        <f t="shared" si="526"/>
        <v>0</v>
      </c>
      <c r="AL1080" s="4">
        <f t="shared" si="542"/>
        <v>390</v>
      </c>
      <c r="AM1080" s="82">
        <f t="shared" si="551"/>
        <v>0</v>
      </c>
      <c r="AN1080" s="82">
        <f t="shared" si="543"/>
        <v>0</v>
      </c>
      <c r="AO1080" s="48">
        <v>0</v>
      </c>
      <c r="AP1080" s="91">
        <f t="shared" si="552"/>
        <v>0</v>
      </c>
      <c r="AQ1080" s="91">
        <f t="shared" si="553"/>
        <v>0</v>
      </c>
    </row>
    <row r="1081" spans="1:43">
      <c r="A1081" s="190">
        <f t="shared" si="544"/>
        <v>98.304243668720048</v>
      </c>
      <c r="B1081" s="82">
        <f t="shared" si="545"/>
        <v>33</v>
      </c>
      <c r="C1081" s="83">
        <f t="shared" si="546"/>
        <v>391</v>
      </c>
      <c r="D1081" s="14">
        <f t="shared" si="532"/>
        <v>2.6283369587845051E-3</v>
      </c>
      <c r="E1081" s="16">
        <f t="shared" si="533"/>
        <v>0</v>
      </c>
      <c r="F1081" s="127"/>
      <c r="G1081" s="88">
        <f t="shared" si="534"/>
        <v>0</v>
      </c>
      <c r="H1081" s="89">
        <f t="shared" si="547"/>
        <v>4.1666666666666666E-3</v>
      </c>
      <c r="I1081" s="219"/>
      <c r="J1081" s="219"/>
      <c r="K1081" s="6">
        <f t="shared" si="555"/>
        <v>0</v>
      </c>
      <c r="M1081" s="6">
        <f t="shared" si="535"/>
        <v>0</v>
      </c>
      <c r="N1081" s="6">
        <f t="shared" si="536"/>
        <v>0</v>
      </c>
      <c r="O1081" s="90">
        <f t="shared" si="537"/>
        <v>0</v>
      </c>
      <c r="P1081" s="91">
        <f t="shared" si="538"/>
        <v>0</v>
      </c>
      <c r="Q1081" s="6">
        <f t="shared" si="539"/>
        <v>0</v>
      </c>
      <c r="R1081" s="87">
        <f t="shared" si="525"/>
        <v>0</v>
      </c>
      <c r="S1081" s="6">
        <f t="shared" si="540"/>
        <v>0</v>
      </c>
      <c r="T1081" s="83">
        <f t="shared" si="548"/>
        <v>0</v>
      </c>
      <c r="U1081" s="91">
        <f t="shared" si="554"/>
        <v>0</v>
      </c>
      <c r="V1081" s="91">
        <f t="shared" si="549"/>
        <v>0</v>
      </c>
      <c r="W1081" s="1">
        <f t="shared" ref="W1081:AH1090" si="556">IF($B1081&lt;=W$78,1,0)</f>
        <v>0</v>
      </c>
      <c r="X1081" s="1">
        <f t="shared" si="556"/>
        <v>0</v>
      </c>
      <c r="Y1081" s="1">
        <f t="shared" si="556"/>
        <v>0</v>
      </c>
      <c r="Z1081" s="1">
        <f t="shared" si="556"/>
        <v>0</v>
      </c>
      <c r="AA1081" s="1">
        <f t="shared" si="556"/>
        <v>0</v>
      </c>
      <c r="AB1081" s="1">
        <f t="shared" si="556"/>
        <v>0</v>
      </c>
      <c r="AC1081" s="1">
        <f t="shared" si="556"/>
        <v>0</v>
      </c>
      <c r="AD1081" s="1">
        <f t="shared" si="556"/>
        <v>0</v>
      </c>
      <c r="AE1081" s="1">
        <f t="shared" si="556"/>
        <v>0</v>
      </c>
      <c r="AF1081" s="1">
        <f t="shared" si="556"/>
        <v>0</v>
      </c>
      <c r="AG1081" s="1">
        <f t="shared" si="556"/>
        <v>1</v>
      </c>
      <c r="AH1081" s="1">
        <f t="shared" si="556"/>
        <v>1</v>
      </c>
      <c r="AI1081" s="44">
        <f t="shared" si="550"/>
        <v>0</v>
      </c>
      <c r="AJ1081" s="44">
        <f t="shared" si="541"/>
        <v>0</v>
      </c>
      <c r="AK1081" s="44">
        <f t="shared" si="526"/>
        <v>0</v>
      </c>
      <c r="AL1081" s="4">
        <f t="shared" si="542"/>
        <v>391</v>
      </c>
      <c r="AM1081" s="82">
        <f t="shared" si="551"/>
        <v>0</v>
      </c>
      <c r="AN1081" s="82">
        <f t="shared" si="543"/>
        <v>0</v>
      </c>
      <c r="AO1081" s="48">
        <v>0</v>
      </c>
      <c r="AP1081" s="91">
        <f t="shared" si="552"/>
        <v>0</v>
      </c>
      <c r="AQ1081" s="91">
        <f t="shared" si="553"/>
        <v>0</v>
      </c>
    </row>
    <row r="1082" spans="1:43">
      <c r="A1082" s="190">
        <f t="shared" si="544"/>
        <v>98.387577002053376</v>
      </c>
      <c r="B1082" s="82">
        <f t="shared" si="545"/>
        <v>33</v>
      </c>
      <c r="C1082" s="83">
        <f t="shared" si="546"/>
        <v>392</v>
      </c>
      <c r="D1082" s="14">
        <f t="shared" si="532"/>
        <v>2.6283369587845051E-3</v>
      </c>
      <c r="E1082" s="16">
        <f t="shared" si="533"/>
        <v>0</v>
      </c>
      <c r="F1082" s="127"/>
      <c r="G1082" s="88">
        <f t="shared" si="534"/>
        <v>0</v>
      </c>
      <c r="H1082" s="89">
        <f t="shared" si="547"/>
        <v>4.1666666666666666E-3</v>
      </c>
      <c r="I1082" s="219"/>
      <c r="J1082" s="219"/>
      <c r="K1082" s="6">
        <f t="shared" si="555"/>
        <v>0</v>
      </c>
      <c r="M1082" s="6">
        <f t="shared" si="535"/>
        <v>0</v>
      </c>
      <c r="N1082" s="6">
        <f t="shared" si="536"/>
        <v>0</v>
      </c>
      <c r="O1082" s="90">
        <f t="shared" si="537"/>
        <v>0</v>
      </c>
      <c r="P1082" s="91">
        <f t="shared" si="538"/>
        <v>0</v>
      </c>
      <c r="Q1082" s="6">
        <f t="shared" si="539"/>
        <v>0</v>
      </c>
      <c r="R1082" s="87">
        <f t="shared" si="525"/>
        <v>0</v>
      </c>
      <c r="S1082" s="6">
        <f t="shared" si="540"/>
        <v>0</v>
      </c>
      <c r="T1082" s="83">
        <f t="shared" si="548"/>
        <v>0</v>
      </c>
      <c r="U1082" s="91">
        <f t="shared" si="554"/>
        <v>0</v>
      </c>
      <c r="V1082" s="91">
        <f t="shared" si="549"/>
        <v>0</v>
      </c>
      <c r="W1082" s="1">
        <f t="shared" si="556"/>
        <v>0</v>
      </c>
      <c r="X1082" s="1">
        <f t="shared" si="556"/>
        <v>0</v>
      </c>
      <c r="Y1082" s="1">
        <f t="shared" si="556"/>
        <v>0</v>
      </c>
      <c r="Z1082" s="1">
        <f t="shared" si="556"/>
        <v>0</v>
      </c>
      <c r="AA1082" s="1">
        <f t="shared" si="556"/>
        <v>0</v>
      </c>
      <c r="AB1082" s="1">
        <f t="shared" si="556"/>
        <v>0</v>
      </c>
      <c r="AC1082" s="1">
        <f t="shared" si="556"/>
        <v>0</v>
      </c>
      <c r="AD1082" s="1">
        <f t="shared" si="556"/>
        <v>0</v>
      </c>
      <c r="AE1082" s="1">
        <f t="shared" si="556"/>
        <v>0</v>
      </c>
      <c r="AF1082" s="1">
        <f t="shared" si="556"/>
        <v>0</v>
      </c>
      <c r="AG1082" s="1">
        <f t="shared" si="556"/>
        <v>1</v>
      </c>
      <c r="AH1082" s="1">
        <f t="shared" si="556"/>
        <v>1</v>
      </c>
      <c r="AI1082" s="44">
        <f t="shared" si="550"/>
        <v>0</v>
      </c>
      <c r="AJ1082" s="44">
        <f t="shared" si="541"/>
        <v>0</v>
      </c>
      <c r="AK1082" s="44">
        <f t="shared" si="526"/>
        <v>0</v>
      </c>
      <c r="AL1082" s="4">
        <f t="shared" si="542"/>
        <v>392</v>
      </c>
      <c r="AM1082" s="82">
        <f t="shared" si="551"/>
        <v>0</v>
      </c>
      <c r="AN1082" s="82">
        <f t="shared" si="543"/>
        <v>0</v>
      </c>
      <c r="AO1082" s="48">
        <v>0</v>
      </c>
      <c r="AP1082" s="91">
        <f t="shared" si="552"/>
        <v>0</v>
      </c>
      <c r="AQ1082" s="91">
        <f t="shared" si="553"/>
        <v>0</v>
      </c>
    </row>
    <row r="1083" spans="1:43">
      <c r="A1083" s="190">
        <f t="shared" si="544"/>
        <v>98.470910335386719</v>
      </c>
      <c r="B1083" s="82">
        <f t="shared" si="545"/>
        <v>33</v>
      </c>
      <c r="C1083" s="83">
        <f t="shared" si="546"/>
        <v>393</v>
      </c>
      <c r="D1083" s="14">
        <f t="shared" si="532"/>
        <v>2.6283369587845051E-3</v>
      </c>
      <c r="E1083" s="16">
        <f t="shared" si="533"/>
        <v>0</v>
      </c>
      <c r="F1083" s="127"/>
      <c r="G1083" s="88">
        <f t="shared" si="534"/>
        <v>0</v>
      </c>
      <c r="H1083" s="89">
        <f t="shared" si="547"/>
        <v>4.1666666666666666E-3</v>
      </c>
      <c r="I1083" s="219"/>
      <c r="J1083" s="219"/>
      <c r="K1083" s="6">
        <f t="shared" si="555"/>
        <v>0</v>
      </c>
      <c r="M1083" s="6">
        <f t="shared" si="535"/>
        <v>0</v>
      </c>
      <c r="N1083" s="6">
        <f t="shared" si="536"/>
        <v>0</v>
      </c>
      <c r="O1083" s="90">
        <f t="shared" si="537"/>
        <v>0</v>
      </c>
      <c r="P1083" s="91">
        <f t="shared" si="538"/>
        <v>0</v>
      </c>
      <c r="Q1083" s="6">
        <f t="shared" si="539"/>
        <v>0</v>
      </c>
      <c r="R1083" s="87">
        <f t="shared" si="525"/>
        <v>0</v>
      </c>
      <c r="S1083" s="6">
        <f t="shared" si="540"/>
        <v>0</v>
      </c>
      <c r="T1083" s="83">
        <f t="shared" si="548"/>
        <v>0</v>
      </c>
      <c r="U1083" s="91">
        <f t="shared" si="554"/>
        <v>0</v>
      </c>
      <c r="V1083" s="91">
        <f t="shared" si="549"/>
        <v>0</v>
      </c>
      <c r="W1083" s="1">
        <f t="shared" si="556"/>
        <v>0</v>
      </c>
      <c r="X1083" s="1">
        <f t="shared" si="556"/>
        <v>0</v>
      </c>
      <c r="Y1083" s="1">
        <f t="shared" si="556"/>
        <v>0</v>
      </c>
      <c r="Z1083" s="1">
        <f t="shared" si="556"/>
        <v>0</v>
      </c>
      <c r="AA1083" s="1">
        <f t="shared" si="556"/>
        <v>0</v>
      </c>
      <c r="AB1083" s="1">
        <f t="shared" si="556"/>
        <v>0</v>
      </c>
      <c r="AC1083" s="1">
        <f t="shared" si="556"/>
        <v>0</v>
      </c>
      <c r="AD1083" s="1">
        <f t="shared" si="556"/>
        <v>0</v>
      </c>
      <c r="AE1083" s="1">
        <f t="shared" si="556"/>
        <v>0</v>
      </c>
      <c r="AF1083" s="1">
        <f t="shared" si="556"/>
        <v>0</v>
      </c>
      <c r="AG1083" s="1">
        <f t="shared" si="556"/>
        <v>1</v>
      </c>
      <c r="AH1083" s="1">
        <f t="shared" si="556"/>
        <v>1</v>
      </c>
      <c r="AI1083" s="44">
        <f t="shared" si="550"/>
        <v>0</v>
      </c>
      <c r="AJ1083" s="44">
        <f t="shared" si="541"/>
        <v>0</v>
      </c>
      <c r="AK1083" s="44">
        <f t="shared" si="526"/>
        <v>0</v>
      </c>
      <c r="AL1083" s="4">
        <f t="shared" si="542"/>
        <v>393</v>
      </c>
      <c r="AM1083" s="82">
        <f t="shared" si="551"/>
        <v>0</v>
      </c>
      <c r="AN1083" s="82">
        <f t="shared" si="543"/>
        <v>0</v>
      </c>
      <c r="AO1083" s="48">
        <v>0</v>
      </c>
      <c r="AP1083" s="91">
        <f t="shared" si="552"/>
        <v>0</v>
      </c>
      <c r="AQ1083" s="91">
        <f t="shared" si="553"/>
        <v>0</v>
      </c>
    </row>
    <row r="1084" spans="1:43">
      <c r="A1084" s="190">
        <f t="shared" si="544"/>
        <v>98.554243668720048</v>
      </c>
      <c r="B1084" s="82">
        <f t="shared" si="545"/>
        <v>33</v>
      </c>
      <c r="C1084" s="83">
        <f t="shared" si="546"/>
        <v>394</v>
      </c>
      <c r="D1084" s="14">
        <f t="shared" si="532"/>
        <v>2.6283369587845051E-3</v>
      </c>
      <c r="E1084" s="16">
        <f t="shared" si="533"/>
        <v>0</v>
      </c>
      <c r="F1084" s="127"/>
      <c r="G1084" s="88">
        <f t="shared" si="534"/>
        <v>0</v>
      </c>
      <c r="H1084" s="89">
        <f t="shared" si="547"/>
        <v>4.1666666666666666E-3</v>
      </c>
      <c r="I1084" s="219"/>
      <c r="J1084" s="219"/>
      <c r="K1084" s="6">
        <f t="shared" si="555"/>
        <v>0</v>
      </c>
      <c r="M1084" s="6">
        <f t="shared" si="535"/>
        <v>0</v>
      </c>
      <c r="N1084" s="6">
        <f t="shared" si="536"/>
        <v>0</v>
      </c>
      <c r="O1084" s="90">
        <f t="shared" si="537"/>
        <v>0</v>
      </c>
      <c r="P1084" s="91">
        <f t="shared" si="538"/>
        <v>0</v>
      </c>
      <c r="Q1084" s="6">
        <f t="shared" si="539"/>
        <v>0</v>
      </c>
      <c r="R1084" s="87">
        <f t="shared" si="525"/>
        <v>0</v>
      </c>
      <c r="S1084" s="6">
        <f t="shared" si="540"/>
        <v>0</v>
      </c>
      <c r="T1084" s="83">
        <f t="shared" si="548"/>
        <v>0</v>
      </c>
      <c r="U1084" s="91">
        <f t="shared" si="554"/>
        <v>0</v>
      </c>
      <c r="V1084" s="91">
        <f t="shared" si="549"/>
        <v>0</v>
      </c>
      <c r="W1084" s="1">
        <f t="shared" si="556"/>
        <v>0</v>
      </c>
      <c r="X1084" s="1">
        <f t="shared" si="556"/>
        <v>0</v>
      </c>
      <c r="Y1084" s="1">
        <f t="shared" si="556"/>
        <v>0</v>
      </c>
      <c r="Z1084" s="1">
        <f t="shared" si="556"/>
        <v>0</v>
      </c>
      <c r="AA1084" s="1">
        <f t="shared" si="556"/>
        <v>0</v>
      </c>
      <c r="AB1084" s="1">
        <f t="shared" si="556"/>
        <v>0</v>
      </c>
      <c r="AC1084" s="1">
        <f t="shared" si="556"/>
        <v>0</v>
      </c>
      <c r="AD1084" s="1">
        <f t="shared" si="556"/>
        <v>0</v>
      </c>
      <c r="AE1084" s="1">
        <f t="shared" si="556"/>
        <v>0</v>
      </c>
      <c r="AF1084" s="1">
        <f t="shared" si="556"/>
        <v>0</v>
      </c>
      <c r="AG1084" s="1">
        <f t="shared" si="556"/>
        <v>1</v>
      </c>
      <c r="AH1084" s="1">
        <f t="shared" si="556"/>
        <v>1</v>
      </c>
      <c r="AI1084" s="44">
        <f t="shared" si="550"/>
        <v>0</v>
      </c>
      <c r="AJ1084" s="44">
        <f t="shared" si="541"/>
        <v>0</v>
      </c>
      <c r="AK1084" s="44">
        <f t="shared" si="526"/>
        <v>0</v>
      </c>
      <c r="AL1084" s="4">
        <f t="shared" si="542"/>
        <v>394</v>
      </c>
      <c r="AM1084" s="82">
        <f t="shared" si="551"/>
        <v>0</v>
      </c>
      <c r="AN1084" s="82">
        <f t="shared" si="543"/>
        <v>0</v>
      </c>
      <c r="AO1084" s="48">
        <v>0</v>
      </c>
      <c r="AP1084" s="91">
        <f t="shared" si="552"/>
        <v>0</v>
      </c>
      <c r="AQ1084" s="91">
        <f t="shared" si="553"/>
        <v>0</v>
      </c>
    </row>
    <row r="1085" spans="1:43">
      <c r="A1085" s="190">
        <f t="shared" si="544"/>
        <v>98.637577002053376</v>
      </c>
      <c r="B1085" s="82">
        <f t="shared" si="545"/>
        <v>33</v>
      </c>
      <c r="C1085" s="83">
        <f t="shared" si="546"/>
        <v>395</v>
      </c>
      <c r="D1085" s="14">
        <f t="shared" si="532"/>
        <v>2.6283369587845051E-3</v>
      </c>
      <c r="E1085" s="16">
        <f t="shared" si="533"/>
        <v>0</v>
      </c>
      <c r="F1085" s="127"/>
      <c r="G1085" s="88">
        <f t="shared" si="534"/>
        <v>0</v>
      </c>
      <c r="H1085" s="89">
        <f t="shared" si="547"/>
        <v>4.1666666666666666E-3</v>
      </c>
      <c r="I1085" s="219"/>
      <c r="J1085" s="219"/>
      <c r="K1085" s="6">
        <f t="shared" si="555"/>
        <v>0</v>
      </c>
      <c r="M1085" s="6">
        <f t="shared" si="535"/>
        <v>0</v>
      </c>
      <c r="N1085" s="6">
        <f t="shared" si="536"/>
        <v>0</v>
      </c>
      <c r="O1085" s="90">
        <f t="shared" si="537"/>
        <v>0</v>
      </c>
      <c r="P1085" s="91">
        <f t="shared" si="538"/>
        <v>0</v>
      </c>
      <c r="Q1085" s="6">
        <f t="shared" si="539"/>
        <v>0</v>
      </c>
      <c r="R1085" s="87">
        <f t="shared" si="525"/>
        <v>0</v>
      </c>
      <c r="S1085" s="6">
        <f t="shared" si="540"/>
        <v>0</v>
      </c>
      <c r="T1085" s="83">
        <f t="shared" si="548"/>
        <v>0</v>
      </c>
      <c r="U1085" s="91">
        <f t="shared" si="554"/>
        <v>0</v>
      </c>
      <c r="V1085" s="91">
        <f t="shared" si="549"/>
        <v>0</v>
      </c>
      <c r="W1085" s="1">
        <f t="shared" si="556"/>
        <v>0</v>
      </c>
      <c r="X1085" s="1">
        <f t="shared" si="556"/>
        <v>0</v>
      </c>
      <c r="Y1085" s="1">
        <f t="shared" si="556"/>
        <v>0</v>
      </c>
      <c r="Z1085" s="1">
        <f t="shared" si="556"/>
        <v>0</v>
      </c>
      <c r="AA1085" s="1">
        <f t="shared" si="556"/>
        <v>0</v>
      </c>
      <c r="AB1085" s="1">
        <f t="shared" si="556"/>
        <v>0</v>
      </c>
      <c r="AC1085" s="1">
        <f t="shared" si="556"/>
        <v>0</v>
      </c>
      <c r="AD1085" s="1">
        <f t="shared" si="556"/>
        <v>0</v>
      </c>
      <c r="AE1085" s="1">
        <f t="shared" si="556"/>
        <v>0</v>
      </c>
      <c r="AF1085" s="1">
        <f t="shared" si="556"/>
        <v>0</v>
      </c>
      <c r="AG1085" s="1">
        <f t="shared" si="556"/>
        <v>1</v>
      </c>
      <c r="AH1085" s="1">
        <f t="shared" si="556"/>
        <v>1</v>
      </c>
      <c r="AI1085" s="44">
        <f t="shared" si="550"/>
        <v>0</v>
      </c>
      <c r="AJ1085" s="44">
        <f t="shared" si="541"/>
        <v>0</v>
      </c>
      <c r="AK1085" s="44">
        <f t="shared" si="526"/>
        <v>0</v>
      </c>
      <c r="AL1085" s="4">
        <f t="shared" si="542"/>
        <v>395</v>
      </c>
      <c r="AM1085" s="82">
        <f t="shared" si="551"/>
        <v>0</v>
      </c>
      <c r="AN1085" s="82">
        <f t="shared" si="543"/>
        <v>0</v>
      </c>
      <c r="AO1085" s="48">
        <v>0</v>
      </c>
      <c r="AP1085" s="91">
        <f t="shared" si="552"/>
        <v>0</v>
      </c>
      <c r="AQ1085" s="91">
        <f t="shared" si="553"/>
        <v>0</v>
      </c>
    </row>
    <row r="1086" spans="1:43">
      <c r="A1086" s="190">
        <f t="shared" si="544"/>
        <v>98.720910335386719</v>
      </c>
      <c r="B1086" s="82">
        <f t="shared" si="545"/>
        <v>33</v>
      </c>
      <c r="C1086" s="83">
        <f t="shared" si="546"/>
        <v>396</v>
      </c>
      <c r="D1086" s="14">
        <f t="shared" si="532"/>
        <v>2.6283369587845051E-3</v>
      </c>
      <c r="E1086" s="16">
        <f t="shared" si="533"/>
        <v>0</v>
      </c>
      <c r="F1086" s="127"/>
      <c r="G1086" s="88">
        <f t="shared" si="534"/>
        <v>0</v>
      </c>
      <c r="H1086" s="89">
        <f t="shared" si="547"/>
        <v>4.1666666666666666E-3</v>
      </c>
      <c r="I1086" s="219"/>
      <c r="J1086" s="219"/>
      <c r="K1086" s="6">
        <f t="shared" si="555"/>
        <v>0</v>
      </c>
      <c r="M1086" s="6">
        <f t="shared" si="535"/>
        <v>0</v>
      </c>
      <c r="N1086" s="6">
        <f t="shared" si="536"/>
        <v>0</v>
      </c>
      <c r="O1086" s="90">
        <f t="shared" si="537"/>
        <v>0</v>
      </c>
      <c r="P1086" s="91">
        <f t="shared" si="538"/>
        <v>0</v>
      </c>
      <c r="Q1086" s="6">
        <f t="shared" si="539"/>
        <v>0</v>
      </c>
      <c r="R1086" s="87">
        <f t="shared" si="525"/>
        <v>0</v>
      </c>
      <c r="S1086" s="6">
        <f t="shared" si="540"/>
        <v>0</v>
      </c>
      <c r="T1086" s="83">
        <f t="shared" si="548"/>
        <v>0</v>
      </c>
      <c r="U1086" s="91">
        <f t="shared" si="554"/>
        <v>0</v>
      </c>
      <c r="V1086" s="91">
        <f t="shared" si="549"/>
        <v>0</v>
      </c>
      <c r="W1086" s="1">
        <f t="shared" si="556"/>
        <v>0</v>
      </c>
      <c r="X1086" s="1">
        <f t="shared" si="556"/>
        <v>0</v>
      </c>
      <c r="Y1086" s="1">
        <f t="shared" si="556"/>
        <v>0</v>
      </c>
      <c r="Z1086" s="1">
        <f t="shared" si="556"/>
        <v>0</v>
      </c>
      <c r="AA1086" s="1">
        <f t="shared" si="556"/>
        <v>0</v>
      </c>
      <c r="AB1086" s="1">
        <f t="shared" si="556"/>
        <v>0</v>
      </c>
      <c r="AC1086" s="1">
        <f t="shared" si="556"/>
        <v>0</v>
      </c>
      <c r="AD1086" s="1">
        <f t="shared" si="556"/>
        <v>0</v>
      </c>
      <c r="AE1086" s="1">
        <f t="shared" si="556"/>
        <v>0</v>
      </c>
      <c r="AF1086" s="1">
        <f t="shared" si="556"/>
        <v>0</v>
      </c>
      <c r="AG1086" s="1">
        <f t="shared" si="556"/>
        <v>1</v>
      </c>
      <c r="AH1086" s="1">
        <f t="shared" si="556"/>
        <v>1</v>
      </c>
      <c r="AI1086" s="44">
        <f t="shared" si="550"/>
        <v>0</v>
      </c>
      <c r="AJ1086" s="44">
        <f t="shared" si="541"/>
        <v>0</v>
      </c>
      <c r="AK1086" s="44">
        <f t="shared" si="526"/>
        <v>0</v>
      </c>
      <c r="AL1086" s="4">
        <f t="shared" si="542"/>
        <v>396</v>
      </c>
      <c r="AM1086" s="82">
        <f t="shared" si="551"/>
        <v>0</v>
      </c>
      <c r="AN1086" s="82">
        <f t="shared" si="543"/>
        <v>0</v>
      </c>
      <c r="AO1086" s="48">
        <v>0</v>
      </c>
      <c r="AP1086" s="91">
        <f t="shared" si="552"/>
        <v>0</v>
      </c>
      <c r="AQ1086" s="91">
        <f t="shared" si="553"/>
        <v>0</v>
      </c>
    </row>
    <row r="1087" spans="1:43">
      <c r="A1087" s="190">
        <f t="shared" si="544"/>
        <v>98.804243668720048</v>
      </c>
      <c r="B1087" s="82">
        <f t="shared" si="545"/>
        <v>34</v>
      </c>
      <c r="C1087" s="83">
        <f t="shared" si="546"/>
        <v>397</v>
      </c>
      <c r="D1087" s="14">
        <f t="shared" si="532"/>
        <v>2.6283369587845051E-3</v>
      </c>
      <c r="E1087" s="16">
        <f t="shared" si="533"/>
        <v>0</v>
      </c>
      <c r="F1087" s="127"/>
      <c r="G1087" s="88">
        <f t="shared" si="534"/>
        <v>0</v>
      </c>
      <c r="H1087" s="89">
        <f t="shared" si="547"/>
        <v>4.1666666666666666E-3</v>
      </c>
      <c r="I1087" s="219"/>
      <c r="J1087" s="219"/>
      <c r="K1087" s="6">
        <f t="shared" si="555"/>
        <v>0</v>
      </c>
      <c r="M1087" s="6">
        <f t="shared" si="535"/>
        <v>0</v>
      </c>
      <c r="N1087" s="6">
        <f t="shared" si="536"/>
        <v>0</v>
      </c>
      <c r="O1087" s="90">
        <f t="shared" si="537"/>
        <v>0</v>
      </c>
      <c r="P1087" s="91">
        <f t="shared" si="538"/>
        <v>0</v>
      </c>
      <c r="Q1087" s="6">
        <f t="shared" si="539"/>
        <v>0</v>
      </c>
      <c r="R1087" s="87">
        <f t="shared" si="525"/>
        <v>0</v>
      </c>
      <c r="S1087" s="6">
        <f t="shared" si="540"/>
        <v>0</v>
      </c>
      <c r="T1087" s="83">
        <f t="shared" si="548"/>
        <v>0</v>
      </c>
      <c r="U1087" s="91">
        <f t="shared" si="554"/>
        <v>0</v>
      </c>
      <c r="V1087" s="91">
        <f t="shared" si="549"/>
        <v>0</v>
      </c>
      <c r="W1087" s="1">
        <f t="shared" si="556"/>
        <v>0</v>
      </c>
      <c r="X1087" s="1">
        <f t="shared" si="556"/>
        <v>0</v>
      </c>
      <c r="Y1087" s="1">
        <f t="shared" si="556"/>
        <v>0</v>
      </c>
      <c r="Z1087" s="1">
        <f t="shared" si="556"/>
        <v>0</v>
      </c>
      <c r="AA1087" s="1">
        <f t="shared" si="556"/>
        <v>0</v>
      </c>
      <c r="AB1087" s="1">
        <f t="shared" si="556"/>
        <v>0</v>
      </c>
      <c r="AC1087" s="1">
        <f t="shared" si="556"/>
        <v>0</v>
      </c>
      <c r="AD1087" s="1">
        <f t="shared" si="556"/>
        <v>0</v>
      </c>
      <c r="AE1087" s="1">
        <f t="shared" si="556"/>
        <v>0</v>
      </c>
      <c r="AF1087" s="1">
        <f t="shared" si="556"/>
        <v>0</v>
      </c>
      <c r="AG1087" s="1">
        <f t="shared" si="556"/>
        <v>1</v>
      </c>
      <c r="AH1087" s="1">
        <f t="shared" si="556"/>
        <v>1</v>
      </c>
      <c r="AI1087" s="44">
        <f t="shared" si="550"/>
        <v>0</v>
      </c>
      <c r="AJ1087" s="44">
        <f t="shared" si="541"/>
        <v>0</v>
      </c>
      <c r="AK1087" s="44">
        <f t="shared" si="526"/>
        <v>0</v>
      </c>
      <c r="AL1087" s="4">
        <f t="shared" si="542"/>
        <v>397</v>
      </c>
      <c r="AM1087" s="82">
        <f t="shared" si="551"/>
        <v>0</v>
      </c>
      <c r="AN1087" s="82">
        <f t="shared" si="543"/>
        <v>0</v>
      </c>
      <c r="AO1087" s="48">
        <v>0</v>
      </c>
      <c r="AP1087" s="91">
        <f t="shared" si="552"/>
        <v>0</v>
      </c>
      <c r="AQ1087" s="91">
        <f t="shared" si="553"/>
        <v>0</v>
      </c>
    </row>
    <row r="1088" spans="1:43">
      <c r="A1088" s="190">
        <f t="shared" si="544"/>
        <v>98.887577002053376</v>
      </c>
      <c r="B1088" s="82">
        <f t="shared" si="545"/>
        <v>34</v>
      </c>
      <c r="C1088" s="83">
        <f t="shared" si="546"/>
        <v>398</v>
      </c>
      <c r="D1088" s="14">
        <f t="shared" si="532"/>
        <v>2.6283369587845051E-3</v>
      </c>
      <c r="E1088" s="16">
        <f t="shared" si="533"/>
        <v>0</v>
      </c>
      <c r="F1088" s="127"/>
      <c r="G1088" s="88">
        <f t="shared" si="534"/>
        <v>0</v>
      </c>
      <c r="H1088" s="89">
        <f t="shared" si="547"/>
        <v>4.1666666666666666E-3</v>
      </c>
      <c r="I1088" s="219"/>
      <c r="J1088" s="219"/>
      <c r="K1088" s="6">
        <f t="shared" si="555"/>
        <v>0</v>
      </c>
      <c r="M1088" s="6">
        <f t="shared" si="535"/>
        <v>0</v>
      </c>
      <c r="N1088" s="6">
        <f t="shared" si="536"/>
        <v>0</v>
      </c>
      <c r="O1088" s="90">
        <f t="shared" si="537"/>
        <v>0</v>
      </c>
      <c r="P1088" s="91">
        <f t="shared" si="538"/>
        <v>0</v>
      </c>
      <c r="Q1088" s="6">
        <f t="shared" si="539"/>
        <v>0</v>
      </c>
      <c r="R1088" s="87">
        <f t="shared" ref="R1088:R1151" si="557">-MIN(MAX(O1088,P1088,Q1088,-R1076*1.02),AJ1088)</f>
        <v>0</v>
      </c>
      <c r="S1088" s="6">
        <f t="shared" si="540"/>
        <v>0</v>
      </c>
      <c r="T1088" s="83">
        <f t="shared" si="548"/>
        <v>0</v>
      </c>
      <c r="U1088" s="91">
        <f t="shared" si="554"/>
        <v>0</v>
      </c>
      <c r="V1088" s="91">
        <f t="shared" si="549"/>
        <v>0</v>
      </c>
      <c r="W1088" s="1">
        <f t="shared" si="556"/>
        <v>0</v>
      </c>
      <c r="X1088" s="1">
        <f t="shared" si="556"/>
        <v>0</v>
      </c>
      <c r="Y1088" s="1">
        <f t="shared" si="556"/>
        <v>0</v>
      </c>
      <c r="Z1088" s="1">
        <f t="shared" si="556"/>
        <v>0</v>
      </c>
      <c r="AA1088" s="1">
        <f t="shared" si="556"/>
        <v>0</v>
      </c>
      <c r="AB1088" s="1">
        <f t="shared" si="556"/>
        <v>0</v>
      </c>
      <c r="AC1088" s="1">
        <f t="shared" si="556"/>
        <v>0</v>
      </c>
      <c r="AD1088" s="1">
        <f t="shared" si="556"/>
        <v>0</v>
      </c>
      <c r="AE1088" s="1">
        <f t="shared" si="556"/>
        <v>0</v>
      </c>
      <c r="AF1088" s="1">
        <f t="shared" si="556"/>
        <v>0</v>
      </c>
      <c r="AG1088" s="1">
        <f t="shared" si="556"/>
        <v>1</v>
      </c>
      <c r="AH1088" s="1">
        <f t="shared" si="556"/>
        <v>1</v>
      </c>
      <c r="AI1088" s="44">
        <f t="shared" si="550"/>
        <v>0</v>
      </c>
      <c r="AJ1088" s="44">
        <f t="shared" si="541"/>
        <v>0</v>
      </c>
      <c r="AK1088" s="44">
        <f t="shared" ref="AK1088:AK1151" si="558">IF(R1088=0,0,IF(R1088&gt;R1076,"Y","N"))</f>
        <v>0</v>
      </c>
      <c r="AL1088" s="4">
        <f t="shared" si="542"/>
        <v>398</v>
      </c>
      <c r="AM1088" s="82">
        <f t="shared" si="551"/>
        <v>0</v>
      </c>
      <c r="AN1088" s="82">
        <f t="shared" si="543"/>
        <v>0</v>
      </c>
      <c r="AO1088" s="48">
        <v>0</v>
      </c>
      <c r="AP1088" s="91">
        <f t="shared" si="552"/>
        <v>0</v>
      </c>
      <c r="AQ1088" s="91">
        <f t="shared" si="553"/>
        <v>0</v>
      </c>
    </row>
    <row r="1089" spans="1:43">
      <c r="A1089" s="190">
        <f t="shared" si="544"/>
        <v>98.970910335386719</v>
      </c>
      <c r="B1089" s="82">
        <f t="shared" si="545"/>
        <v>34</v>
      </c>
      <c r="C1089" s="83">
        <f t="shared" si="546"/>
        <v>399</v>
      </c>
      <c r="D1089" s="14">
        <f t="shared" si="532"/>
        <v>2.6283369587845051E-3</v>
      </c>
      <c r="E1089" s="16">
        <f t="shared" si="533"/>
        <v>0</v>
      </c>
      <c r="F1089" s="127"/>
      <c r="G1089" s="88">
        <f t="shared" si="534"/>
        <v>0</v>
      </c>
      <c r="H1089" s="89">
        <f t="shared" si="547"/>
        <v>4.1666666666666666E-3</v>
      </c>
      <c r="I1089" s="219"/>
      <c r="J1089" s="219"/>
      <c r="K1089" s="6">
        <f t="shared" si="555"/>
        <v>0</v>
      </c>
      <c r="M1089" s="6">
        <f t="shared" si="535"/>
        <v>0</v>
      </c>
      <c r="N1089" s="6">
        <f t="shared" si="536"/>
        <v>0</v>
      </c>
      <c r="O1089" s="90">
        <f t="shared" si="537"/>
        <v>0</v>
      </c>
      <c r="P1089" s="91">
        <f t="shared" si="538"/>
        <v>0</v>
      </c>
      <c r="Q1089" s="6">
        <f t="shared" si="539"/>
        <v>0</v>
      </c>
      <c r="R1089" s="87">
        <f t="shared" si="557"/>
        <v>0</v>
      </c>
      <c r="S1089" s="6">
        <f t="shared" si="540"/>
        <v>0</v>
      </c>
      <c r="T1089" s="83">
        <f t="shared" si="548"/>
        <v>0</v>
      </c>
      <c r="U1089" s="91">
        <f t="shared" si="554"/>
        <v>0</v>
      </c>
      <c r="V1089" s="91">
        <f t="shared" si="549"/>
        <v>0</v>
      </c>
      <c r="W1089" s="1">
        <f t="shared" si="556"/>
        <v>0</v>
      </c>
      <c r="X1089" s="1">
        <f t="shared" si="556"/>
        <v>0</v>
      </c>
      <c r="Y1089" s="1">
        <f t="shared" si="556"/>
        <v>0</v>
      </c>
      <c r="Z1089" s="1">
        <f t="shared" si="556"/>
        <v>0</v>
      </c>
      <c r="AA1089" s="1">
        <f t="shared" si="556"/>
        <v>0</v>
      </c>
      <c r="AB1089" s="1">
        <f t="shared" si="556"/>
        <v>0</v>
      </c>
      <c r="AC1089" s="1">
        <f t="shared" si="556"/>
        <v>0</v>
      </c>
      <c r="AD1089" s="1">
        <f t="shared" si="556"/>
        <v>0</v>
      </c>
      <c r="AE1089" s="1">
        <f t="shared" si="556"/>
        <v>0</v>
      </c>
      <c r="AF1089" s="1">
        <f t="shared" si="556"/>
        <v>0</v>
      </c>
      <c r="AG1089" s="1">
        <f t="shared" si="556"/>
        <v>1</v>
      </c>
      <c r="AH1089" s="1">
        <f t="shared" si="556"/>
        <v>1</v>
      </c>
      <c r="AI1089" s="44">
        <f t="shared" si="550"/>
        <v>0</v>
      </c>
      <c r="AJ1089" s="44">
        <f t="shared" si="541"/>
        <v>0</v>
      </c>
      <c r="AK1089" s="44">
        <f t="shared" si="558"/>
        <v>0</v>
      </c>
      <c r="AL1089" s="4">
        <f t="shared" si="542"/>
        <v>399</v>
      </c>
      <c r="AM1089" s="82">
        <f t="shared" si="551"/>
        <v>0</v>
      </c>
      <c r="AN1089" s="82">
        <f t="shared" si="543"/>
        <v>0</v>
      </c>
      <c r="AO1089" s="48">
        <v>0</v>
      </c>
      <c r="AP1089" s="91">
        <f t="shared" si="552"/>
        <v>0</v>
      </c>
      <c r="AQ1089" s="91">
        <f t="shared" si="553"/>
        <v>0</v>
      </c>
    </row>
    <row r="1090" spans="1:43">
      <c r="A1090" s="190">
        <f t="shared" si="544"/>
        <v>99.054243668720048</v>
      </c>
      <c r="B1090" s="82">
        <f t="shared" si="545"/>
        <v>34</v>
      </c>
      <c r="C1090" s="83">
        <f t="shared" si="546"/>
        <v>400</v>
      </c>
      <c r="D1090" s="14">
        <f t="shared" si="532"/>
        <v>2.6283369587845051E-3</v>
      </c>
      <c r="E1090" s="16">
        <f t="shared" si="533"/>
        <v>0</v>
      </c>
      <c r="F1090" s="127"/>
      <c r="G1090" s="88">
        <f t="shared" si="534"/>
        <v>0</v>
      </c>
      <c r="H1090" s="89">
        <f t="shared" si="547"/>
        <v>4.1666666666666666E-3</v>
      </c>
      <c r="I1090" s="219"/>
      <c r="J1090" s="219"/>
      <c r="K1090" s="6">
        <f t="shared" si="555"/>
        <v>0</v>
      </c>
      <c r="M1090" s="6">
        <f t="shared" si="535"/>
        <v>0</v>
      </c>
      <c r="N1090" s="6">
        <f t="shared" si="536"/>
        <v>0</v>
      </c>
      <c r="O1090" s="90">
        <f t="shared" si="537"/>
        <v>0</v>
      </c>
      <c r="P1090" s="91">
        <f t="shared" si="538"/>
        <v>0</v>
      </c>
      <c r="Q1090" s="6">
        <f t="shared" si="539"/>
        <v>0</v>
      </c>
      <c r="R1090" s="87">
        <f t="shared" si="557"/>
        <v>0</v>
      </c>
      <c r="S1090" s="6">
        <f t="shared" si="540"/>
        <v>0</v>
      </c>
      <c r="T1090" s="83">
        <f t="shared" si="548"/>
        <v>0</v>
      </c>
      <c r="U1090" s="91">
        <f t="shared" si="554"/>
        <v>0</v>
      </c>
      <c r="V1090" s="91">
        <f t="shared" si="549"/>
        <v>0</v>
      </c>
      <c r="W1090" s="1">
        <f t="shared" si="556"/>
        <v>0</v>
      </c>
      <c r="X1090" s="1">
        <f t="shared" si="556"/>
        <v>0</v>
      </c>
      <c r="Y1090" s="1">
        <f t="shared" si="556"/>
        <v>0</v>
      </c>
      <c r="Z1090" s="1">
        <f t="shared" si="556"/>
        <v>0</v>
      </c>
      <c r="AA1090" s="1">
        <f t="shared" si="556"/>
        <v>0</v>
      </c>
      <c r="AB1090" s="1">
        <f t="shared" si="556"/>
        <v>0</v>
      </c>
      <c r="AC1090" s="1">
        <f t="shared" si="556"/>
        <v>0</v>
      </c>
      <c r="AD1090" s="1">
        <f t="shared" si="556"/>
        <v>0</v>
      </c>
      <c r="AE1090" s="1">
        <f t="shared" si="556"/>
        <v>0</v>
      </c>
      <c r="AF1090" s="1">
        <f t="shared" si="556"/>
        <v>0</v>
      </c>
      <c r="AG1090" s="1">
        <f t="shared" si="556"/>
        <v>1</v>
      </c>
      <c r="AH1090" s="1">
        <f t="shared" si="556"/>
        <v>1</v>
      </c>
      <c r="AI1090" s="44">
        <f t="shared" si="550"/>
        <v>0</v>
      </c>
      <c r="AJ1090" s="44">
        <f t="shared" si="541"/>
        <v>0</v>
      </c>
      <c r="AK1090" s="44">
        <f t="shared" si="558"/>
        <v>0</v>
      </c>
      <c r="AL1090" s="4">
        <f t="shared" si="542"/>
        <v>400</v>
      </c>
      <c r="AM1090" s="82">
        <f t="shared" si="551"/>
        <v>0</v>
      </c>
      <c r="AN1090" s="82">
        <f t="shared" si="543"/>
        <v>0</v>
      </c>
      <c r="AO1090" s="48">
        <v>0</v>
      </c>
      <c r="AP1090" s="91">
        <f t="shared" si="552"/>
        <v>0</v>
      </c>
      <c r="AQ1090" s="91">
        <f t="shared" si="553"/>
        <v>0</v>
      </c>
    </row>
    <row r="1091" spans="1:43">
      <c r="A1091" s="190">
        <f t="shared" si="544"/>
        <v>99.137577002053376</v>
      </c>
      <c r="B1091" s="82">
        <f t="shared" si="545"/>
        <v>34</v>
      </c>
      <c r="C1091" s="83">
        <f t="shared" si="546"/>
        <v>401</v>
      </c>
      <c r="D1091" s="14">
        <f t="shared" si="532"/>
        <v>2.6283369587845051E-3</v>
      </c>
      <c r="E1091" s="16">
        <f t="shared" si="533"/>
        <v>0</v>
      </c>
      <c r="F1091" s="127"/>
      <c r="G1091" s="88">
        <f t="shared" si="534"/>
        <v>0</v>
      </c>
      <c r="H1091" s="89">
        <f t="shared" si="547"/>
        <v>4.1666666666666666E-3</v>
      </c>
      <c r="I1091" s="219"/>
      <c r="J1091" s="219"/>
      <c r="K1091" s="6">
        <f t="shared" si="555"/>
        <v>0</v>
      </c>
      <c r="M1091" s="6">
        <f t="shared" si="535"/>
        <v>0</v>
      </c>
      <c r="N1091" s="6">
        <f t="shared" si="536"/>
        <v>0</v>
      </c>
      <c r="O1091" s="90">
        <f t="shared" si="537"/>
        <v>0</v>
      </c>
      <c r="P1091" s="91">
        <f t="shared" si="538"/>
        <v>0</v>
      </c>
      <c r="Q1091" s="6">
        <f t="shared" si="539"/>
        <v>0</v>
      </c>
      <c r="R1091" s="87">
        <f t="shared" si="557"/>
        <v>0</v>
      </c>
      <c r="S1091" s="6">
        <f t="shared" si="540"/>
        <v>0</v>
      </c>
      <c r="T1091" s="83">
        <f t="shared" si="548"/>
        <v>0</v>
      </c>
      <c r="U1091" s="91">
        <f t="shared" si="554"/>
        <v>0</v>
      </c>
      <c r="V1091" s="91">
        <f t="shared" si="549"/>
        <v>0</v>
      </c>
      <c r="W1091" s="1">
        <f t="shared" ref="W1091:AH1100" si="559">IF($B1091&lt;=W$78,1,0)</f>
        <v>0</v>
      </c>
      <c r="X1091" s="1">
        <f t="shared" si="559"/>
        <v>0</v>
      </c>
      <c r="Y1091" s="1">
        <f t="shared" si="559"/>
        <v>0</v>
      </c>
      <c r="Z1091" s="1">
        <f t="shared" si="559"/>
        <v>0</v>
      </c>
      <c r="AA1091" s="1">
        <f t="shared" si="559"/>
        <v>0</v>
      </c>
      <c r="AB1091" s="1">
        <f t="shared" si="559"/>
        <v>0</v>
      </c>
      <c r="AC1091" s="1">
        <f t="shared" si="559"/>
        <v>0</v>
      </c>
      <c r="AD1091" s="1">
        <f t="shared" si="559"/>
        <v>0</v>
      </c>
      <c r="AE1091" s="1">
        <f t="shared" si="559"/>
        <v>0</v>
      </c>
      <c r="AF1091" s="1">
        <f t="shared" si="559"/>
        <v>0</v>
      </c>
      <c r="AG1091" s="1">
        <f t="shared" si="559"/>
        <v>1</v>
      </c>
      <c r="AH1091" s="1">
        <f t="shared" si="559"/>
        <v>1</v>
      </c>
      <c r="AI1091" s="44">
        <f t="shared" si="550"/>
        <v>0</v>
      </c>
      <c r="AJ1091" s="44">
        <f t="shared" si="541"/>
        <v>0</v>
      </c>
      <c r="AK1091" s="44">
        <f t="shared" si="558"/>
        <v>0</v>
      </c>
      <c r="AL1091" s="4">
        <f t="shared" si="542"/>
        <v>401</v>
      </c>
      <c r="AM1091" s="82">
        <f t="shared" si="551"/>
        <v>0</v>
      </c>
      <c r="AN1091" s="82">
        <f t="shared" si="543"/>
        <v>0</v>
      </c>
      <c r="AO1091" s="48">
        <v>0</v>
      </c>
      <c r="AP1091" s="91">
        <f t="shared" si="552"/>
        <v>0</v>
      </c>
      <c r="AQ1091" s="91">
        <f t="shared" si="553"/>
        <v>0</v>
      </c>
    </row>
    <row r="1092" spans="1:43">
      <c r="A1092" s="190">
        <f t="shared" si="544"/>
        <v>99.220910335386719</v>
      </c>
      <c r="B1092" s="82">
        <f t="shared" si="545"/>
        <v>34</v>
      </c>
      <c r="C1092" s="83">
        <f t="shared" si="546"/>
        <v>402</v>
      </c>
      <c r="D1092" s="14">
        <f t="shared" si="532"/>
        <v>2.6283369587845051E-3</v>
      </c>
      <c r="E1092" s="16">
        <f t="shared" si="533"/>
        <v>0</v>
      </c>
      <c r="F1092" s="127"/>
      <c r="G1092" s="88">
        <f t="shared" si="534"/>
        <v>0</v>
      </c>
      <c r="H1092" s="89">
        <f t="shared" si="547"/>
        <v>4.1666666666666666E-3</v>
      </c>
      <c r="I1092" s="219"/>
      <c r="J1092" s="219"/>
      <c r="K1092" s="6">
        <f t="shared" si="555"/>
        <v>0</v>
      </c>
      <c r="M1092" s="6">
        <f t="shared" si="535"/>
        <v>0</v>
      </c>
      <c r="N1092" s="6">
        <f t="shared" si="536"/>
        <v>0</v>
      </c>
      <c r="O1092" s="90">
        <f t="shared" si="537"/>
        <v>0</v>
      </c>
      <c r="P1092" s="91">
        <f t="shared" si="538"/>
        <v>0</v>
      </c>
      <c r="Q1092" s="6">
        <f t="shared" si="539"/>
        <v>0</v>
      </c>
      <c r="R1092" s="87">
        <f t="shared" si="557"/>
        <v>0</v>
      </c>
      <c r="S1092" s="6">
        <f t="shared" si="540"/>
        <v>0</v>
      </c>
      <c r="T1092" s="83">
        <f t="shared" si="548"/>
        <v>0</v>
      </c>
      <c r="U1092" s="91">
        <f t="shared" si="554"/>
        <v>0</v>
      </c>
      <c r="V1092" s="91">
        <f t="shared" si="549"/>
        <v>0</v>
      </c>
      <c r="W1092" s="1">
        <f t="shared" si="559"/>
        <v>0</v>
      </c>
      <c r="X1092" s="1">
        <f t="shared" si="559"/>
        <v>0</v>
      </c>
      <c r="Y1092" s="1">
        <f t="shared" si="559"/>
        <v>0</v>
      </c>
      <c r="Z1092" s="1">
        <f t="shared" si="559"/>
        <v>0</v>
      </c>
      <c r="AA1092" s="1">
        <f t="shared" si="559"/>
        <v>0</v>
      </c>
      <c r="AB1092" s="1">
        <f t="shared" si="559"/>
        <v>0</v>
      </c>
      <c r="AC1092" s="1">
        <f t="shared" si="559"/>
        <v>0</v>
      </c>
      <c r="AD1092" s="1">
        <f t="shared" si="559"/>
        <v>0</v>
      </c>
      <c r="AE1092" s="1">
        <f t="shared" si="559"/>
        <v>0</v>
      </c>
      <c r="AF1092" s="1">
        <f t="shared" si="559"/>
        <v>0</v>
      </c>
      <c r="AG1092" s="1">
        <f t="shared" si="559"/>
        <v>1</v>
      </c>
      <c r="AH1092" s="1">
        <f t="shared" si="559"/>
        <v>1</v>
      </c>
      <c r="AI1092" s="44">
        <f t="shared" si="550"/>
        <v>0</v>
      </c>
      <c r="AJ1092" s="44">
        <f t="shared" si="541"/>
        <v>0</v>
      </c>
      <c r="AK1092" s="44">
        <f t="shared" si="558"/>
        <v>0</v>
      </c>
      <c r="AL1092" s="4">
        <f t="shared" si="542"/>
        <v>402</v>
      </c>
      <c r="AM1092" s="82">
        <f t="shared" si="551"/>
        <v>0</v>
      </c>
      <c r="AN1092" s="82">
        <f t="shared" si="543"/>
        <v>0</v>
      </c>
      <c r="AO1092" s="48">
        <v>0</v>
      </c>
      <c r="AP1092" s="91">
        <f t="shared" si="552"/>
        <v>0</v>
      </c>
      <c r="AQ1092" s="91">
        <f t="shared" si="553"/>
        <v>0</v>
      </c>
    </row>
    <row r="1093" spans="1:43">
      <c r="A1093" s="190">
        <f t="shared" si="544"/>
        <v>99.304243668720048</v>
      </c>
      <c r="B1093" s="82">
        <f t="shared" si="545"/>
        <v>34</v>
      </c>
      <c r="C1093" s="83">
        <f t="shared" si="546"/>
        <v>403</v>
      </c>
      <c r="D1093" s="14">
        <f t="shared" si="532"/>
        <v>2.6283369587845051E-3</v>
      </c>
      <c r="E1093" s="16">
        <f t="shared" si="533"/>
        <v>0</v>
      </c>
      <c r="F1093" s="127"/>
      <c r="G1093" s="88">
        <f t="shared" si="534"/>
        <v>0</v>
      </c>
      <c r="H1093" s="89">
        <f t="shared" si="547"/>
        <v>4.1666666666666666E-3</v>
      </c>
      <c r="I1093" s="219"/>
      <c r="J1093" s="219"/>
      <c r="K1093" s="6">
        <f t="shared" si="555"/>
        <v>0</v>
      </c>
      <c r="M1093" s="6">
        <f t="shared" si="535"/>
        <v>0</v>
      </c>
      <c r="N1093" s="6">
        <f t="shared" si="536"/>
        <v>0</v>
      </c>
      <c r="O1093" s="90">
        <f t="shared" si="537"/>
        <v>0</v>
      </c>
      <c r="P1093" s="91">
        <f t="shared" si="538"/>
        <v>0</v>
      </c>
      <c r="Q1093" s="6">
        <f t="shared" si="539"/>
        <v>0</v>
      </c>
      <c r="R1093" s="87">
        <f t="shared" si="557"/>
        <v>0</v>
      </c>
      <c r="S1093" s="6">
        <f t="shared" si="540"/>
        <v>0</v>
      </c>
      <c r="T1093" s="83">
        <f t="shared" si="548"/>
        <v>0</v>
      </c>
      <c r="U1093" s="91">
        <f t="shared" si="554"/>
        <v>0</v>
      </c>
      <c r="V1093" s="91">
        <f t="shared" si="549"/>
        <v>0</v>
      </c>
      <c r="W1093" s="1">
        <f t="shared" si="559"/>
        <v>0</v>
      </c>
      <c r="X1093" s="1">
        <f t="shared" si="559"/>
        <v>0</v>
      </c>
      <c r="Y1093" s="1">
        <f t="shared" si="559"/>
        <v>0</v>
      </c>
      <c r="Z1093" s="1">
        <f t="shared" si="559"/>
        <v>0</v>
      </c>
      <c r="AA1093" s="1">
        <f t="shared" si="559"/>
        <v>0</v>
      </c>
      <c r="AB1093" s="1">
        <f t="shared" si="559"/>
        <v>0</v>
      </c>
      <c r="AC1093" s="1">
        <f t="shared" si="559"/>
        <v>0</v>
      </c>
      <c r="AD1093" s="1">
        <f t="shared" si="559"/>
        <v>0</v>
      </c>
      <c r="AE1093" s="1">
        <f t="shared" si="559"/>
        <v>0</v>
      </c>
      <c r="AF1093" s="1">
        <f t="shared" si="559"/>
        <v>0</v>
      </c>
      <c r="AG1093" s="1">
        <f t="shared" si="559"/>
        <v>1</v>
      </c>
      <c r="AH1093" s="1">
        <f t="shared" si="559"/>
        <v>1</v>
      </c>
      <c r="AI1093" s="44">
        <f t="shared" si="550"/>
        <v>0</v>
      </c>
      <c r="AJ1093" s="44">
        <f t="shared" si="541"/>
        <v>0</v>
      </c>
      <c r="AK1093" s="44">
        <f t="shared" si="558"/>
        <v>0</v>
      </c>
      <c r="AL1093" s="4">
        <f t="shared" si="542"/>
        <v>403</v>
      </c>
      <c r="AM1093" s="82">
        <f t="shared" si="551"/>
        <v>0</v>
      </c>
      <c r="AN1093" s="82">
        <f t="shared" si="543"/>
        <v>0</v>
      </c>
      <c r="AO1093" s="48">
        <v>0</v>
      </c>
      <c r="AP1093" s="91">
        <f t="shared" si="552"/>
        <v>0</v>
      </c>
      <c r="AQ1093" s="91">
        <f t="shared" si="553"/>
        <v>0</v>
      </c>
    </row>
    <row r="1094" spans="1:43">
      <c r="A1094" s="190">
        <f t="shared" si="544"/>
        <v>99.387577002053376</v>
      </c>
      <c r="B1094" s="82">
        <f t="shared" si="545"/>
        <v>34</v>
      </c>
      <c r="C1094" s="83">
        <f t="shared" si="546"/>
        <v>404</v>
      </c>
      <c r="D1094" s="14">
        <f t="shared" si="532"/>
        <v>2.6283369587845051E-3</v>
      </c>
      <c r="E1094" s="16">
        <f t="shared" si="533"/>
        <v>0</v>
      </c>
      <c r="F1094" s="127"/>
      <c r="G1094" s="88">
        <f t="shared" si="534"/>
        <v>0</v>
      </c>
      <c r="H1094" s="89">
        <f t="shared" si="547"/>
        <v>4.1666666666666666E-3</v>
      </c>
      <c r="I1094" s="219"/>
      <c r="J1094" s="219"/>
      <c r="K1094" s="6">
        <f t="shared" si="555"/>
        <v>0</v>
      </c>
      <c r="M1094" s="6">
        <f t="shared" si="535"/>
        <v>0</v>
      </c>
      <c r="N1094" s="6">
        <f t="shared" si="536"/>
        <v>0</v>
      </c>
      <c r="O1094" s="90">
        <f t="shared" si="537"/>
        <v>0</v>
      </c>
      <c r="P1094" s="91">
        <f t="shared" si="538"/>
        <v>0</v>
      </c>
      <c r="Q1094" s="6">
        <f t="shared" si="539"/>
        <v>0</v>
      </c>
      <c r="R1094" s="87">
        <f t="shared" si="557"/>
        <v>0</v>
      </c>
      <c r="S1094" s="6">
        <f t="shared" si="540"/>
        <v>0</v>
      </c>
      <c r="T1094" s="83">
        <f t="shared" si="548"/>
        <v>0</v>
      </c>
      <c r="U1094" s="91">
        <f t="shared" si="554"/>
        <v>0</v>
      </c>
      <c r="V1094" s="91">
        <f t="shared" si="549"/>
        <v>0</v>
      </c>
      <c r="W1094" s="1">
        <f t="shared" si="559"/>
        <v>0</v>
      </c>
      <c r="X1094" s="1">
        <f t="shared" si="559"/>
        <v>0</v>
      </c>
      <c r="Y1094" s="1">
        <f t="shared" si="559"/>
        <v>0</v>
      </c>
      <c r="Z1094" s="1">
        <f t="shared" si="559"/>
        <v>0</v>
      </c>
      <c r="AA1094" s="1">
        <f t="shared" si="559"/>
        <v>0</v>
      </c>
      <c r="AB1094" s="1">
        <f t="shared" si="559"/>
        <v>0</v>
      </c>
      <c r="AC1094" s="1">
        <f t="shared" si="559"/>
        <v>0</v>
      </c>
      <c r="AD1094" s="1">
        <f t="shared" si="559"/>
        <v>0</v>
      </c>
      <c r="AE1094" s="1">
        <f t="shared" si="559"/>
        <v>0</v>
      </c>
      <c r="AF1094" s="1">
        <f t="shared" si="559"/>
        <v>0</v>
      </c>
      <c r="AG1094" s="1">
        <f t="shared" si="559"/>
        <v>1</v>
      </c>
      <c r="AH1094" s="1">
        <f t="shared" si="559"/>
        <v>1</v>
      </c>
      <c r="AI1094" s="44">
        <f t="shared" si="550"/>
        <v>0</v>
      </c>
      <c r="AJ1094" s="44">
        <f t="shared" si="541"/>
        <v>0</v>
      </c>
      <c r="AK1094" s="44">
        <f t="shared" si="558"/>
        <v>0</v>
      </c>
      <c r="AL1094" s="4">
        <f t="shared" si="542"/>
        <v>404</v>
      </c>
      <c r="AM1094" s="82">
        <f t="shared" si="551"/>
        <v>0</v>
      </c>
      <c r="AN1094" s="82">
        <f t="shared" si="543"/>
        <v>0</v>
      </c>
      <c r="AO1094" s="48">
        <v>0</v>
      </c>
      <c r="AP1094" s="91">
        <f t="shared" si="552"/>
        <v>0</v>
      </c>
      <c r="AQ1094" s="91">
        <f t="shared" si="553"/>
        <v>0</v>
      </c>
    </row>
    <row r="1095" spans="1:43">
      <c r="A1095" s="190">
        <f t="shared" si="544"/>
        <v>99.470910335386719</v>
      </c>
      <c r="B1095" s="82">
        <f t="shared" si="545"/>
        <v>34</v>
      </c>
      <c r="C1095" s="83">
        <f t="shared" si="546"/>
        <v>405</v>
      </c>
      <c r="D1095" s="14">
        <f t="shared" si="532"/>
        <v>2.6283369587845051E-3</v>
      </c>
      <c r="E1095" s="16">
        <f t="shared" si="533"/>
        <v>0</v>
      </c>
      <c r="F1095" s="127"/>
      <c r="G1095" s="88">
        <f t="shared" si="534"/>
        <v>0</v>
      </c>
      <c r="H1095" s="89">
        <f t="shared" si="547"/>
        <v>4.1666666666666666E-3</v>
      </c>
      <c r="I1095" s="219"/>
      <c r="J1095" s="219"/>
      <c r="K1095" s="6">
        <f t="shared" si="555"/>
        <v>0</v>
      </c>
      <c r="M1095" s="6">
        <f t="shared" si="535"/>
        <v>0</v>
      </c>
      <c r="N1095" s="6">
        <f t="shared" si="536"/>
        <v>0</v>
      </c>
      <c r="O1095" s="90">
        <f t="shared" si="537"/>
        <v>0</v>
      </c>
      <c r="P1095" s="91">
        <f t="shared" si="538"/>
        <v>0</v>
      </c>
      <c r="Q1095" s="6">
        <f t="shared" si="539"/>
        <v>0</v>
      </c>
      <c r="R1095" s="87">
        <f t="shared" si="557"/>
        <v>0</v>
      </c>
      <c r="S1095" s="6">
        <f t="shared" si="540"/>
        <v>0</v>
      </c>
      <c r="T1095" s="83">
        <f t="shared" si="548"/>
        <v>0</v>
      </c>
      <c r="U1095" s="91">
        <f t="shared" si="554"/>
        <v>0</v>
      </c>
      <c r="V1095" s="91">
        <f t="shared" si="549"/>
        <v>0</v>
      </c>
      <c r="W1095" s="1">
        <f t="shared" si="559"/>
        <v>0</v>
      </c>
      <c r="X1095" s="1">
        <f t="shared" si="559"/>
        <v>0</v>
      </c>
      <c r="Y1095" s="1">
        <f t="shared" si="559"/>
        <v>0</v>
      </c>
      <c r="Z1095" s="1">
        <f t="shared" si="559"/>
        <v>0</v>
      </c>
      <c r="AA1095" s="1">
        <f t="shared" si="559"/>
        <v>0</v>
      </c>
      <c r="AB1095" s="1">
        <f t="shared" si="559"/>
        <v>0</v>
      </c>
      <c r="AC1095" s="1">
        <f t="shared" si="559"/>
        <v>0</v>
      </c>
      <c r="AD1095" s="1">
        <f t="shared" si="559"/>
        <v>0</v>
      </c>
      <c r="AE1095" s="1">
        <f t="shared" si="559"/>
        <v>0</v>
      </c>
      <c r="AF1095" s="1">
        <f t="shared" si="559"/>
        <v>0</v>
      </c>
      <c r="AG1095" s="1">
        <f t="shared" si="559"/>
        <v>1</v>
      </c>
      <c r="AH1095" s="1">
        <f t="shared" si="559"/>
        <v>1</v>
      </c>
      <c r="AI1095" s="44">
        <f t="shared" si="550"/>
        <v>0</v>
      </c>
      <c r="AJ1095" s="44">
        <f t="shared" si="541"/>
        <v>0</v>
      </c>
      <c r="AK1095" s="44">
        <f t="shared" si="558"/>
        <v>0</v>
      </c>
      <c r="AL1095" s="4">
        <f t="shared" si="542"/>
        <v>405</v>
      </c>
      <c r="AM1095" s="82">
        <f t="shared" si="551"/>
        <v>0</v>
      </c>
      <c r="AN1095" s="82">
        <f t="shared" si="543"/>
        <v>0</v>
      </c>
      <c r="AO1095" s="48">
        <v>0</v>
      </c>
      <c r="AP1095" s="91">
        <f t="shared" si="552"/>
        <v>0</v>
      </c>
      <c r="AQ1095" s="91">
        <f t="shared" si="553"/>
        <v>0</v>
      </c>
    </row>
    <row r="1096" spans="1:43">
      <c r="A1096" s="190">
        <f t="shared" si="544"/>
        <v>99.554243668720048</v>
      </c>
      <c r="B1096" s="82">
        <f t="shared" si="545"/>
        <v>34</v>
      </c>
      <c r="C1096" s="83">
        <f t="shared" si="546"/>
        <v>406</v>
      </c>
      <c r="D1096" s="14">
        <f t="shared" si="532"/>
        <v>2.6283369587845051E-3</v>
      </c>
      <c r="E1096" s="16">
        <f t="shared" si="533"/>
        <v>0</v>
      </c>
      <c r="F1096" s="127"/>
      <c r="G1096" s="88">
        <f t="shared" si="534"/>
        <v>0</v>
      </c>
      <c r="H1096" s="89">
        <f t="shared" si="547"/>
        <v>4.1666666666666666E-3</v>
      </c>
      <c r="I1096" s="219"/>
      <c r="J1096" s="219"/>
      <c r="K1096" s="6">
        <f t="shared" si="555"/>
        <v>0</v>
      </c>
      <c r="M1096" s="6">
        <f t="shared" si="535"/>
        <v>0</v>
      </c>
      <c r="N1096" s="6">
        <f t="shared" si="536"/>
        <v>0</v>
      </c>
      <c r="O1096" s="90">
        <f t="shared" si="537"/>
        <v>0</v>
      </c>
      <c r="P1096" s="91">
        <f t="shared" si="538"/>
        <v>0</v>
      </c>
      <c r="Q1096" s="6">
        <f t="shared" si="539"/>
        <v>0</v>
      </c>
      <c r="R1096" s="87">
        <f t="shared" si="557"/>
        <v>0</v>
      </c>
      <c r="S1096" s="6">
        <f t="shared" si="540"/>
        <v>0</v>
      </c>
      <c r="T1096" s="83">
        <f t="shared" si="548"/>
        <v>0</v>
      </c>
      <c r="U1096" s="91">
        <f t="shared" si="554"/>
        <v>0</v>
      </c>
      <c r="V1096" s="91">
        <f t="shared" si="549"/>
        <v>0</v>
      </c>
      <c r="W1096" s="1">
        <f t="shared" si="559"/>
        <v>0</v>
      </c>
      <c r="X1096" s="1">
        <f t="shared" si="559"/>
        <v>0</v>
      </c>
      <c r="Y1096" s="1">
        <f t="shared" si="559"/>
        <v>0</v>
      </c>
      <c r="Z1096" s="1">
        <f t="shared" si="559"/>
        <v>0</v>
      </c>
      <c r="AA1096" s="1">
        <f t="shared" si="559"/>
        <v>0</v>
      </c>
      <c r="AB1096" s="1">
        <f t="shared" si="559"/>
        <v>0</v>
      </c>
      <c r="AC1096" s="1">
        <f t="shared" si="559"/>
        <v>0</v>
      </c>
      <c r="AD1096" s="1">
        <f t="shared" si="559"/>
        <v>0</v>
      </c>
      <c r="AE1096" s="1">
        <f t="shared" si="559"/>
        <v>0</v>
      </c>
      <c r="AF1096" s="1">
        <f t="shared" si="559"/>
        <v>0</v>
      </c>
      <c r="AG1096" s="1">
        <f t="shared" si="559"/>
        <v>1</v>
      </c>
      <c r="AH1096" s="1">
        <f t="shared" si="559"/>
        <v>1</v>
      </c>
      <c r="AI1096" s="44">
        <f t="shared" si="550"/>
        <v>0</v>
      </c>
      <c r="AJ1096" s="44">
        <f t="shared" si="541"/>
        <v>0</v>
      </c>
      <c r="AK1096" s="44">
        <f t="shared" si="558"/>
        <v>0</v>
      </c>
      <c r="AL1096" s="4">
        <f t="shared" si="542"/>
        <v>406</v>
      </c>
      <c r="AM1096" s="82">
        <f t="shared" si="551"/>
        <v>0</v>
      </c>
      <c r="AN1096" s="82">
        <f t="shared" si="543"/>
        <v>0</v>
      </c>
      <c r="AO1096" s="48">
        <v>0</v>
      </c>
      <c r="AP1096" s="91">
        <f t="shared" si="552"/>
        <v>0</v>
      </c>
      <c r="AQ1096" s="91">
        <f t="shared" si="553"/>
        <v>0</v>
      </c>
    </row>
    <row r="1097" spans="1:43">
      <c r="A1097" s="190">
        <f t="shared" si="544"/>
        <v>99.637577002053376</v>
      </c>
      <c r="B1097" s="82">
        <f t="shared" si="545"/>
        <v>34</v>
      </c>
      <c r="C1097" s="83">
        <f t="shared" si="546"/>
        <v>407</v>
      </c>
      <c r="D1097" s="14">
        <f t="shared" si="532"/>
        <v>2.6283369587845051E-3</v>
      </c>
      <c r="E1097" s="16">
        <f t="shared" si="533"/>
        <v>0</v>
      </c>
      <c r="F1097" s="127"/>
      <c r="G1097" s="88">
        <f t="shared" si="534"/>
        <v>0</v>
      </c>
      <c r="H1097" s="89">
        <f t="shared" si="547"/>
        <v>4.1666666666666666E-3</v>
      </c>
      <c r="I1097" s="219"/>
      <c r="J1097" s="219"/>
      <c r="K1097" s="6">
        <f t="shared" si="555"/>
        <v>0</v>
      </c>
      <c r="M1097" s="6">
        <f t="shared" si="535"/>
        <v>0</v>
      </c>
      <c r="N1097" s="6">
        <f t="shared" si="536"/>
        <v>0</v>
      </c>
      <c r="O1097" s="90">
        <f t="shared" si="537"/>
        <v>0</v>
      </c>
      <c r="P1097" s="91">
        <f t="shared" si="538"/>
        <v>0</v>
      </c>
      <c r="Q1097" s="6">
        <f t="shared" si="539"/>
        <v>0</v>
      </c>
      <c r="R1097" s="87">
        <f t="shared" si="557"/>
        <v>0</v>
      </c>
      <c r="S1097" s="6">
        <f t="shared" si="540"/>
        <v>0</v>
      </c>
      <c r="T1097" s="83">
        <f t="shared" si="548"/>
        <v>0</v>
      </c>
      <c r="U1097" s="91">
        <f t="shared" si="554"/>
        <v>0</v>
      </c>
      <c r="V1097" s="91">
        <f t="shared" si="549"/>
        <v>0</v>
      </c>
      <c r="W1097" s="1">
        <f t="shared" si="559"/>
        <v>0</v>
      </c>
      <c r="X1097" s="1">
        <f t="shared" si="559"/>
        <v>0</v>
      </c>
      <c r="Y1097" s="1">
        <f t="shared" si="559"/>
        <v>0</v>
      </c>
      <c r="Z1097" s="1">
        <f t="shared" si="559"/>
        <v>0</v>
      </c>
      <c r="AA1097" s="1">
        <f t="shared" si="559"/>
        <v>0</v>
      </c>
      <c r="AB1097" s="1">
        <f t="shared" si="559"/>
        <v>0</v>
      </c>
      <c r="AC1097" s="1">
        <f t="shared" si="559"/>
        <v>0</v>
      </c>
      <c r="AD1097" s="1">
        <f t="shared" si="559"/>
        <v>0</v>
      </c>
      <c r="AE1097" s="1">
        <f t="shared" si="559"/>
        <v>0</v>
      </c>
      <c r="AF1097" s="1">
        <f t="shared" si="559"/>
        <v>0</v>
      </c>
      <c r="AG1097" s="1">
        <f t="shared" si="559"/>
        <v>1</v>
      </c>
      <c r="AH1097" s="1">
        <f t="shared" si="559"/>
        <v>1</v>
      </c>
      <c r="AI1097" s="44">
        <f t="shared" si="550"/>
        <v>0</v>
      </c>
      <c r="AJ1097" s="44">
        <f t="shared" si="541"/>
        <v>0</v>
      </c>
      <c r="AK1097" s="44">
        <f t="shared" si="558"/>
        <v>0</v>
      </c>
      <c r="AL1097" s="4">
        <f t="shared" si="542"/>
        <v>407</v>
      </c>
      <c r="AM1097" s="82">
        <f t="shared" si="551"/>
        <v>0</v>
      </c>
      <c r="AN1097" s="82">
        <f t="shared" si="543"/>
        <v>0</v>
      </c>
      <c r="AO1097" s="48">
        <v>0</v>
      </c>
      <c r="AP1097" s="91">
        <f t="shared" si="552"/>
        <v>0</v>
      </c>
      <c r="AQ1097" s="91">
        <f t="shared" si="553"/>
        <v>0</v>
      </c>
    </row>
    <row r="1098" spans="1:43">
      <c r="A1098" s="190">
        <f t="shared" si="544"/>
        <v>99.720910335386719</v>
      </c>
      <c r="B1098" s="82">
        <f t="shared" si="545"/>
        <v>34</v>
      </c>
      <c r="C1098" s="83">
        <f t="shared" si="546"/>
        <v>408</v>
      </c>
      <c r="D1098" s="14">
        <f t="shared" si="532"/>
        <v>2.6283369587845051E-3</v>
      </c>
      <c r="E1098" s="16">
        <f t="shared" si="533"/>
        <v>0</v>
      </c>
      <c r="F1098" s="127"/>
      <c r="G1098" s="88">
        <f t="shared" si="534"/>
        <v>0</v>
      </c>
      <c r="H1098" s="89">
        <f t="shared" si="547"/>
        <v>4.1666666666666666E-3</v>
      </c>
      <c r="I1098" s="219"/>
      <c r="J1098" s="219"/>
      <c r="K1098" s="6">
        <f t="shared" si="555"/>
        <v>0</v>
      </c>
      <c r="M1098" s="6">
        <f t="shared" si="535"/>
        <v>0</v>
      </c>
      <c r="N1098" s="6">
        <f t="shared" si="536"/>
        <v>0</v>
      </c>
      <c r="O1098" s="90">
        <f t="shared" si="537"/>
        <v>0</v>
      </c>
      <c r="P1098" s="91">
        <f t="shared" si="538"/>
        <v>0</v>
      </c>
      <c r="Q1098" s="6">
        <f t="shared" si="539"/>
        <v>0</v>
      </c>
      <c r="R1098" s="87">
        <f t="shared" si="557"/>
        <v>0</v>
      </c>
      <c r="S1098" s="6">
        <f t="shared" si="540"/>
        <v>0</v>
      </c>
      <c r="T1098" s="83">
        <f t="shared" si="548"/>
        <v>0</v>
      </c>
      <c r="U1098" s="91">
        <f t="shared" si="554"/>
        <v>0</v>
      </c>
      <c r="V1098" s="91">
        <f t="shared" si="549"/>
        <v>0</v>
      </c>
      <c r="W1098" s="1">
        <f t="shared" si="559"/>
        <v>0</v>
      </c>
      <c r="X1098" s="1">
        <f t="shared" si="559"/>
        <v>0</v>
      </c>
      <c r="Y1098" s="1">
        <f t="shared" si="559"/>
        <v>0</v>
      </c>
      <c r="Z1098" s="1">
        <f t="shared" si="559"/>
        <v>0</v>
      </c>
      <c r="AA1098" s="1">
        <f t="shared" si="559"/>
        <v>0</v>
      </c>
      <c r="AB1098" s="1">
        <f t="shared" si="559"/>
        <v>0</v>
      </c>
      <c r="AC1098" s="1">
        <f t="shared" si="559"/>
        <v>0</v>
      </c>
      <c r="AD1098" s="1">
        <f t="shared" si="559"/>
        <v>0</v>
      </c>
      <c r="AE1098" s="1">
        <f t="shared" si="559"/>
        <v>0</v>
      </c>
      <c r="AF1098" s="1">
        <f t="shared" si="559"/>
        <v>0</v>
      </c>
      <c r="AG1098" s="1">
        <f t="shared" si="559"/>
        <v>1</v>
      </c>
      <c r="AH1098" s="1">
        <f t="shared" si="559"/>
        <v>1</v>
      </c>
      <c r="AI1098" s="44">
        <f t="shared" si="550"/>
        <v>0</v>
      </c>
      <c r="AJ1098" s="44">
        <f t="shared" si="541"/>
        <v>0</v>
      </c>
      <c r="AK1098" s="44">
        <f t="shared" si="558"/>
        <v>0</v>
      </c>
      <c r="AL1098" s="4">
        <f t="shared" si="542"/>
        <v>408</v>
      </c>
      <c r="AM1098" s="82">
        <f t="shared" si="551"/>
        <v>0</v>
      </c>
      <c r="AN1098" s="82">
        <f t="shared" si="543"/>
        <v>0</v>
      </c>
      <c r="AO1098" s="48">
        <v>0</v>
      </c>
      <c r="AP1098" s="91">
        <f t="shared" si="552"/>
        <v>0</v>
      </c>
      <c r="AQ1098" s="91">
        <f t="shared" si="553"/>
        <v>0</v>
      </c>
    </row>
    <row r="1099" spans="1:43">
      <c r="A1099" s="190">
        <f t="shared" si="544"/>
        <v>99.804243668720048</v>
      </c>
      <c r="B1099" s="82">
        <f t="shared" si="545"/>
        <v>35</v>
      </c>
      <c r="C1099" s="83">
        <f t="shared" si="546"/>
        <v>409</v>
      </c>
      <c r="D1099" s="14">
        <f t="shared" si="532"/>
        <v>2.6283369587845051E-3</v>
      </c>
      <c r="E1099" s="16">
        <f t="shared" si="533"/>
        <v>0</v>
      </c>
      <c r="F1099" s="127"/>
      <c r="G1099" s="88">
        <f t="shared" si="534"/>
        <v>0</v>
      </c>
      <c r="H1099" s="89">
        <f t="shared" si="547"/>
        <v>4.1666666666666666E-3</v>
      </c>
      <c r="I1099" s="219"/>
      <c r="J1099" s="219"/>
      <c r="K1099" s="6">
        <f t="shared" si="555"/>
        <v>0</v>
      </c>
      <c r="M1099" s="6">
        <f t="shared" si="535"/>
        <v>0</v>
      </c>
      <c r="N1099" s="6">
        <f t="shared" si="536"/>
        <v>0</v>
      </c>
      <c r="O1099" s="90">
        <f t="shared" si="537"/>
        <v>0</v>
      </c>
      <c r="P1099" s="91">
        <f t="shared" si="538"/>
        <v>0</v>
      </c>
      <c r="Q1099" s="6">
        <f t="shared" si="539"/>
        <v>0</v>
      </c>
      <c r="R1099" s="87">
        <f t="shared" si="557"/>
        <v>0</v>
      </c>
      <c r="S1099" s="6">
        <f t="shared" si="540"/>
        <v>0</v>
      </c>
      <c r="T1099" s="83">
        <f t="shared" si="548"/>
        <v>0</v>
      </c>
      <c r="U1099" s="91">
        <f t="shared" si="554"/>
        <v>0</v>
      </c>
      <c r="V1099" s="91">
        <f t="shared" si="549"/>
        <v>0</v>
      </c>
      <c r="W1099" s="1">
        <f t="shared" si="559"/>
        <v>0</v>
      </c>
      <c r="X1099" s="1">
        <f t="shared" si="559"/>
        <v>0</v>
      </c>
      <c r="Y1099" s="1">
        <f t="shared" si="559"/>
        <v>0</v>
      </c>
      <c r="Z1099" s="1">
        <f t="shared" si="559"/>
        <v>0</v>
      </c>
      <c r="AA1099" s="1">
        <f t="shared" si="559"/>
        <v>0</v>
      </c>
      <c r="AB1099" s="1">
        <f t="shared" si="559"/>
        <v>0</v>
      </c>
      <c r="AC1099" s="1">
        <f t="shared" si="559"/>
        <v>0</v>
      </c>
      <c r="AD1099" s="1">
        <f t="shared" si="559"/>
        <v>0</v>
      </c>
      <c r="AE1099" s="1">
        <f t="shared" si="559"/>
        <v>0</v>
      </c>
      <c r="AF1099" s="1">
        <f t="shared" si="559"/>
        <v>0</v>
      </c>
      <c r="AG1099" s="1">
        <f t="shared" si="559"/>
        <v>1</v>
      </c>
      <c r="AH1099" s="1">
        <f t="shared" si="559"/>
        <v>1</v>
      </c>
      <c r="AI1099" s="44">
        <f t="shared" si="550"/>
        <v>0</v>
      </c>
      <c r="AJ1099" s="44">
        <f t="shared" si="541"/>
        <v>0</v>
      </c>
      <c r="AK1099" s="44">
        <f t="shared" si="558"/>
        <v>0</v>
      </c>
      <c r="AL1099" s="4">
        <f t="shared" si="542"/>
        <v>409</v>
      </c>
      <c r="AM1099" s="82">
        <f t="shared" si="551"/>
        <v>0</v>
      </c>
      <c r="AN1099" s="82">
        <f t="shared" si="543"/>
        <v>0</v>
      </c>
      <c r="AO1099" s="48">
        <v>0</v>
      </c>
      <c r="AP1099" s="91">
        <f t="shared" si="552"/>
        <v>0</v>
      </c>
      <c r="AQ1099" s="91">
        <f t="shared" si="553"/>
        <v>0</v>
      </c>
    </row>
    <row r="1100" spans="1:43">
      <c r="A1100" s="190">
        <f t="shared" si="544"/>
        <v>99.887577002053376</v>
      </c>
      <c r="B1100" s="82">
        <f t="shared" si="545"/>
        <v>35</v>
      </c>
      <c r="C1100" s="83">
        <f t="shared" si="546"/>
        <v>410</v>
      </c>
      <c r="D1100" s="14">
        <f t="shared" si="532"/>
        <v>2.6283369587845051E-3</v>
      </c>
      <c r="E1100" s="16">
        <f t="shared" si="533"/>
        <v>0</v>
      </c>
      <c r="F1100" s="127"/>
      <c r="G1100" s="88">
        <f t="shared" si="534"/>
        <v>0</v>
      </c>
      <c r="H1100" s="89">
        <f t="shared" si="547"/>
        <v>4.1666666666666666E-3</v>
      </c>
      <c r="I1100" s="219"/>
      <c r="J1100" s="219"/>
      <c r="K1100" s="6">
        <f t="shared" si="555"/>
        <v>0</v>
      </c>
      <c r="M1100" s="6">
        <f t="shared" si="535"/>
        <v>0</v>
      </c>
      <c r="N1100" s="6">
        <f t="shared" si="536"/>
        <v>0</v>
      </c>
      <c r="O1100" s="90">
        <f t="shared" si="537"/>
        <v>0</v>
      </c>
      <c r="P1100" s="91">
        <f t="shared" si="538"/>
        <v>0</v>
      </c>
      <c r="Q1100" s="6">
        <f t="shared" si="539"/>
        <v>0</v>
      </c>
      <c r="R1100" s="87">
        <f t="shared" si="557"/>
        <v>0</v>
      </c>
      <c r="S1100" s="6">
        <f t="shared" si="540"/>
        <v>0</v>
      </c>
      <c r="T1100" s="83">
        <f t="shared" si="548"/>
        <v>0</v>
      </c>
      <c r="U1100" s="91">
        <f t="shared" si="554"/>
        <v>0</v>
      </c>
      <c r="V1100" s="91">
        <f t="shared" si="549"/>
        <v>0</v>
      </c>
      <c r="W1100" s="1">
        <f t="shared" si="559"/>
        <v>0</v>
      </c>
      <c r="X1100" s="1">
        <f t="shared" si="559"/>
        <v>0</v>
      </c>
      <c r="Y1100" s="1">
        <f t="shared" si="559"/>
        <v>0</v>
      </c>
      <c r="Z1100" s="1">
        <f t="shared" si="559"/>
        <v>0</v>
      </c>
      <c r="AA1100" s="1">
        <f t="shared" si="559"/>
        <v>0</v>
      </c>
      <c r="AB1100" s="1">
        <f t="shared" si="559"/>
        <v>0</v>
      </c>
      <c r="AC1100" s="1">
        <f t="shared" si="559"/>
        <v>0</v>
      </c>
      <c r="AD1100" s="1">
        <f t="shared" si="559"/>
        <v>0</v>
      </c>
      <c r="AE1100" s="1">
        <f t="shared" si="559"/>
        <v>0</v>
      </c>
      <c r="AF1100" s="1">
        <f t="shared" si="559"/>
        <v>0</v>
      </c>
      <c r="AG1100" s="1">
        <f t="shared" si="559"/>
        <v>1</v>
      </c>
      <c r="AH1100" s="1">
        <f t="shared" si="559"/>
        <v>1</v>
      </c>
      <c r="AI1100" s="44">
        <f t="shared" si="550"/>
        <v>0</v>
      </c>
      <c r="AJ1100" s="44">
        <f t="shared" si="541"/>
        <v>0</v>
      </c>
      <c r="AK1100" s="44">
        <f t="shared" si="558"/>
        <v>0</v>
      </c>
      <c r="AL1100" s="4">
        <f t="shared" si="542"/>
        <v>410</v>
      </c>
      <c r="AM1100" s="82">
        <f t="shared" si="551"/>
        <v>0</v>
      </c>
      <c r="AN1100" s="82">
        <f t="shared" si="543"/>
        <v>0</v>
      </c>
      <c r="AO1100" s="48">
        <v>0</v>
      </c>
      <c r="AP1100" s="91">
        <f t="shared" si="552"/>
        <v>0</v>
      </c>
      <c r="AQ1100" s="91">
        <f t="shared" si="553"/>
        <v>0</v>
      </c>
    </row>
    <row r="1101" spans="1:43">
      <c r="A1101" s="190">
        <f t="shared" si="544"/>
        <v>99.970910335386719</v>
      </c>
      <c r="B1101" s="82">
        <f t="shared" si="545"/>
        <v>35</v>
      </c>
      <c r="C1101" s="83">
        <f t="shared" si="546"/>
        <v>411</v>
      </c>
      <c r="D1101" s="14">
        <f t="shared" si="532"/>
        <v>2.6283369587845051E-3</v>
      </c>
      <c r="E1101" s="16">
        <f t="shared" si="533"/>
        <v>0</v>
      </c>
      <c r="F1101" s="127"/>
      <c r="G1101" s="88">
        <f t="shared" si="534"/>
        <v>0</v>
      </c>
      <c r="H1101" s="89">
        <f t="shared" si="547"/>
        <v>4.1666666666666666E-3</v>
      </c>
      <c r="I1101" s="219"/>
      <c r="J1101" s="219"/>
      <c r="K1101" s="6">
        <f t="shared" si="555"/>
        <v>0</v>
      </c>
      <c r="M1101" s="6">
        <f t="shared" si="535"/>
        <v>0</v>
      </c>
      <c r="N1101" s="6">
        <f t="shared" si="536"/>
        <v>0</v>
      </c>
      <c r="O1101" s="90">
        <f t="shared" si="537"/>
        <v>0</v>
      </c>
      <c r="P1101" s="91">
        <f t="shared" si="538"/>
        <v>0</v>
      </c>
      <c r="Q1101" s="6">
        <f t="shared" si="539"/>
        <v>0</v>
      </c>
      <c r="R1101" s="87">
        <f t="shared" si="557"/>
        <v>0</v>
      </c>
      <c r="S1101" s="6">
        <f t="shared" si="540"/>
        <v>0</v>
      </c>
      <c r="T1101" s="83">
        <f t="shared" si="548"/>
        <v>0</v>
      </c>
      <c r="U1101" s="91">
        <f t="shared" si="554"/>
        <v>0</v>
      </c>
      <c r="V1101" s="91">
        <f t="shared" si="549"/>
        <v>0</v>
      </c>
      <c r="W1101" s="1">
        <f t="shared" ref="W1101:AH1110" si="560">IF($B1101&lt;=W$78,1,0)</f>
        <v>0</v>
      </c>
      <c r="X1101" s="1">
        <f t="shared" si="560"/>
        <v>0</v>
      </c>
      <c r="Y1101" s="1">
        <f t="shared" si="560"/>
        <v>0</v>
      </c>
      <c r="Z1101" s="1">
        <f t="shared" si="560"/>
        <v>0</v>
      </c>
      <c r="AA1101" s="1">
        <f t="shared" si="560"/>
        <v>0</v>
      </c>
      <c r="AB1101" s="1">
        <f t="shared" si="560"/>
        <v>0</v>
      </c>
      <c r="AC1101" s="1">
        <f t="shared" si="560"/>
        <v>0</v>
      </c>
      <c r="AD1101" s="1">
        <f t="shared" si="560"/>
        <v>0</v>
      </c>
      <c r="AE1101" s="1">
        <f t="shared" si="560"/>
        <v>0</v>
      </c>
      <c r="AF1101" s="1">
        <f t="shared" si="560"/>
        <v>0</v>
      </c>
      <c r="AG1101" s="1">
        <f t="shared" si="560"/>
        <v>1</v>
      </c>
      <c r="AH1101" s="1">
        <f t="shared" si="560"/>
        <v>1</v>
      </c>
      <c r="AI1101" s="44">
        <f t="shared" si="550"/>
        <v>0</v>
      </c>
      <c r="AJ1101" s="44">
        <f t="shared" si="541"/>
        <v>0</v>
      </c>
      <c r="AK1101" s="44">
        <f t="shared" si="558"/>
        <v>0</v>
      </c>
      <c r="AL1101" s="4">
        <f t="shared" si="542"/>
        <v>411</v>
      </c>
      <c r="AM1101" s="82">
        <f t="shared" si="551"/>
        <v>0</v>
      </c>
      <c r="AN1101" s="82">
        <f t="shared" si="543"/>
        <v>0</v>
      </c>
      <c r="AO1101" s="48">
        <v>0</v>
      </c>
      <c r="AP1101" s="91">
        <f t="shared" si="552"/>
        <v>0</v>
      </c>
      <c r="AQ1101" s="91">
        <f t="shared" si="553"/>
        <v>0</v>
      </c>
    </row>
    <row r="1102" spans="1:43">
      <c r="A1102" s="190">
        <f t="shared" si="544"/>
        <v>100.05424366872005</v>
      </c>
      <c r="B1102" s="82">
        <f t="shared" si="545"/>
        <v>35</v>
      </c>
      <c r="C1102" s="83">
        <f t="shared" si="546"/>
        <v>412</v>
      </c>
      <c r="D1102" s="14">
        <f t="shared" si="532"/>
        <v>2.6283369587845051E-3</v>
      </c>
      <c r="E1102" s="16">
        <f t="shared" si="533"/>
        <v>0</v>
      </c>
      <c r="F1102" s="127"/>
      <c r="G1102" s="88">
        <f t="shared" si="534"/>
        <v>0</v>
      </c>
      <c r="H1102" s="89">
        <f t="shared" si="547"/>
        <v>4.1666666666666666E-3</v>
      </c>
      <c r="I1102" s="219"/>
      <c r="J1102" s="219"/>
      <c r="K1102" s="6">
        <f t="shared" si="555"/>
        <v>0</v>
      </c>
      <c r="M1102" s="6">
        <f t="shared" si="535"/>
        <v>0</v>
      </c>
      <c r="N1102" s="6">
        <f t="shared" si="536"/>
        <v>0</v>
      </c>
      <c r="O1102" s="90">
        <f t="shared" si="537"/>
        <v>0</v>
      </c>
      <c r="P1102" s="91">
        <f t="shared" si="538"/>
        <v>0</v>
      </c>
      <c r="Q1102" s="6">
        <f t="shared" si="539"/>
        <v>0</v>
      </c>
      <c r="R1102" s="87">
        <f t="shared" si="557"/>
        <v>0</v>
      </c>
      <c r="S1102" s="6">
        <f t="shared" si="540"/>
        <v>0</v>
      </c>
      <c r="T1102" s="83">
        <f t="shared" si="548"/>
        <v>0</v>
      </c>
      <c r="U1102" s="91">
        <f t="shared" si="554"/>
        <v>0</v>
      </c>
      <c r="V1102" s="91">
        <f t="shared" si="549"/>
        <v>0</v>
      </c>
      <c r="W1102" s="1">
        <f t="shared" si="560"/>
        <v>0</v>
      </c>
      <c r="X1102" s="1">
        <f t="shared" si="560"/>
        <v>0</v>
      </c>
      <c r="Y1102" s="1">
        <f t="shared" si="560"/>
        <v>0</v>
      </c>
      <c r="Z1102" s="1">
        <f t="shared" si="560"/>
        <v>0</v>
      </c>
      <c r="AA1102" s="1">
        <f t="shared" si="560"/>
        <v>0</v>
      </c>
      <c r="AB1102" s="1">
        <f t="shared" si="560"/>
        <v>0</v>
      </c>
      <c r="AC1102" s="1">
        <f t="shared" si="560"/>
        <v>0</v>
      </c>
      <c r="AD1102" s="1">
        <f t="shared" si="560"/>
        <v>0</v>
      </c>
      <c r="AE1102" s="1">
        <f t="shared" si="560"/>
        <v>0</v>
      </c>
      <c r="AF1102" s="1">
        <f t="shared" si="560"/>
        <v>0</v>
      </c>
      <c r="AG1102" s="1">
        <f t="shared" si="560"/>
        <v>1</v>
      </c>
      <c r="AH1102" s="1">
        <f t="shared" si="560"/>
        <v>1</v>
      </c>
      <c r="AI1102" s="44">
        <f t="shared" si="550"/>
        <v>0</v>
      </c>
      <c r="AJ1102" s="44">
        <f t="shared" si="541"/>
        <v>0</v>
      </c>
      <c r="AK1102" s="44">
        <f t="shared" si="558"/>
        <v>0</v>
      </c>
      <c r="AL1102" s="4">
        <f t="shared" si="542"/>
        <v>412</v>
      </c>
      <c r="AM1102" s="82">
        <f t="shared" si="551"/>
        <v>0</v>
      </c>
      <c r="AN1102" s="82">
        <f t="shared" si="543"/>
        <v>0</v>
      </c>
      <c r="AO1102" s="48">
        <v>0</v>
      </c>
      <c r="AP1102" s="91">
        <f t="shared" si="552"/>
        <v>0</v>
      </c>
      <c r="AQ1102" s="91">
        <f t="shared" si="553"/>
        <v>0</v>
      </c>
    </row>
    <row r="1103" spans="1:43">
      <c r="A1103" s="190">
        <f t="shared" si="544"/>
        <v>100.13757700205338</v>
      </c>
      <c r="B1103" s="82">
        <f t="shared" si="545"/>
        <v>35</v>
      </c>
      <c r="C1103" s="83">
        <f t="shared" si="546"/>
        <v>413</v>
      </c>
      <c r="D1103" s="14">
        <f t="shared" si="532"/>
        <v>2.6283369587845051E-3</v>
      </c>
      <c r="E1103" s="16">
        <f t="shared" si="533"/>
        <v>0</v>
      </c>
      <c r="F1103" s="127"/>
      <c r="G1103" s="88">
        <f t="shared" si="534"/>
        <v>0</v>
      </c>
      <c r="H1103" s="89">
        <f t="shared" si="547"/>
        <v>4.1666666666666666E-3</v>
      </c>
      <c r="I1103" s="219"/>
      <c r="J1103" s="219"/>
      <c r="K1103" s="6">
        <f t="shared" si="555"/>
        <v>0</v>
      </c>
      <c r="M1103" s="6">
        <f t="shared" si="535"/>
        <v>0</v>
      </c>
      <c r="N1103" s="6">
        <f t="shared" si="536"/>
        <v>0</v>
      </c>
      <c r="O1103" s="90">
        <f t="shared" si="537"/>
        <v>0</v>
      </c>
      <c r="P1103" s="91">
        <f t="shared" si="538"/>
        <v>0</v>
      </c>
      <c r="Q1103" s="6">
        <f t="shared" si="539"/>
        <v>0</v>
      </c>
      <c r="R1103" s="87">
        <f t="shared" si="557"/>
        <v>0</v>
      </c>
      <c r="S1103" s="6">
        <f t="shared" si="540"/>
        <v>0</v>
      </c>
      <c r="T1103" s="83">
        <f t="shared" si="548"/>
        <v>0</v>
      </c>
      <c r="U1103" s="91">
        <f t="shared" si="554"/>
        <v>0</v>
      </c>
      <c r="V1103" s="91">
        <f t="shared" si="549"/>
        <v>0</v>
      </c>
      <c r="W1103" s="1">
        <f t="shared" si="560"/>
        <v>0</v>
      </c>
      <c r="X1103" s="1">
        <f t="shared" si="560"/>
        <v>0</v>
      </c>
      <c r="Y1103" s="1">
        <f t="shared" si="560"/>
        <v>0</v>
      </c>
      <c r="Z1103" s="1">
        <f t="shared" si="560"/>
        <v>0</v>
      </c>
      <c r="AA1103" s="1">
        <f t="shared" si="560"/>
        <v>0</v>
      </c>
      <c r="AB1103" s="1">
        <f t="shared" si="560"/>
        <v>0</v>
      </c>
      <c r="AC1103" s="1">
        <f t="shared" si="560"/>
        <v>0</v>
      </c>
      <c r="AD1103" s="1">
        <f t="shared" si="560"/>
        <v>0</v>
      </c>
      <c r="AE1103" s="1">
        <f t="shared" si="560"/>
        <v>0</v>
      </c>
      <c r="AF1103" s="1">
        <f t="shared" si="560"/>
        <v>0</v>
      </c>
      <c r="AG1103" s="1">
        <f t="shared" si="560"/>
        <v>1</v>
      </c>
      <c r="AH1103" s="1">
        <f t="shared" si="560"/>
        <v>1</v>
      </c>
      <c r="AI1103" s="44">
        <f t="shared" si="550"/>
        <v>0</v>
      </c>
      <c r="AJ1103" s="44">
        <f t="shared" si="541"/>
        <v>0</v>
      </c>
      <c r="AK1103" s="44">
        <f t="shared" si="558"/>
        <v>0</v>
      </c>
      <c r="AL1103" s="4">
        <f t="shared" si="542"/>
        <v>413</v>
      </c>
      <c r="AM1103" s="82">
        <f t="shared" si="551"/>
        <v>0</v>
      </c>
      <c r="AN1103" s="82">
        <f t="shared" si="543"/>
        <v>0</v>
      </c>
      <c r="AO1103" s="48">
        <v>0</v>
      </c>
      <c r="AP1103" s="91">
        <f t="shared" si="552"/>
        <v>0</v>
      </c>
      <c r="AQ1103" s="91">
        <f t="shared" si="553"/>
        <v>0</v>
      </c>
    </row>
    <row r="1104" spans="1:43">
      <c r="A1104" s="190">
        <f t="shared" si="544"/>
        <v>100.22091033538672</v>
      </c>
      <c r="B1104" s="82">
        <f t="shared" si="545"/>
        <v>35</v>
      </c>
      <c r="C1104" s="83">
        <f t="shared" si="546"/>
        <v>414</v>
      </c>
      <c r="D1104" s="14">
        <f t="shared" si="532"/>
        <v>2.6283369587845051E-3</v>
      </c>
      <c r="E1104" s="16">
        <f t="shared" si="533"/>
        <v>0</v>
      </c>
      <c r="F1104" s="127"/>
      <c r="G1104" s="88">
        <f t="shared" si="534"/>
        <v>0</v>
      </c>
      <c r="H1104" s="89">
        <f t="shared" si="547"/>
        <v>4.1666666666666666E-3</v>
      </c>
      <c r="I1104" s="219"/>
      <c r="J1104" s="219"/>
      <c r="K1104" s="6">
        <f t="shared" si="555"/>
        <v>0</v>
      </c>
      <c r="M1104" s="6">
        <f t="shared" si="535"/>
        <v>0</v>
      </c>
      <c r="N1104" s="6">
        <f t="shared" si="536"/>
        <v>0</v>
      </c>
      <c r="O1104" s="90">
        <f t="shared" si="537"/>
        <v>0</v>
      </c>
      <c r="P1104" s="91">
        <f t="shared" si="538"/>
        <v>0</v>
      </c>
      <c r="Q1104" s="6">
        <f t="shared" si="539"/>
        <v>0</v>
      </c>
      <c r="R1104" s="87">
        <f t="shared" si="557"/>
        <v>0</v>
      </c>
      <c r="S1104" s="6">
        <f t="shared" si="540"/>
        <v>0</v>
      </c>
      <c r="T1104" s="83">
        <f t="shared" si="548"/>
        <v>0</v>
      </c>
      <c r="U1104" s="91">
        <f t="shared" si="554"/>
        <v>0</v>
      </c>
      <c r="V1104" s="91">
        <f t="shared" si="549"/>
        <v>0</v>
      </c>
      <c r="W1104" s="1">
        <f t="shared" si="560"/>
        <v>0</v>
      </c>
      <c r="X1104" s="1">
        <f t="shared" si="560"/>
        <v>0</v>
      </c>
      <c r="Y1104" s="1">
        <f t="shared" si="560"/>
        <v>0</v>
      </c>
      <c r="Z1104" s="1">
        <f t="shared" si="560"/>
        <v>0</v>
      </c>
      <c r="AA1104" s="1">
        <f t="shared" si="560"/>
        <v>0</v>
      </c>
      <c r="AB1104" s="1">
        <f t="shared" si="560"/>
        <v>0</v>
      </c>
      <c r="AC1104" s="1">
        <f t="shared" si="560"/>
        <v>0</v>
      </c>
      <c r="AD1104" s="1">
        <f t="shared" si="560"/>
        <v>0</v>
      </c>
      <c r="AE1104" s="1">
        <f t="shared" si="560"/>
        <v>0</v>
      </c>
      <c r="AF1104" s="1">
        <f t="shared" si="560"/>
        <v>0</v>
      </c>
      <c r="AG1104" s="1">
        <f t="shared" si="560"/>
        <v>1</v>
      </c>
      <c r="AH1104" s="1">
        <f t="shared" si="560"/>
        <v>1</v>
      </c>
      <c r="AI1104" s="44">
        <f t="shared" si="550"/>
        <v>0</v>
      </c>
      <c r="AJ1104" s="44">
        <f t="shared" si="541"/>
        <v>0</v>
      </c>
      <c r="AK1104" s="44">
        <f t="shared" si="558"/>
        <v>0</v>
      </c>
      <c r="AL1104" s="4">
        <f t="shared" si="542"/>
        <v>414</v>
      </c>
      <c r="AM1104" s="82">
        <f t="shared" si="551"/>
        <v>0</v>
      </c>
      <c r="AN1104" s="82">
        <f t="shared" si="543"/>
        <v>0</v>
      </c>
      <c r="AO1104" s="48">
        <v>0</v>
      </c>
      <c r="AP1104" s="91">
        <f t="shared" si="552"/>
        <v>0</v>
      </c>
      <c r="AQ1104" s="91">
        <f t="shared" si="553"/>
        <v>0</v>
      </c>
    </row>
    <row r="1105" spans="1:43">
      <c r="A1105" s="190">
        <f t="shared" si="544"/>
        <v>100.30424366872005</v>
      </c>
      <c r="B1105" s="82">
        <f t="shared" si="545"/>
        <v>35</v>
      </c>
      <c r="C1105" s="83">
        <f t="shared" si="546"/>
        <v>415</v>
      </c>
      <c r="D1105" s="14">
        <f t="shared" si="532"/>
        <v>2.6283369587845051E-3</v>
      </c>
      <c r="E1105" s="16">
        <f t="shared" si="533"/>
        <v>0</v>
      </c>
      <c r="F1105" s="127"/>
      <c r="G1105" s="88">
        <f t="shared" si="534"/>
        <v>0</v>
      </c>
      <c r="H1105" s="89">
        <f t="shared" si="547"/>
        <v>4.1666666666666666E-3</v>
      </c>
      <c r="I1105" s="219"/>
      <c r="J1105" s="219"/>
      <c r="K1105" s="6">
        <f t="shared" si="555"/>
        <v>0</v>
      </c>
      <c r="M1105" s="6">
        <f t="shared" si="535"/>
        <v>0</v>
      </c>
      <c r="N1105" s="6">
        <f t="shared" si="536"/>
        <v>0</v>
      </c>
      <c r="O1105" s="90">
        <f t="shared" si="537"/>
        <v>0</v>
      </c>
      <c r="P1105" s="91">
        <f t="shared" si="538"/>
        <v>0</v>
      </c>
      <c r="Q1105" s="6">
        <f t="shared" si="539"/>
        <v>0</v>
      </c>
      <c r="R1105" s="87">
        <f t="shared" si="557"/>
        <v>0</v>
      </c>
      <c r="S1105" s="6">
        <f t="shared" si="540"/>
        <v>0</v>
      </c>
      <c r="T1105" s="83">
        <f t="shared" si="548"/>
        <v>0</v>
      </c>
      <c r="U1105" s="91">
        <f t="shared" si="554"/>
        <v>0</v>
      </c>
      <c r="V1105" s="91">
        <f t="shared" si="549"/>
        <v>0</v>
      </c>
      <c r="W1105" s="1">
        <f t="shared" si="560"/>
        <v>0</v>
      </c>
      <c r="X1105" s="1">
        <f t="shared" si="560"/>
        <v>0</v>
      </c>
      <c r="Y1105" s="1">
        <f t="shared" si="560"/>
        <v>0</v>
      </c>
      <c r="Z1105" s="1">
        <f t="shared" si="560"/>
        <v>0</v>
      </c>
      <c r="AA1105" s="1">
        <f t="shared" si="560"/>
        <v>0</v>
      </c>
      <c r="AB1105" s="1">
        <f t="shared" si="560"/>
        <v>0</v>
      </c>
      <c r="AC1105" s="1">
        <f t="shared" si="560"/>
        <v>0</v>
      </c>
      <c r="AD1105" s="1">
        <f t="shared" si="560"/>
        <v>0</v>
      </c>
      <c r="AE1105" s="1">
        <f t="shared" si="560"/>
        <v>0</v>
      </c>
      <c r="AF1105" s="1">
        <f t="shared" si="560"/>
        <v>0</v>
      </c>
      <c r="AG1105" s="1">
        <f t="shared" si="560"/>
        <v>1</v>
      </c>
      <c r="AH1105" s="1">
        <f t="shared" si="560"/>
        <v>1</v>
      </c>
      <c r="AI1105" s="44">
        <f t="shared" si="550"/>
        <v>0</v>
      </c>
      <c r="AJ1105" s="44">
        <f t="shared" si="541"/>
        <v>0</v>
      </c>
      <c r="AK1105" s="44">
        <f t="shared" si="558"/>
        <v>0</v>
      </c>
      <c r="AL1105" s="4">
        <f t="shared" si="542"/>
        <v>415</v>
      </c>
      <c r="AM1105" s="82">
        <f t="shared" si="551"/>
        <v>0</v>
      </c>
      <c r="AN1105" s="82">
        <f t="shared" si="543"/>
        <v>0</v>
      </c>
      <c r="AO1105" s="48">
        <v>0</v>
      </c>
      <c r="AP1105" s="91">
        <f t="shared" si="552"/>
        <v>0</v>
      </c>
      <c r="AQ1105" s="91">
        <f t="shared" si="553"/>
        <v>0</v>
      </c>
    </row>
    <row r="1106" spans="1:43">
      <c r="A1106" s="190">
        <f t="shared" si="544"/>
        <v>100.38757700205338</v>
      </c>
      <c r="B1106" s="82">
        <f t="shared" si="545"/>
        <v>35</v>
      </c>
      <c r="C1106" s="83">
        <f t="shared" si="546"/>
        <v>416</v>
      </c>
      <c r="D1106" s="14">
        <f t="shared" si="532"/>
        <v>2.6283369587845051E-3</v>
      </c>
      <c r="E1106" s="16">
        <f t="shared" si="533"/>
        <v>0</v>
      </c>
      <c r="F1106" s="127"/>
      <c r="G1106" s="88">
        <f t="shared" si="534"/>
        <v>0</v>
      </c>
      <c r="H1106" s="89">
        <f t="shared" si="547"/>
        <v>4.1666666666666666E-3</v>
      </c>
      <c r="I1106" s="219"/>
      <c r="J1106" s="219"/>
      <c r="K1106" s="6">
        <f t="shared" si="555"/>
        <v>0</v>
      </c>
      <c r="M1106" s="6">
        <f t="shared" si="535"/>
        <v>0</v>
      </c>
      <c r="N1106" s="6">
        <f t="shared" si="536"/>
        <v>0</v>
      </c>
      <c r="O1106" s="90">
        <f t="shared" si="537"/>
        <v>0</v>
      </c>
      <c r="P1106" s="91">
        <f t="shared" si="538"/>
        <v>0</v>
      </c>
      <c r="Q1106" s="6">
        <f t="shared" si="539"/>
        <v>0</v>
      </c>
      <c r="R1106" s="87">
        <f t="shared" si="557"/>
        <v>0</v>
      </c>
      <c r="S1106" s="6">
        <f t="shared" si="540"/>
        <v>0</v>
      </c>
      <c r="T1106" s="83">
        <f t="shared" si="548"/>
        <v>0</v>
      </c>
      <c r="U1106" s="91">
        <f t="shared" si="554"/>
        <v>0</v>
      </c>
      <c r="V1106" s="91">
        <f t="shared" si="549"/>
        <v>0</v>
      </c>
      <c r="W1106" s="1">
        <f t="shared" si="560"/>
        <v>0</v>
      </c>
      <c r="X1106" s="1">
        <f t="shared" si="560"/>
        <v>0</v>
      </c>
      <c r="Y1106" s="1">
        <f t="shared" si="560"/>
        <v>0</v>
      </c>
      <c r="Z1106" s="1">
        <f t="shared" si="560"/>
        <v>0</v>
      </c>
      <c r="AA1106" s="1">
        <f t="shared" si="560"/>
        <v>0</v>
      </c>
      <c r="AB1106" s="1">
        <f t="shared" si="560"/>
        <v>0</v>
      </c>
      <c r="AC1106" s="1">
        <f t="shared" si="560"/>
        <v>0</v>
      </c>
      <c r="AD1106" s="1">
        <f t="shared" si="560"/>
        <v>0</v>
      </c>
      <c r="AE1106" s="1">
        <f t="shared" si="560"/>
        <v>0</v>
      </c>
      <c r="AF1106" s="1">
        <f t="shared" si="560"/>
        <v>0</v>
      </c>
      <c r="AG1106" s="1">
        <f t="shared" si="560"/>
        <v>1</v>
      </c>
      <c r="AH1106" s="1">
        <f t="shared" si="560"/>
        <v>1</v>
      </c>
      <c r="AI1106" s="44">
        <f t="shared" si="550"/>
        <v>0</v>
      </c>
      <c r="AJ1106" s="44">
        <f t="shared" si="541"/>
        <v>0</v>
      </c>
      <c r="AK1106" s="44">
        <f t="shared" si="558"/>
        <v>0</v>
      </c>
      <c r="AL1106" s="4">
        <f t="shared" si="542"/>
        <v>416</v>
      </c>
      <c r="AM1106" s="82">
        <f t="shared" si="551"/>
        <v>0</v>
      </c>
      <c r="AN1106" s="82">
        <f t="shared" si="543"/>
        <v>0</v>
      </c>
      <c r="AO1106" s="48">
        <v>0</v>
      </c>
      <c r="AP1106" s="91">
        <f t="shared" si="552"/>
        <v>0</v>
      </c>
      <c r="AQ1106" s="91">
        <f t="shared" si="553"/>
        <v>0</v>
      </c>
    </row>
    <row r="1107" spans="1:43">
      <c r="A1107" s="190">
        <f t="shared" si="544"/>
        <v>100.47091033538672</v>
      </c>
      <c r="B1107" s="82">
        <f t="shared" si="545"/>
        <v>35</v>
      </c>
      <c r="C1107" s="83">
        <f t="shared" si="546"/>
        <v>417</v>
      </c>
      <c r="D1107" s="14">
        <f t="shared" si="532"/>
        <v>2.6283369587845051E-3</v>
      </c>
      <c r="E1107" s="16">
        <f t="shared" si="533"/>
        <v>0</v>
      </c>
      <c r="F1107" s="127"/>
      <c r="G1107" s="88">
        <f t="shared" si="534"/>
        <v>0</v>
      </c>
      <c r="H1107" s="89">
        <f t="shared" si="547"/>
        <v>4.1666666666666666E-3</v>
      </c>
      <c r="I1107" s="219"/>
      <c r="J1107" s="219"/>
      <c r="K1107" s="6">
        <f t="shared" si="555"/>
        <v>0</v>
      </c>
      <c r="M1107" s="6">
        <f t="shared" si="535"/>
        <v>0</v>
      </c>
      <c r="N1107" s="6">
        <f t="shared" si="536"/>
        <v>0</v>
      </c>
      <c r="O1107" s="90">
        <f t="shared" si="537"/>
        <v>0</v>
      </c>
      <c r="P1107" s="91">
        <f t="shared" si="538"/>
        <v>0</v>
      </c>
      <c r="Q1107" s="6">
        <f t="shared" si="539"/>
        <v>0</v>
      </c>
      <c r="R1107" s="87">
        <f t="shared" si="557"/>
        <v>0</v>
      </c>
      <c r="S1107" s="6">
        <f t="shared" si="540"/>
        <v>0</v>
      </c>
      <c r="T1107" s="83">
        <f t="shared" si="548"/>
        <v>0</v>
      </c>
      <c r="U1107" s="91">
        <f t="shared" si="554"/>
        <v>0</v>
      </c>
      <c r="V1107" s="91">
        <f t="shared" si="549"/>
        <v>0</v>
      </c>
      <c r="W1107" s="1">
        <f t="shared" si="560"/>
        <v>0</v>
      </c>
      <c r="X1107" s="1">
        <f t="shared" si="560"/>
        <v>0</v>
      </c>
      <c r="Y1107" s="1">
        <f t="shared" si="560"/>
        <v>0</v>
      </c>
      <c r="Z1107" s="1">
        <f t="shared" si="560"/>
        <v>0</v>
      </c>
      <c r="AA1107" s="1">
        <f t="shared" si="560"/>
        <v>0</v>
      </c>
      <c r="AB1107" s="1">
        <f t="shared" si="560"/>
        <v>0</v>
      </c>
      <c r="AC1107" s="1">
        <f t="shared" si="560"/>
        <v>0</v>
      </c>
      <c r="AD1107" s="1">
        <f t="shared" si="560"/>
        <v>0</v>
      </c>
      <c r="AE1107" s="1">
        <f t="shared" si="560"/>
        <v>0</v>
      </c>
      <c r="AF1107" s="1">
        <f t="shared" si="560"/>
        <v>0</v>
      </c>
      <c r="AG1107" s="1">
        <f t="shared" si="560"/>
        <v>1</v>
      </c>
      <c r="AH1107" s="1">
        <f t="shared" si="560"/>
        <v>1</v>
      </c>
      <c r="AI1107" s="44">
        <f t="shared" si="550"/>
        <v>0</v>
      </c>
      <c r="AJ1107" s="44">
        <f t="shared" si="541"/>
        <v>0</v>
      </c>
      <c r="AK1107" s="44">
        <f t="shared" si="558"/>
        <v>0</v>
      </c>
      <c r="AL1107" s="4">
        <f t="shared" si="542"/>
        <v>417</v>
      </c>
      <c r="AM1107" s="82">
        <f t="shared" si="551"/>
        <v>0</v>
      </c>
      <c r="AN1107" s="82">
        <f t="shared" si="543"/>
        <v>0</v>
      </c>
      <c r="AO1107" s="48">
        <v>0</v>
      </c>
      <c r="AP1107" s="91">
        <f t="shared" si="552"/>
        <v>0</v>
      </c>
      <c r="AQ1107" s="91">
        <f t="shared" si="553"/>
        <v>0</v>
      </c>
    </row>
    <row r="1108" spans="1:43">
      <c r="A1108" s="190">
        <f t="shared" si="544"/>
        <v>100.55424366872005</v>
      </c>
      <c r="B1108" s="82">
        <f t="shared" si="545"/>
        <v>35</v>
      </c>
      <c r="C1108" s="83">
        <f t="shared" si="546"/>
        <v>418</v>
      </c>
      <c r="D1108" s="14">
        <f t="shared" si="532"/>
        <v>2.6283369587845051E-3</v>
      </c>
      <c r="E1108" s="16">
        <f t="shared" si="533"/>
        <v>0</v>
      </c>
      <c r="F1108" s="127"/>
      <c r="G1108" s="88">
        <f t="shared" si="534"/>
        <v>0</v>
      </c>
      <c r="H1108" s="89">
        <f t="shared" si="547"/>
        <v>4.1666666666666666E-3</v>
      </c>
      <c r="I1108" s="219"/>
      <c r="J1108" s="219"/>
      <c r="K1108" s="6">
        <f t="shared" si="555"/>
        <v>0</v>
      </c>
      <c r="M1108" s="6">
        <f t="shared" si="535"/>
        <v>0</v>
      </c>
      <c r="N1108" s="6">
        <f t="shared" si="536"/>
        <v>0</v>
      </c>
      <c r="O1108" s="90">
        <f t="shared" si="537"/>
        <v>0</v>
      </c>
      <c r="P1108" s="91">
        <f t="shared" si="538"/>
        <v>0</v>
      </c>
      <c r="Q1108" s="6">
        <f t="shared" si="539"/>
        <v>0</v>
      </c>
      <c r="R1108" s="87">
        <f t="shared" si="557"/>
        <v>0</v>
      </c>
      <c r="S1108" s="6">
        <f t="shared" si="540"/>
        <v>0</v>
      </c>
      <c r="T1108" s="83">
        <f t="shared" si="548"/>
        <v>0</v>
      </c>
      <c r="U1108" s="91">
        <f t="shared" si="554"/>
        <v>0</v>
      </c>
      <c r="V1108" s="91">
        <f t="shared" si="549"/>
        <v>0</v>
      </c>
      <c r="W1108" s="1">
        <f t="shared" si="560"/>
        <v>0</v>
      </c>
      <c r="X1108" s="1">
        <f t="shared" si="560"/>
        <v>0</v>
      </c>
      <c r="Y1108" s="1">
        <f t="shared" si="560"/>
        <v>0</v>
      </c>
      <c r="Z1108" s="1">
        <f t="shared" si="560"/>
        <v>0</v>
      </c>
      <c r="AA1108" s="1">
        <f t="shared" si="560"/>
        <v>0</v>
      </c>
      <c r="AB1108" s="1">
        <f t="shared" si="560"/>
        <v>0</v>
      </c>
      <c r="AC1108" s="1">
        <f t="shared" si="560"/>
        <v>0</v>
      </c>
      <c r="AD1108" s="1">
        <f t="shared" si="560"/>
        <v>0</v>
      </c>
      <c r="AE1108" s="1">
        <f t="shared" si="560"/>
        <v>0</v>
      </c>
      <c r="AF1108" s="1">
        <f t="shared" si="560"/>
        <v>0</v>
      </c>
      <c r="AG1108" s="1">
        <f t="shared" si="560"/>
        <v>1</v>
      </c>
      <c r="AH1108" s="1">
        <f t="shared" si="560"/>
        <v>1</v>
      </c>
      <c r="AI1108" s="44">
        <f t="shared" si="550"/>
        <v>0</v>
      </c>
      <c r="AJ1108" s="44">
        <f t="shared" si="541"/>
        <v>0</v>
      </c>
      <c r="AK1108" s="44">
        <f t="shared" si="558"/>
        <v>0</v>
      </c>
      <c r="AL1108" s="4">
        <f t="shared" si="542"/>
        <v>418</v>
      </c>
      <c r="AM1108" s="82">
        <f t="shared" si="551"/>
        <v>0</v>
      </c>
      <c r="AN1108" s="82">
        <f t="shared" si="543"/>
        <v>0</v>
      </c>
      <c r="AO1108" s="48">
        <v>0</v>
      </c>
      <c r="AP1108" s="91">
        <f t="shared" si="552"/>
        <v>0</v>
      </c>
      <c r="AQ1108" s="91">
        <f t="shared" si="553"/>
        <v>0</v>
      </c>
    </row>
    <row r="1109" spans="1:43">
      <c r="A1109" s="190">
        <f t="shared" si="544"/>
        <v>100.63757700205338</v>
      </c>
      <c r="B1109" s="82">
        <f t="shared" si="545"/>
        <v>35</v>
      </c>
      <c r="C1109" s="83">
        <f t="shared" si="546"/>
        <v>419</v>
      </c>
      <c r="D1109" s="14">
        <f t="shared" si="532"/>
        <v>2.6283369587845051E-3</v>
      </c>
      <c r="E1109" s="16">
        <f t="shared" si="533"/>
        <v>0</v>
      </c>
      <c r="F1109" s="127"/>
      <c r="G1109" s="88">
        <f t="shared" si="534"/>
        <v>0</v>
      </c>
      <c r="H1109" s="89">
        <f t="shared" si="547"/>
        <v>4.1666666666666666E-3</v>
      </c>
      <c r="I1109" s="219"/>
      <c r="J1109" s="219"/>
      <c r="K1109" s="6">
        <f t="shared" si="555"/>
        <v>0</v>
      </c>
      <c r="M1109" s="6">
        <f t="shared" si="535"/>
        <v>0</v>
      </c>
      <c r="N1109" s="6">
        <f t="shared" si="536"/>
        <v>0</v>
      </c>
      <c r="O1109" s="90">
        <f t="shared" si="537"/>
        <v>0</v>
      </c>
      <c r="P1109" s="91">
        <f t="shared" si="538"/>
        <v>0</v>
      </c>
      <c r="Q1109" s="6">
        <f t="shared" si="539"/>
        <v>0</v>
      </c>
      <c r="R1109" s="87">
        <f t="shared" si="557"/>
        <v>0</v>
      </c>
      <c r="S1109" s="6">
        <f t="shared" si="540"/>
        <v>0</v>
      </c>
      <c r="T1109" s="83">
        <f t="shared" si="548"/>
        <v>0</v>
      </c>
      <c r="U1109" s="91">
        <f t="shared" si="554"/>
        <v>0</v>
      </c>
      <c r="V1109" s="91">
        <f t="shared" si="549"/>
        <v>0</v>
      </c>
      <c r="W1109" s="1">
        <f t="shared" si="560"/>
        <v>0</v>
      </c>
      <c r="X1109" s="1">
        <f t="shared" si="560"/>
        <v>0</v>
      </c>
      <c r="Y1109" s="1">
        <f t="shared" si="560"/>
        <v>0</v>
      </c>
      <c r="Z1109" s="1">
        <f t="shared" si="560"/>
        <v>0</v>
      </c>
      <c r="AA1109" s="1">
        <f t="shared" si="560"/>
        <v>0</v>
      </c>
      <c r="AB1109" s="1">
        <f t="shared" si="560"/>
        <v>0</v>
      </c>
      <c r="AC1109" s="1">
        <f t="shared" si="560"/>
        <v>0</v>
      </c>
      <c r="AD1109" s="1">
        <f t="shared" si="560"/>
        <v>0</v>
      </c>
      <c r="AE1109" s="1">
        <f t="shared" si="560"/>
        <v>0</v>
      </c>
      <c r="AF1109" s="1">
        <f t="shared" si="560"/>
        <v>0</v>
      </c>
      <c r="AG1109" s="1">
        <f t="shared" si="560"/>
        <v>1</v>
      </c>
      <c r="AH1109" s="1">
        <f t="shared" si="560"/>
        <v>1</v>
      </c>
      <c r="AI1109" s="44">
        <f t="shared" si="550"/>
        <v>0</v>
      </c>
      <c r="AJ1109" s="44">
        <f t="shared" si="541"/>
        <v>0</v>
      </c>
      <c r="AK1109" s="44">
        <f t="shared" si="558"/>
        <v>0</v>
      </c>
      <c r="AL1109" s="4">
        <f t="shared" si="542"/>
        <v>419</v>
      </c>
      <c r="AM1109" s="82">
        <f t="shared" si="551"/>
        <v>0</v>
      </c>
      <c r="AN1109" s="82">
        <f t="shared" si="543"/>
        <v>0</v>
      </c>
      <c r="AO1109" s="48">
        <v>0</v>
      </c>
      <c r="AP1109" s="91">
        <f t="shared" si="552"/>
        <v>0</v>
      </c>
      <c r="AQ1109" s="91">
        <f t="shared" si="553"/>
        <v>0</v>
      </c>
    </row>
    <row r="1110" spans="1:43">
      <c r="A1110" s="190">
        <f t="shared" si="544"/>
        <v>100.72091033538672</v>
      </c>
      <c r="B1110" s="82">
        <f t="shared" si="545"/>
        <v>35</v>
      </c>
      <c r="C1110" s="83">
        <f t="shared" si="546"/>
        <v>420</v>
      </c>
      <c r="D1110" s="14">
        <f t="shared" si="532"/>
        <v>2.6283369587845051E-3</v>
      </c>
      <c r="E1110" s="16">
        <f t="shared" si="533"/>
        <v>0</v>
      </c>
      <c r="F1110" s="127"/>
      <c r="G1110" s="88">
        <f t="shared" si="534"/>
        <v>0</v>
      </c>
      <c r="H1110" s="89">
        <f t="shared" si="547"/>
        <v>4.1666666666666666E-3</v>
      </c>
      <c r="I1110" s="219"/>
      <c r="J1110" s="219"/>
      <c r="K1110" s="6">
        <f t="shared" si="555"/>
        <v>0</v>
      </c>
      <c r="M1110" s="6">
        <f t="shared" si="535"/>
        <v>0</v>
      </c>
      <c r="N1110" s="6">
        <f t="shared" si="536"/>
        <v>0</v>
      </c>
      <c r="O1110" s="90">
        <f t="shared" si="537"/>
        <v>0</v>
      </c>
      <c r="P1110" s="91">
        <f t="shared" si="538"/>
        <v>0</v>
      </c>
      <c r="Q1110" s="6">
        <f t="shared" si="539"/>
        <v>0</v>
      </c>
      <c r="R1110" s="87">
        <f t="shared" si="557"/>
        <v>0</v>
      </c>
      <c r="S1110" s="6">
        <f t="shared" si="540"/>
        <v>0</v>
      </c>
      <c r="T1110" s="83">
        <f t="shared" si="548"/>
        <v>0</v>
      </c>
      <c r="U1110" s="91">
        <f t="shared" si="554"/>
        <v>0</v>
      </c>
      <c r="V1110" s="91">
        <f t="shared" si="549"/>
        <v>0</v>
      </c>
      <c r="W1110" s="1">
        <f t="shared" si="560"/>
        <v>0</v>
      </c>
      <c r="X1110" s="1">
        <f t="shared" si="560"/>
        <v>0</v>
      </c>
      <c r="Y1110" s="1">
        <f t="shared" si="560"/>
        <v>0</v>
      </c>
      <c r="Z1110" s="1">
        <f t="shared" si="560"/>
        <v>0</v>
      </c>
      <c r="AA1110" s="1">
        <f t="shared" si="560"/>
        <v>0</v>
      </c>
      <c r="AB1110" s="1">
        <f t="shared" si="560"/>
        <v>0</v>
      </c>
      <c r="AC1110" s="1">
        <f t="shared" si="560"/>
        <v>0</v>
      </c>
      <c r="AD1110" s="1">
        <f t="shared" si="560"/>
        <v>0</v>
      </c>
      <c r="AE1110" s="1">
        <f t="shared" si="560"/>
        <v>0</v>
      </c>
      <c r="AF1110" s="1">
        <f t="shared" si="560"/>
        <v>0</v>
      </c>
      <c r="AG1110" s="1">
        <f t="shared" si="560"/>
        <v>1</v>
      </c>
      <c r="AH1110" s="1">
        <f t="shared" si="560"/>
        <v>1</v>
      </c>
      <c r="AI1110" s="44">
        <f t="shared" si="550"/>
        <v>0</v>
      </c>
      <c r="AJ1110" s="44">
        <f t="shared" si="541"/>
        <v>0</v>
      </c>
      <c r="AK1110" s="44">
        <f t="shared" si="558"/>
        <v>0</v>
      </c>
      <c r="AL1110" s="4">
        <f t="shared" si="542"/>
        <v>420</v>
      </c>
      <c r="AM1110" s="82">
        <f t="shared" si="551"/>
        <v>0</v>
      </c>
      <c r="AN1110" s="82">
        <f t="shared" si="543"/>
        <v>0</v>
      </c>
      <c r="AO1110" s="48">
        <v>0</v>
      </c>
      <c r="AP1110" s="91">
        <f t="shared" si="552"/>
        <v>0</v>
      </c>
      <c r="AQ1110" s="91">
        <f t="shared" si="553"/>
        <v>0</v>
      </c>
    </row>
    <row r="1111" spans="1:43">
      <c r="A1111" s="190">
        <f t="shared" si="544"/>
        <v>100.80424366872005</v>
      </c>
      <c r="B1111" s="82">
        <f t="shared" si="545"/>
        <v>36</v>
      </c>
      <c r="C1111" s="83">
        <f t="shared" si="546"/>
        <v>421</v>
      </c>
      <c r="D1111" s="14">
        <f t="shared" si="532"/>
        <v>2.6283369587845051E-3</v>
      </c>
      <c r="E1111" s="16">
        <f t="shared" si="533"/>
        <v>0</v>
      </c>
      <c r="F1111" s="127"/>
      <c r="G1111" s="88">
        <f t="shared" si="534"/>
        <v>0</v>
      </c>
      <c r="H1111" s="89">
        <f t="shared" si="547"/>
        <v>4.1666666666666666E-3</v>
      </c>
      <c r="I1111" s="219"/>
      <c r="J1111" s="219"/>
      <c r="K1111" s="6">
        <f t="shared" si="555"/>
        <v>0</v>
      </c>
      <c r="M1111" s="6">
        <f t="shared" si="535"/>
        <v>0</v>
      </c>
      <c r="N1111" s="6">
        <f t="shared" si="536"/>
        <v>0</v>
      </c>
      <c r="O1111" s="90">
        <f t="shared" si="537"/>
        <v>0</v>
      </c>
      <c r="P1111" s="91">
        <f t="shared" si="538"/>
        <v>0</v>
      </c>
      <c r="Q1111" s="6">
        <f t="shared" si="539"/>
        <v>0</v>
      </c>
      <c r="R1111" s="87">
        <f t="shared" si="557"/>
        <v>0</v>
      </c>
      <c r="S1111" s="6">
        <f t="shared" si="540"/>
        <v>0</v>
      </c>
      <c r="T1111" s="83">
        <f t="shared" si="548"/>
        <v>0</v>
      </c>
      <c r="U1111" s="91">
        <f t="shared" si="554"/>
        <v>0</v>
      </c>
      <c r="V1111" s="91">
        <f t="shared" si="549"/>
        <v>0</v>
      </c>
      <c r="W1111" s="1">
        <f t="shared" ref="W1111:AH1120" si="561">IF($B1111&lt;=W$78,1,0)</f>
        <v>0</v>
      </c>
      <c r="X1111" s="1">
        <f t="shared" si="561"/>
        <v>0</v>
      </c>
      <c r="Y1111" s="1">
        <f t="shared" si="561"/>
        <v>0</v>
      </c>
      <c r="Z1111" s="1">
        <f t="shared" si="561"/>
        <v>0</v>
      </c>
      <c r="AA1111" s="1">
        <f t="shared" si="561"/>
        <v>0</v>
      </c>
      <c r="AB1111" s="1">
        <f t="shared" si="561"/>
        <v>0</v>
      </c>
      <c r="AC1111" s="1">
        <f t="shared" si="561"/>
        <v>0</v>
      </c>
      <c r="AD1111" s="1">
        <f t="shared" si="561"/>
        <v>0</v>
      </c>
      <c r="AE1111" s="1">
        <f t="shared" si="561"/>
        <v>0</v>
      </c>
      <c r="AF1111" s="1">
        <f t="shared" si="561"/>
        <v>0</v>
      </c>
      <c r="AG1111" s="1">
        <f t="shared" si="561"/>
        <v>0</v>
      </c>
      <c r="AH1111" s="1">
        <f t="shared" si="561"/>
        <v>1</v>
      </c>
      <c r="AI1111" s="44">
        <f t="shared" si="550"/>
        <v>0</v>
      </c>
      <c r="AJ1111" s="44">
        <f t="shared" si="541"/>
        <v>0</v>
      </c>
      <c r="AK1111" s="44">
        <f t="shared" si="558"/>
        <v>0</v>
      </c>
      <c r="AL1111" s="4">
        <f t="shared" si="542"/>
        <v>421</v>
      </c>
      <c r="AM1111" s="82">
        <f t="shared" si="551"/>
        <v>0</v>
      </c>
      <c r="AN1111" s="82">
        <f t="shared" si="543"/>
        <v>0</v>
      </c>
      <c r="AO1111" s="48">
        <v>0</v>
      </c>
      <c r="AP1111" s="91">
        <f t="shared" si="552"/>
        <v>0</v>
      </c>
      <c r="AQ1111" s="91">
        <f t="shared" si="553"/>
        <v>0</v>
      </c>
    </row>
    <row r="1112" spans="1:43">
      <c r="A1112" s="190">
        <f t="shared" si="544"/>
        <v>100.88757700205338</v>
      </c>
      <c r="B1112" s="82">
        <f t="shared" si="545"/>
        <v>36</v>
      </c>
      <c r="C1112" s="83">
        <f t="shared" si="546"/>
        <v>422</v>
      </c>
      <c r="D1112" s="14">
        <f t="shared" si="532"/>
        <v>2.6283369587845051E-3</v>
      </c>
      <c r="E1112" s="16">
        <f t="shared" si="533"/>
        <v>0</v>
      </c>
      <c r="F1112" s="127"/>
      <c r="G1112" s="88">
        <f t="shared" si="534"/>
        <v>0</v>
      </c>
      <c r="H1112" s="89">
        <f t="shared" si="547"/>
        <v>4.1666666666666666E-3</v>
      </c>
      <c r="I1112" s="219"/>
      <c r="J1112" s="219"/>
      <c r="K1112" s="6">
        <f t="shared" si="555"/>
        <v>0</v>
      </c>
      <c r="M1112" s="6">
        <f t="shared" si="535"/>
        <v>0</v>
      </c>
      <c r="N1112" s="6">
        <f t="shared" si="536"/>
        <v>0</v>
      </c>
      <c r="O1112" s="90">
        <f t="shared" si="537"/>
        <v>0</v>
      </c>
      <c r="P1112" s="91">
        <f t="shared" si="538"/>
        <v>0</v>
      </c>
      <c r="Q1112" s="6">
        <f t="shared" si="539"/>
        <v>0</v>
      </c>
      <c r="R1112" s="87">
        <f t="shared" si="557"/>
        <v>0</v>
      </c>
      <c r="S1112" s="6">
        <f t="shared" si="540"/>
        <v>0</v>
      </c>
      <c r="T1112" s="83">
        <f t="shared" si="548"/>
        <v>0</v>
      </c>
      <c r="U1112" s="91">
        <f t="shared" si="554"/>
        <v>0</v>
      </c>
      <c r="V1112" s="91">
        <f t="shared" si="549"/>
        <v>0</v>
      </c>
      <c r="W1112" s="1">
        <f t="shared" si="561"/>
        <v>0</v>
      </c>
      <c r="X1112" s="1">
        <f t="shared" si="561"/>
        <v>0</v>
      </c>
      <c r="Y1112" s="1">
        <f t="shared" si="561"/>
        <v>0</v>
      </c>
      <c r="Z1112" s="1">
        <f t="shared" si="561"/>
        <v>0</v>
      </c>
      <c r="AA1112" s="1">
        <f t="shared" si="561"/>
        <v>0</v>
      </c>
      <c r="AB1112" s="1">
        <f t="shared" si="561"/>
        <v>0</v>
      </c>
      <c r="AC1112" s="1">
        <f t="shared" si="561"/>
        <v>0</v>
      </c>
      <c r="AD1112" s="1">
        <f t="shared" si="561"/>
        <v>0</v>
      </c>
      <c r="AE1112" s="1">
        <f t="shared" si="561"/>
        <v>0</v>
      </c>
      <c r="AF1112" s="1">
        <f t="shared" si="561"/>
        <v>0</v>
      </c>
      <c r="AG1112" s="1">
        <f t="shared" si="561"/>
        <v>0</v>
      </c>
      <c r="AH1112" s="1">
        <f t="shared" si="561"/>
        <v>1</v>
      </c>
      <c r="AI1112" s="44">
        <f t="shared" si="550"/>
        <v>0</v>
      </c>
      <c r="AJ1112" s="44">
        <f t="shared" si="541"/>
        <v>0</v>
      </c>
      <c r="AK1112" s="44">
        <f t="shared" si="558"/>
        <v>0</v>
      </c>
      <c r="AL1112" s="4">
        <f t="shared" si="542"/>
        <v>422</v>
      </c>
      <c r="AM1112" s="82">
        <f t="shared" si="551"/>
        <v>0</v>
      </c>
      <c r="AN1112" s="82">
        <f t="shared" si="543"/>
        <v>0</v>
      </c>
      <c r="AO1112" s="48">
        <v>0</v>
      </c>
      <c r="AP1112" s="91">
        <f t="shared" si="552"/>
        <v>0</v>
      </c>
      <c r="AQ1112" s="91">
        <f t="shared" si="553"/>
        <v>0</v>
      </c>
    </row>
    <row r="1113" spans="1:43">
      <c r="A1113" s="190">
        <f t="shared" si="544"/>
        <v>100.97091033538672</v>
      </c>
      <c r="B1113" s="82">
        <f t="shared" si="545"/>
        <v>36</v>
      </c>
      <c r="C1113" s="83">
        <f t="shared" si="546"/>
        <v>423</v>
      </c>
      <c r="D1113" s="14">
        <f t="shared" si="532"/>
        <v>2.6283369587845051E-3</v>
      </c>
      <c r="E1113" s="16">
        <f t="shared" si="533"/>
        <v>0</v>
      </c>
      <c r="F1113" s="127"/>
      <c r="G1113" s="88">
        <f t="shared" si="534"/>
        <v>0</v>
      </c>
      <c r="H1113" s="89">
        <f t="shared" si="547"/>
        <v>4.1666666666666666E-3</v>
      </c>
      <c r="I1113" s="219"/>
      <c r="J1113" s="219"/>
      <c r="K1113" s="6">
        <f t="shared" si="555"/>
        <v>0</v>
      </c>
      <c r="M1113" s="6">
        <f t="shared" si="535"/>
        <v>0</v>
      </c>
      <c r="N1113" s="6">
        <f t="shared" si="536"/>
        <v>0</v>
      </c>
      <c r="O1113" s="90">
        <f t="shared" si="537"/>
        <v>0</v>
      </c>
      <c r="P1113" s="91">
        <f t="shared" si="538"/>
        <v>0</v>
      </c>
      <c r="Q1113" s="6">
        <f t="shared" si="539"/>
        <v>0</v>
      </c>
      <c r="R1113" s="87">
        <f t="shared" si="557"/>
        <v>0</v>
      </c>
      <c r="S1113" s="6">
        <f t="shared" si="540"/>
        <v>0</v>
      </c>
      <c r="T1113" s="83">
        <f t="shared" si="548"/>
        <v>0</v>
      </c>
      <c r="U1113" s="91">
        <f t="shared" si="554"/>
        <v>0</v>
      </c>
      <c r="V1113" s="91">
        <f t="shared" si="549"/>
        <v>0</v>
      </c>
      <c r="W1113" s="1">
        <f t="shared" si="561"/>
        <v>0</v>
      </c>
      <c r="X1113" s="1">
        <f t="shared" si="561"/>
        <v>0</v>
      </c>
      <c r="Y1113" s="1">
        <f t="shared" si="561"/>
        <v>0</v>
      </c>
      <c r="Z1113" s="1">
        <f t="shared" si="561"/>
        <v>0</v>
      </c>
      <c r="AA1113" s="1">
        <f t="shared" si="561"/>
        <v>0</v>
      </c>
      <c r="AB1113" s="1">
        <f t="shared" si="561"/>
        <v>0</v>
      </c>
      <c r="AC1113" s="1">
        <f t="shared" si="561"/>
        <v>0</v>
      </c>
      <c r="AD1113" s="1">
        <f t="shared" si="561"/>
        <v>0</v>
      </c>
      <c r="AE1113" s="1">
        <f t="shared" si="561"/>
        <v>0</v>
      </c>
      <c r="AF1113" s="1">
        <f t="shared" si="561"/>
        <v>0</v>
      </c>
      <c r="AG1113" s="1">
        <f t="shared" si="561"/>
        <v>0</v>
      </c>
      <c r="AH1113" s="1">
        <f t="shared" si="561"/>
        <v>1</v>
      </c>
      <c r="AI1113" s="44">
        <f t="shared" si="550"/>
        <v>0</v>
      </c>
      <c r="AJ1113" s="44">
        <f t="shared" si="541"/>
        <v>0</v>
      </c>
      <c r="AK1113" s="44">
        <f t="shared" si="558"/>
        <v>0</v>
      </c>
      <c r="AL1113" s="4">
        <f t="shared" si="542"/>
        <v>423</v>
      </c>
      <c r="AM1113" s="82">
        <f t="shared" si="551"/>
        <v>0</v>
      </c>
      <c r="AN1113" s="82">
        <f t="shared" si="543"/>
        <v>0</v>
      </c>
      <c r="AO1113" s="48">
        <v>0</v>
      </c>
      <c r="AP1113" s="91">
        <f t="shared" si="552"/>
        <v>0</v>
      </c>
      <c r="AQ1113" s="91">
        <f t="shared" si="553"/>
        <v>0</v>
      </c>
    </row>
    <row r="1114" spans="1:43">
      <c r="A1114" s="190">
        <f t="shared" si="544"/>
        <v>101.05424366872005</v>
      </c>
      <c r="B1114" s="82">
        <f t="shared" si="545"/>
        <v>36</v>
      </c>
      <c r="C1114" s="83">
        <f t="shared" si="546"/>
        <v>424</v>
      </c>
      <c r="D1114" s="14">
        <f t="shared" si="532"/>
        <v>2.6283369587845051E-3</v>
      </c>
      <c r="E1114" s="16">
        <f t="shared" si="533"/>
        <v>0</v>
      </c>
      <c r="F1114" s="127"/>
      <c r="G1114" s="88">
        <f t="shared" si="534"/>
        <v>0</v>
      </c>
      <c r="H1114" s="89">
        <f t="shared" si="547"/>
        <v>4.1666666666666666E-3</v>
      </c>
      <c r="I1114" s="219"/>
      <c r="J1114" s="219"/>
      <c r="K1114" s="6">
        <f t="shared" si="555"/>
        <v>0</v>
      </c>
      <c r="M1114" s="6">
        <f t="shared" si="535"/>
        <v>0</v>
      </c>
      <c r="N1114" s="6">
        <f t="shared" si="536"/>
        <v>0</v>
      </c>
      <c r="O1114" s="90">
        <f t="shared" si="537"/>
        <v>0</v>
      </c>
      <c r="P1114" s="91">
        <f t="shared" si="538"/>
        <v>0</v>
      </c>
      <c r="Q1114" s="6">
        <f t="shared" si="539"/>
        <v>0</v>
      </c>
      <c r="R1114" s="87">
        <f t="shared" si="557"/>
        <v>0</v>
      </c>
      <c r="S1114" s="6">
        <f t="shared" si="540"/>
        <v>0</v>
      </c>
      <c r="T1114" s="83">
        <f t="shared" si="548"/>
        <v>0</v>
      </c>
      <c r="U1114" s="91">
        <f t="shared" si="554"/>
        <v>0</v>
      </c>
      <c r="V1114" s="91">
        <f t="shared" si="549"/>
        <v>0</v>
      </c>
      <c r="W1114" s="1">
        <f t="shared" si="561"/>
        <v>0</v>
      </c>
      <c r="X1114" s="1">
        <f t="shared" si="561"/>
        <v>0</v>
      </c>
      <c r="Y1114" s="1">
        <f t="shared" si="561"/>
        <v>0</v>
      </c>
      <c r="Z1114" s="1">
        <f t="shared" si="561"/>
        <v>0</v>
      </c>
      <c r="AA1114" s="1">
        <f t="shared" si="561"/>
        <v>0</v>
      </c>
      <c r="AB1114" s="1">
        <f t="shared" si="561"/>
        <v>0</v>
      </c>
      <c r="AC1114" s="1">
        <f t="shared" si="561"/>
        <v>0</v>
      </c>
      <c r="AD1114" s="1">
        <f t="shared" si="561"/>
        <v>0</v>
      </c>
      <c r="AE1114" s="1">
        <f t="shared" si="561"/>
        <v>0</v>
      </c>
      <c r="AF1114" s="1">
        <f t="shared" si="561"/>
        <v>0</v>
      </c>
      <c r="AG1114" s="1">
        <f t="shared" si="561"/>
        <v>0</v>
      </c>
      <c r="AH1114" s="1">
        <f t="shared" si="561"/>
        <v>1</v>
      </c>
      <c r="AI1114" s="44">
        <f t="shared" si="550"/>
        <v>0</v>
      </c>
      <c r="AJ1114" s="44">
        <f t="shared" si="541"/>
        <v>0</v>
      </c>
      <c r="AK1114" s="44">
        <f t="shared" si="558"/>
        <v>0</v>
      </c>
      <c r="AL1114" s="4">
        <f t="shared" si="542"/>
        <v>424</v>
      </c>
      <c r="AM1114" s="82">
        <f t="shared" si="551"/>
        <v>0</v>
      </c>
      <c r="AN1114" s="82">
        <f t="shared" si="543"/>
        <v>0</v>
      </c>
      <c r="AO1114" s="48">
        <v>0</v>
      </c>
      <c r="AP1114" s="91">
        <f t="shared" si="552"/>
        <v>0</v>
      </c>
      <c r="AQ1114" s="91">
        <f t="shared" si="553"/>
        <v>0</v>
      </c>
    </row>
    <row r="1115" spans="1:43">
      <c r="A1115" s="190">
        <f t="shared" si="544"/>
        <v>101.13757700205338</v>
      </c>
      <c r="B1115" s="82">
        <f t="shared" si="545"/>
        <v>36</v>
      </c>
      <c r="C1115" s="83">
        <f t="shared" si="546"/>
        <v>425</v>
      </c>
      <c r="D1115" s="14">
        <f t="shared" si="532"/>
        <v>2.6283369587845051E-3</v>
      </c>
      <c r="E1115" s="16">
        <f t="shared" si="533"/>
        <v>0</v>
      </c>
      <c r="F1115" s="127"/>
      <c r="G1115" s="88">
        <f t="shared" si="534"/>
        <v>0</v>
      </c>
      <c r="H1115" s="89">
        <f t="shared" si="547"/>
        <v>4.1666666666666666E-3</v>
      </c>
      <c r="I1115" s="219"/>
      <c r="J1115" s="219"/>
      <c r="K1115" s="6">
        <f t="shared" si="555"/>
        <v>0</v>
      </c>
      <c r="M1115" s="6">
        <f t="shared" si="535"/>
        <v>0</v>
      </c>
      <c r="N1115" s="6">
        <f t="shared" si="536"/>
        <v>0</v>
      </c>
      <c r="O1115" s="90">
        <f t="shared" si="537"/>
        <v>0</v>
      </c>
      <c r="P1115" s="91">
        <f t="shared" si="538"/>
        <v>0</v>
      </c>
      <c r="Q1115" s="6">
        <f t="shared" si="539"/>
        <v>0</v>
      </c>
      <c r="R1115" s="87">
        <f t="shared" si="557"/>
        <v>0</v>
      </c>
      <c r="S1115" s="6">
        <f t="shared" si="540"/>
        <v>0</v>
      </c>
      <c r="T1115" s="83">
        <f t="shared" si="548"/>
        <v>0</v>
      </c>
      <c r="U1115" s="91">
        <f t="shared" si="554"/>
        <v>0</v>
      </c>
      <c r="V1115" s="91">
        <f t="shared" si="549"/>
        <v>0</v>
      </c>
      <c r="W1115" s="1">
        <f t="shared" si="561"/>
        <v>0</v>
      </c>
      <c r="X1115" s="1">
        <f t="shared" si="561"/>
        <v>0</v>
      </c>
      <c r="Y1115" s="1">
        <f t="shared" si="561"/>
        <v>0</v>
      </c>
      <c r="Z1115" s="1">
        <f t="shared" si="561"/>
        <v>0</v>
      </c>
      <c r="AA1115" s="1">
        <f t="shared" si="561"/>
        <v>0</v>
      </c>
      <c r="AB1115" s="1">
        <f t="shared" si="561"/>
        <v>0</v>
      </c>
      <c r="AC1115" s="1">
        <f t="shared" si="561"/>
        <v>0</v>
      </c>
      <c r="AD1115" s="1">
        <f t="shared" si="561"/>
        <v>0</v>
      </c>
      <c r="AE1115" s="1">
        <f t="shared" si="561"/>
        <v>0</v>
      </c>
      <c r="AF1115" s="1">
        <f t="shared" si="561"/>
        <v>0</v>
      </c>
      <c r="AG1115" s="1">
        <f t="shared" si="561"/>
        <v>0</v>
      </c>
      <c r="AH1115" s="1">
        <f t="shared" si="561"/>
        <v>1</v>
      </c>
      <c r="AI1115" s="44">
        <f t="shared" si="550"/>
        <v>0</v>
      </c>
      <c r="AJ1115" s="44">
        <f t="shared" si="541"/>
        <v>0</v>
      </c>
      <c r="AK1115" s="44">
        <f t="shared" si="558"/>
        <v>0</v>
      </c>
      <c r="AL1115" s="4">
        <f t="shared" si="542"/>
        <v>425</v>
      </c>
      <c r="AM1115" s="82">
        <f t="shared" si="551"/>
        <v>0</v>
      </c>
      <c r="AN1115" s="82">
        <f t="shared" si="543"/>
        <v>0</v>
      </c>
      <c r="AO1115" s="48">
        <v>0</v>
      </c>
      <c r="AP1115" s="91">
        <f t="shared" si="552"/>
        <v>0</v>
      </c>
      <c r="AQ1115" s="91">
        <f t="shared" si="553"/>
        <v>0</v>
      </c>
    </row>
    <row r="1116" spans="1:43">
      <c r="A1116" s="190">
        <f t="shared" si="544"/>
        <v>101.22091033538672</v>
      </c>
      <c r="B1116" s="82">
        <f t="shared" si="545"/>
        <v>36</v>
      </c>
      <c r="C1116" s="83">
        <f t="shared" si="546"/>
        <v>426</v>
      </c>
      <c r="D1116" s="14">
        <f t="shared" si="532"/>
        <v>2.6283369587845051E-3</v>
      </c>
      <c r="E1116" s="16">
        <f t="shared" si="533"/>
        <v>0</v>
      </c>
      <c r="F1116" s="127"/>
      <c r="G1116" s="88">
        <f t="shared" si="534"/>
        <v>0</v>
      </c>
      <c r="H1116" s="89">
        <f t="shared" si="547"/>
        <v>4.1666666666666666E-3</v>
      </c>
      <c r="I1116" s="219"/>
      <c r="J1116" s="219"/>
      <c r="K1116" s="6">
        <f t="shared" si="555"/>
        <v>0</v>
      </c>
      <c r="M1116" s="6">
        <f t="shared" si="535"/>
        <v>0</v>
      </c>
      <c r="N1116" s="6">
        <f t="shared" si="536"/>
        <v>0</v>
      </c>
      <c r="O1116" s="90">
        <f t="shared" si="537"/>
        <v>0</v>
      </c>
      <c r="P1116" s="91">
        <f t="shared" si="538"/>
        <v>0</v>
      </c>
      <c r="Q1116" s="6">
        <f t="shared" si="539"/>
        <v>0</v>
      </c>
      <c r="R1116" s="87">
        <f t="shared" si="557"/>
        <v>0</v>
      </c>
      <c r="S1116" s="6">
        <f t="shared" si="540"/>
        <v>0</v>
      </c>
      <c r="T1116" s="83">
        <f t="shared" si="548"/>
        <v>0</v>
      </c>
      <c r="U1116" s="91">
        <f t="shared" si="554"/>
        <v>0</v>
      </c>
      <c r="V1116" s="91">
        <f t="shared" si="549"/>
        <v>0</v>
      </c>
      <c r="W1116" s="1">
        <f t="shared" si="561"/>
        <v>0</v>
      </c>
      <c r="X1116" s="1">
        <f t="shared" si="561"/>
        <v>0</v>
      </c>
      <c r="Y1116" s="1">
        <f t="shared" si="561"/>
        <v>0</v>
      </c>
      <c r="Z1116" s="1">
        <f t="shared" si="561"/>
        <v>0</v>
      </c>
      <c r="AA1116" s="1">
        <f t="shared" si="561"/>
        <v>0</v>
      </c>
      <c r="AB1116" s="1">
        <f t="shared" si="561"/>
        <v>0</v>
      </c>
      <c r="AC1116" s="1">
        <f t="shared" si="561"/>
        <v>0</v>
      </c>
      <c r="AD1116" s="1">
        <f t="shared" si="561"/>
        <v>0</v>
      </c>
      <c r="AE1116" s="1">
        <f t="shared" si="561"/>
        <v>0</v>
      </c>
      <c r="AF1116" s="1">
        <f t="shared" si="561"/>
        <v>0</v>
      </c>
      <c r="AG1116" s="1">
        <f t="shared" si="561"/>
        <v>0</v>
      </c>
      <c r="AH1116" s="1">
        <f t="shared" si="561"/>
        <v>1</v>
      </c>
      <c r="AI1116" s="44">
        <f t="shared" si="550"/>
        <v>0</v>
      </c>
      <c r="AJ1116" s="44">
        <f t="shared" si="541"/>
        <v>0</v>
      </c>
      <c r="AK1116" s="44">
        <f t="shared" si="558"/>
        <v>0</v>
      </c>
      <c r="AL1116" s="4">
        <f t="shared" si="542"/>
        <v>426</v>
      </c>
      <c r="AM1116" s="82">
        <f t="shared" si="551"/>
        <v>0</v>
      </c>
      <c r="AN1116" s="82">
        <f t="shared" si="543"/>
        <v>0</v>
      </c>
      <c r="AO1116" s="48">
        <v>0</v>
      </c>
      <c r="AP1116" s="91">
        <f t="shared" si="552"/>
        <v>0</v>
      </c>
      <c r="AQ1116" s="91">
        <f t="shared" si="553"/>
        <v>0</v>
      </c>
    </row>
    <row r="1117" spans="1:43">
      <c r="A1117" s="190">
        <f t="shared" si="544"/>
        <v>101.30424366872005</v>
      </c>
      <c r="B1117" s="82">
        <f t="shared" si="545"/>
        <v>36</v>
      </c>
      <c r="C1117" s="83">
        <f t="shared" si="546"/>
        <v>427</v>
      </c>
      <c r="D1117" s="14">
        <f t="shared" si="532"/>
        <v>2.6283369587845051E-3</v>
      </c>
      <c r="E1117" s="16">
        <f t="shared" si="533"/>
        <v>0</v>
      </c>
      <c r="F1117" s="127"/>
      <c r="G1117" s="88">
        <f t="shared" si="534"/>
        <v>0</v>
      </c>
      <c r="H1117" s="89">
        <f t="shared" si="547"/>
        <v>4.1666666666666666E-3</v>
      </c>
      <c r="I1117" s="219"/>
      <c r="J1117" s="219"/>
      <c r="K1117" s="6">
        <f t="shared" si="555"/>
        <v>0</v>
      </c>
      <c r="M1117" s="6">
        <f t="shared" si="535"/>
        <v>0</v>
      </c>
      <c r="N1117" s="6">
        <f t="shared" si="536"/>
        <v>0</v>
      </c>
      <c r="O1117" s="90">
        <f t="shared" si="537"/>
        <v>0</v>
      </c>
      <c r="P1117" s="91">
        <f t="shared" si="538"/>
        <v>0</v>
      </c>
      <c r="Q1117" s="6">
        <f t="shared" si="539"/>
        <v>0</v>
      </c>
      <c r="R1117" s="87">
        <f t="shared" si="557"/>
        <v>0</v>
      </c>
      <c r="S1117" s="6">
        <f t="shared" si="540"/>
        <v>0</v>
      </c>
      <c r="T1117" s="83">
        <f t="shared" si="548"/>
        <v>0</v>
      </c>
      <c r="U1117" s="91">
        <f t="shared" si="554"/>
        <v>0</v>
      </c>
      <c r="V1117" s="91">
        <f t="shared" si="549"/>
        <v>0</v>
      </c>
      <c r="W1117" s="1">
        <f t="shared" si="561"/>
        <v>0</v>
      </c>
      <c r="X1117" s="1">
        <f t="shared" si="561"/>
        <v>0</v>
      </c>
      <c r="Y1117" s="1">
        <f t="shared" si="561"/>
        <v>0</v>
      </c>
      <c r="Z1117" s="1">
        <f t="shared" si="561"/>
        <v>0</v>
      </c>
      <c r="AA1117" s="1">
        <f t="shared" si="561"/>
        <v>0</v>
      </c>
      <c r="AB1117" s="1">
        <f t="shared" si="561"/>
        <v>0</v>
      </c>
      <c r="AC1117" s="1">
        <f t="shared" si="561"/>
        <v>0</v>
      </c>
      <c r="AD1117" s="1">
        <f t="shared" si="561"/>
        <v>0</v>
      </c>
      <c r="AE1117" s="1">
        <f t="shared" si="561"/>
        <v>0</v>
      </c>
      <c r="AF1117" s="1">
        <f t="shared" si="561"/>
        <v>0</v>
      </c>
      <c r="AG1117" s="1">
        <f t="shared" si="561"/>
        <v>0</v>
      </c>
      <c r="AH1117" s="1">
        <f t="shared" si="561"/>
        <v>1</v>
      </c>
      <c r="AI1117" s="44">
        <f t="shared" si="550"/>
        <v>0</v>
      </c>
      <c r="AJ1117" s="44">
        <f t="shared" si="541"/>
        <v>0</v>
      </c>
      <c r="AK1117" s="44">
        <f t="shared" si="558"/>
        <v>0</v>
      </c>
      <c r="AL1117" s="4">
        <f t="shared" si="542"/>
        <v>427</v>
      </c>
      <c r="AM1117" s="82">
        <f t="shared" si="551"/>
        <v>0</v>
      </c>
      <c r="AN1117" s="82">
        <f t="shared" si="543"/>
        <v>0</v>
      </c>
      <c r="AO1117" s="48">
        <v>0</v>
      </c>
      <c r="AP1117" s="91">
        <f t="shared" si="552"/>
        <v>0</v>
      </c>
      <c r="AQ1117" s="91">
        <f t="shared" si="553"/>
        <v>0</v>
      </c>
    </row>
    <row r="1118" spans="1:43">
      <c r="A1118" s="190">
        <f t="shared" si="544"/>
        <v>101.38757700205338</v>
      </c>
      <c r="B1118" s="82">
        <f t="shared" si="545"/>
        <v>36</v>
      </c>
      <c r="C1118" s="83">
        <f t="shared" si="546"/>
        <v>428</v>
      </c>
      <c r="D1118" s="14">
        <f t="shared" si="532"/>
        <v>2.6283369587845051E-3</v>
      </c>
      <c r="E1118" s="16">
        <f t="shared" si="533"/>
        <v>0</v>
      </c>
      <c r="F1118" s="127"/>
      <c r="G1118" s="88">
        <f t="shared" si="534"/>
        <v>0</v>
      </c>
      <c r="H1118" s="89">
        <f t="shared" si="547"/>
        <v>4.1666666666666666E-3</v>
      </c>
      <c r="I1118" s="219"/>
      <c r="J1118" s="219"/>
      <c r="K1118" s="6">
        <f t="shared" si="555"/>
        <v>0</v>
      </c>
      <c r="M1118" s="6">
        <f t="shared" si="535"/>
        <v>0</v>
      </c>
      <c r="N1118" s="6">
        <f t="shared" si="536"/>
        <v>0</v>
      </c>
      <c r="O1118" s="90">
        <f t="shared" si="537"/>
        <v>0</v>
      </c>
      <c r="P1118" s="91">
        <f t="shared" si="538"/>
        <v>0</v>
      </c>
      <c r="Q1118" s="6">
        <f t="shared" si="539"/>
        <v>0</v>
      </c>
      <c r="R1118" s="87">
        <f t="shared" si="557"/>
        <v>0</v>
      </c>
      <c r="S1118" s="6">
        <f t="shared" si="540"/>
        <v>0</v>
      </c>
      <c r="T1118" s="83">
        <f t="shared" si="548"/>
        <v>0</v>
      </c>
      <c r="U1118" s="91">
        <f t="shared" si="554"/>
        <v>0</v>
      </c>
      <c r="V1118" s="91">
        <f t="shared" si="549"/>
        <v>0</v>
      </c>
      <c r="W1118" s="1">
        <f t="shared" si="561"/>
        <v>0</v>
      </c>
      <c r="X1118" s="1">
        <f t="shared" si="561"/>
        <v>0</v>
      </c>
      <c r="Y1118" s="1">
        <f t="shared" si="561"/>
        <v>0</v>
      </c>
      <c r="Z1118" s="1">
        <f t="shared" si="561"/>
        <v>0</v>
      </c>
      <c r="AA1118" s="1">
        <f t="shared" si="561"/>
        <v>0</v>
      </c>
      <c r="AB1118" s="1">
        <f t="shared" si="561"/>
        <v>0</v>
      </c>
      <c r="AC1118" s="1">
        <f t="shared" si="561"/>
        <v>0</v>
      </c>
      <c r="AD1118" s="1">
        <f t="shared" si="561"/>
        <v>0</v>
      </c>
      <c r="AE1118" s="1">
        <f t="shared" si="561"/>
        <v>0</v>
      </c>
      <c r="AF1118" s="1">
        <f t="shared" si="561"/>
        <v>0</v>
      </c>
      <c r="AG1118" s="1">
        <f t="shared" si="561"/>
        <v>0</v>
      </c>
      <c r="AH1118" s="1">
        <f t="shared" si="561"/>
        <v>1</v>
      </c>
      <c r="AI1118" s="44">
        <f t="shared" si="550"/>
        <v>0</v>
      </c>
      <c r="AJ1118" s="44">
        <f t="shared" si="541"/>
        <v>0</v>
      </c>
      <c r="AK1118" s="44">
        <f t="shared" si="558"/>
        <v>0</v>
      </c>
      <c r="AL1118" s="4">
        <f t="shared" si="542"/>
        <v>428</v>
      </c>
      <c r="AM1118" s="82">
        <f t="shared" si="551"/>
        <v>0</v>
      </c>
      <c r="AN1118" s="82">
        <f t="shared" si="543"/>
        <v>0</v>
      </c>
      <c r="AO1118" s="48">
        <v>0</v>
      </c>
      <c r="AP1118" s="91">
        <f t="shared" si="552"/>
        <v>0</v>
      </c>
      <c r="AQ1118" s="91">
        <f t="shared" si="553"/>
        <v>0</v>
      </c>
    </row>
    <row r="1119" spans="1:43">
      <c r="A1119" s="190">
        <f t="shared" si="544"/>
        <v>101.47091033538672</v>
      </c>
      <c r="B1119" s="82">
        <f t="shared" si="545"/>
        <v>36</v>
      </c>
      <c r="C1119" s="83">
        <f t="shared" si="546"/>
        <v>429</v>
      </c>
      <c r="D1119" s="14">
        <f t="shared" si="532"/>
        <v>2.6283369587845051E-3</v>
      </c>
      <c r="E1119" s="16">
        <f t="shared" si="533"/>
        <v>0</v>
      </c>
      <c r="F1119" s="127"/>
      <c r="G1119" s="88">
        <f t="shared" si="534"/>
        <v>0</v>
      </c>
      <c r="H1119" s="89">
        <f t="shared" si="547"/>
        <v>4.1666666666666666E-3</v>
      </c>
      <c r="I1119" s="219"/>
      <c r="J1119" s="219"/>
      <c r="K1119" s="6">
        <f t="shared" si="555"/>
        <v>0</v>
      </c>
      <c r="M1119" s="6">
        <f t="shared" si="535"/>
        <v>0</v>
      </c>
      <c r="N1119" s="6">
        <f t="shared" si="536"/>
        <v>0</v>
      </c>
      <c r="O1119" s="90">
        <f t="shared" si="537"/>
        <v>0</v>
      </c>
      <c r="P1119" s="91">
        <f t="shared" si="538"/>
        <v>0</v>
      </c>
      <c r="Q1119" s="6">
        <f t="shared" si="539"/>
        <v>0</v>
      </c>
      <c r="R1119" s="87">
        <f t="shared" si="557"/>
        <v>0</v>
      </c>
      <c r="S1119" s="6">
        <f t="shared" si="540"/>
        <v>0</v>
      </c>
      <c r="T1119" s="83">
        <f t="shared" si="548"/>
        <v>0</v>
      </c>
      <c r="U1119" s="91">
        <f t="shared" si="554"/>
        <v>0</v>
      </c>
      <c r="V1119" s="91">
        <f t="shared" si="549"/>
        <v>0</v>
      </c>
      <c r="W1119" s="1">
        <f t="shared" si="561"/>
        <v>0</v>
      </c>
      <c r="X1119" s="1">
        <f t="shared" si="561"/>
        <v>0</v>
      </c>
      <c r="Y1119" s="1">
        <f t="shared" si="561"/>
        <v>0</v>
      </c>
      <c r="Z1119" s="1">
        <f t="shared" si="561"/>
        <v>0</v>
      </c>
      <c r="AA1119" s="1">
        <f t="shared" si="561"/>
        <v>0</v>
      </c>
      <c r="AB1119" s="1">
        <f t="shared" si="561"/>
        <v>0</v>
      </c>
      <c r="AC1119" s="1">
        <f t="shared" si="561"/>
        <v>0</v>
      </c>
      <c r="AD1119" s="1">
        <f t="shared" si="561"/>
        <v>0</v>
      </c>
      <c r="AE1119" s="1">
        <f t="shared" si="561"/>
        <v>0</v>
      </c>
      <c r="AF1119" s="1">
        <f t="shared" si="561"/>
        <v>0</v>
      </c>
      <c r="AG1119" s="1">
        <f t="shared" si="561"/>
        <v>0</v>
      </c>
      <c r="AH1119" s="1">
        <f t="shared" si="561"/>
        <v>1</v>
      </c>
      <c r="AI1119" s="44">
        <f t="shared" si="550"/>
        <v>0</v>
      </c>
      <c r="AJ1119" s="44">
        <f t="shared" si="541"/>
        <v>0</v>
      </c>
      <c r="AK1119" s="44">
        <f t="shared" si="558"/>
        <v>0</v>
      </c>
      <c r="AL1119" s="4">
        <f t="shared" si="542"/>
        <v>429</v>
      </c>
      <c r="AM1119" s="82">
        <f t="shared" si="551"/>
        <v>0</v>
      </c>
      <c r="AN1119" s="82">
        <f t="shared" si="543"/>
        <v>0</v>
      </c>
      <c r="AO1119" s="48">
        <v>0</v>
      </c>
      <c r="AP1119" s="91">
        <f t="shared" si="552"/>
        <v>0</v>
      </c>
      <c r="AQ1119" s="91">
        <f t="shared" si="553"/>
        <v>0</v>
      </c>
    </row>
    <row r="1120" spans="1:43">
      <c r="A1120" s="190">
        <f t="shared" si="544"/>
        <v>101.55424366872005</v>
      </c>
      <c r="B1120" s="82">
        <f t="shared" si="545"/>
        <v>36</v>
      </c>
      <c r="C1120" s="83">
        <f t="shared" si="546"/>
        <v>430</v>
      </c>
      <c r="D1120" s="14">
        <f t="shared" si="532"/>
        <v>2.6283369587845051E-3</v>
      </c>
      <c r="E1120" s="16">
        <f t="shared" si="533"/>
        <v>0</v>
      </c>
      <c r="F1120" s="127"/>
      <c r="G1120" s="88">
        <f t="shared" si="534"/>
        <v>0</v>
      </c>
      <c r="H1120" s="89">
        <f t="shared" si="547"/>
        <v>4.1666666666666666E-3</v>
      </c>
      <c r="I1120" s="219"/>
      <c r="J1120" s="219"/>
      <c r="K1120" s="6">
        <f t="shared" si="555"/>
        <v>0</v>
      </c>
      <c r="M1120" s="6">
        <f t="shared" si="535"/>
        <v>0</v>
      </c>
      <c r="N1120" s="6">
        <f t="shared" si="536"/>
        <v>0</v>
      </c>
      <c r="O1120" s="90">
        <f t="shared" si="537"/>
        <v>0</v>
      </c>
      <c r="P1120" s="91">
        <f t="shared" si="538"/>
        <v>0</v>
      </c>
      <c r="Q1120" s="6">
        <f t="shared" si="539"/>
        <v>0</v>
      </c>
      <c r="R1120" s="87">
        <f t="shared" si="557"/>
        <v>0</v>
      </c>
      <c r="S1120" s="6">
        <f t="shared" si="540"/>
        <v>0</v>
      </c>
      <c r="T1120" s="83">
        <f t="shared" si="548"/>
        <v>0</v>
      </c>
      <c r="U1120" s="91">
        <f t="shared" si="554"/>
        <v>0</v>
      </c>
      <c r="V1120" s="91">
        <f t="shared" si="549"/>
        <v>0</v>
      </c>
      <c r="W1120" s="1">
        <f t="shared" si="561"/>
        <v>0</v>
      </c>
      <c r="X1120" s="1">
        <f t="shared" si="561"/>
        <v>0</v>
      </c>
      <c r="Y1120" s="1">
        <f t="shared" si="561"/>
        <v>0</v>
      </c>
      <c r="Z1120" s="1">
        <f t="shared" si="561"/>
        <v>0</v>
      </c>
      <c r="AA1120" s="1">
        <f t="shared" si="561"/>
        <v>0</v>
      </c>
      <c r="AB1120" s="1">
        <f t="shared" si="561"/>
        <v>0</v>
      </c>
      <c r="AC1120" s="1">
        <f t="shared" si="561"/>
        <v>0</v>
      </c>
      <c r="AD1120" s="1">
        <f t="shared" si="561"/>
        <v>0</v>
      </c>
      <c r="AE1120" s="1">
        <f t="shared" si="561"/>
        <v>0</v>
      </c>
      <c r="AF1120" s="1">
        <f t="shared" si="561"/>
        <v>0</v>
      </c>
      <c r="AG1120" s="1">
        <f t="shared" si="561"/>
        <v>0</v>
      </c>
      <c r="AH1120" s="1">
        <f t="shared" si="561"/>
        <v>1</v>
      </c>
      <c r="AI1120" s="44">
        <f t="shared" si="550"/>
        <v>0</v>
      </c>
      <c r="AJ1120" s="44">
        <f t="shared" si="541"/>
        <v>0</v>
      </c>
      <c r="AK1120" s="44">
        <f t="shared" si="558"/>
        <v>0</v>
      </c>
      <c r="AL1120" s="4">
        <f t="shared" si="542"/>
        <v>430</v>
      </c>
      <c r="AM1120" s="82">
        <f t="shared" si="551"/>
        <v>0</v>
      </c>
      <c r="AN1120" s="82">
        <f t="shared" si="543"/>
        <v>0</v>
      </c>
      <c r="AO1120" s="48">
        <v>0</v>
      </c>
      <c r="AP1120" s="91">
        <f t="shared" si="552"/>
        <v>0</v>
      </c>
      <c r="AQ1120" s="91">
        <f t="shared" si="553"/>
        <v>0</v>
      </c>
    </row>
    <row r="1121" spans="1:43">
      <c r="A1121" s="190">
        <f t="shared" si="544"/>
        <v>101.63757700205338</v>
      </c>
      <c r="B1121" s="82">
        <f t="shared" si="545"/>
        <v>36</v>
      </c>
      <c r="C1121" s="83">
        <f t="shared" si="546"/>
        <v>431</v>
      </c>
      <c r="D1121" s="14">
        <f t="shared" si="532"/>
        <v>2.6283369587845051E-3</v>
      </c>
      <c r="E1121" s="16">
        <f t="shared" si="533"/>
        <v>0</v>
      </c>
      <c r="F1121" s="127"/>
      <c r="G1121" s="88">
        <f t="shared" si="534"/>
        <v>0</v>
      </c>
      <c r="H1121" s="89">
        <f t="shared" si="547"/>
        <v>4.1666666666666666E-3</v>
      </c>
      <c r="I1121" s="219"/>
      <c r="J1121" s="219"/>
      <c r="K1121" s="6">
        <f t="shared" si="555"/>
        <v>0</v>
      </c>
      <c r="M1121" s="6">
        <f t="shared" si="535"/>
        <v>0</v>
      </c>
      <c r="N1121" s="6">
        <f t="shared" si="536"/>
        <v>0</v>
      </c>
      <c r="O1121" s="90">
        <f t="shared" si="537"/>
        <v>0</v>
      </c>
      <c r="P1121" s="91">
        <f t="shared" si="538"/>
        <v>0</v>
      </c>
      <c r="Q1121" s="6">
        <f t="shared" si="539"/>
        <v>0</v>
      </c>
      <c r="R1121" s="87">
        <f t="shared" si="557"/>
        <v>0</v>
      </c>
      <c r="S1121" s="6">
        <f t="shared" si="540"/>
        <v>0</v>
      </c>
      <c r="T1121" s="83">
        <f t="shared" si="548"/>
        <v>0</v>
      </c>
      <c r="U1121" s="91">
        <f t="shared" si="554"/>
        <v>0</v>
      </c>
      <c r="V1121" s="91">
        <f t="shared" si="549"/>
        <v>0</v>
      </c>
      <c r="W1121" s="1">
        <f t="shared" ref="W1121:AH1130" si="562">IF($B1121&lt;=W$78,1,0)</f>
        <v>0</v>
      </c>
      <c r="X1121" s="1">
        <f t="shared" si="562"/>
        <v>0</v>
      </c>
      <c r="Y1121" s="1">
        <f t="shared" si="562"/>
        <v>0</v>
      </c>
      <c r="Z1121" s="1">
        <f t="shared" si="562"/>
        <v>0</v>
      </c>
      <c r="AA1121" s="1">
        <f t="shared" si="562"/>
        <v>0</v>
      </c>
      <c r="AB1121" s="1">
        <f t="shared" si="562"/>
        <v>0</v>
      </c>
      <c r="AC1121" s="1">
        <f t="shared" si="562"/>
        <v>0</v>
      </c>
      <c r="AD1121" s="1">
        <f t="shared" si="562"/>
        <v>0</v>
      </c>
      <c r="AE1121" s="1">
        <f t="shared" si="562"/>
        <v>0</v>
      </c>
      <c r="AF1121" s="1">
        <f t="shared" si="562"/>
        <v>0</v>
      </c>
      <c r="AG1121" s="1">
        <f t="shared" si="562"/>
        <v>0</v>
      </c>
      <c r="AH1121" s="1">
        <f t="shared" si="562"/>
        <v>1</v>
      </c>
      <c r="AI1121" s="44">
        <f t="shared" si="550"/>
        <v>0</v>
      </c>
      <c r="AJ1121" s="44">
        <f t="shared" si="541"/>
        <v>0</v>
      </c>
      <c r="AK1121" s="44">
        <f t="shared" si="558"/>
        <v>0</v>
      </c>
      <c r="AL1121" s="4">
        <f t="shared" si="542"/>
        <v>431</v>
      </c>
      <c r="AM1121" s="82">
        <f t="shared" si="551"/>
        <v>0</v>
      </c>
      <c r="AN1121" s="82">
        <f t="shared" si="543"/>
        <v>0</v>
      </c>
      <c r="AO1121" s="48">
        <v>0</v>
      </c>
      <c r="AP1121" s="91">
        <f t="shared" si="552"/>
        <v>0</v>
      </c>
      <c r="AQ1121" s="91">
        <f t="shared" si="553"/>
        <v>0</v>
      </c>
    </row>
    <row r="1122" spans="1:43">
      <c r="A1122" s="190">
        <f t="shared" si="544"/>
        <v>101.72091033538672</v>
      </c>
      <c r="B1122" s="82">
        <f t="shared" si="545"/>
        <v>36</v>
      </c>
      <c r="C1122" s="83">
        <f t="shared" si="546"/>
        <v>432</v>
      </c>
      <c r="D1122" s="14">
        <f t="shared" si="532"/>
        <v>2.6283369587845051E-3</v>
      </c>
      <c r="E1122" s="16">
        <f t="shared" si="533"/>
        <v>0</v>
      </c>
      <c r="F1122" s="127"/>
      <c r="G1122" s="88">
        <f t="shared" si="534"/>
        <v>0</v>
      </c>
      <c r="H1122" s="89">
        <f t="shared" si="547"/>
        <v>4.1666666666666666E-3</v>
      </c>
      <c r="I1122" s="219"/>
      <c r="J1122" s="219"/>
      <c r="K1122" s="6">
        <f t="shared" si="555"/>
        <v>0</v>
      </c>
      <c r="M1122" s="6">
        <f t="shared" si="535"/>
        <v>0</v>
      </c>
      <c r="N1122" s="6">
        <f t="shared" si="536"/>
        <v>0</v>
      </c>
      <c r="O1122" s="90">
        <f t="shared" si="537"/>
        <v>0</v>
      </c>
      <c r="P1122" s="91">
        <f t="shared" si="538"/>
        <v>0</v>
      </c>
      <c r="Q1122" s="6">
        <f t="shared" si="539"/>
        <v>0</v>
      </c>
      <c r="R1122" s="87">
        <f t="shared" si="557"/>
        <v>0</v>
      </c>
      <c r="S1122" s="6">
        <f t="shared" si="540"/>
        <v>0</v>
      </c>
      <c r="T1122" s="83">
        <f t="shared" si="548"/>
        <v>0</v>
      </c>
      <c r="U1122" s="91">
        <f t="shared" si="554"/>
        <v>0</v>
      </c>
      <c r="V1122" s="91">
        <f t="shared" si="549"/>
        <v>0</v>
      </c>
      <c r="W1122" s="1">
        <f t="shared" si="562"/>
        <v>0</v>
      </c>
      <c r="X1122" s="1">
        <f t="shared" si="562"/>
        <v>0</v>
      </c>
      <c r="Y1122" s="1">
        <f t="shared" si="562"/>
        <v>0</v>
      </c>
      <c r="Z1122" s="1">
        <f t="shared" si="562"/>
        <v>0</v>
      </c>
      <c r="AA1122" s="1">
        <f t="shared" si="562"/>
        <v>0</v>
      </c>
      <c r="AB1122" s="1">
        <f t="shared" si="562"/>
        <v>0</v>
      </c>
      <c r="AC1122" s="1">
        <f t="shared" si="562"/>
        <v>0</v>
      </c>
      <c r="AD1122" s="1">
        <f t="shared" si="562"/>
        <v>0</v>
      </c>
      <c r="AE1122" s="1">
        <f t="shared" si="562"/>
        <v>0</v>
      </c>
      <c r="AF1122" s="1">
        <f t="shared" si="562"/>
        <v>0</v>
      </c>
      <c r="AG1122" s="1">
        <f t="shared" si="562"/>
        <v>0</v>
      </c>
      <c r="AH1122" s="1">
        <f t="shared" si="562"/>
        <v>1</v>
      </c>
      <c r="AI1122" s="44">
        <f t="shared" si="550"/>
        <v>0</v>
      </c>
      <c r="AJ1122" s="44">
        <f t="shared" si="541"/>
        <v>0</v>
      </c>
      <c r="AK1122" s="44">
        <f t="shared" si="558"/>
        <v>0</v>
      </c>
      <c r="AL1122" s="4">
        <f t="shared" si="542"/>
        <v>432</v>
      </c>
      <c r="AM1122" s="82">
        <f t="shared" si="551"/>
        <v>0</v>
      </c>
      <c r="AN1122" s="82">
        <f t="shared" si="543"/>
        <v>0</v>
      </c>
      <c r="AO1122" s="48">
        <v>0</v>
      </c>
      <c r="AP1122" s="91">
        <f t="shared" si="552"/>
        <v>0</v>
      </c>
      <c r="AQ1122" s="91">
        <f t="shared" si="553"/>
        <v>0</v>
      </c>
    </row>
    <row r="1123" spans="1:43">
      <c r="A1123" s="190">
        <f t="shared" si="544"/>
        <v>101.80424366872005</v>
      </c>
      <c r="B1123" s="82">
        <f t="shared" si="545"/>
        <v>37</v>
      </c>
      <c r="C1123" s="83">
        <f t="shared" si="546"/>
        <v>433</v>
      </c>
      <c r="D1123" s="14">
        <f t="shared" si="532"/>
        <v>2.6283369587845051E-3</v>
      </c>
      <c r="E1123" s="16">
        <f t="shared" si="533"/>
        <v>0</v>
      </c>
      <c r="F1123" s="127"/>
      <c r="G1123" s="88">
        <f t="shared" si="534"/>
        <v>0</v>
      </c>
      <c r="H1123" s="89">
        <f t="shared" si="547"/>
        <v>4.1666666666666666E-3</v>
      </c>
      <c r="I1123" s="219"/>
      <c r="J1123" s="219"/>
      <c r="K1123" s="6">
        <f t="shared" si="555"/>
        <v>0</v>
      </c>
      <c r="M1123" s="6">
        <f t="shared" si="535"/>
        <v>0</v>
      </c>
      <c r="N1123" s="6">
        <f t="shared" si="536"/>
        <v>0</v>
      </c>
      <c r="O1123" s="90">
        <f t="shared" si="537"/>
        <v>0</v>
      </c>
      <c r="P1123" s="91">
        <f t="shared" si="538"/>
        <v>0</v>
      </c>
      <c r="Q1123" s="6">
        <f t="shared" si="539"/>
        <v>0</v>
      </c>
      <c r="R1123" s="87">
        <f t="shared" si="557"/>
        <v>0</v>
      </c>
      <c r="S1123" s="6">
        <f t="shared" si="540"/>
        <v>0</v>
      </c>
      <c r="T1123" s="83">
        <f t="shared" si="548"/>
        <v>0</v>
      </c>
      <c r="U1123" s="91">
        <f t="shared" si="554"/>
        <v>0</v>
      </c>
      <c r="V1123" s="91">
        <f t="shared" si="549"/>
        <v>0</v>
      </c>
      <c r="W1123" s="1">
        <f t="shared" si="562"/>
        <v>0</v>
      </c>
      <c r="X1123" s="1">
        <f t="shared" si="562"/>
        <v>0</v>
      </c>
      <c r="Y1123" s="1">
        <f t="shared" si="562"/>
        <v>0</v>
      </c>
      <c r="Z1123" s="1">
        <f t="shared" si="562"/>
        <v>0</v>
      </c>
      <c r="AA1123" s="1">
        <f t="shared" si="562"/>
        <v>0</v>
      </c>
      <c r="AB1123" s="1">
        <f t="shared" si="562"/>
        <v>0</v>
      </c>
      <c r="AC1123" s="1">
        <f t="shared" si="562"/>
        <v>0</v>
      </c>
      <c r="AD1123" s="1">
        <f t="shared" si="562"/>
        <v>0</v>
      </c>
      <c r="AE1123" s="1">
        <f t="shared" si="562"/>
        <v>0</v>
      </c>
      <c r="AF1123" s="1">
        <f t="shared" si="562"/>
        <v>0</v>
      </c>
      <c r="AG1123" s="1">
        <f t="shared" si="562"/>
        <v>0</v>
      </c>
      <c r="AH1123" s="1">
        <f t="shared" si="562"/>
        <v>1</v>
      </c>
      <c r="AI1123" s="44">
        <f t="shared" si="550"/>
        <v>0</v>
      </c>
      <c r="AJ1123" s="44">
        <f t="shared" si="541"/>
        <v>0</v>
      </c>
      <c r="AK1123" s="44">
        <f t="shared" si="558"/>
        <v>0</v>
      </c>
      <c r="AL1123" s="4">
        <f t="shared" si="542"/>
        <v>433</v>
      </c>
      <c r="AM1123" s="82">
        <f t="shared" si="551"/>
        <v>0</v>
      </c>
      <c r="AN1123" s="82">
        <f t="shared" si="543"/>
        <v>0</v>
      </c>
      <c r="AO1123" s="48">
        <v>0</v>
      </c>
      <c r="AP1123" s="91">
        <f t="shared" si="552"/>
        <v>0</v>
      </c>
      <c r="AQ1123" s="91">
        <f t="shared" si="553"/>
        <v>0</v>
      </c>
    </row>
    <row r="1124" spans="1:43">
      <c r="A1124" s="190">
        <f t="shared" si="544"/>
        <v>101.88757700205338</v>
      </c>
      <c r="B1124" s="82">
        <f t="shared" si="545"/>
        <v>37</v>
      </c>
      <c r="C1124" s="83">
        <f t="shared" si="546"/>
        <v>434</v>
      </c>
      <c r="D1124" s="14">
        <f t="shared" si="532"/>
        <v>2.6283369587845051E-3</v>
      </c>
      <c r="E1124" s="16">
        <f t="shared" si="533"/>
        <v>0</v>
      </c>
      <c r="F1124" s="127"/>
      <c r="G1124" s="88">
        <f t="shared" si="534"/>
        <v>0</v>
      </c>
      <c r="H1124" s="89">
        <f t="shared" si="547"/>
        <v>4.1666666666666666E-3</v>
      </c>
      <c r="I1124" s="219"/>
      <c r="J1124" s="219"/>
      <c r="K1124" s="6">
        <f t="shared" si="555"/>
        <v>0</v>
      </c>
      <c r="M1124" s="6">
        <f t="shared" si="535"/>
        <v>0</v>
      </c>
      <c r="N1124" s="6">
        <f t="shared" si="536"/>
        <v>0</v>
      </c>
      <c r="O1124" s="90">
        <f t="shared" si="537"/>
        <v>0</v>
      </c>
      <c r="P1124" s="91">
        <f t="shared" si="538"/>
        <v>0</v>
      </c>
      <c r="Q1124" s="6">
        <f t="shared" si="539"/>
        <v>0</v>
      </c>
      <c r="R1124" s="87">
        <f t="shared" si="557"/>
        <v>0</v>
      </c>
      <c r="S1124" s="6">
        <f t="shared" si="540"/>
        <v>0</v>
      </c>
      <c r="T1124" s="83">
        <f t="shared" si="548"/>
        <v>0</v>
      </c>
      <c r="U1124" s="91">
        <f t="shared" si="554"/>
        <v>0</v>
      </c>
      <c r="V1124" s="91">
        <f t="shared" si="549"/>
        <v>0</v>
      </c>
      <c r="W1124" s="1">
        <f t="shared" si="562"/>
        <v>0</v>
      </c>
      <c r="X1124" s="1">
        <f t="shared" si="562"/>
        <v>0</v>
      </c>
      <c r="Y1124" s="1">
        <f t="shared" si="562"/>
        <v>0</v>
      </c>
      <c r="Z1124" s="1">
        <f t="shared" si="562"/>
        <v>0</v>
      </c>
      <c r="AA1124" s="1">
        <f t="shared" si="562"/>
        <v>0</v>
      </c>
      <c r="AB1124" s="1">
        <f t="shared" si="562"/>
        <v>0</v>
      </c>
      <c r="AC1124" s="1">
        <f t="shared" si="562"/>
        <v>0</v>
      </c>
      <c r="AD1124" s="1">
        <f t="shared" si="562"/>
        <v>0</v>
      </c>
      <c r="AE1124" s="1">
        <f t="shared" si="562"/>
        <v>0</v>
      </c>
      <c r="AF1124" s="1">
        <f t="shared" si="562"/>
        <v>0</v>
      </c>
      <c r="AG1124" s="1">
        <f t="shared" si="562"/>
        <v>0</v>
      </c>
      <c r="AH1124" s="1">
        <f t="shared" si="562"/>
        <v>1</v>
      </c>
      <c r="AI1124" s="44">
        <f t="shared" si="550"/>
        <v>0</v>
      </c>
      <c r="AJ1124" s="44">
        <f t="shared" si="541"/>
        <v>0</v>
      </c>
      <c r="AK1124" s="44">
        <f t="shared" si="558"/>
        <v>0</v>
      </c>
      <c r="AL1124" s="4">
        <f t="shared" si="542"/>
        <v>434</v>
      </c>
      <c r="AM1124" s="82">
        <f t="shared" si="551"/>
        <v>0</v>
      </c>
      <c r="AN1124" s="82">
        <f t="shared" si="543"/>
        <v>0</v>
      </c>
      <c r="AO1124" s="48">
        <v>0</v>
      </c>
      <c r="AP1124" s="91">
        <f t="shared" si="552"/>
        <v>0</v>
      </c>
      <c r="AQ1124" s="91">
        <f t="shared" si="553"/>
        <v>0</v>
      </c>
    </row>
    <row r="1125" spans="1:43">
      <c r="A1125" s="190">
        <f t="shared" si="544"/>
        <v>101.97091033538672</v>
      </c>
      <c r="B1125" s="82">
        <f t="shared" si="545"/>
        <v>37</v>
      </c>
      <c r="C1125" s="83">
        <f t="shared" si="546"/>
        <v>435</v>
      </c>
      <c r="D1125" s="14">
        <f t="shared" si="532"/>
        <v>2.6283369587845051E-3</v>
      </c>
      <c r="E1125" s="16">
        <f t="shared" si="533"/>
        <v>0</v>
      </c>
      <c r="F1125" s="127"/>
      <c r="G1125" s="88">
        <f t="shared" si="534"/>
        <v>0</v>
      </c>
      <c r="H1125" s="89">
        <f t="shared" si="547"/>
        <v>4.1666666666666666E-3</v>
      </c>
      <c r="I1125" s="219"/>
      <c r="J1125" s="219"/>
      <c r="K1125" s="6">
        <f t="shared" si="555"/>
        <v>0</v>
      </c>
      <c r="M1125" s="6">
        <f t="shared" si="535"/>
        <v>0</v>
      </c>
      <c r="N1125" s="6">
        <f t="shared" si="536"/>
        <v>0</v>
      </c>
      <c r="O1125" s="90">
        <f t="shared" si="537"/>
        <v>0</v>
      </c>
      <c r="P1125" s="91">
        <f t="shared" si="538"/>
        <v>0</v>
      </c>
      <c r="Q1125" s="6">
        <f t="shared" si="539"/>
        <v>0</v>
      </c>
      <c r="R1125" s="87">
        <f t="shared" si="557"/>
        <v>0</v>
      </c>
      <c r="S1125" s="6">
        <f t="shared" si="540"/>
        <v>0</v>
      </c>
      <c r="T1125" s="83">
        <f t="shared" si="548"/>
        <v>0</v>
      </c>
      <c r="U1125" s="91">
        <f t="shared" si="554"/>
        <v>0</v>
      </c>
      <c r="V1125" s="91">
        <f t="shared" si="549"/>
        <v>0</v>
      </c>
      <c r="W1125" s="1">
        <f t="shared" si="562"/>
        <v>0</v>
      </c>
      <c r="X1125" s="1">
        <f t="shared" si="562"/>
        <v>0</v>
      </c>
      <c r="Y1125" s="1">
        <f t="shared" si="562"/>
        <v>0</v>
      </c>
      <c r="Z1125" s="1">
        <f t="shared" si="562"/>
        <v>0</v>
      </c>
      <c r="AA1125" s="1">
        <f t="shared" si="562"/>
        <v>0</v>
      </c>
      <c r="AB1125" s="1">
        <f t="shared" si="562"/>
        <v>0</v>
      </c>
      <c r="AC1125" s="1">
        <f t="shared" si="562"/>
        <v>0</v>
      </c>
      <c r="AD1125" s="1">
        <f t="shared" si="562"/>
        <v>0</v>
      </c>
      <c r="AE1125" s="1">
        <f t="shared" si="562"/>
        <v>0</v>
      </c>
      <c r="AF1125" s="1">
        <f t="shared" si="562"/>
        <v>0</v>
      </c>
      <c r="AG1125" s="1">
        <f t="shared" si="562"/>
        <v>0</v>
      </c>
      <c r="AH1125" s="1">
        <f t="shared" si="562"/>
        <v>1</v>
      </c>
      <c r="AI1125" s="44">
        <f t="shared" si="550"/>
        <v>0</v>
      </c>
      <c r="AJ1125" s="44">
        <f t="shared" si="541"/>
        <v>0</v>
      </c>
      <c r="AK1125" s="44">
        <f t="shared" si="558"/>
        <v>0</v>
      </c>
      <c r="AL1125" s="4">
        <f t="shared" si="542"/>
        <v>435</v>
      </c>
      <c r="AM1125" s="82">
        <f t="shared" si="551"/>
        <v>0</v>
      </c>
      <c r="AN1125" s="82">
        <f t="shared" si="543"/>
        <v>0</v>
      </c>
      <c r="AO1125" s="48">
        <v>0</v>
      </c>
      <c r="AP1125" s="91">
        <f t="shared" si="552"/>
        <v>0</v>
      </c>
      <c r="AQ1125" s="91">
        <f t="shared" si="553"/>
        <v>0</v>
      </c>
    </row>
    <row r="1126" spans="1:43">
      <c r="A1126" s="190">
        <f t="shared" si="544"/>
        <v>102.05424366872005</v>
      </c>
      <c r="B1126" s="82">
        <f t="shared" si="545"/>
        <v>37</v>
      </c>
      <c r="C1126" s="83">
        <f t="shared" si="546"/>
        <v>436</v>
      </c>
      <c r="D1126" s="14">
        <f t="shared" si="532"/>
        <v>2.6283369587845051E-3</v>
      </c>
      <c r="E1126" s="16">
        <f t="shared" si="533"/>
        <v>0</v>
      </c>
      <c r="F1126" s="127"/>
      <c r="G1126" s="88">
        <f t="shared" si="534"/>
        <v>0</v>
      </c>
      <c r="H1126" s="89">
        <f t="shared" si="547"/>
        <v>4.1666666666666666E-3</v>
      </c>
      <c r="I1126" s="219"/>
      <c r="J1126" s="219"/>
      <c r="K1126" s="6">
        <f t="shared" si="555"/>
        <v>0</v>
      </c>
      <c r="M1126" s="6">
        <f t="shared" si="535"/>
        <v>0</v>
      </c>
      <c r="N1126" s="6">
        <f t="shared" si="536"/>
        <v>0</v>
      </c>
      <c r="O1126" s="90">
        <f t="shared" si="537"/>
        <v>0</v>
      </c>
      <c r="P1126" s="91">
        <f t="shared" si="538"/>
        <v>0</v>
      </c>
      <c r="Q1126" s="6">
        <f t="shared" si="539"/>
        <v>0</v>
      </c>
      <c r="R1126" s="87">
        <f t="shared" si="557"/>
        <v>0</v>
      </c>
      <c r="S1126" s="6">
        <f t="shared" si="540"/>
        <v>0</v>
      </c>
      <c r="T1126" s="83">
        <f t="shared" si="548"/>
        <v>0</v>
      </c>
      <c r="U1126" s="91">
        <f t="shared" si="554"/>
        <v>0</v>
      </c>
      <c r="V1126" s="91">
        <f t="shared" si="549"/>
        <v>0</v>
      </c>
      <c r="W1126" s="1">
        <f t="shared" si="562"/>
        <v>0</v>
      </c>
      <c r="X1126" s="1">
        <f t="shared" si="562"/>
        <v>0</v>
      </c>
      <c r="Y1126" s="1">
        <f t="shared" si="562"/>
        <v>0</v>
      </c>
      <c r="Z1126" s="1">
        <f t="shared" si="562"/>
        <v>0</v>
      </c>
      <c r="AA1126" s="1">
        <f t="shared" si="562"/>
        <v>0</v>
      </c>
      <c r="AB1126" s="1">
        <f t="shared" si="562"/>
        <v>0</v>
      </c>
      <c r="AC1126" s="1">
        <f t="shared" si="562"/>
        <v>0</v>
      </c>
      <c r="AD1126" s="1">
        <f t="shared" si="562"/>
        <v>0</v>
      </c>
      <c r="AE1126" s="1">
        <f t="shared" si="562"/>
        <v>0</v>
      </c>
      <c r="AF1126" s="1">
        <f t="shared" si="562"/>
        <v>0</v>
      </c>
      <c r="AG1126" s="1">
        <f t="shared" si="562"/>
        <v>0</v>
      </c>
      <c r="AH1126" s="1">
        <f t="shared" si="562"/>
        <v>1</v>
      </c>
      <c r="AI1126" s="44">
        <f t="shared" si="550"/>
        <v>0</v>
      </c>
      <c r="AJ1126" s="44">
        <f t="shared" si="541"/>
        <v>0</v>
      </c>
      <c r="AK1126" s="44">
        <f t="shared" si="558"/>
        <v>0</v>
      </c>
      <c r="AL1126" s="4">
        <f t="shared" si="542"/>
        <v>436</v>
      </c>
      <c r="AM1126" s="82">
        <f t="shared" si="551"/>
        <v>0</v>
      </c>
      <c r="AN1126" s="82">
        <f t="shared" si="543"/>
        <v>0</v>
      </c>
      <c r="AO1126" s="48">
        <v>0</v>
      </c>
      <c r="AP1126" s="91">
        <f t="shared" si="552"/>
        <v>0</v>
      </c>
      <c r="AQ1126" s="91">
        <f t="shared" si="553"/>
        <v>0</v>
      </c>
    </row>
    <row r="1127" spans="1:43">
      <c r="A1127" s="190">
        <f t="shared" si="544"/>
        <v>102.13757700205338</v>
      </c>
      <c r="B1127" s="82">
        <f t="shared" si="545"/>
        <v>37</v>
      </c>
      <c r="C1127" s="83">
        <f t="shared" si="546"/>
        <v>437</v>
      </c>
      <c r="D1127" s="14">
        <f t="shared" si="532"/>
        <v>2.6283369587845051E-3</v>
      </c>
      <c r="E1127" s="16">
        <f t="shared" si="533"/>
        <v>0</v>
      </c>
      <c r="F1127" s="127"/>
      <c r="G1127" s="88">
        <f t="shared" si="534"/>
        <v>0</v>
      </c>
      <c r="H1127" s="89">
        <f t="shared" si="547"/>
        <v>4.1666666666666666E-3</v>
      </c>
      <c r="I1127" s="219"/>
      <c r="J1127" s="219"/>
      <c r="K1127" s="6">
        <f t="shared" si="555"/>
        <v>0</v>
      </c>
      <c r="M1127" s="6">
        <f t="shared" si="535"/>
        <v>0</v>
      </c>
      <c r="N1127" s="6">
        <f t="shared" si="536"/>
        <v>0</v>
      </c>
      <c r="O1127" s="90">
        <f t="shared" si="537"/>
        <v>0</v>
      </c>
      <c r="P1127" s="91">
        <f t="shared" si="538"/>
        <v>0</v>
      </c>
      <c r="Q1127" s="6">
        <f t="shared" si="539"/>
        <v>0</v>
      </c>
      <c r="R1127" s="87">
        <f t="shared" si="557"/>
        <v>0</v>
      </c>
      <c r="S1127" s="6">
        <f t="shared" si="540"/>
        <v>0</v>
      </c>
      <c r="T1127" s="83">
        <f t="shared" si="548"/>
        <v>0</v>
      </c>
      <c r="U1127" s="91">
        <f t="shared" si="554"/>
        <v>0</v>
      </c>
      <c r="V1127" s="91">
        <f t="shared" si="549"/>
        <v>0</v>
      </c>
      <c r="W1127" s="1">
        <f t="shared" si="562"/>
        <v>0</v>
      </c>
      <c r="X1127" s="1">
        <f t="shared" si="562"/>
        <v>0</v>
      </c>
      <c r="Y1127" s="1">
        <f t="shared" si="562"/>
        <v>0</v>
      </c>
      <c r="Z1127" s="1">
        <f t="shared" si="562"/>
        <v>0</v>
      </c>
      <c r="AA1127" s="1">
        <f t="shared" si="562"/>
        <v>0</v>
      </c>
      <c r="AB1127" s="1">
        <f t="shared" si="562"/>
        <v>0</v>
      </c>
      <c r="AC1127" s="1">
        <f t="shared" si="562"/>
        <v>0</v>
      </c>
      <c r="AD1127" s="1">
        <f t="shared" si="562"/>
        <v>0</v>
      </c>
      <c r="AE1127" s="1">
        <f t="shared" si="562"/>
        <v>0</v>
      </c>
      <c r="AF1127" s="1">
        <f t="shared" si="562"/>
        <v>0</v>
      </c>
      <c r="AG1127" s="1">
        <f t="shared" si="562"/>
        <v>0</v>
      </c>
      <c r="AH1127" s="1">
        <f t="shared" si="562"/>
        <v>1</v>
      </c>
      <c r="AI1127" s="44">
        <f t="shared" si="550"/>
        <v>0</v>
      </c>
      <c r="AJ1127" s="44">
        <f t="shared" si="541"/>
        <v>0</v>
      </c>
      <c r="AK1127" s="44">
        <f t="shared" si="558"/>
        <v>0</v>
      </c>
      <c r="AL1127" s="4">
        <f t="shared" si="542"/>
        <v>437</v>
      </c>
      <c r="AM1127" s="82">
        <f t="shared" si="551"/>
        <v>0</v>
      </c>
      <c r="AN1127" s="82">
        <f t="shared" si="543"/>
        <v>0</v>
      </c>
      <c r="AO1127" s="48">
        <v>0</v>
      </c>
      <c r="AP1127" s="91">
        <f t="shared" si="552"/>
        <v>0</v>
      </c>
      <c r="AQ1127" s="91">
        <f t="shared" si="553"/>
        <v>0</v>
      </c>
    </row>
    <row r="1128" spans="1:43">
      <c r="A1128" s="190">
        <f t="shared" si="544"/>
        <v>102.22091033538672</v>
      </c>
      <c r="B1128" s="82">
        <f t="shared" si="545"/>
        <v>37</v>
      </c>
      <c r="C1128" s="83">
        <f t="shared" si="546"/>
        <v>438</v>
      </c>
      <c r="D1128" s="14">
        <f t="shared" si="532"/>
        <v>2.6283369587845051E-3</v>
      </c>
      <c r="E1128" s="16">
        <f t="shared" si="533"/>
        <v>0</v>
      </c>
      <c r="F1128" s="127"/>
      <c r="G1128" s="88">
        <f t="shared" si="534"/>
        <v>0</v>
      </c>
      <c r="H1128" s="89">
        <f t="shared" si="547"/>
        <v>4.1666666666666666E-3</v>
      </c>
      <c r="I1128" s="219"/>
      <c r="J1128" s="219"/>
      <c r="K1128" s="6">
        <f t="shared" si="555"/>
        <v>0</v>
      </c>
      <c r="M1128" s="6">
        <f t="shared" si="535"/>
        <v>0</v>
      </c>
      <c r="N1128" s="6">
        <f t="shared" si="536"/>
        <v>0</v>
      </c>
      <c r="O1128" s="90">
        <f t="shared" si="537"/>
        <v>0</v>
      </c>
      <c r="P1128" s="91">
        <f t="shared" si="538"/>
        <v>0</v>
      </c>
      <c r="Q1128" s="6">
        <f t="shared" si="539"/>
        <v>0</v>
      </c>
      <c r="R1128" s="87">
        <f t="shared" si="557"/>
        <v>0</v>
      </c>
      <c r="S1128" s="6">
        <f t="shared" si="540"/>
        <v>0</v>
      </c>
      <c r="T1128" s="83">
        <f t="shared" si="548"/>
        <v>0</v>
      </c>
      <c r="U1128" s="91">
        <f t="shared" si="554"/>
        <v>0</v>
      </c>
      <c r="V1128" s="91">
        <f t="shared" si="549"/>
        <v>0</v>
      </c>
      <c r="W1128" s="1">
        <f t="shared" si="562"/>
        <v>0</v>
      </c>
      <c r="X1128" s="1">
        <f t="shared" si="562"/>
        <v>0</v>
      </c>
      <c r="Y1128" s="1">
        <f t="shared" si="562"/>
        <v>0</v>
      </c>
      <c r="Z1128" s="1">
        <f t="shared" si="562"/>
        <v>0</v>
      </c>
      <c r="AA1128" s="1">
        <f t="shared" si="562"/>
        <v>0</v>
      </c>
      <c r="AB1128" s="1">
        <f t="shared" si="562"/>
        <v>0</v>
      </c>
      <c r="AC1128" s="1">
        <f t="shared" si="562"/>
        <v>0</v>
      </c>
      <c r="AD1128" s="1">
        <f t="shared" si="562"/>
        <v>0</v>
      </c>
      <c r="AE1128" s="1">
        <f t="shared" si="562"/>
        <v>0</v>
      </c>
      <c r="AF1128" s="1">
        <f t="shared" si="562"/>
        <v>0</v>
      </c>
      <c r="AG1128" s="1">
        <f t="shared" si="562"/>
        <v>0</v>
      </c>
      <c r="AH1128" s="1">
        <f t="shared" si="562"/>
        <v>1</v>
      </c>
      <c r="AI1128" s="44">
        <f t="shared" si="550"/>
        <v>0</v>
      </c>
      <c r="AJ1128" s="44">
        <f t="shared" si="541"/>
        <v>0</v>
      </c>
      <c r="AK1128" s="44">
        <f t="shared" si="558"/>
        <v>0</v>
      </c>
      <c r="AL1128" s="4">
        <f t="shared" si="542"/>
        <v>438</v>
      </c>
      <c r="AM1128" s="82">
        <f t="shared" si="551"/>
        <v>0</v>
      </c>
      <c r="AN1128" s="82">
        <f t="shared" si="543"/>
        <v>0</v>
      </c>
      <c r="AO1128" s="48">
        <v>0</v>
      </c>
      <c r="AP1128" s="91">
        <f t="shared" si="552"/>
        <v>0</v>
      </c>
      <c r="AQ1128" s="91">
        <f t="shared" si="553"/>
        <v>0</v>
      </c>
    </row>
    <row r="1129" spans="1:43">
      <c r="A1129" s="190">
        <f t="shared" si="544"/>
        <v>102.30424366872005</v>
      </c>
      <c r="B1129" s="82">
        <f t="shared" si="545"/>
        <v>37</v>
      </c>
      <c r="C1129" s="83">
        <f t="shared" si="546"/>
        <v>439</v>
      </c>
      <c r="D1129" s="14">
        <f t="shared" si="532"/>
        <v>2.6283369587845051E-3</v>
      </c>
      <c r="E1129" s="16">
        <f t="shared" si="533"/>
        <v>0</v>
      </c>
      <c r="F1129" s="127"/>
      <c r="G1129" s="88">
        <f t="shared" si="534"/>
        <v>0</v>
      </c>
      <c r="H1129" s="89">
        <f t="shared" si="547"/>
        <v>4.1666666666666666E-3</v>
      </c>
      <c r="I1129" s="219"/>
      <c r="J1129" s="219"/>
      <c r="K1129" s="6">
        <f t="shared" si="555"/>
        <v>0</v>
      </c>
      <c r="M1129" s="6">
        <f t="shared" si="535"/>
        <v>0</v>
      </c>
      <c r="N1129" s="6">
        <f t="shared" si="536"/>
        <v>0</v>
      </c>
      <c r="O1129" s="90">
        <f t="shared" si="537"/>
        <v>0</v>
      </c>
      <c r="P1129" s="91">
        <f t="shared" si="538"/>
        <v>0</v>
      </c>
      <c r="Q1129" s="6">
        <f t="shared" si="539"/>
        <v>0</v>
      </c>
      <c r="R1129" s="87">
        <f t="shared" si="557"/>
        <v>0</v>
      </c>
      <c r="S1129" s="6">
        <f t="shared" si="540"/>
        <v>0</v>
      </c>
      <c r="T1129" s="83">
        <f t="shared" si="548"/>
        <v>0</v>
      </c>
      <c r="U1129" s="91">
        <f t="shared" si="554"/>
        <v>0</v>
      </c>
      <c r="V1129" s="91">
        <f t="shared" si="549"/>
        <v>0</v>
      </c>
      <c r="W1129" s="1">
        <f t="shared" si="562"/>
        <v>0</v>
      </c>
      <c r="X1129" s="1">
        <f t="shared" si="562"/>
        <v>0</v>
      </c>
      <c r="Y1129" s="1">
        <f t="shared" si="562"/>
        <v>0</v>
      </c>
      <c r="Z1129" s="1">
        <f t="shared" si="562"/>
        <v>0</v>
      </c>
      <c r="AA1129" s="1">
        <f t="shared" si="562"/>
        <v>0</v>
      </c>
      <c r="AB1129" s="1">
        <f t="shared" si="562"/>
        <v>0</v>
      </c>
      <c r="AC1129" s="1">
        <f t="shared" si="562"/>
        <v>0</v>
      </c>
      <c r="AD1129" s="1">
        <f t="shared" si="562"/>
        <v>0</v>
      </c>
      <c r="AE1129" s="1">
        <f t="shared" si="562"/>
        <v>0</v>
      </c>
      <c r="AF1129" s="1">
        <f t="shared" si="562"/>
        <v>0</v>
      </c>
      <c r="AG1129" s="1">
        <f t="shared" si="562"/>
        <v>0</v>
      </c>
      <c r="AH1129" s="1">
        <f t="shared" si="562"/>
        <v>1</v>
      </c>
      <c r="AI1129" s="44">
        <f t="shared" si="550"/>
        <v>0</v>
      </c>
      <c r="AJ1129" s="44">
        <f t="shared" si="541"/>
        <v>0</v>
      </c>
      <c r="AK1129" s="44">
        <f t="shared" si="558"/>
        <v>0</v>
      </c>
      <c r="AL1129" s="4">
        <f t="shared" si="542"/>
        <v>439</v>
      </c>
      <c r="AM1129" s="82">
        <f t="shared" si="551"/>
        <v>0</v>
      </c>
      <c r="AN1129" s="82">
        <f t="shared" si="543"/>
        <v>0</v>
      </c>
      <c r="AO1129" s="48">
        <v>0</v>
      </c>
      <c r="AP1129" s="91">
        <f t="shared" si="552"/>
        <v>0</v>
      </c>
      <c r="AQ1129" s="91">
        <f t="shared" si="553"/>
        <v>0</v>
      </c>
    </row>
    <row r="1130" spans="1:43">
      <c r="A1130" s="190">
        <f t="shared" si="544"/>
        <v>102.38757700205338</v>
      </c>
      <c r="B1130" s="82">
        <f t="shared" si="545"/>
        <v>37</v>
      </c>
      <c r="C1130" s="83">
        <f t="shared" si="546"/>
        <v>440</v>
      </c>
      <c r="D1130" s="14">
        <f t="shared" si="532"/>
        <v>2.6283369587845051E-3</v>
      </c>
      <c r="E1130" s="16">
        <f t="shared" si="533"/>
        <v>0</v>
      </c>
      <c r="F1130" s="127"/>
      <c r="G1130" s="88">
        <f t="shared" si="534"/>
        <v>0</v>
      </c>
      <c r="H1130" s="89">
        <f t="shared" si="547"/>
        <v>4.1666666666666666E-3</v>
      </c>
      <c r="I1130" s="219"/>
      <c r="J1130" s="219"/>
      <c r="K1130" s="6">
        <f t="shared" si="555"/>
        <v>0</v>
      </c>
      <c r="M1130" s="6">
        <f t="shared" si="535"/>
        <v>0</v>
      </c>
      <c r="N1130" s="6">
        <f t="shared" si="536"/>
        <v>0</v>
      </c>
      <c r="O1130" s="90">
        <f t="shared" si="537"/>
        <v>0</v>
      </c>
      <c r="P1130" s="91">
        <f t="shared" si="538"/>
        <v>0</v>
      </c>
      <c r="Q1130" s="6">
        <f t="shared" si="539"/>
        <v>0</v>
      </c>
      <c r="R1130" s="87">
        <f t="shared" si="557"/>
        <v>0</v>
      </c>
      <c r="S1130" s="6">
        <f t="shared" si="540"/>
        <v>0</v>
      </c>
      <c r="T1130" s="83">
        <f t="shared" si="548"/>
        <v>0</v>
      </c>
      <c r="U1130" s="91">
        <f t="shared" si="554"/>
        <v>0</v>
      </c>
      <c r="V1130" s="91">
        <f t="shared" si="549"/>
        <v>0</v>
      </c>
      <c r="W1130" s="1">
        <f t="shared" si="562"/>
        <v>0</v>
      </c>
      <c r="X1130" s="1">
        <f t="shared" si="562"/>
        <v>0</v>
      </c>
      <c r="Y1130" s="1">
        <f t="shared" si="562"/>
        <v>0</v>
      </c>
      <c r="Z1130" s="1">
        <f t="shared" si="562"/>
        <v>0</v>
      </c>
      <c r="AA1130" s="1">
        <f t="shared" si="562"/>
        <v>0</v>
      </c>
      <c r="AB1130" s="1">
        <f t="shared" si="562"/>
        <v>0</v>
      </c>
      <c r="AC1130" s="1">
        <f t="shared" si="562"/>
        <v>0</v>
      </c>
      <c r="AD1130" s="1">
        <f t="shared" si="562"/>
        <v>0</v>
      </c>
      <c r="AE1130" s="1">
        <f t="shared" si="562"/>
        <v>0</v>
      </c>
      <c r="AF1130" s="1">
        <f t="shared" si="562"/>
        <v>0</v>
      </c>
      <c r="AG1130" s="1">
        <f t="shared" si="562"/>
        <v>0</v>
      </c>
      <c r="AH1130" s="1">
        <f t="shared" si="562"/>
        <v>1</v>
      </c>
      <c r="AI1130" s="44">
        <f t="shared" si="550"/>
        <v>0</v>
      </c>
      <c r="AJ1130" s="44">
        <f t="shared" si="541"/>
        <v>0</v>
      </c>
      <c r="AK1130" s="44">
        <f t="shared" si="558"/>
        <v>0</v>
      </c>
      <c r="AL1130" s="4">
        <f t="shared" si="542"/>
        <v>440</v>
      </c>
      <c r="AM1130" s="82">
        <f t="shared" si="551"/>
        <v>0</v>
      </c>
      <c r="AN1130" s="82">
        <f t="shared" si="543"/>
        <v>0</v>
      </c>
      <c r="AO1130" s="48">
        <v>0</v>
      </c>
      <c r="AP1130" s="91">
        <f t="shared" si="552"/>
        <v>0</v>
      </c>
      <c r="AQ1130" s="91">
        <f t="shared" si="553"/>
        <v>0</v>
      </c>
    </row>
    <row r="1131" spans="1:43">
      <c r="A1131" s="190">
        <f t="shared" si="544"/>
        <v>102.47091033538672</v>
      </c>
      <c r="B1131" s="82">
        <f t="shared" si="545"/>
        <v>37</v>
      </c>
      <c r="C1131" s="83">
        <f t="shared" si="546"/>
        <v>441</v>
      </c>
      <c r="D1131" s="14">
        <f t="shared" si="532"/>
        <v>2.6283369587845051E-3</v>
      </c>
      <c r="E1131" s="16">
        <f t="shared" si="533"/>
        <v>0</v>
      </c>
      <c r="F1131" s="127"/>
      <c r="G1131" s="88">
        <f t="shared" si="534"/>
        <v>0</v>
      </c>
      <c r="H1131" s="89">
        <f t="shared" si="547"/>
        <v>4.1666666666666666E-3</v>
      </c>
      <c r="I1131" s="219"/>
      <c r="J1131" s="219"/>
      <c r="K1131" s="6">
        <f t="shared" si="555"/>
        <v>0</v>
      </c>
      <c r="M1131" s="6">
        <f t="shared" si="535"/>
        <v>0</v>
      </c>
      <c r="N1131" s="6">
        <f t="shared" si="536"/>
        <v>0</v>
      </c>
      <c r="O1131" s="90">
        <f t="shared" si="537"/>
        <v>0</v>
      </c>
      <c r="P1131" s="91">
        <f t="shared" si="538"/>
        <v>0</v>
      </c>
      <c r="Q1131" s="6">
        <f t="shared" si="539"/>
        <v>0</v>
      </c>
      <c r="R1131" s="87">
        <f t="shared" si="557"/>
        <v>0</v>
      </c>
      <c r="S1131" s="6">
        <f t="shared" si="540"/>
        <v>0</v>
      </c>
      <c r="T1131" s="83">
        <f t="shared" si="548"/>
        <v>0</v>
      </c>
      <c r="U1131" s="91">
        <f t="shared" si="554"/>
        <v>0</v>
      </c>
      <c r="V1131" s="91">
        <f t="shared" si="549"/>
        <v>0</v>
      </c>
      <c r="W1131" s="1">
        <f t="shared" ref="W1131:AH1140" si="563">IF($B1131&lt;=W$78,1,0)</f>
        <v>0</v>
      </c>
      <c r="X1131" s="1">
        <f t="shared" si="563"/>
        <v>0</v>
      </c>
      <c r="Y1131" s="1">
        <f t="shared" si="563"/>
        <v>0</v>
      </c>
      <c r="Z1131" s="1">
        <f t="shared" si="563"/>
        <v>0</v>
      </c>
      <c r="AA1131" s="1">
        <f t="shared" si="563"/>
        <v>0</v>
      </c>
      <c r="AB1131" s="1">
        <f t="shared" si="563"/>
        <v>0</v>
      </c>
      <c r="AC1131" s="1">
        <f t="shared" si="563"/>
        <v>0</v>
      </c>
      <c r="AD1131" s="1">
        <f t="shared" si="563"/>
        <v>0</v>
      </c>
      <c r="AE1131" s="1">
        <f t="shared" si="563"/>
        <v>0</v>
      </c>
      <c r="AF1131" s="1">
        <f t="shared" si="563"/>
        <v>0</v>
      </c>
      <c r="AG1131" s="1">
        <f t="shared" si="563"/>
        <v>0</v>
      </c>
      <c r="AH1131" s="1">
        <f t="shared" si="563"/>
        <v>1</v>
      </c>
      <c r="AI1131" s="44">
        <f t="shared" si="550"/>
        <v>0</v>
      </c>
      <c r="AJ1131" s="44">
        <f t="shared" si="541"/>
        <v>0</v>
      </c>
      <c r="AK1131" s="44">
        <f t="shared" si="558"/>
        <v>0</v>
      </c>
      <c r="AL1131" s="4">
        <f t="shared" si="542"/>
        <v>441</v>
      </c>
      <c r="AM1131" s="82">
        <f t="shared" si="551"/>
        <v>0</v>
      </c>
      <c r="AN1131" s="82">
        <f t="shared" si="543"/>
        <v>0</v>
      </c>
      <c r="AO1131" s="48">
        <v>0</v>
      </c>
      <c r="AP1131" s="91">
        <f t="shared" si="552"/>
        <v>0</v>
      </c>
      <c r="AQ1131" s="91">
        <f t="shared" si="553"/>
        <v>0</v>
      </c>
    </row>
    <row r="1132" spans="1:43">
      <c r="A1132" s="190">
        <f t="shared" si="544"/>
        <v>102.55424366872005</v>
      </c>
      <c r="B1132" s="82">
        <f t="shared" si="545"/>
        <v>37</v>
      </c>
      <c r="C1132" s="83">
        <f t="shared" si="546"/>
        <v>442</v>
      </c>
      <c r="D1132" s="14">
        <f t="shared" si="532"/>
        <v>2.6283369587845051E-3</v>
      </c>
      <c r="E1132" s="16">
        <f t="shared" si="533"/>
        <v>0</v>
      </c>
      <c r="F1132" s="127"/>
      <c r="G1132" s="88">
        <f t="shared" si="534"/>
        <v>0</v>
      </c>
      <c r="H1132" s="89">
        <f t="shared" si="547"/>
        <v>4.1666666666666666E-3</v>
      </c>
      <c r="I1132" s="219"/>
      <c r="J1132" s="219"/>
      <c r="K1132" s="6">
        <f t="shared" si="555"/>
        <v>0</v>
      </c>
      <c r="M1132" s="6">
        <f t="shared" si="535"/>
        <v>0</v>
      </c>
      <c r="N1132" s="6">
        <f t="shared" si="536"/>
        <v>0</v>
      </c>
      <c r="O1132" s="90">
        <f t="shared" si="537"/>
        <v>0</v>
      </c>
      <c r="P1132" s="91">
        <f t="shared" si="538"/>
        <v>0</v>
      </c>
      <c r="Q1132" s="6">
        <f t="shared" si="539"/>
        <v>0</v>
      </c>
      <c r="R1132" s="87">
        <f t="shared" si="557"/>
        <v>0</v>
      </c>
      <c r="S1132" s="6">
        <f t="shared" si="540"/>
        <v>0</v>
      </c>
      <c r="T1132" s="83">
        <f t="shared" si="548"/>
        <v>0</v>
      </c>
      <c r="U1132" s="91">
        <f t="shared" si="554"/>
        <v>0</v>
      </c>
      <c r="V1132" s="91">
        <f t="shared" si="549"/>
        <v>0</v>
      </c>
      <c r="W1132" s="1">
        <f t="shared" si="563"/>
        <v>0</v>
      </c>
      <c r="X1132" s="1">
        <f t="shared" si="563"/>
        <v>0</v>
      </c>
      <c r="Y1132" s="1">
        <f t="shared" si="563"/>
        <v>0</v>
      </c>
      <c r="Z1132" s="1">
        <f t="shared" si="563"/>
        <v>0</v>
      </c>
      <c r="AA1132" s="1">
        <f t="shared" si="563"/>
        <v>0</v>
      </c>
      <c r="AB1132" s="1">
        <f t="shared" si="563"/>
        <v>0</v>
      </c>
      <c r="AC1132" s="1">
        <f t="shared" si="563"/>
        <v>0</v>
      </c>
      <c r="AD1132" s="1">
        <f t="shared" si="563"/>
        <v>0</v>
      </c>
      <c r="AE1132" s="1">
        <f t="shared" si="563"/>
        <v>0</v>
      </c>
      <c r="AF1132" s="1">
        <f t="shared" si="563"/>
        <v>0</v>
      </c>
      <c r="AG1132" s="1">
        <f t="shared" si="563"/>
        <v>0</v>
      </c>
      <c r="AH1132" s="1">
        <f t="shared" si="563"/>
        <v>1</v>
      </c>
      <c r="AI1132" s="44">
        <f t="shared" si="550"/>
        <v>0</v>
      </c>
      <c r="AJ1132" s="44">
        <f t="shared" si="541"/>
        <v>0</v>
      </c>
      <c r="AK1132" s="44">
        <f t="shared" si="558"/>
        <v>0</v>
      </c>
      <c r="AL1132" s="4">
        <f t="shared" si="542"/>
        <v>442</v>
      </c>
      <c r="AM1132" s="82">
        <f t="shared" si="551"/>
        <v>0</v>
      </c>
      <c r="AN1132" s="82">
        <f t="shared" si="543"/>
        <v>0</v>
      </c>
      <c r="AO1132" s="48">
        <v>0</v>
      </c>
      <c r="AP1132" s="91">
        <f t="shared" si="552"/>
        <v>0</v>
      </c>
      <c r="AQ1132" s="91">
        <f t="shared" si="553"/>
        <v>0</v>
      </c>
    </row>
    <row r="1133" spans="1:43">
      <c r="A1133" s="190">
        <f t="shared" si="544"/>
        <v>102.63757700205338</v>
      </c>
      <c r="B1133" s="82">
        <f t="shared" si="545"/>
        <v>37</v>
      </c>
      <c r="C1133" s="83">
        <f t="shared" si="546"/>
        <v>443</v>
      </c>
      <c r="D1133" s="14">
        <f t="shared" si="532"/>
        <v>2.6283369587845051E-3</v>
      </c>
      <c r="E1133" s="16">
        <f t="shared" si="533"/>
        <v>0</v>
      </c>
      <c r="F1133" s="127"/>
      <c r="G1133" s="88">
        <f t="shared" si="534"/>
        <v>0</v>
      </c>
      <c r="H1133" s="89">
        <f t="shared" si="547"/>
        <v>4.1666666666666666E-3</v>
      </c>
      <c r="I1133" s="219"/>
      <c r="J1133" s="219"/>
      <c r="K1133" s="6">
        <f t="shared" si="555"/>
        <v>0</v>
      </c>
      <c r="M1133" s="6">
        <f t="shared" si="535"/>
        <v>0</v>
      </c>
      <c r="N1133" s="6">
        <f t="shared" si="536"/>
        <v>0</v>
      </c>
      <c r="O1133" s="90">
        <f t="shared" si="537"/>
        <v>0</v>
      </c>
      <c r="P1133" s="91">
        <f t="shared" si="538"/>
        <v>0</v>
      </c>
      <c r="Q1133" s="6">
        <f t="shared" si="539"/>
        <v>0</v>
      </c>
      <c r="R1133" s="87">
        <f t="shared" si="557"/>
        <v>0</v>
      </c>
      <c r="S1133" s="6">
        <f t="shared" si="540"/>
        <v>0</v>
      </c>
      <c r="T1133" s="83">
        <f t="shared" si="548"/>
        <v>0</v>
      </c>
      <c r="U1133" s="91">
        <f t="shared" si="554"/>
        <v>0</v>
      </c>
      <c r="V1133" s="91">
        <f t="shared" si="549"/>
        <v>0</v>
      </c>
      <c r="W1133" s="1">
        <f t="shared" si="563"/>
        <v>0</v>
      </c>
      <c r="X1133" s="1">
        <f t="shared" si="563"/>
        <v>0</v>
      </c>
      <c r="Y1133" s="1">
        <f t="shared" si="563"/>
        <v>0</v>
      </c>
      <c r="Z1133" s="1">
        <f t="shared" si="563"/>
        <v>0</v>
      </c>
      <c r="AA1133" s="1">
        <f t="shared" si="563"/>
        <v>0</v>
      </c>
      <c r="AB1133" s="1">
        <f t="shared" si="563"/>
        <v>0</v>
      </c>
      <c r="AC1133" s="1">
        <f t="shared" si="563"/>
        <v>0</v>
      </c>
      <c r="AD1133" s="1">
        <f t="shared" si="563"/>
        <v>0</v>
      </c>
      <c r="AE1133" s="1">
        <f t="shared" si="563"/>
        <v>0</v>
      </c>
      <c r="AF1133" s="1">
        <f t="shared" si="563"/>
        <v>0</v>
      </c>
      <c r="AG1133" s="1">
        <f t="shared" si="563"/>
        <v>0</v>
      </c>
      <c r="AH1133" s="1">
        <f t="shared" si="563"/>
        <v>1</v>
      </c>
      <c r="AI1133" s="44">
        <f t="shared" si="550"/>
        <v>0</v>
      </c>
      <c r="AJ1133" s="44">
        <f t="shared" si="541"/>
        <v>0</v>
      </c>
      <c r="AK1133" s="44">
        <f t="shared" si="558"/>
        <v>0</v>
      </c>
      <c r="AL1133" s="4">
        <f t="shared" si="542"/>
        <v>443</v>
      </c>
      <c r="AM1133" s="82">
        <f t="shared" si="551"/>
        <v>0</v>
      </c>
      <c r="AN1133" s="82">
        <f t="shared" si="543"/>
        <v>0</v>
      </c>
      <c r="AO1133" s="48">
        <v>0</v>
      </c>
      <c r="AP1133" s="91">
        <f t="shared" si="552"/>
        <v>0</v>
      </c>
      <c r="AQ1133" s="91">
        <f t="shared" si="553"/>
        <v>0</v>
      </c>
    </row>
    <row r="1134" spans="1:43">
      <c r="A1134" s="190">
        <f t="shared" si="544"/>
        <v>102.72091033538672</v>
      </c>
      <c r="B1134" s="82">
        <f t="shared" si="545"/>
        <v>37</v>
      </c>
      <c r="C1134" s="83">
        <f t="shared" si="546"/>
        <v>444</v>
      </c>
      <c r="D1134" s="14">
        <f t="shared" si="532"/>
        <v>2.6283369587845051E-3</v>
      </c>
      <c r="E1134" s="16">
        <f t="shared" si="533"/>
        <v>0</v>
      </c>
      <c r="F1134" s="127"/>
      <c r="G1134" s="88">
        <f t="shared" si="534"/>
        <v>0</v>
      </c>
      <c r="H1134" s="89">
        <f t="shared" si="547"/>
        <v>4.1666666666666666E-3</v>
      </c>
      <c r="I1134" s="219"/>
      <c r="J1134" s="219"/>
      <c r="K1134" s="6">
        <f t="shared" si="555"/>
        <v>0</v>
      </c>
      <c r="M1134" s="6">
        <f t="shared" si="535"/>
        <v>0</v>
      </c>
      <c r="N1134" s="6">
        <f t="shared" si="536"/>
        <v>0</v>
      </c>
      <c r="O1134" s="90">
        <f t="shared" si="537"/>
        <v>0</v>
      </c>
      <c r="P1134" s="91">
        <f t="shared" si="538"/>
        <v>0</v>
      </c>
      <c r="Q1134" s="6">
        <f t="shared" si="539"/>
        <v>0</v>
      </c>
      <c r="R1134" s="87">
        <f t="shared" si="557"/>
        <v>0</v>
      </c>
      <c r="S1134" s="6">
        <f t="shared" si="540"/>
        <v>0</v>
      </c>
      <c r="T1134" s="83">
        <f t="shared" si="548"/>
        <v>0</v>
      </c>
      <c r="U1134" s="91">
        <f t="shared" si="554"/>
        <v>0</v>
      </c>
      <c r="V1134" s="91">
        <f t="shared" si="549"/>
        <v>0</v>
      </c>
      <c r="W1134" s="1">
        <f t="shared" si="563"/>
        <v>0</v>
      </c>
      <c r="X1134" s="1">
        <f t="shared" si="563"/>
        <v>0</v>
      </c>
      <c r="Y1134" s="1">
        <f t="shared" si="563"/>
        <v>0</v>
      </c>
      <c r="Z1134" s="1">
        <f t="shared" si="563"/>
        <v>0</v>
      </c>
      <c r="AA1134" s="1">
        <f t="shared" si="563"/>
        <v>0</v>
      </c>
      <c r="AB1134" s="1">
        <f t="shared" si="563"/>
        <v>0</v>
      </c>
      <c r="AC1134" s="1">
        <f t="shared" si="563"/>
        <v>0</v>
      </c>
      <c r="AD1134" s="1">
        <f t="shared" si="563"/>
        <v>0</v>
      </c>
      <c r="AE1134" s="1">
        <f t="shared" si="563"/>
        <v>0</v>
      </c>
      <c r="AF1134" s="1">
        <f t="shared" si="563"/>
        <v>0</v>
      </c>
      <c r="AG1134" s="1">
        <f t="shared" si="563"/>
        <v>0</v>
      </c>
      <c r="AH1134" s="1">
        <f t="shared" si="563"/>
        <v>1</v>
      </c>
      <c r="AI1134" s="44">
        <f t="shared" si="550"/>
        <v>0</v>
      </c>
      <c r="AJ1134" s="44">
        <f t="shared" si="541"/>
        <v>0</v>
      </c>
      <c r="AK1134" s="44">
        <f t="shared" si="558"/>
        <v>0</v>
      </c>
      <c r="AL1134" s="4">
        <f t="shared" si="542"/>
        <v>444</v>
      </c>
      <c r="AM1134" s="82">
        <f t="shared" si="551"/>
        <v>0</v>
      </c>
      <c r="AN1134" s="82">
        <f t="shared" si="543"/>
        <v>0</v>
      </c>
      <c r="AO1134" s="48">
        <v>0</v>
      </c>
      <c r="AP1134" s="91">
        <f t="shared" si="552"/>
        <v>0</v>
      </c>
      <c r="AQ1134" s="91">
        <f t="shared" si="553"/>
        <v>0</v>
      </c>
    </row>
    <row r="1135" spans="1:43">
      <c r="A1135" s="190">
        <f t="shared" si="544"/>
        <v>102.80424366872005</v>
      </c>
      <c r="B1135" s="82">
        <f t="shared" si="545"/>
        <v>38</v>
      </c>
      <c r="C1135" s="83">
        <f t="shared" si="546"/>
        <v>445</v>
      </c>
      <c r="D1135" s="14">
        <f t="shared" si="532"/>
        <v>2.6283369587845051E-3</v>
      </c>
      <c r="E1135" s="16">
        <f t="shared" si="533"/>
        <v>0</v>
      </c>
      <c r="F1135" s="127"/>
      <c r="G1135" s="88">
        <f t="shared" si="534"/>
        <v>0</v>
      </c>
      <c r="H1135" s="89">
        <f t="shared" si="547"/>
        <v>4.1666666666666666E-3</v>
      </c>
      <c r="I1135" s="219"/>
      <c r="J1135" s="219"/>
      <c r="K1135" s="6">
        <f t="shared" si="555"/>
        <v>0</v>
      </c>
      <c r="M1135" s="6">
        <f t="shared" si="535"/>
        <v>0</v>
      </c>
      <c r="N1135" s="6">
        <f t="shared" si="536"/>
        <v>0</v>
      </c>
      <c r="O1135" s="90">
        <f t="shared" si="537"/>
        <v>0</v>
      </c>
      <c r="P1135" s="91">
        <f t="shared" si="538"/>
        <v>0</v>
      </c>
      <c r="Q1135" s="6">
        <f t="shared" si="539"/>
        <v>0</v>
      </c>
      <c r="R1135" s="87">
        <f t="shared" si="557"/>
        <v>0</v>
      </c>
      <c r="S1135" s="6">
        <f t="shared" si="540"/>
        <v>0</v>
      </c>
      <c r="T1135" s="83">
        <f t="shared" si="548"/>
        <v>0</v>
      </c>
      <c r="U1135" s="91">
        <f t="shared" si="554"/>
        <v>0</v>
      </c>
      <c r="V1135" s="91">
        <f t="shared" si="549"/>
        <v>0</v>
      </c>
      <c r="W1135" s="1">
        <f t="shared" si="563"/>
        <v>0</v>
      </c>
      <c r="X1135" s="1">
        <f t="shared" si="563"/>
        <v>0</v>
      </c>
      <c r="Y1135" s="1">
        <f t="shared" si="563"/>
        <v>0</v>
      </c>
      <c r="Z1135" s="1">
        <f t="shared" si="563"/>
        <v>0</v>
      </c>
      <c r="AA1135" s="1">
        <f t="shared" si="563"/>
        <v>0</v>
      </c>
      <c r="AB1135" s="1">
        <f t="shared" si="563"/>
        <v>0</v>
      </c>
      <c r="AC1135" s="1">
        <f t="shared" si="563"/>
        <v>0</v>
      </c>
      <c r="AD1135" s="1">
        <f t="shared" si="563"/>
        <v>0</v>
      </c>
      <c r="AE1135" s="1">
        <f t="shared" si="563"/>
        <v>0</v>
      </c>
      <c r="AF1135" s="1">
        <f t="shared" si="563"/>
        <v>0</v>
      </c>
      <c r="AG1135" s="1">
        <f t="shared" si="563"/>
        <v>0</v>
      </c>
      <c r="AH1135" s="1">
        <f t="shared" si="563"/>
        <v>1</v>
      </c>
      <c r="AI1135" s="44">
        <f t="shared" si="550"/>
        <v>0</v>
      </c>
      <c r="AJ1135" s="44">
        <f t="shared" si="541"/>
        <v>0</v>
      </c>
      <c r="AK1135" s="44">
        <f t="shared" si="558"/>
        <v>0</v>
      </c>
      <c r="AL1135" s="4">
        <f t="shared" si="542"/>
        <v>445</v>
      </c>
      <c r="AM1135" s="82">
        <f t="shared" si="551"/>
        <v>0</v>
      </c>
      <c r="AN1135" s="82">
        <f t="shared" si="543"/>
        <v>0</v>
      </c>
      <c r="AO1135" s="48">
        <v>0</v>
      </c>
      <c r="AP1135" s="91">
        <f t="shared" si="552"/>
        <v>0</v>
      </c>
      <c r="AQ1135" s="91">
        <f t="shared" si="553"/>
        <v>0</v>
      </c>
    </row>
    <row r="1136" spans="1:43">
      <c r="A1136" s="190">
        <f t="shared" si="544"/>
        <v>102.88757700205338</v>
      </c>
      <c r="B1136" s="82">
        <f t="shared" si="545"/>
        <v>38</v>
      </c>
      <c r="C1136" s="83">
        <f t="shared" si="546"/>
        <v>446</v>
      </c>
      <c r="D1136" s="14">
        <f t="shared" si="532"/>
        <v>2.6283369587845051E-3</v>
      </c>
      <c r="E1136" s="16">
        <f t="shared" si="533"/>
        <v>0</v>
      </c>
      <c r="F1136" s="127"/>
      <c r="G1136" s="88">
        <f t="shared" si="534"/>
        <v>0</v>
      </c>
      <c r="H1136" s="89">
        <f t="shared" si="547"/>
        <v>4.1666666666666666E-3</v>
      </c>
      <c r="I1136" s="219"/>
      <c r="J1136" s="219"/>
      <c r="K1136" s="6">
        <f t="shared" si="555"/>
        <v>0</v>
      </c>
      <c r="M1136" s="6">
        <f t="shared" si="535"/>
        <v>0</v>
      </c>
      <c r="N1136" s="6">
        <f t="shared" si="536"/>
        <v>0</v>
      </c>
      <c r="O1136" s="90">
        <f t="shared" si="537"/>
        <v>0</v>
      </c>
      <c r="P1136" s="91">
        <f t="shared" si="538"/>
        <v>0</v>
      </c>
      <c r="Q1136" s="6">
        <f t="shared" si="539"/>
        <v>0</v>
      </c>
      <c r="R1136" s="87">
        <f t="shared" si="557"/>
        <v>0</v>
      </c>
      <c r="S1136" s="6">
        <f t="shared" si="540"/>
        <v>0</v>
      </c>
      <c r="T1136" s="83">
        <f t="shared" si="548"/>
        <v>0</v>
      </c>
      <c r="U1136" s="91">
        <f t="shared" si="554"/>
        <v>0</v>
      </c>
      <c r="V1136" s="91">
        <f t="shared" si="549"/>
        <v>0</v>
      </c>
      <c r="W1136" s="1">
        <f t="shared" si="563"/>
        <v>0</v>
      </c>
      <c r="X1136" s="1">
        <f t="shared" si="563"/>
        <v>0</v>
      </c>
      <c r="Y1136" s="1">
        <f t="shared" si="563"/>
        <v>0</v>
      </c>
      <c r="Z1136" s="1">
        <f t="shared" si="563"/>
        <v>0</v>
      </c>
      <c r="AA1136" s="1">
        <f t="shared" si="563"/>
        <v>0</v>
      </c>
      <c r="AB1136" s="1">
        <f t="shared" si="563"/>
        <v>0</v>
      </c>
      <c r="AC1136" s="1">
        <f t="shared" si="563"/>
        <v>0</v>
      </c>
      <c r="AD1136" s="1">
        <f t="shared" si="563"/>
        <v>0</v>
      </c>
      <c r="AE1136" s="1">
        <f t="shared" si="563"/>
        <v>0</v>
      </c>
      <c r="AF1136" s="1">
        <f t="shared" si="563"/>
        <v>0</v>
      </c>
      <c r="AG1136" s="1">
        <f t="shared" si="563"/>
        <v>0</v>
      </c>
      <c r="AH1136" s="1">
        <f t="shared" si="563"/>
        <v>1</v>
      </c>
      <c r="AI1136" s="44">
        <f t="shared" si="550"/>
        <v>0</v>
      </c>
      <c r="AJ1136" s="44">
        <f t="shared" si="541"/>
        <v>0</v>
      </c>
      <c r="AK1136" s="44">
        <f t="shared" si="558"/>
        <v>0</v>
      </c>
      <c r="AL1136" s="4">
        <f t="shared" si="542"/>
        <v>446</v>
      </c>
      <c r="AM1136" s="82">
        <f t="shared" si="551"/>
        <v>0</v>
      </c>
      <c r="AN1136" s="82">
        <f t="shared" si="543"/>
        <v>0</v>
      </c>
      <c r="AO1136" s="48">
        <v>0</v>
      </c>
      <c r="AP1136" s="91">
        <f t="shared" si="552"/>
        <v>0</v>
      </c>
      <c r="AQ1136" s="91">
        <f t="shared" si="553"/>
        <v>0</v>
      </c>
    </row>
    <row r="1137" spans="1:43">
      <c r="A1137" s="190">
        <f t="shared" si="544"/>
        <v>102.97091033538672</v>
      </c>
      <c r="B1137" s="82">
        <f t="shared" si="545"/>
        <v>38</v>
      </c>
      <c r="C1137" s="83">
        <f t="shared" si="546"/>
        <v>447</v>
      </c>
      <c r="D1137" s="14">
        <f t="shared" si="532"/>
        <v>2.6283369587845051E-3</v>
      </c>
      <c r="E1137" s="16">
        <f t="shared" si="533"/>
        <v>0</v>
      </c>
      <c r="F1137" s="127"/>
      <c r="G1137" s="88">
        <f t="shared" si="534"/>
        <v>0</v>
      </c>
      <c r="H1137" s="89">
        <f t="shared" si="547"/>
        <v>4.1666666666666666E-3</v>
      </c>
      <c r="I1137" s="219"/>
      <c r="J1137" s="219"/>
      <c r="K1137" s="6">
        <f t="shared" si="555"/>
        <v>0</v>
      </c>
      <c r="M1137" s="6">
        <f t="shared" si="535"/>
        <v>0</v>
      </c>
      <c r="N1137" s="6">
        <f t="shared" si="536"/>
        <v>0</v>
      </c>
      <c r="O1137" s="90">
        <f t="shared" si="537"/>
        <v>0</v>
      </c>
      <c r="P1137" s="91">
        <f t="shared" si="538"/>
        <v>0</v>
      </c>
      <c r="Q1137" s="6">
        <f t="shared" si="539"/>
        <v>0</v>
      </c>
      <c r="R1137" s="87">
        <f t="shared" si="557"/>
        <v>0</v>
      </c>
      <c r="S1137" s="6">
        <f t="shared" si="540"/>
        <v>0</v>
      </c>
      <c r="T1137" s="83">
        <f t="shared" si="548"/>
        <v>0</v>
      </c>
      <c r="U1137" s="91">
        <f t="shared" si="554"/>
        <v>0</v>
      </c>
      <c r="V1137" s="91">
        <f t="shared" si="549"/>
        <v>0</v>
      </c>
      <c r="W1137" s="1">
        <f t="shared" si="563"/>
        <v>0</v>
      </c>
      <c r="X1137" s="1">
        <f t="shared" si="563"/>
        <v>0</v>
      </c>
      <c r="Y1137" s="1">
        <f t="shared" si="563"/>
        <v>0</v>
      </c>
      <c r="Z1137" s="1">
        <f t="shared" si="563"/>
        <v>0</v>
      </c>
      <c r="AA1137" s="1">
        <f t="shared" si="563"/>
        <v>0</v>
      </c>
      <c r="AB1137" s="1">
        <f t="shared" si="563"/>
        <v>0</v>
      </c>
      <c r="AC1137" s="1">
        <f t="shared" si="563"/>
        <v>0</v>
      </c>
      <c r="AD1137" s="1">
        <f t="shared" si="563"/>
        <v>0</v>
      </c>
      <c r="AE1137" s="1">
        <f t="shared" si="563"/>
        <v>0</v>
      </c>
      <c r="AF1137" s="1">
        <f t="shared" si="563"/>
        <v>0</v>
      </c>
      <c r="AG1137" s="1">
        <f t="shared" si="563"/>
        <v>0</v>
      </c>
      <c r="AH1137" s="1">
        <f t="shared" si="563"/>
        <v>1</v>
      </c>
      <c r="AI1137" s="44">
        <f t="shared" si="550"/>
        <v>0</v>
      </c>
      <c r="AJ1137" s="44">
        <f t="shared" si="541"/>
        <v>0</v>
      </c>
      <c r="AK1137" s="44">
        <f t="shared" si="558"/>
        <v>0</v>
      </c>
      <c r="AL1137" s="4">
        <f t="shared" si="542"/>
        <v>447</v>
      </c>
      <c r="AM1137" s="82">
        <f t="shared" si="551"/>
        <v>0</v>
      </c>
      <c r="AN1137" s="82">
        <f t="shared" si="543"/>
        <v>0</v>
      </c>
      <c r="AO1137" s="48">
        <v>0</v>
      </c>
      <c r="AP1137" s="91">
        <f t="shared" si="552"/>
        <v>0</v>
      </c>
      <c r="AQ1137" s="91">
        <f t="shared" si="553"/>
        <v>0</v>
      </c>
    </row>
    <row r="1138" spans="1:43">
      <c r="A1138" s="190">
        <f t="shared" si="544"/>
        <v>103.05424366872005</v>
      </c>
      <c r="B1138" s="82">
        <f t="shared" si="545"/>
        <v>38</v>
      </c>
      <c r="C1138" s="83">
        <f t="shared" si="546"/>
        <v>448</v>
      </c>
      <c r="D1138" s="14">
        <f t="shared" si="532"/>
        <v>2.6283369587845051E-3</v>
      </c>
      <c r="E1138" s="16">
        <f t="shared" si="533"/>
        <v>0</v>
      </c>
      <c r="F1138" s="127"/>
      <c r="G1138" s="88">
        <f t="shared" si="534"/>
        <v>0</v>
      </c>
      <c r="H1138" s="89">
        <f t="shared" si="547"/>
        <v>4.1666666666666666E-3</v>
      </c>
      <c r="I1138" s="219"/>
      <c r="J1138" s="219"/>
      <c r="K1138" s="6">
        <f t="shared" si="555"/>
        <v>0</v>
      </c>
      <c r="M1138" s="6">
        <f t="shared" si="535"/>
        <v>0</v>
      </c>
      <c r="N1138" s="6">
        <f t="shared" si="536"/>
        <v>0</v>
      </c>
      <c r="O1138" s="90">
        <f t="shared" si="537"/>
        <v>0</v>
      </c>
      <c r="P1138" s="91">
        <f t="shared" si="538"/>
        <v>0</v>
      </c>
      <c r="Q1138" s="6">
        <f t="shared" si="539"/>
        <v>0</v>
      </c>
      <c r="R1138" s="87">
        <f t="shared" si="557"/>
        <v>0</v>
      </c>
      <c r="S1138" s="6">
        <f t="shared" si="540"/>
        <v>0</v>
      </c>
      <c r="T1138" s="83">
        <f t="shared" si="548"/>
        <v>0</v>
      </c>
      <c r="U1138" s="91">
        <f t="shared" si="554"/>
        <v>0</v>
      </c>
      <c r="V1138" s="91">
        <f t="shared" si="549"/>
        <v>0</v>
      </c>
      <c r="W1138" s="1">
        <f t="shared" si="563"/>
        <v>0</v>
      </c>
      <c r="X1138" s="1">
        <f t="shared" si="563"/>
        <v>0</v>
      </c>
      <c r="Y1138" s="1">
        <f t="shared" si="563"/>
        <v>0</v>
      </c>
      <c r="Z1138" s="1">
        <f t="shared" si="563"/>
        <v>0</v>
      </c>
      <c r="AA1138" s="1">
        <f t="shared" si="563"/>
        <v>0</v>
      </c>
      <c r="AB1138" s="1">
        <f t="shared" si="563"/>
        <v>0</v>
      </c>
      <c r="AC1138" s="1">
        <f t="shared" si="563"/>
        <v>0</v>
      </c>
      <c r="AD1138" s="1">
        <f t="shared" si="563"/>
        <v>0</v>
      </c>
      <c r="AE1138" s="1">
        <f t="shared" si="563"/>
        <v>0</v>
      </c>
      <c r="AF1138" s="1">
        <f t="shared" si="563"/>
        <v>0</v>
      </c>
      <c r="AG1138" s="1">
        <f t="shared" si="563"/>
        <v>0</v>
      </c>
      <c r="AH1138" s="1">
        <f t="shared" si="563"/>
        <v>1</v>
      </c>
      <c r="AI1138" s="44">
        <f t="shared" si="550"/>
        <v>0</v>
      </c>
      <c r="AJ1138" s="44">
        <f t="shared" si="541"/>
        <v>0</v>
      </c>
      <c r="AK1138" s="44">
        <f t="shared" si="558"/>
        <v>0</v>
      </c>
      <c r="AL1138" s="4">
        <f t="shared" si="542"/>
        <v>448</v>
      </c>
      <c r="AM1138" s="82">
        <f t="shared" si="551"/>
        <v>0</v>
      </c>
      <c r="AN1138" s="82">
        <f t="shared" si="543"/>
        <v>0</v>
      </c>
      <c r="AO1138" s="48">
        <v>0</v>
      </c>
      <c r="AP1138" s="91">
        <f t="shared" si="552"/>
        <v>0</v>
      </c>
      <c r="AQ1138" s="91">
        <f t="shared" si="553"/>
        <v>0</v>
      </c>
    </row>
    <row r="1139" spans="1:43">
      <c r="A1139" s="190">
        <f t="shared" si="544"/>
        <v>103.13757700205338</v>
      </c>
      <c r="B1139" s="82">
        <f t="shared" si="545"/>
        <v>38</v>
      </c>
      <c r="C1139" s="83">
        <f t="shared" si="546"/>
        <v>449</v>
      </c>
      <c r="D1139" s="14">
        <f t="shared" ref="D1139:D1202" si="564">Growth_Rate_2_Monthly</f>
        <v>2.6283369587845051E-3</v>
      </c>
      <c r="E1139" s="16">
        <f t="shared" ref="E1139:E1202" si="565">IF(Gtee_Flag="on",1,0)</f>
        <v>0</v>
      </c>
      <c r="F1139" s="127"/>
      <c r="G1139" s="88">
        <f t="shared" ref="G1139:G1202" si="566">IF(B1139&lt;=8,VLOOKUP(Product_Code,Product_Parameters,B1139+5,FALSE),0)</f>
        <v>0</v>
      </c>
      <c r="H1139" s="89">
        <f t="shared" si="547"/>
        <v>4.1666666666666666E-3</v>
      </c>
      <c r="I1139" s="219"/>
      <c r="J1139" s="219"/>
      <c r="K1139" s="6">
        <f t="shared" si="555"/>
        <v>0</v>
      </c>
      <c r="M1139" s="6">
        <f t="shared" ref="M1139:M1202" si="567">(K1139+L1139)*D1139</f>
        <v>0</v>
      </c>
      <c r="N1139" s="6">
        <f t="shared" ref="N1139:N1202" si="568">-(($K1139+(L1139)+M1139/2)*(External_Fund_Charge_Monthly+Fund_Charge_Monthly+Gtee_Charge_Monthly*$E1139))</f>
        <v>0</v>
      </c>
      <c r="O1139" s="90">
        <f t="shared" ref="O1139:O1202" si="569">IF(C1139&gt;=Regular_Income_Start_Month,
MIN(Regular_Income_Amount/12*(1+Income_Escalation_Rate_Annual)^($B1139-1),AJ1139),0)</f>
        <v>0</v>
      </c>
      <c r="P1139" s="91">
        <f t="shared" ref="P1139:P1202" si="570">MAX(IF(C1139&gt;=Regular_Income_Start_Month,
MIN(IF(Income_Type="Fixed Percent",$C$51,0)/12*(K1139+L1139+M1139+N1139),AJ1139),0),0)</f>
        <v>0</v>
      </c>
      <c r="Q1139" s="6">
        <f t="shared" ref="Q1139:Q1202" si="571">MAX(IF(C1139&gt;=Regular_Income_Start_Month,
MIN(H1139*(K1139+L1139+M1139+N1139),AJ1139),0),0)</f>
        <v>0</v>
      </c>
      <c r="R1139" s="87">
        <f t="shared" si="557"/>
        <v>0</v>
      </c>
      <c r="S1139" s="6">
        <f t="shared" ref="S1139:S1202" si="572">-(($K1139+I1139+M1139/2+N1139/2+R1139/2)*(Ongoing_Commission_Monthly)+(I1139)*new_upfront_commission)</f>
        <v>0</v>
      </c>
      <c r="T1139" s="83">
        <f t="shared" si="548"/>
        <v>0</v>
      </c>
      <c r="U1139" s="91">
        <f t="shared" si="554"/>
        <v>0</v>
      </c>
      <c r="V1139" s="91">
        <f t="shared" si="549"/>
        <v>0</v>
      </c>
      <c r="W1139" s="1">
        <f t="shared" si="563"/>
        <v>0</v>
      </c>
      <c r="X1139" s="1">
        <f t="shared" si="563"/>
        <v>0</v>
      </c>
      <c r="Y1139" s="1">
        <f t="shared" si="563"/>
        <v>0</v>
      </c>
      <c r="Z1139" s="1">
        <f t="shared" si="563"/>
        <v>0</v>
      </c>
      <c r="AA1139" s="1">
        <f t="shared" si="563"/>
        <v>0</v>
      </c>
      <c r="AB1139" s="1">
        <f t="shared" si="563"/>
        <v>0</v>
      </c>
      <c r="AC1139" s="1">
        <f t="shared" si="563"/>
        <v>0</v>
      </c>
      <c r="AD1139" s="1">
        <f t="shared" si="563"/>
        <v>0</v>
      </c>
      <c r="AE1139" s="1">
        <f t="shared" si="563"/>
        <v>0</v>
      </c>
      <c r="AF1139" s="1">
        <f t="shared" si="563"/>
        <v>0</v>
      </c>
      <c r="AG1139" s="1">
        <f t="shared" si="563"/>
        <v>0</v>
      </c>
      <c r="AH1139" s="1">
        <f t="shared" si="563"/>
        <v>1</v>
      </c>
      <c r="AI1139" s="44">
        <f t="shared" si="550"/>
        <v>0</v>
      </c>
      <c r="AJ1139" s="44">
        <f t="shared" ref="AJ1139:AJ1202" si="573">MAX(0,SUM(K1139:N1139)-$C$66)</f>
        <v>0</v>
      </c>
      <c r="AK1139" s="44">
        <f t="shared" si="558"/>
        <v>0</v>
      </c>
      <c r="AL1139" s="4">
        <f t="shared" ref="AL1139:AL1202" si="574">C1139</f>
        <v>449</v>
      </c>
      <c r="AM1139" s="82">
        <f t="shared" si="551"/>
        <v>0</v>
      </c>
      <c r="AN1139" s="82">
        <f t="shared" ref="AN1139:AN1202" si="575">IF(AND(B1139=Fund_Zero_Year_2,K1140=0,K1139&gt;0),-U1139,IF(AND(B1139+1=Fund_Zero_Year_2,K1140=0,K1139&gt;0),-U1139,0))</f>
        <v>0</v>
      </c>
      <c r="AO1139" s="48">
        <v>0</v>
      </c>
      <c r="AP1139" s="91">
        <f t="shared" si="552"/>
        <v>0</v>
      </c>
      <c r="AQ1139" s="91">
        <f t="shared" si="553"/>
        <v>0</v>
      </c>
    </row>
    <row r="1140" spans="1:43">
      <c r="A1140" s="190">
        <f t="shared" ref="A1140:A1203" si="576">$C$43+C1139/12</f>
        <v>103.22091033538672</v>
      </c>
      <c r="B1140" s="82">
        <f t="shared" ref="B1140:B1203" si="577">INT((C1140-1)/12)+1</f>
        <v>38</v>
      </c>
      <c r="C1140" s="83">
        <f t="shared" ref="C1140:C1203" si="578">C1139+1</f>
        <v>450</v>
      </c>
      <c r="D1140" s="14">
        <f t="shared" si="564"/>
        <v>2.6283369587845051E-3</v>
      </c>
      <c r="E1140" s="16">
        <f t="shared" si="565"/>
        <v>0</v>
      </c>
      <c r="F1140" s="127"/>
      <c r="G1140" s="88">
        <f t="shared" si="566"/>
        <v>0</v>
      </c>
      <c r="H1140" s="89">
        <f t="shared" ref="H1140:H1203" si="579">IF((K1139+L1139+M1139+N1139+R1139)&gt;=2000000,VLOOKUP("&gt;=2000000",Default_IncomeRate_table,3,FALSE),
IF($A1140&lt;71,VLOOKUP("&lt;71",Default_IncomeRate_table,3,FALSE),
IF($A1140&gt;=71,VLOOKUP("&gt;=71",Default_IncomeRate_table,3,FALSE),"")))</f>
        <v>4.1666666666666666E-3</v>
      </c>
      <c r="I1140" s="219"/>
      <c r="J1140" s="219"/>
      <c r="K1140" s="6">
        <f t="shared" si="555"/>
        <v>0</v>
      </c>
      <c r="M1140" s="6">
        <f t="shared" si="567"/>
        <v>0</v>
      </c>
      <c r="N1140" s="6">
        <f t="shared" si="568"/>
        <v>0</v>
      </c>
      <c r="O1140" s="90">
        <f t="shared" si="569"/>
        <v>0</v>
      </c>
      <c r="P1140" s="91">
        <f t="shared" si="570"/>
        <v>0</v>
      </c>
      <c r="Q1140" s="6">
        <f t="shared" si="571"/>
        <v>0</v>
      </c>
      <c r="R1140" s="87">
        <f t="shared" si="557"/>
        <v>0</v>
      </c>
      <c r="S1140" s="6">
        <f t="shared" si="572"/>
        <v>0</v>
      </c>
      <c r="T1140" s="83">
        <f t="shared" ref="T1140:T1203" si="580">SUM(K1140:N1140,R1140)*$G1140</f>
        <v>0</v>
      </c>
      <c r="U1140" s="91">
        <f t="shared" si="554"/>
        <v>0</v>
      </c>
      <c r="V1140" s="91">
        <f t="shared" ref="V1140:V1203" si="581">U1140*D1140</f>
        <v>0</v>
      </c>
      <c r="W1140" s="1">
        <f t="shared" si="563"/>
        <v>0</v>
      </c>
      <c r="X1140" s="1">
        <f t="shared" si="563"/>
        <v>0</v>
      </c>
      <c r="Y1140" s="1">
        <f t="shared" si="563"/>
        <v>0</v>
      </c>
      <c r="Z1140" s="1">
        <f t="shared" si="563"/>
        <v>0</v>
      </c>
      <c r="AA1140" s="1">
        <f t="shared" si="563"/>
        <v>0</v>
      </c>
      <c r="AB1140" s="1">
        <f t="shared" si="563"/>
        <v>0</v>
      </c>
      <c r="AC1140" s="1">
        <f t="shared" si="563"/>
        <v>0</v>
      </c>
      <c r="AD1140" s="1">
        <f t="shared" si="563"/>
        <v>0</v>
      </c>
      <c r="AE1140" s="1">
        <f t="shared" si="563"/>
        <v>0</v>
      </c>
      <c r="AF1140" s="1">
        <f t="shared" si="563"/>
        <v>0</v>
      </c>
      <c r="AG1140" s="1">
        <f t="shared" si="563"/>
        <v>0</v>
      </c>
      <c r="AH1140" s="1">
        <f t="shared" si="563"/>
        <v>1</v>
      </c>
      <c r="AI1140" s="44">
        <f t="shared" ref="AI1140:AI1203" si="582">SUM(K1140:N1140,R1140)</f>
        <v>0</v>
      </c>
      <c r="AJ1140" s="44">
        <f t="shared" si="573"/>
        <v>0</v>
      </c>
      <c r="AK1140" s="44">
        <f t="shared" si="558"/>
        <v>0</v>
      </c>
      <c r="AL1140" s="4">
        <f t="shared" si="574"/>
        <v>450</v>
      </c>
      <c r="AM1140" s="82">
        <f t="shared" ref="AM1140:AM1203" si="583">I1140</f>
        <v>0</v>
      </c>
      <c r="AN1140" s="82">
        <f t="shared" si="575"/>
        <v>0</v>
      </c>
      <c r="AO1140" s="48">
        <v>0</v>
      </c>
      <c r="AP1140" s="91">
        <f t="shared" ref="AP1140:AP1203" si="584">$R1140+AN1140+AM1140</f>
        <v>0</v>
      </c>
      <c r="AQ1140" s="91">
        <f t="shared" ref="AQ1140:AQ1203" si="585">$R1140+AO1140+AM1140</f>
        <v>0</v>
      </c>
    </row>
    <row r="1141" spans="1:43">
      <c r="A1141" s="190">
        <f t="shared" si="576"/>
        <v>103.30424366872005</v>
      </c>
      <c r="B1141" s="82">
        <f t="shared" si="577"/>
        <v>38</v>
      </c>
      <c r="C1141" s="83">
        <f t="shared" si="578"/>
        <v>451</v>
      </c>
      <c r="D1141" s="14">
        <f t="shared" si="564"/>
        <v>2.6283369587845051E-3</v>
      </c>
      <c r="E1141" s="16">
        <f t="shared" si="565"/>
        <v>0</v>
      </c>
      <c r="F1141" s="127"/>
      <c r="G1141" s="88">
        <f t="shared" si="566"/>
        <v>0</v>
      </c>
      <c r="H1141" s="89">
        <f t="shared" si="579"/>
        <v>4.1666666666666666E-3</v>
      </c>
      <c r="I1141" s="219"/>
      <c r="J1141" s="219"/>
      <c r="K1141" s="6">
        <f t="shared" si="555"/>
        <v>0</v>
      </c>
      <c r="M1141" s="6">
        <f t="shared" si="567"/>
        <v>0</v>
      </c>
      <c r="N1141" s="6">
        <f t="shared" si="568"/>
        <v>0</v>
      </c>
      <c r="O1141" s="90">
        <f t="shared" si="569"/>
        <v>0</v>
      </c>
      <c r="P1141" s="91">
        <f t="shared" si="570"/>
        <v>0</v>
      </c>
      <c r="Q1141" s="6">
        <f t="shared" si="571"/>
        <v>0</v>
      </c>
      <c r="R1141" s="87">
        <f t="shared" si="557"/>
        <v>0</v>
      </c>
      <c r="S1141" s="6">
        <f t="shared" si="572"/>
        <v>0</v>
      </c>
      <c r="T1141" s="83">
        <f t="shared" si="580"/>
        <v>0</v>
      </c>
      <c r="U1141" s="91">
        <f t="shared" ref="U1141:U1204" si="586">IF(K1141=0,0,SUM(U1140,R1140,V1140))</f>
        <v>0</v>
      </c>
      <c r="V1141" s="91">
        <f t="shared" si="581"/>
        <v>0</v>
      </c>
      <c r="W1141" s="1">
        <f t="shared" ref="W1141:AH1150" si="587">IF($B1141&lt;=W$78,1,0)</f>
        <v>0</v>
      </c>
      <c r="X1141" s="1">
        <f t="shared" si="587"/>
        <v>0</v>
      </c>
      <c r="Y1141" s="1">
        <f t="shared" si="587"/>
        <v>0</v>
      </c>
      <c r="Z1141" s="1">
        <f t="shared" si="587"/>
        <v>0</v>
      </c>
      <c r="AA1141" s="1">
        <f t="shared" si="587"/>
        <v>0</v>
      </c>
      <c r="AB1141" s="1">
        <f t="shared" si="587"/>
        <v>0</v>
      </c>
      <c r="AC1141" s="1">
        <f t="shared" si="587"/>
        <v>0</v>
      </c>
      <c r="AD1141" s="1">
        <f t="shared" si="587"/>
        <v>0</v>
      </c>
      <c r="AE1141" s="1">
        <f t="shared" si="587"/>
        <v>0</v>
      </c>
      <c r="AF1141" s="1">
        <f t="shared" si="587"/>
        <v>0</v>
      </c>
      <c r="AG1141" s="1">
        <f t="shared" si="587"/>
        <v>0</v>
      </c>
      <c r="AH1141" s="1">
        <f t="shared" si="587"/>
        <v>1</v>
      </c>
      <c r="AI1141" s="44">
        <f t="shared" si="582"/>
        <v>0</v>
      </c>
      <c r="AJ1141" s="44">
        <f t="shared" si="573"/>
        <v>0</v>
      </c>
      <c r="AK1141" s="44">
        <f t="shared" si="558"/>
        <v>0</v>
      </c>
      <c r="AL1141" s="4">
        <f t="shared" si="574"/>
        <v>451</v>
      </c>
      <c r="AM1141" s="82">
        <f t="shared" si="583"/>
        <v>0</v>
      </c>
      <c r="AN1141" s="82">
        <f t="shared" si="575"/>
        <v>0</v>
      </c>
      <c r="AO1141" s="48">
        <v>0</v>
      </c>
      <c r="AP1141" s="91">
        <f t="shared" si="584"/>
        <v>0</v>
      </c>
      <c r="AQ1141" s="91">
        <f t="shared" si="585"/>
        <v>0</v>
      </c>
    </row>
    <row r="1142" spans="1:43">
      <c r="A1142" s="190">
        <f t="shared" si="576"/>
        <v>103.38757700205338</v>
      </c>
      <c r="B1142" s="82">
        <f t="shared" si="577"/>
        <v>38</v>
      </c>
      <c r="C1142" s="83">
        <f t="shared" si="578"/>
        <v>452</v>
      </c>
      <c r="D1142" s="14">
        <f t="shared" si="564"/>
        <v>2.6283369587845051E-3</v>
      </c>
      <c r="E1142" s="16">
        <f t="shared" si="565"/>
        <v>0</v>
      </c>
      <c r="F1142" s="127"/>
      <c r="G1142" s="88">
        <f t="shared" si="566"/>
        <v>0</v>
      </c>
      <c r="H1142" s="89">
        <f t="shared" si="579"/>
        <v>4.1666666666666666E-3</v>
      </c>
      <c r="I1142" s="219"/>
      <c r="J1142" s="219"/>
      <c r="K1142" s="6">
        <f t="shared" si="555"/>
        <v>0</v>
      </c>
      <c r="M1142" s="6">
        <f t="shared" si="567"/>
        <v>0</v>
      </c>
      <c r="N1142" s="6">
        <f t="shared" si="568"/>
        <v>0</v>
      </c>
      <c r="O1142" s="90">
        <f t="shared" si="569"/>
        <v>0</v>
      </c>
      <c r="P1142" s="91">
        <f t="shared" si="570"/>
        <v>0</v>
      </c>
      <c r="Q1142" s="6">
        <f t="shared" si="571"/>
        <v>0</v>
      </c>
      <c r="R1142" s="87">
        <f t="shared" si="557"/>
        <v>0</v>
      </c>
      <c r="S1142" s="6">
        <f t="shared" si="572"/>
        <v>0</v>
      </c>
      <c r="T1142" s="83">
        <f t="shared" si="580"/>
        <v>0</v>
      </c>
      <c r="U1142" s="91">
        <f t="shared" si="586"/>
        <v>0</v>
      </c>
      <c r="V1142" s="91">
        <f t="shared" si="581"/>
        <v>0</v>
      </c>
      <c r="W1142" s="1">
        <f t="shared" si="587"/>
        <v>0</v>
      </c>
      <c r="X1142" s="1">
        <f t="shared" si="587"/>
        <v>0</v>
      </c>
      <c r="Y1142" s="1">
        <f t="shared" si="587"/>
        <v>0</v>
      </c>
      <c r="Z1142" s="1">
        <f t="shared" si="587"/>
        <v>0</v>
      </c>
      <c r="AA1142" s="1">
        <f t="shared" si="587"/>
        <v>0</v>
      </c>
      <c r="AB1142" s="1">
        <f t="shared" si="587"/>
        <v>0</v>
      </c>
      <c r="AC1142" s="1">
        <f t="shared" si="587"/>
        <v>0</v>
      </c>
      <c r="AD1142" s="1">
        <f t="shared" si="587"/>
        <v>0</v>
      </c>
      <c r="AE1142" s="1">
        <f t="shared" si="587"/>
        <v>0</v>
      </c>
      <c r="AF1142" s="1">
        <f t="shared" si="587"/>
        <v>0</v>
      </c>
      <c r="AG1142" s="1">
        <f t="shared" si="587"/>
        <v>0</v>
      </c>
      <c r="AH1142" s="1">
        <f t="shared" si="587"/>
        <v>1</v>
      </c>
      <c r="AI1142" s="44">
        <f t="shared" si="582"/>
        <v>0</v>
      </c>
      <c r="AJ1142" s="44">
        <f t="shared" si="573"/>
        <v>0</v>
      </c>
      <c r="AK1142" s="44">
        <f t="shared" si="558"/>
        <v>0</v>
      </c>
      <c r="AL1142" s="4">
        <f t="shared" si="574"/>
        <v>452</v>
      </c>
      <c r="AM1142" s="82">
        <f t="shared" si="583"/>
        <v>0</v>
      </c>
      <c r="AN1142" s="82">
        <f t="shared" si="575"/>
        <v>0</v>
      </c>
      <c r="AO1142" s="48">
        <v>0</v>
      </c>
      <c r="AP1142" s="91">
        <f t="shared" si="584"/>
        <v>0</v>
      </c>
      <c r="AQ1142" s="91">
        <f t="shared" si="585"/>
        <v>0</v>
      </c>
    </row>
    <row r="1143" spans="1:43">
      <c r="A1143" s="190">
        <f t="shared" si="576"/>
        <v>103.47091033538672</v>
      </c>
      <c r="B1143" s="82">
        <f t="shared" si="577"/>
        <v>38</v>
      </c>
      <c r="C1143" s="83">
        <f t="shared" si="578"/>
        <v>453</v>
      </c>
      <c r="D1143" s="14">
        <f t="shared" si="564"/>
        <v>2.6283369587845051E-3</v>
      </c>
      <c r="E1143" s="16">
        <f t="shared" si="565"/>
        <v>0</v>
      </c>
      <c r="F1143" s="127"/>
      <c r="G1143" s="88">
        <f t="shared" si="566"/>
        <v>0</v>
      </c>
      <c r="H1143" s="89">
        <f t="shared" si="579"/>
        <v>4.1666666666666666E-3</v>
      </c>
      <c r="I1143" s="219"/>
      <c r="J1143" s="219"/>
      <c r="K1143" s="6">
        <f t="shared" ref="K1143:K1206" si="588">SUM(K1142:M1142,N1142,R1142)</f>
        <v>0</v>
      </c>
      <c r="M1143" s="6">
        <f t="shared" si="567"/>
        <v>0</v>
      </c>
      <c r="N1143" s="6">
        <f t="shared" si="568"/>
        <v>0</v>
      </c>
      <c r="O1143" s="90">
        <f t="shared" si="569"/>
        <v>0</v>
      </c>
      <c r="P1143" s="91">
        <f t="shared" si="570"/>
        <v>0</v>
      </c>
      <c r="Q1143" s="6">
        <f t="shared" si="571"/>
        <v>0</v>
      </c>
      <c r="R1143" s="87">
        <f t="shared" si="557"/>
        <v>0</v>
      </c>
      <c r="S1143" s="6">
        <f t="shared" si="572"/>
        <v>0</v>
      </c>
      <c r="T1143" s="83">
        <f t="shared" si="580"/>
        <v>0</v>
      </c>
      <c r="U1143" s="91">
        <f t="shared" si="586"/>
        <v>0</v>
      </c>
      <c r="V1143" s="91">
        <f t="shared" si="581"/>
        <v>0</v>
      </c>
      <c r="W1143" s="1">
        <f t="shared" si="587"/>
        <v>0</v>
      </c>
      <c r="X1143" s="1">
        <f t="shared" si="587"/>
        <v>0</v>
      </c>
      <c r="Y1143" s="1">
        <f t="shared" si="587"/>
        <v>0</v>
      </c>
      <c r="Z1143" s="1">
        <f t="shared" si="587"/>
        <v>0</v>
      </c>
      <c r="AA1143" s="1">
        <f t="shared" si="587"/>
        <v>0</v>
      </c>
      <c r="AB1143" s="1">
        <f t="shared" si="587"/>
        <v>0</v>
      </c>
      <c r="AC1143" s="1">
        <f t="shared" si="587"/>
        <v>0</v>
      </c>
      <c r="AD1143" s="1">
        <f t="shared" si="587"/>
        <v>0</v>
      </c>
      <c r="AE1143" s="1">
        <f t="shared" si="587"/>
        <v>0</v>
      </c>
      <c r="AF1143" s="1">
        <f t="shared" si="587"/>
        <v>0</v>
      </c>
      <c r="AG1143" s="1">
        <f t="shared" si="587"/>
        <v>0</v>
      </c>
      <c r="AH1143" s="1">
        <f t="shared" si="587"/>
        <v>1</v>
      </c>
      <c r="AI1143" s="44">
        <f t="shared" si="582"/>
        <v>0</v>
      </c>
      <c r="AJ1143" s="44">
        <f t="shared" si="573"/>
        <v>0</v>
      </c>
      <c r="AK1143" s="44">
        <f t="shared" si="558"/>
        <v>0</v>
      </c>
      <c r="AL1143" s="4">
        <f t="shared" si="574"/>
        <v>453</v>
      </c>
      <c r="AM1143" s="82">
        <f t="shared" si="583"/>
        <v>0</v>
      </c>
      <c r="AN1143" s="82">
        <f t="shared" si="575"/>
        <v>0</v>
      </c>
      <c r="AO1143" s="48">
        <v>0</v>
      </c>
      <c r="AP1143" s="91">
        <f t="shared" si="584"/>
        <v>0</v>
      </c>
      <c r="AQ1143" s="91">
        <f t="shared" si="585"/>
        <v>0</v>
      </c>
    </row>
    <row r="1144" spans="1:43">
      <c r="A1144" s="190">
        <f t="shared" si="576"/>
        <v>103.55424366872005</v>
      </c>
      <c r="B1144" s="82">
        <f t="shared" si="577"/>
        <v>38</v>
      </c>
      <c r="C1144" s="83">
        <f t="shared" si="578"/>
        <v>454</v>
      </c>
      <c r="D1144" s="14">
        <f t="shared" si="564"/>
        <v>2.6283369587845051E-3</v>
      </c>
      <c r="E1144" s="16">
        <f t="shared" si="565"/>
        <v>0</v>
      </c>
      <c r="F1144" s="127"/>
      <c r="G1144" s="88">
        <f t="shared" si="566"/>
        <v>0</v>
      </c>
      <c r="H1144" s="89">
        <f t="shared" si="579"/>
        <v>4.1666666666666666E-3</v>
      </c>
      <c r="I1144" s="219"/>
      <c r="J1144" s="219"/>
      <c r="K1144" s="6">
        <f t="shared" si="588"/>
        <v>0</v>
      </c>
      <c r="M1144" s="6">
        <f t="shared" si="567"/>
        <v>0</v>
      </c>
      <c r="N1144" s="6">
        <f t="shared" si="568"/>
        <v>0</v>
      </c>
      <c r="O1144" s="90">
        <f t="shared" si="569"/>
        <v>0</v>
      </c>
      <c r="P1144" s="91">
        <f t="shared" si="570"/>
        <v>0</v>
      </c>
      <c r="Q1144" s="6">
        <f t="shared" si="571"/>
        <v>0</v>
      </c>
      <c r="R1144" s="87">
        <f t="shared" si="557"/>
        <v>0</v>
      </c>
      <c r="S1144" s="6">
        <f t="shared" si="572"/>
        <v>0</v>
      </c>
      <c r="T1144" s="83">
        <f t="shared" si="580"/>
        <v>0</v>
      </c>
      <c r="U1144" s="91">
        <f t="shared" si="586"/>
        <v>0</v>
      </c>
      <c r="V1144" s="91">
        <f t="shared" si="581"/>
        <v>0</v>
      </c>
      <c r="W1144" s="1">
        <f t="shared" si="587"/>
        <v>0</v>
      </c>
      <c r="X1144" s="1">
        <f t="shared" si="587"/>
        <v>0</v>
      </c>
      <c r="Y1144" s="1">
        <f t="shared" si="587"/>
        <v>0</v>
      </c>
      <c r="Z1144" s="1">
        <f t="shared" si="587"/>
        <v>0</v>
      </c>
      <c r="AA1144" s="1">
        <f t="shared" si="587"/>
        <v>0</v>
      </c>
      <c r="AB1144" s="1">
        <f t="shared" si="587"/>
        <v>0</v>
      </c>
      <c r="AC1144" s="1">
        <f t="shared" si="587"/>
        <v>0</v>
      </c>
      <c r="AD1144" s="1">
        <f t="shared" si="587"/>
        <v>0</v>
      </c>
      <c r="AE1144" s="1">
        <f t="shared" si="587"/>
        <v>0</v>
      </c>
      <c r="AF1144" s="1">
        <f t="shared" si="587"/>
        <v>0</v>
      </c>
      <c r="AG1144" s="1">
        <f t="shared" si="587"/>
        <v>0</v>
      </c>
      <c r="AH1144" s="1">
        <f t="shared" si="587"/>
        <v>1</v>
      </c>
      <c r="AI1144" s="44">
        <f t="shared" si="582"/>
        <v>0</v>
      </c>
      <c r="AJ1144" s="44">
        <f t="shared" si="573"/>
        <v>0</v>
      </c>
      <c r="AK1144" s="44">
        <f t="shared" si="558"/>
        <v>0</v>
      </c>
      <c r="AL1144" s="4">
        <f t="shared" si="574"/>
        <v>454</v>
      </c>
      <c r="AM1144" s="82">
        <f t="shared" si="583"/>
        <v>0</v>
      </c>
      <c r="AN1144" s="82">
        <f t="shared" si="575"/>
        <v>0</v>
      </c>
      <c r="AO1144" s="48">
        <v>0</v>
      </c>
      <c r="AP1144" s="91">
        <f t="shared" si="584"/>
        <v>0</v>
      </c>
      <c r="AQ1144" s="91">
        <f t="shared" si="585"/>
        <v>0</v>
      </c>
    </row>
    <row r="1145" spans="1:43">
      <c r="A1145" s="190">
        <f t="shared" si="576"/>
        <v>103.63757700205338</v>
      </c>
      <c r="B1145" s="82">
        <f t="shared" si="577"/>
        <v>38</v>
      </c>
      <c r="C1145" s="83">
        <f t="shared" si="578"/>
        <v>455</v>
      </c>
      <c r="D1145" s="14">
        <f t="shared" si="564"/>
        <v>2.6283369587845051E-3</v>
      </c>
      <c r="E1145" s="16">
        <f t="shared" si="565"/>
        <v>0</v>
      </c>
      <c r="F1145" s="127"/>
      <c r="G1145" s="88">
        <f t="shared" si="566"/>
        <v>0</v>
      </c>
      <c r="H1145" s="89">
        <f t="shared" si="579"/>
        <v>4.1666666666666666E-3</v>
      </c>
      <c r="I1145" s="219"/>
      <c r="J1145" s="219"/>
      <c r="K1145" s="6">
        <f t="shared" si="588"/>
        <v>0</v>
      </c>
      <c r="M1145" s="6">
        <f t="shared" si="567"/>
        <v>0</v>
      </c>
      <c r="N1145" s="6">
        <f t="shared" si="568"/>
        <v>0</v>
      </c>
      <c r="O1145" s="90">
        <f t="shared" si="569"/>
        <v>0</v>
      </c>
      <c r="P1145" s="91">
        <f t="shared" si="570"/>
        <v>0</v>
      </c>
      <c r="Q1145" s="6">
        <f t="shared" si="571"/>
        <v>0</v>
      </c>
      <c r="R1145" s="87">
        <f t="shared" si="557"/>
        <v>0</v>
      </c>
      <c r="S1145" s="6">
        <f t="shared" si="572"/>
        <v>0</v>
      </c>
      <c r="T1145" s="83">
        <f t="shared" si="580"/>
        <v>0</v>
      </c>
      <c r="U1145" s="91">
        <f t="shared" si="586"/>
        <v>0</v>
      </c>
      <c r="V1145" s="91">
        <f t="shared" si="581"/>
        <v>0</v>
      </c>
      <c r="W1145" s="1">
        <f t="shared" si="587"/>
        <v>0</v>
      </c>
      <c r="X1145" s="1">
        <f t="shared" si="587"/>
        <v>0</v>
      </c>
      <c r="Y1145" s="1">
        <f t="shared" si="587"/>
        <v>0</v>
      </c>
      <c r="Z1145" s="1">
        <f t="shared" si="587"/>
        <v>0</v>
      </c>
      <c r="AA1145" s="1">
        <f t="shared" si="587"/>
        <v>0</v>
      </c>
      <c r="AB1145" s="1">
        <f t="shared" si="587"/>
        <v>0</v>
      </c>
      <c r="AC1145" s="1">
        <f t="shared" si="587"/>
        <v>0</v>
      </c>
      <c r="AD1145" s="1">
        <f t="shared" si="587"/>
        <v>0</v>
      </c>
      <c r="AE1145" s="1">
        <f t="shared" si="587"/>
        <v>0</v>
      </c>
      <c r="AF1145" s="1">
        <f t="shared" si="587"/>
        <v>0</v>
      </c>
      <c r="AG1145" s="1">
        <f t="shared" si="587"/>
        <v>0</v>
      </c>
      <c r="AH1145" s="1">
        <f t="shared" si="587"/>
        <v>1</v>
      </c>
      <c r="AI1145" s="44">
        <f t="shared" si="582"/>
        <v>0</v>
      </c>
      <c r="AJ1145" s="44">
        <f t="shared" si="573"/>
        <v>0</v>
      </c>
      <c r="AK1145" s="44">
        <f t="shared" si="558"/>
        <v>0</v>
      </c>
      <c r="AL1145" s="4">
        <f t="shared" si="574"/>
        <v>455</v>
      </c>
      <c r="AM1145" s="82">
        <f t="shared" si="583"/>
        <v>0</v>
      </c>
      <c r="AN1145" s="82">
        <f t="shared" si="575"/>
        <v>0</v>
      </c>
      <c r="AO1145" s="48">
        <v>0</v>
      </c>
      <c r="AP1145" s="91">
        <f t="shared" si="584"/>
        <v>0</v>
      </c>
      <c r="AQ1145" s="91">
        <f t="shared" si="585"/>
        <v>0</v>
      </c>
    </row>
    <row r="1146" spans="1:43">
      <c r="A1146" s="190">
        <f t="shared" si="576"/>
        <v>103.72091033538672</v>
      </c>
      <c r="B1146" s="82">
        <f t="shared" si="577"/>
        <v>38</v>
      </c>
      <c r="C1146" s="83">
        <f t="shared" si="578"/>
        <v>456</v>
      </c>
      <c r="D1146" s="14">
        <f t="shared" si="564"/>
        <v>2.6283369587845051E-3</v>
      </c>
      <c r="E1146" s="16">
        <f t="shared" si="565"/>
        <v>0</v>
      </c>
      <c r="F1146" s="127"/>
      <c r="G1146" s="88">
        <f t="shared" si="566"/>
        <v>0</v>
      </c>
      <c r="H1146" s="89">
        <f t="shared" si="579"/>
        <v>4.1666666666666666E-3</v>
      </c>
      <c r="I1146" s="219"/>
      <c r="J1146" s="219"/>
      <c r="K1146" s="6">
        <f t="shared" si="588"/>
        <v>0</v>
      </c>
      <c r="M1146" s="6">
        <f t="shared" si="567"/>
        <v>0</v>
      </c>
      <c r="N1146" s="6">
        <f t="shared" si="568"/>
        <v>0</v>
      </c>
      <c r="O1146" s="90">
        <f t="shared" si="569"/>
        <v>0</v>
      </c>
      <c r="P1146" s="91">
        <f t="shared" si="570"/>
        <v>0</v>
      </c>
      <c r="Q1146" s="6">
        <f t="shared" si="571"/>
        <v>0</v>
      </c>
      <c r="R1146" s="87">
        <f t="shared" si="557"/>
        <v>0</v>
      </c>
      <c r="S1146" s="6">
        <f t="shared" si="572"/>
        <v>0</v>
      </c>
      <c r="T1146" s="83">
        <f t="shared" si="580"/>
        <v>0</v>
      </c>
      <c r="U1146" s="91">
        <f t="shared" si="586"/>
        <v>0</v>
      </c>
      <c r="V1146" s="91">
        <f t="shared" si="581"/>
        <v>0</v>
      </c>
      <c r="W1146" s="1">
        <f t="shared" si="587"/>
        <v>0</v>
      </c>
      <c r="X1146" s="1">
        <f t="shared" si="587"/>
        <v>0</v>
      </c>
      <c r="Y1146" s="1">
        <f t="shared" si="587"/>
        <v>0</v>
      </c>
      <c r="Z1146" s="1">
        <f t="shared" si="587"/>
        <v>0</v>
      </c>
      <c r="AA1146" s="1">
        <f t="shared" si="587"/>
        <v>0</v>
      </c>
      <c r="AB1146" s="1">
        <f t="shared" si="587"/>
        <v>0</v>
      </c>
      <c r="AC1146" s="1">
        <f t="shared" si="587"/>
        <v>0</v>
      </c>
      <c r="AD1146" s="1">
        <f t="shared" si="587"/>
        <v>0</v>
      </c>
      <c r="AE1146" s="1">
        <f t="shared" si="587"/>
        <v>0</v>
      </c>
      <c r="AF1146" s="1">
        <f t="shared" si="587"/>
        <v>0</v>
      </c>
      <c r="AG1146" s="1">
        <f t="shared" si="587"/>
        <v>0</v>
      </c>
      <c r="AH1146" s="1">
        <f t="shared" si="587"/>
        <v>1</v>
      </c>
      <c r="AI1146" s="44">
        <f t="shared" si="582"/>
        <v>0</v>
      </c>
      <c r="AJ1146" s="44">
        <f t="shared" si="573"/>
        <v>0</v>
      </c>
      <c r="AK1146" s="44">
        <f t="shared" si="558"/>
        <v>0</v>
      </c>
      <c r="AL1146" s="4">
        <f t="shared" si="574"/>
        <v>456</v>
      </c>
      <c r="AM1146" s="82">
        <f t="shared" si="583"/>
        <v>0</v>
      </c>
      <c r="AN1146" s="82">
        <f t="shared" si="575"/>
        <v>0</v>
      </c>
      <c r="AO1146" s="48">
        <v>0</v>
      </c>
      <c r="AP1146" s="91">
        <f t="shared" si="584"/>
        <v>0</v>
      </c>
      <c r="AQ1146" s="91">
        <f t="shared" si="585"/>
        <v>0</v>
      </c>
    </row>
    <row r="1147" spans="1:43">
      <c r="A1147" s="190">
        <f t="shared" si="576"/>
        <v>103.80424366872005</v>
      </c>
      <c r="B1147" s="82">
        <f t="shared" si="577"/>
        <v>39</v>
      </c>
      <c r="C1147" s="83">
        <f t="shared" si="578"/>
        <v>457</v>
      </c>
      <c r="D1147" s="14">
        <f t="shared" si="564"/>
        <v>2.6283369587845051E-3</v>
      </c>
      <c r="E1147" s="16">
        <f t="shared" si="565"/>
        <v>0</v>
      </c>
      <c r="F1147" s="127"/>
      <c r="G1147" s="88">
        <f t="shared" si="566"/>
        <v>0</v>
      </c>
      <c r="H1147" s="89">
        <f t="shared" si="579"/>
        <v>4.1666666666666666E-3</v>
      </c>
      <c r="I1147" s="219"/>
      <c r="J1147" s="219"/>
      <c r="K1147" s="6">
        <f t="shared" si="588"/>
        <v>0</v>
      </c>
      <c r="M1147" s="6">
        <f t="shared" si="567"/>
        <v>0</v>
      </c>
      <c r="N1147" s="6">
        <f t="shared" si="568"/>
        <v>0</v>
      </c>
      <c r="O1147" s="90">
        <f t="shared" si="569"/>
        <v>0</v>
      </c>
      <c r="P1147" s="91">
        <f t="shared" si="570"/>
        <v>0</v>
      </c>
      <c r="Q1147" s="6">
        <f t="shared" si="571"/>
        <v>0</v>
      </c>
      <c r="R1147" s="87">
        <f t="shared" si="557"/>
        <v>0</v>
      </c>
      <c r="S1147" s="6">
        <f t="shared" si="572"/>
        <v>0</v>
      </c>
      <c r="T1147" s="83">
        <f t="shared" si="580"/>
        <v>0</v>
      </c>
      <c r="U1147" s="91">
        <f t="shared" si="586"/>
        <v>0</v>
      </c>
      <c r="V1147" s="91">
        <f t="shared" si="581"/>
        <v>0</v>
      </c>
      <c r="W1147" s="1">
        <f t="shared" si="587"/>
        <v>0</v>
      </c>
      <c r="X1147" s="1">
        <f t="shared" si="587"/>
        <v>0</v>
      </c>
      <c r="Y1147" s="1">
        <f t="shared" si="587"/>
        <v>0</v>
      </c>
      <c r="Z1147" s="1">
        <f t="shared" si="587"/>
        <v>0</v>
      </c>
      <c r="AA1147" s="1">
        <f t="shared" si="587"/>
        <v>0</v>
      </c>
      <c r="AB1147" s="1">
        <f t="shared" si="587"/>
        <v>0</v>
      </c>
      <c r="AC1147" s="1">
        <f t="shared" si="587"/>
        <v>0</v>
      </c>
      <c r="AD1147" s="1">
        <f t="shared" si="587"/>
        <v>0</v>
      </c>
      <c r="AE1147" s="1">
        <f t="shared" si="587"/>
        <v>0</v>
      </c>
      <c r="AF1147" s="1">
        <f t="shared" si="587"/>
        <v>0</v>
      </c>
      <c r="AG1147" s="1">
        <f t="shared" si="587"/>
        <v>0</v>
      </c>
      <c r="AH1147" s="1">
        <f t="shared" si="587"/>
        <v>1</v>
      </c>
      <c r="AI1147" s="44">
        <f t="shared" si="582"/>
        <v>0</v>
      </c>
      <c r="AJ1147" s="44">
        <f t="shared" si="573"/>
        <v>0</v>
      </c>
      <c r="AK1147" s="44">
        <f t="shared" si="558"/>
        <v>0</v>
      </c>
      <c r="AL1147" s="4">
        <f t="shared" si="574"/>
        <v>457</v>
      </c>
      <c r="AM1147" s="82">
        <f t="shared" si="583"/>
        <v>0</v>
      </c>
      <c r="AN1147" s="82">
        <f t="shared" si="575"/>
        <v>0</v>
      </c>
      <c r="AO1147" s="48">
        <v>0</v>
      </c>
      <c r="AP1147" s="91">
        <f t="shared" si="584"/>
        <v>0</v>
      </c>
      <c r="AQ1147" s="91">
        <f t="shared" si="585"/>
        <v>0</v>
      </c>
    </row>
    <row r="1148" spans="1:43">
      <c r="A1148" s="190">
        <f t="shared" si="576"/>
        <v>103.88757700205338</v>
      </c>
      <c r="B1148" s="82">
        <f t="shared" si="577"/>
        <v>39</v>
      </c>
      <c r="C1148" s="83">
        <f t="shared" si="578"/>
        <v>458</v>
      </c>
      <c r="D1148" s="14">
        <f t="shared" si="564"/>
        <v>2.6283369587845051E-3</v>
      </c>
      <c r="E1148" s="16">
        <f t="shared" si="565"/>
        <v>0</v>
      </c>
      <c r="F1148" s="127"/>
      <c r="G1148" s="88">
        <f t="shared" si="566"/>
        <v>0</v>
      </c>
      <c r="H1148" s="89">
        <f t="shared" si="579"/>
        <v>4.1666666666666666E-3</v>
      </c>
      <c r="I1148" s="219"/>
      <c r="J1148" s="219"/>
      <c r="K1148" s="6">
        <f t="shared" si="588"/>
        <v>0</v>
      </c>
      <c r="M1148" s="6">
        <f t="shared" si="567"/>
        <v>0</v>
      </c>
      <c r="N1148" s="6">
        <f t="shared" si="568"/>
        <v>0</v>
      </c>
      <c r="O1148" s="90">
        <f t="shared" si="569"/>
        <v>0</v>
      </c>
      <c r="P1148" s="91">
        <f t="shared" si="570"/>
        <v>0</v>
      </c>
      <c r="Q1148" s="6">
        <f t="shared" si="571"/>
        <v>0</v>
      </c>
      <c r="R1148" s="87">
        <f t="shared" si="557"/>
        <v>0</v>
      </c>
      <c r="S1148" s="6">
        <f t="shared" si="572"/>
        <v>0</v>
      </c>
      <c r="T1148" s="83">
        <f t="shared" si="580"/>
        <v>0</v>
      </c>
      <c r="U1148" s="91">
        <f t="shared" si="586"/>
        <v>0</v>
      </c>
      <c r="V1148" s="91">
        <f t="shared" si="581"/>
        <v>0</v>
      </c>
      <c r="W1148" s="1">
        <f t="shared" si="587"/>
        <v>0</v>
      </c>
      <c r="X1148" s="1">
        <f t="shared" si="587"/>
        <v>0</v>
      </c>
      <c r="Y1148" s="1">
        <f t="shared" si="587"/>
        <v>0</v>
      </c>
      <c r="Z1148" s="1">
        <f t="shared" si="587"/>
        <v>0</v>
      </c>
      <c r="AA1148" s="1">
        <f t="shared" si="587"/>
        <v>0</v>
      </c>
      <c r="AB1148" s="1">
        <f t="shared" si="587"/>
        <v>0</v>
      </c>
      <c r="AC1148" s="1">
        <f t="shared" si="587"/>
        <v>0</v>
      </c>
      <c r="AD1148" s="1">
        <f t="shared" si="587"/>
        <v>0</v>
      </c>
      <c r="AE1148" s="1">
        <f t="shared" si="587"/>
        <v>0</v>
      </c>
      <c r="AF1148" s="1">
        <f t="shared" si="587"/>
        <v>0</v>
      </c>
      <c r="AG1148" s="1">
        <f t="shared" si="587"/>
        <v>0</v>
      </c>
      <c r="AH1148" s="1">
        <f t="shared" si="587"/>
        <v>1</v>
      </c>
      <c r="AI1148" s="44">
        <f t="shared" si="582"/>
        <v>0</v>
      </c>
      <c r="AJ1148" s="44">
        <f t="shared" si="573"/>
        <v>0</v>
      </c>
      <c r="AK1148" s="44">
        <f t="shared" si="558"/>
        <v>0</v>
      </c>
      <c r="AL1148" s="4">
        <f t="shared" si="574"/>
        <v>458</v>
      </c>
      <c r="AM1148" s="82">
        <f t="shared" si="583"/>
        <v>0</v>
      </c>
      <c r="AN1148" s="82">
        <f t="shared" si="575"/>
        <v>0</v>
      </c>
      <c r="AO1148" s="48">
        <v>0</v>
      </c>
      <c r="AP1148" s="91">
        <f t="shared" si="584"/>
        <v>0</v>
      </c>
      <c r="AQ1148" s="91">
        <f t="shared" si="585"/>
        <v>0</v>
      </c>
    </row>
    <row r="1149" spans="1:43">
      <c r="A1149" s="190">
        <f t="shared" si="576"/>
        <v>103.97091033538672</v>
      </c>
      <c r="B1149" s="82">
        <f t="shared" si="577"/>
        <v>39</v>
      </c>
      <c r="C1149" s="83">
        <f t="shared" si="578"/>
        <v>459</v>
      </c>
      <c r="D1149" s="14">
        <f t="shared" si="564"/>
        <v>2.6283369587845051E-3</v>
      </c>
      <c r="E1149" s="16">
        <f t="shared" si="565"/>
        <v>0</v>
      </c>
      <c r="F1149" s="127"/>
      <c r="G1149" s="88">
        <f t="shared" si="566"/>
        <v>0</v>
      </c>
      <c r="H1149" s="89">
        <f t="shared" si="579"/>
        <v>4.1666666666666666E-3</v>
      </c>
      <c r="I1149" s="219"/>
      <c r="J1149" s="219"/>
      <c r="K1149" s="6">
        <f t="shared" si="588"/>
        <v>0</v>
      </c>
      <c r="M1149" s="6">
        <f t="shared" si="567"/>
        <v>0</v>
      </c>
      <c r="N1149" s="6">
        <f t="shared" si="568"/>
        <v>0</v>
      </c>
      <c r="O1149" s="90">
        <f t="shared" si="569"/>
        <v>0</v>
      </c>
      <c r="P1149" s="91">
        <f t="shared" si="570"/>
        <v>0</v>
      </c>
      <c r="Q1149" s="6">
        <f t="shared" si="571"/>
        <v>0</v>
      </c>
      <c r="R1149" s="87">
        <f t="shared" si="557"/>
        <v>0</v>
      </c>
      <c r="S1149" s="6">
        <f t="shared" si="572"/>
        <v>0</v>
      </c>
      <c r="T1149" s="83">
        <f t="shared" si="580"/>
        <v>0</v>
      </c>
      <c r="U1149" s="91">
        <f t="shared" si="586"/>
        <v>0</v>
      </c>
      <c r="V1149" s="91">
        <f t="shared" si="581"/>
        <v>0</v>
      </c>
      <c r="W1149" s="1">
        <f t="shared" si="587"/>
        <v>0</v>
      </c>
      <c r="X1149" s="1">
        <f t="shared" si="587"/>
        <v>0</v>
      </c>
      <c r="Y1149" s="1">
        <f t="shared" si="587"/>
        <v>0</v>
      </c>
      <c r="Z1149" s="1">
        <f t="shared" si="587"/>
        <v>0</v>
      </c>
      <c r="AA1149" s="1">
        <f t="shared" si="587"/>
        <v>0</v>
      </c>
      <c r="AB1149" s="1">
        <f t="shared" si="587"/>
        <v>0</v>
      </c>
      <c r="AC1149" s="1">
        <f t="shared" si="587"/>
        <v>0</v>
      </c>
      <c r="AD1149" s="1">
        <f t="shared" si="587"/>
        <v>0</v>
      </c>
      <c r="AE1149" s="1">
        <f t="shared" si="587"/>
        <v>0</v>
      </c>
      <c r="AF1149" s="1">
        <f t="shared" si="587"/>
        <v>0</v>
      </c>
      <c r="AG1149" s="1">
        <f t="shared" si="587"/>
        <v>0</v>
      </c>
      <c r="AH1149" s="1">
        <f t="shared" si="587"/>
        <v>1</v>
      </c>
      <c r="AI1149" s="44">
        <f t="shared" si="582"/>
        <v>0</v>
      </c>
      <c r="AJ1149" s="44">
        <f t="shared" si="573"/>
        <v>0</v>
      </c>
      <c r="AK1149" s="44">
        <f t="shared" si="558"/>
        <v>0</v>
      </c>
      <c r="AL1149" s="4">
        <f t="shared" si="574"/>
        <v>459</v>
      </c>
      <c r="AM1149" s="82">
        <f t="shared" si="583"/>
        <v>0</v>
      </c>
      <c r="AN1149" s="82">
        <f t="shared" si="575"/>
        <v>0</v>
      </c>
      <c r="AO1149" s="48">
        <v>0</v>
      </c>
      <c r="AP1149" s="91">
        <f t="shared" si="584"/>
        <v>0</v>
      </c>
      <c r="AQ1149" s="91">
        <f t="shared" si="585"/>
        <v>0</v>
      </c>
    </row>
    <row r="1150" spans="1:43">
      <c r="A1150" s="190">
        <f t="shared" si="576"/>
        <v>104.05424366872005</v>
      </c>
      <c r="B1150" s="82">
        <f t="shared" si="577"/>
        <v>39</v>
      </c>
      <c r="C1150" s="83">
        <f t="shared" si="578"/>
        <v>460</v>
      </c>
      <c r="D1150" s="14">
        <f t="shared" si="564"/>
        <v>2.6283369587845051E-3</v>
      </c>
      <c r="E1150" s="16">
        <f t="shared" si="565"/>
        <v>0</v>
      </c>
      <c r="F1150" s="127"/>
      <c r="G1150" s="88">
        <f t="shared" si="566"/>
        <v>0</v>
      </c>
      <c r="H1150" s="89">
        <f t="shared" si="579"/>
        <v>4.1666666666666666E-3</v>
      </c>
      <c r="I1150" s="219"/>
      <c r="J1150" s="219"/>
      <c r="K1150" s="6">
        <f t="shared" si="588"/>
        <v>0</v>
      </c>
      <c r="M1150" s="6">
        <f t="shared" si="567"/>
        <v>0</v>
      </c>
      <c r="N1150" s="6">
        <f t="shared" si="568"/>
        <v>0</v>
      </c>
      <c r="O1150" s="90">
        <f t="shared" si="569"/>
        <v>0</v>
      </c>
      <c r="P1150" s="91">
        <f t="shared" si="570"/>
        <v>0</v>
      </c>
      <c r="Q1150" s="6">
        <f t="shared" si="571"/>
        <v>0</v>
      </c>
      <c r="R1150" s="87">
        <f t="shared" si="557"/>
        <v>0</v>
      </c>
      <c r="S1150" s="6">
        <f t="shared" si="572"/>
        <v>0</v>
      </c>
      <c r="T1150" s="83">
        <f t="shared" si="580"/>
        <v>0</v>
      </c>
      <c r="U1150" s="91">
        <f t="shared" si="586"/>
        <v>0</v>
      </c>
      <c r="V1150" s="91">
        <f t="shared" si="581"/>
        <v>0</v>
      </c>
      <c r="W1150" s="1">
        <f t="shared" si="587"/>
        <v>0</v>
      </c>
      <c r="X1150" s="1">
        <f t="shared" si="587"/>
        <v>0</v>
      </c>
      <c r="Y1150" s="1">
        <f t="shared" si="587"/>
        <v>0</v>
      </c>
      <c r="Z1150" s="1">
        <f t="shared" si="587"/>
        <v>0</v>
      </c>
      <c r="AA1150" s="1">
        <f t="shared" si="587"/>
        <v>0</v>
      </c>
      <c r="AB1150" s="1">
        <f t="shared" si="587"/>
        <v>0</v>
      </c>
      <c r="AC1150" s="1">
        <f t="shared" si="587"/>
        <v>0</v>
      </c>
      <c r="AD1150" s="1">
        <f t="shared" si="587"/>
        <v>0</v>
      </c>
      <c r="AE1150" s="1">
        <f t="shared" si="587"/>
        <v>0</v>
      </c>
      <c r="AF1150" s="1">
        <f t="shared" si="587"/>
        <v>0</v>
      </c>
      <c r="AG1150" s="1">
        <f t="shared" si="587"/>
        <v>0</v>
      </c>
      <c r="AH1150" s="1">
        <f t="shared" si="587"/>
        <v>1</v>
      </c>
      <c r="AI1150" s="44">
        <f t="shared" si="582"/>
        <v>0</v>
      </c>
      <c r="AJ1150" s="44">
        <f t="shared" si="573"/>
        <v>0</v>
      </c>
      <c r="AK1150" s="44">
        <f t="shared" si="558"/>
        <v>0</v>
      </c>
      <c r="AL1150" s="4">
        <f t="shared" si="574"/>
        <v>460</v>
      </c>
      <c r="AM1150" s="82">
        <f t="shared" si="583"/>
        <v>0</v>
      </c>
      <c r="AN1150" s="82">
        <f t="shared" si="575"/>
        <v>0</v>
      </c>
      <c r="AO1150" s="48">
        <v>0</v>
      </c>
      <c r="AP1150" s="91">
        <f t="shared" si="584"/>
        <v>0</v>
      </c>
      <c r="AQ1150" s="91">
        <f t="shared" si="585"/>
        <v>0</v>
      </c>
    </row>
    <row r="1151" spans="1:43">
      <c r="A1151" s="190">
        <f t="shared" si="576"/>
        <v>104.13757700205338</v>
      </c>
      <c r="B1151" s="82">
        <f t="shared" si="577"/>
        <v>39</v>
      </c>
      <c r="C1151" s="83">
        <f t="shared" si="578"/>
        <v>461</v>
      </c>
      <c r="D1151" s="14">
        <f t="shared" si="564"/>
        <v>2.6283369587845051E-3</v>
      </c>
      <c r="E1151" s="16">
        <f t="shared" si="565"/>
        <v>0</v>
      </c>
      <c r="F1151" s="127"/>
      <c r="G1151" s="88">
        <f t="shared" si="566"/>
        <v>0</v>
      </c>
      <c r="H1151" s="89">
        <f t="shared" si="579"/>
        <v>4.1666666666666666E-3</v>
      </c>
      <c r="I1151" s="219"/>
      <c r="J1151" s="219"/>
      <c r="K1151" s="6">
        <f t="shared" si="588"/>
        <v>0</v>
      </c>
      <c r="M1151" s="6">
        <f t="shared" si="567"/>
        <v>0</v>
      </c>
      <c r="N1151" s="6">
        <f t="shared" si="568"/>
        <v>0</v>
      </c>
      <c r="O1151" s="90">
        <f t="shared" si="569"/>
        <v>0</v>
      </c>
      <c r="P1151" s="91">
        <f t="shared" si="570"/>
        <v>0</v>
      </c>
      <c r="Q1151" s="6">
        <f t="shared" si="571"/>
        <v>0</v>
      </c>
      <c r="R1151" s="87">
        <f t="shared" si="557"/>
        <v>0</v>
      </c>
      <c r="S1151" s="6">
        <f t="shared" si="572"/>
        <v>0</v>
      </c>
      <c r="T1151" s="83">
        <f t="shared" si="580"/>
        <v>0</v>
      </c>
      <c r="U1151" s="91">
        <f t="shared" si="586"/>
        <v>0</v>
      </c>
      <c r="V1151" s="91">
        <f t="shared" si="581"/>
        <v>0</v>
      </c>
      <c r="W1151" s="1">
        <f t="shared" ref="W1151:AH1160" si="589">IF($B1151&lt;=W$78,1,0)</f>
        <v>0</v>
      </c>
      <c r="X1151" s="1">
        <f t="shared" si="589"/>
        <v>0</v>
      </c>
      <c r="Y1151" s="1">
        <f t="shared" si="589"/>
        <v>0</v>
      </c>
      <c r="Z1151" s="1">
        <f t="shared" si="589"/>
        <v>0</v>
      </c>
      <c r="AA1151" s="1">
        <f t="shared" si="589"/>
        <v>0</v>
      </c>
      <c r="AB1151" s="1">
        <f t="shared" si="589"/>
        <v>0</v>
      </c>
      <c r="AC1151" s="1">
        <f t="shared" si="589"/>
        <v>0</v>
      </c>
      <c r="AD1151" s="1">
        <f t="shared" si="589"/>
        <v>0</v>
      </c>
      <c r="AE1151" s="1">
        <f t="shared" si="589"/>
        <v>0</v>
      </c>
      <c r="AF1151" s="1">
        <f t="shared" si="589"/>
        <v>0</v>
      </c>
      <c r="AG1151" s="1">
        <f t="shared" si="589"/>
        <v>0</v>
      </c>
      <c r="AH1151" s="1">
        <f t="shared" si="589"/>
        <v>1</v>
      </c>
      <c r="AI1151" s="44">
        <f t="shared" si="582"/>
        <v>0</v>
      </c>
      <c r="AJ1151" s="44">
        <f t="shared" si="573"/>
        <v>0</v>
      </c>
      <c r="AK1151" s="44">
        <f t="shared" si="558"/>
        <v>0</v>
      </c>
      <c r="AL1151" s="4">
        <f t="shared" si="574"/>
        <v>461</v>
      </c>
      <c r="AM1151" s="82">
        <f t="shared" si="583"/>
        <v>0</v>
      </c>
      <c r="AN1151" s="82">
        <f t="shared" si="575"/>
        <v>0</v>
      </c>
      <c r="AO1151" s="48">
        <v>0</v>
      </c>
      <c r="AP1151" s="91">
        <f t="shared" si="584"/>
        <v>0</v>
      </c>
      <c r="AQ1151" s="91">
        <f t="shared" si="585"/>
        <v>0</v>
      </c>
    </row>
    <row r="1152" spans="1:43">
      <c r="A1152" s="190">
        <f t="shared" si="576"/>
        <v>104.22091033538672</v>
      </c>
      <c r="B1152" s="82">
        <f t="shared" si="577"/>
        <v>39</v>
      </c>
      <c r="C1152" s="83">
        <f t="shared" si="578"/>
        <v>462</v>
      </c>
      <c r="D1152" s="14">
        <f t="shared" si="564"/>
        <v>2.6283369587845051E-3</v>
      </c>
      <c r="E1152" s="16">
        <f t="shared" si="565"/>
        <v>0</v>
      </c>
      <c r="F1152" s="127"/>
      <c r="G1152" s="88">
        <f t="shared" si="566"/>
        <v>0</v>
      </c>
      <c r="H1152" s="89">
        <f t="shared" si="579"/>
        <v>4.1666666666666666E-3</v>
      </c>
      <c r="I1152" s="219"/>
      <c r="J1152" s="219"/>
      <c r="K1152" s="6">
        <f t="shared" si="588"/>
        <v>0</v>
      </c>
      <c r="M1152" s="6">
        <f t="shared" si="567"/>
        <v>0</v>
      </c>
      <c r="N1152" s="6">
        <f t="shared" si="568"/>
        <v>0</v>
      </c>
      <c r="O1152" s="90">
        <f t="shared" si="569"/>
        <v>0</v>
      </c>
      <c r="P1152" s="91">
        <f t="shared" si="570"/>
        <v>0</v>
      </c>
      <c r="Q1152" s="6">
        <f t="shared" si="571"/>
        <v>0</v>
      </c>
      <c r="R1152" s="87">
        <f t="shared" ref="R1152:R1215" si="590">-MIN(MAX(O1152,P1152,Q1152,-R1140*1.02),AJ1152)</f>
        <v>0</v>
      </c>
      <c r="S1152" s="6">
        <f t="shared" si="572"/>
        <v>0</v>
      </c>
      <c r="T1152" s="83">
        <f t="shared" si="580"/>
        <v>0</v>
      </c>
      <c r="U1152" s="91">
        <f t="shared" si="586"/>
        <v>0</v>
      </c>
      <c r="V1152" s="91">
        <f t="shared" si="581"/>
        <v>0</v>
      </c>
      <c r="W1152" s="1">
        <f t="shared" si="589"/>
        <v>0</v>
      </c>
      <c r="X1152" s="1">
        <f t="shared" si="589"/>
        <v>0</v>
      </c>
      <c r="Y1152" s="1">
        <f t="shared" si="589"/>
        <v>0</v>
      </c>
      <c r="Z1152" s="1">
        <f t="shared" si="589"/>
        <v>0</v>
      </c>
      <c r="AA1152" s="1">
        <f t="shared" si="589"/>
        <v>0</v>
      </c>
      <c r="AB1152" s="1">
        <f t="shared" si="589"/>
        <v>0</v>
      </c>
      <c r="AC1152" s="1">
        <f t="shared" si="589"/>
        <v>0</v>
      </c>
      <c r="AD1152" s="1">
        <f t="shared" si="589"/>
        <v>0</v>
      </c>
      <c r="AE1152" s="1">
        <f t="shared" si="589"/>
        <v>0</v>
      </c>
      <c r="AF1152" s="1">
        <f t="shared" si="589"/>
        <v>0</v>
      </c>
      <c r="AG1152" s="1">
        <f t="shared" si="589"/>
        <v>0</v>
      </c>
      <c r="AH1152" s="1">
        <f t="shared" si="589"/>
        <v>1</v>
      </c>
      <c r="AI1152" s="44">
        <f t="shared" si="582"/>
        <v>0</v>
      </c>
      <c r="AJ1152" s="44">
        <f t="shared" si="573"/>
        <v>0</v>
      </c>
      <c r="AK1152" s="44">
        <f t="shared" ref="AK1152:AK1215" si="591">IF(R1152=0,0,IF(R1152&gt;R1140,"Y","N"))</f>
        <v>0</v>
      </c>
      <c r="AL1152" s="4">
        <f t="shared" si="574"/>
        <v>462</v>
      </c>
      <c r="AM1152" s="82">
        <f t="shared" si="583"/>
        <v>0</v>
      </c>
      <c r="AN1152" s="82">
        <f t="shared" si="575"/>
        <v>0</v>
      </c>
      <c r="AO1152" s="48">
        <v>0</v>
      </c>
      <c r="AP1152" s="91">
        <f t="shared" si="584"/>
        <v>0</v>
      </c>
      <c r="AQ1152" s="91">
        <f t="shared" si="585"/>
        <v>0</v>
      </c>
    </row>
    <row r="1153" spans="1:43">
      <c r="A1153" s="190">
        <f t="shared" si="576"/>
        <v>104.30424366872005</v>
      </c>
      <c r="B1153" s="82">
        <f t="shared" si="577"/>
        <v>39</v>
      </c>
      <c r="C1153" s="83">
        <f t="shared" si="578"/>
        <v>463</v>
      </c>
      <c r="D1153" s="14">
        <f t="shared" si="564"/>
        <v>2.6283369587845051E-3</v>
      </c>
      <c r="E1153" s="16">
        <f t="shared" si="565"/>
        <v>0</v>
      </c>
      <c r="F1153" s="127"/>
      <c r="G1153" s="88">
        <f t="shared" si="566"/>
        <v>0</v>
      </c>
      <c r="H1153" s="89">
        <f t="shared" si="579"/>
        <v>4.1666666666666666E-3</v>
      </c>
      <c r="I1153" s="219"/>
      <c r="J1153" s="219"/>
      <c r="K1153" s="6">
        <f t="shared" si="588"/>
        <v>0</v>
      </c>
      <c r="M1153" s="6">
        <f t="shared" si="567"/>
        <v>0</v>
      </c>
      <c r="N1153" s="6">
        <f t="shared" si="568"/>
        <v>0</v>
      </c>
      <c r="O1153" s="90">
        <f t="shared" si="569"/>
        <v>0</v>
      </c>
      <c r="P1153" s="91">
        <f t="shared" si="570"/>
        <v>0</v>
      </c>
      <c r="Q1153" s="6">
        <f t="shared" si="571"/>
        <v>0</v>
      </c>
      <c r="R1153" s="87">
        <f t="shared" si="590"/>
        <v>0</v>
      </c>
      <c r="S1153" s="6">
        <f t="shared" si="572"/>
        <v>0</v>
      </c>
      <c r="T1153" s="83">
        <f t="shared" si="580"/>
        <v>0</v>
      </c>
      <c r="U1153" s="91">
        <f t="shared" si="586"/>
        <v>0</v>
      </c>
      <c r="V1153" s="91">
        <f t="shared" si="581"/>
        <v>0</v>
      </c>
      <c r="W1153" s="1">
        <f t="shared" si="589"/>
        <v>0</v>
      </c>
      <c r="X1153" s="1">
        <f t="shared" si="589"/>
        <v>0</v>
      </c>
      <c r="Y1153" s="1">
        <f t="shared" si="589"/>
        <v>0</v>
      </c>
      <c r="Z1153" s="1">
        <f t="shared" si="589"/>
        <v>0</v>
      </c>
      <c r="AA1153" s="1">
        <f t="shared" si="589"/>
        <v>0</v>
      </c>
      <c r="AB1153" s="1">
        <f t="shared" si="589"/>
        <v>0</v>
      </c>
      <c r="AC1153" s="1">
        <f t="shared" si="589"/>
        <v>0</v>
      </c>
      <c r="AD1153" s="1">
        <f t="shared" si="589"/>
        <v>0</v>
      </c>
      <c r="AE1153" s="1">
        <f t="shared" si="589"/>
        <v>0</v>
      </c>
      <c r="AF1153" s="1">
        <f t="shared" si="589"/>
        <v>0</v>
      </c>
      <c r="AG1153" s="1">
        <f t="shared" si="589"/>
        <v>0</v>
      </c>
      <c r="AH1153" s="1">
        <f t="shared" si="589"/>
        <v>1</v>
      </c>
      <c r="AI1153" s="44">
        <f t="shared" si="582"/>
        <v>0</v>
      </c>
      <c r="AJ1153" s="44">
        <f t="shared" si="573"/>
        <v>0</v>
      </c>
      <c r="AK1153" s="44">
        <f t="shared" si="591"/>
        <v>0</v>
      </c>
      <c r="AL1153" s="4">
        <f t="shared" si="574"/>
        <v>463</v>
      </c>
      <c r="AM1153" s="82">
        <f t="shared" si="583"/>
        <v>0</v>
      </c>
      <c r="AN1153" s="82">
        <f t="shared" si="575"/>
        <v>0</v>
      </c>
      <c r="AO1153" s="48">
        <v>0</v>
      </c>
      <c r="AP1153" s="91">
        <f t="shared" si="584"/>
        <v>0</v>
      </c>
      <c r="AQ1153" s="91">
        <f t="shared" si="585"/>
        <v>0</v>
      </c>
    </row>
    <row r="1154" spans="1:43">
      <c r="A1154" s="190">
        <f t="shared" si="576"/>
        <v>104.38757700205338</v>
      </c>
      <c r="B1154" s="82">
        <f t="shared" si="577"/>
        <v>39</v>
      </c>
      <c r="C1154" s="83">
        <f t="shared" si="578"/>
        <v>464</v>
      </c>
      <c r="D1154" s="14">
        <f t="shared" si="564"/>
        <v>2.6283369587845051E-3</v>
      </c>
      <c r="E1154" s="16">
        <f t="shared" si="565"/>
        <v>0</v>
      </c>
      <c r="F1154" s="127"/>
      <c r="G1154" s="88">
        <f t="shared" si="566"/>
        <v>0</v>
      </c>
      <c r="H1154" s="89">
        <f t="shared" si="579"/>
        <v>4.1666666666666666E-3</v>
      </c>
      <c r="I1154" s="219"/>
      <c r="J1154" s="219"/>
      <c r="K1154" s="6">
        <f t="shared" si="588"/>
        <v>0</v>
      </c>
      <c r="M1154" s="6">
        <f t="shared" si="567"/>
        <v>0</v>
      </c>
      <c r="N1154" s="6">
        <f t="shared" si="568"/>
        <v>0</v>
      </c>
      <c r="O1154" s="90">
        <f t="shared" si="569"/>
        <v>0</v>
      </c>
      <c r="P1154" s="91">
        <f t="shared" si="570"/>
        <v>0</v>
      </c>
      <c r="Q1154" s="6">
        <f t="shared" si="571"/>
        <v>0</v>
      </c>
      <c r="R1154" s="87">
        <f t="shared" si="590"/>
        <v>0</v>
      </c>
      <c r="S1154" s="6">
        <f t="shared" si="572"/>
        <v>0</v>
      </c>
      <c r="T1154" s="83">
        <f t="shared" si="580"/>
        <v>0</v>
      </c>
      <c r="U1154" s="91">
        <f t="shared" si="586"/>
        <v>0</v>
      </c>
      <c r="V1154" s="91">
        <f t="shared" si="581"/>
        <v>0</v>
      </c>
      <c r="W1154" s="1">
        <f t="shared" si="589"/>
        <v>0</v>
      </c>
      <c r="X1154" s="1">
        <f t="shared" si="589"/>
        <v>0</v>
      </c>
      <c r="Y1154" s="1">
        <f t="shared" si="589"/>
        <v>0</v>
      </c>
      <c r="Z1154" s="1">
        <f t="shared" si="589"/>
        <v>0</v>
      </c>
      <c r="AA1154" s="1">
        <f t="shared" si="589"/>
        <v>0</v>
      </c>
      <c r="AB1154" s="1">
        <f t="shared" si="589"/>
        <v>0</v>
      </c>
      <c r="AC1154" s="1">
        <f t="shared" si="589"/>
        <v>0</v>
      </c>
      <c r="AD1154" s="1">
        <f t="shared" si="589"/>
        <v>0</v>
      </c>
      <c r="AE1154" s="1">
        <f t="shared" si="589"/>
        <v>0</v>
      </c>
      <c r="AF1154" s="1">
        <f t="shared" si="589"/>
        <v>0</v>
      </c>
      <c r="AG1154" s="1">
        <f t="shared" si="589"/>
        <v>0</v>
      </c>
      <c r="AH1154" s="1">
        <f t="shared" si="589"/>
        <v>1</v>
      </c>
      <c r="AI1154" s="44">
        <f t="shared" si="582"/>
        <v>0</v>
      </c>
      <c r="AJ1154" s="44">
        <f t="shared" si="573"/>
        <v>0</v>
      </c>
      <c r="AK1154" s="44">
        <f t="shared" si="591"/>
        <v>0</v>
      </c>
      <c r="AL1154" s="4">
        <f t="shared" si="574"/>
        <v>464</v>
      </c>
      <c r="AM1154" s="82">
        <f t="shared" si="583"/>
        <v>0</v>
      </c>
      <c r="AN1154" s="82">
        <f t="shared" si="575"/>
        <v>0</v>
      </c>
      <c r="AO1154" s="48">
        <v>0</v>
      </c>
      <c r="AP1154" s="91">
        <f t="shared" si="584"/>
        <v>0</v>
      </c>
      <c r="AQ1154" s="91">
        <f t="shared" si="585"/>
        <v>0</v>
      </c>
    </row>
    <row r="1155" spans="1:43">
      <c r="A1155" s="190">
        <f t="shared" si="576"/>
        <v>104.47091033538672</v>
      </c>
      <c r="B1155" s="82">
        <f t="shared" si="577"/>
        <v>39</v>
      </c>
      <c r="C1155" s="83">
        <f t="shared" si="578"/>
        <v>465</v>
      </c>
      <c r="D1155" s="14">
        <f t="shared" si="564"/>
        <v>2.6283369587845051E-3</v>
      </c>
      <c r="E1155" s="16">
        <f t="shared" si="565"/>
        <v>0</v>
      </c>
      <c r="F1155" s="127"/>
      <c r="G1155" s="88">
        <f t="shared" si="566"/>
        <v>0</v>
      </c>
      <c r="H1155" s="89">
        <f t="shared" si="579"/>
        <v>4.1666666666666666E-3</v>
      </c>
      <c r="I1155" s="219"/>
      <c r="J1155" s="219"/>
      <c r="K1155" s="6">
        <f t="shared" si="588"/>
        <v>0</v>
      </c>
      <c r="M1155" s="6">
        <f t="shared" si="567"/>
        <v>0</v>
      </c>
      <c r="N1155" s="6">
        <f t="shared" si="568"/>
        <v>0</v>
      </c>
      <c r="O1155" s="90">
        <f t="shared" si="569"/>
        <v>0</v>
      </c>
      <c r="P1155" s="91">
        <f t="shared" si="570"/>
        <v>0</v>
      </c>
      <c r="Q1155" s="6">
        <f t="shared" si="571"/>
        <v>0</v>
      </c>
      <c r="R1155" s="87">
        <f t="shared" si="590"/>
        <v>0</v>
      </c>
      <c r="S1155" s="6">
        <f t="shared" si="572"/>
        <v>0</v>
      </c>
      <c r="T1155" s="83">
        <f t="shared" si="580"/>
        <v>0</v>
      </c>
      <c r="U1155" s="91">
        <f t="shared" si="586"/>
        <v>0</v>
      </c>
      <c r="V1155" s="91">
        <f t="shared" si="581"/>
        <v>0</v>
      </c>
      <c r="W1155" s="1">
        <f t="shared" si="589"/>
        <v>0</v>
      </c>
      <c r="X1155" s="1">
        <f t="shared" si="589"/>
        <v>0</v>
      </c>
      <c r="Y1155" s="1">
        <f t="shared" si="589"/>
        <v>0</v>
      </c>
      <c r="Z1155" s="1">
        <f t="shared" si="589"/>
        <v>0</v>
      </c>
      <c r="AA1155" s="1">
        <f t="shared" si="589"/>
        <v>0</v>
      </c>
      <c r="AB1155" s="1">
        <f t="shared" si="589"/>
        <v>0</v>
      </c>
      <c r="AC1155" s="1">
        <f t="shared" si="589"/>
        <v>0</v>
      </c>
      <c r="AD1155" s="1">
        <f t="shared" si="589"/>
        <v>0</v>
      </c>
      <c r="AE1155" s="1">
        <f t="shared" si="589"/>
        <v>0</v>
      </c>
      <c r="AF1155" s="1">
        <f t="shared" si="589"/>
        <v>0</v>
      </c>
      <c r="AG1155" s="1">
        <f t="shared" si="589"/>
        <v>0</v>
      </c>
      <c r="AH1155" s="1">
        <f t="shared" si="589"/>
        <v>1</v>
      </c>
      <c r="AI1155" s="44">
        <f t="shared" si="582"/>
        <v>0</v>
      </c>
      <c r="AJ1155" s="44">
        <f t="shared" si="573"/>
        <v>0</v>
      </c>
      <c r="AK1155" s="44">
        <f t="shared" si="591"/>
        <v>0</v>
      </c>
      <c r="AL1155" s="4">
        <f t="shared" si="574"/>
        <v>465</v>
      </c>
      <c r="AM1155" s="82">
        <f t="shared" si="583"/>
        <v>0</v>
      </c>
      <c r="AN1155" s="82">
        <f t="shared" si="575"/>
        <v>0</v>
      </c>
      <c r="AO1155" s="48">
        <v>0</v>
      </c>
      <c r="AP1155" s="91">
        <f t="shared" si="584"/>
        <v>0</v>
      </c>
      <c r="AQ1155" s="91">
        <f t="shared" si="585"/>
        <v>0</v>
      </c>
    </row>
    <row r="1156" spans="1:43">
      <c r="A1156" s="190">
        <f t="shared" si="576"/>
        <v>104.55424366872005</v>
      </c>
      <c r="B1156" s="82">
        <f t="shared" si="577"/>
        <v>39</v>
      </c>
      <c r="C1156" s="83">
        <f t="shared" si="578"/>
        <v>466</v>
      </c>
      <c r="D1156" s="14">
        <f t="shared" si="564"/>
        <v>2.6283369587845051E-3</v>
      </c>
      <c r="E1156" s="16">
        <f t="shared" si="565"/>
        <v>0</v>
      </c>
      <c r="F1156" s="127"/>
      <c r="G1156" s="88">
        <f t="shared" si="566"/>
        <v>0</v>
      </c>
      <c r="H1156" s="89">
        <f t="shared" si="579"/>
        <v>4.1666666666666666E-3</v>
      </c>
      <c r="I1156" s="219"/>
      <c r="J1156" s="219"/>
      <c r="K1156" s="6">
        <f t="shared" si="588"/>
        <v>0</v>
      </c>
      <c r="M1156" s="6">
        <f t="shared" si="567"/>
        <v>0</v>
      </c>
      <c r="N1156" s="6">
        <f t="shared" si="568"/>
        <v>0</v>
      </c>
      <c r="O1156" s="90">
        <f t="shared" si="569"/>
        <v>0</v>
      </c>
      <c r="P1156" s="91">
        <f t="shared" si="570"/>
        <v>0</v>
      </c>
      <c r="Q1156" s="6">
        <f t="shared" si="571"/>
        <v>0</v>
      </c>
      <c r="R1156" s="87">
        <f t="shared" si="590"/>
        <v>0</v>
      </c>
      <c r="S1156" s="6">
        <f t="shared" si="572"/>
        <v>0</v>
      </c>
      <c r="T1156" s="83">
        <f t="shared" si="580"/>
        <v>0</v>
      </c>
      <c r="U1156" s="91">
        <f t="shared" si="586"/>
        <v>0</v>
      </c>
      <c r="V1156" s="91">
        <f t="shared" si="581"/>
        <v>0</v>
      </c>
      <c r="W1156" s="1">
        <f t="shared" si="589"/>
        <v>0</v>
      </c>
      <c r="X1156" s="1">
        <f t="shared" si="589"/>
        <v>0</v>
      </c>
      <c r="Y1156" s="1">
        <f t="shared" si="589"/>
        <v>0</v>
      </c>
      <c r="Z1156" s="1">
        <f t="shared" si="589"/>
        <v>0</v>
      </c>
      <c r="AA1156" s="1">
        <f t="shared" si="589"/>
        <v>0</v>
      </c>
      <c r="AB1156" s="1">
        <f t="shared" si="589"/>
        <v>0</v>
      </c>
      <c r="AC1156" s="1">
        <f t="shared" si="589"/>
        <v>0</v>
      </c>
      <c r="AD1156" s="1">
        <f t="shared" si="589"/>
        <v>0</v>
      </c>
      <c r="AE1156" s="1">
        <f t="shared" si="589"/>
        <v>0</v>
      </c>
      <c r="AF1156" s="1">
        <f t="shared" si="589"/>
        <v>0</v>
      </c>
      <c r="AG1156" s="1">
        <f t="shared" si="589"/>
        <v>0</v>
      </c>
      <c r="AH1156" s="1">
        <f t="shared" si="589"/>
        <v>1</v>
      </c>
      <c r="AI1156" s="44">
        <f t="shared" si="582"/>
        <v>0</v>
      </c>
      <c r="AJ1156" s="44">
        <f t="shared" si="573"/>
        <v>0</v>
      </c>
      <c r="AK1156" s="44">
        <f t="shared" si="591"/>
        <v>0</v>
      </c>
      <c r="AL1156" s="4">
        <f t="shared" si="574"/>
        <v>466</v>
      </c>
      <c r="AM1156" s="82">
        <f t="shared" si="583"/>
        <v>0</v>
      </c>
      <c r="AN1156" s="82">
        <f t="shared" si="575"/>
        <v>0</v>
      </c>
      <c r="AO1156" s="48">
        <v>0</v>
      </c>
      <c r="AP1156" s="91">
        <f t="shared" si="584"/>
        <v>0</v>
      </c>
      <c r="AQ1156" s="91">
        <f t="shared" si="585"/>
        <v>0</v>
      </c>
    </row>
    <row r="1157" spans="1:43">
      <c r="A1157" s="190">
        <f t="shared" si="576"/>
        <v>104.63757700205338</v>
      </c>
      <c r="B1157" s="82">
        <f t="shared" si="577"/>
        <v>39</v>
      </c>
      <c r="C1157" s="83">
        <f t="shared" si="578"/>
        <v>467</v>
      </c>
      <c r="D1157" s="14">
        <f t="shared" si="564"/>
        <v>2.6283369587845051E-3</v>
      </c>
      <c r="E1157" s="16">
        <f t="shared" si="565"/>
        <v>0</v>
      </c>
      <c r="F1157" s="127"/>
      <c r="G1157" s="88">
        <f t="shared" si="566"/>
        <v>0</v>
      </c>
      <c r="H1157" s="89">
        <f t="shared" si="579"/>
        <v>4.1666666666666666E-3</v>
      </c>
      <c r="I1157" s="219"/>
      <c r="J1157" s="219"/>
      <c r="K1157" s="6">
        <f t="shared" si="588"/>
        <v>0</v>
      </c>
      <c r="M1157" s="6">
        <f t="shared" si="567"/>
        <v>0</v>
      </c>
      <c r="N1157" s="6">
        <f t="shared" si="568"/>
        <v>0</v>
      </c>
      <c r="O1157" s="90">
        <f t="shared" si="569"/>
        <v>0</v>
      </c>
      <c r="P1157" s="91">
        <f t="shared" si="570"/>
        <v>0</v>
      </c>
      <c r="Q1157" s="6">
        <f t="shared" si="571"/>
        <v>0</v>
      </c>
      <c r="R1157" s="87">
        <f t="shared" si="590"/>
        <v>0</v>
      </c>
      <c r="S1157" s="6">
        <f t="shared" si="572"/>
        <v>0</v>
      </c>
      <c r="T1157" s="83">
        <f t="shared" si="580"/>
        <v>0</v>
      </c>
      <c r="U1157" s="91">
        <f t="shared" si="586"/>
        <v>0</v>
      </c>
      <c r="V1157" s="91">
        <f t="shared" si="581"/>
        <v>0</v>
      </c>
      <c r="W1157" s="1">
        <f t="shared" si="589"/>
        <v>0</v>
      </c>
      <c r="X1157" s="1">
        <f t="shared" si="589"/>
        <v>0</v>
      </c>
      <c r="Y1157" s="1">
        <f t="shared" si="589"/>
        <v>0</v>
      </c>
      <c r="Z1157" s="1">
        <f t="shared" si="589"/>
        <v>0</v>
      </c>
      <c r="AA1157" s="1">
        <f t="shared" si="589"/>
        <v>0</v>
      </c>
      <c r="AB1157" s="1">
        <f t="shared" si="589"/>
        <v>0</v>
      </c>
      <c r="AC1157" s="1">
        <f t="shared" si="589"/>
        <v>0</v>
      </c>
      <c r="AD1157" s="1">
        <f t="shared" si="589"/>
        <v>0</v>
      </c>
      <c r="AE1157" s="1">
        <f t="shared" si="589"/>
        <v>0</v>
      </c>
      <c r="AF1157" s="1">
        <f t="shared" si="589"/>
        <v>0</v>
      </c>
      <c r="AG1157" s="1">
        <f t="shared" si="589"/>
        <v>0</v>
      </c>
      <c r="AH1157" s="1">
        <f t="shared" si="589"/>
        <v>1</v>
      </c>
      <c r="AI1157" s="44">
        <f t="shared" si="582"/>
        <v>0</v>
      </c>
      <c r="AJ1157" s="44">
        <f t="shared" si="573"/>
        <v>0</v>
      </c>
      <c r="AK1157" s="44">
        <f t="shared" si="591"/>
        <v>0</v>
      </c>
      <c r="AL1157" s="4">
        <f t="shared" si="574"/>
        <v>467</v>
      </c>
      <c r="AM1157" s="82">
        <f t="shared" si="583"/>
        <v>0</v>
      </c>
      <c r="AN1157" s="82">
        <f t="shared" si="575"/>
        <v>0</v>
      </c>
      <c r="AO1157" s="48">
        <v>0</v>
      </c>
      <c r="AP1157" s="91">
        <f t="shared" si="584"/>
        <v>0</v>
      </c>
      <c r="AQ1157" s="91">
        <f t="shared" si="585"/>
        <v>0</v>
      </c>
    </row>
    <row r="1158" spans="1:43">
      <c r="A1158" s="190">
        <f t="shared" si="576"/>
        <v>104.72091033538672</v>
      </c>
      <c r="B1158" s="82">
        <f t="shared" si="577"/>
        <v>39</v>
      </c>
      <c r="C1158" s="83">
        <f t="shared" si="578"/>
        <v>468</v>
      </c>
      <c r="D1158" s="14">
        <f t="shared" si="564"/>
        <v>2.6283369587845051E-3</v>
      </c>
      <c r="E1158" s="16">
        <f t="shared" si="565"/>
        <v>0</v>
      </c>
      <c r="F1158" s="127"/>
      <c r="G1158" s="88">
        <f t="shared" si="566"/>
        <v>0</v>
      </c>
      <c r="H1158" s="89">
        <f t="shared" si="579"/>
        <v>4.1666666666666666E-3</v>
      </c>
      <c r="I1158" s="219"/>
      <c r="J1158" s="219"/>
      <c r="K1158" s="6">
        <f t="shared" si="588"/>
        <v>0</v>
      </c>
      <c r="M1158" s="6">
        <f t="shared" si="567"/>
        <v>0</v>
      </c>
      <c r="N1158" s="6">
        <f t="shared" si="568"/>
        <v>0</v>
      </c>
      <c r="O1158" s="90">
        <f t="shared" si="569"/>
        <v>0</v>
      </c>
      <c r="P1158" s="91">
        <f t="shared" si="570"/>
        <v>0</v>
      </c>
      <c r="Q1158" s="6">
        <f t="shared" si="571"/>
        <v>0</v>
      </c>
      <c r="R1158" s="87">
        <f t="shared" si="590"/>
        <v>0</v>
      </c>
      <c r="S1158" s="6">
        <f t="shared" si="572"/>
        <v>0</v>
      </c>
      <c r="T1158" s="83">
        <f t="shared" si="580"/>
        <v>0</v>
      </c>
      <c r="U1158" s="91">
        <f t="shared" si="586"/>
        <v>0</v>
      </c>
      <c r="V1158" s="91">
        <f t="shared" si="581"/>
        <v>0</v>
      </c>
      <c r="W1158" s="1">
        <f t="shared" si="589"/>
        <v>0</v>
      </c>
      <c r="X1158" s="1">
        <f t="shared" si="589"/>
        <v>0</v>
      </c>
      <c r="Y1158" s="1">
        <f t="shared" si="589"/>
        <v>0</v>
      </c>
      <c r="Z1158" s="1">
        <f t="shared" si="589"/>
        <v>0</v>
      </c>
      <c r="AA1158" s="1">
        <f t="shared" si="589"/>
        <v>0</v>
      </c>
      <c r="AB1158" s="1">
        <f t="shared" si="589"/>
        <v>0</v>
      </c>
      <c r="AC1158" s="1">
        <f t="shared" si="589"/>
        <v>0</v>
      </c>
      <c r="AD1158" s="1">
        <f t="shared" si="589"/>
        <v>0</v>
      </c>
      <c r="AE1158" s="1">
        <f t="shared" si="589"/>
        <v>0</v>
      </c>
      <c r="AF1158" s="1">
        <f t="shared" si="589"/>
        <v>0</v>
      </c>
      <c r="AG1158" s="1">
        <f t="shared" si="589"/>
        <v>0</v>
      </c>
      <c r="AH1158" s="1">
        <f t="shared" si="589"/>
        <v>1</v>
      </c>
      <c r="AI1158" s="44">
        <f t="shared" si="582"/>
        <v>0</v>
      </c>
      <c r="AJ1158" s="44">
        <f t="shared" si="573"/>
        <v>0</v>
      </c>
      <c r="AK1158" s="44">
        <f t="shared" si="591"/>
        <v>0</v>
      </c>
      <c r="AL1158" s="4">
        <f t="shared" si="574"/>
        <v>468</v>
      </c>
      <c r="AM1158" s="82">
        <f t="shared" si="583"/>
        <v>0</v>
      </c>
      <c r="AN1158" s="82">
        <f t="shared" si="575"/>
        <v>0</v>
      </c>
      <c r="AO1158" s="48">
        <v>0</v>
      </c>
      <c r="AP1158" s="91">
        <f t="shared" si="584"/>
        <v>0</v>
      </c>
      <c r="AQ1158" s="91">
        <f t="shared" si="585"/>
        <v>0</v>
      </c>
    </row>
    <row r="1159" spans="1:43">
      <c r="A1159" s="190">
        <f t="shared" si="576"/>
        <v>104.80424366872005</v>
      </c>
      <c r="B1159" s="82">
        <f t="shared" si="577"/>
        <v>40</v>
      </c>
      <c r="C1159" s="83">
        <f t="shared" si="578"/>
        <v>469</v>
      </c>
      <c r="D1159" s="14">
        <f t="shared" si="564"/>
        <v>2.6283369587845051E-3</v>
      </c>
      <c r="E1159" s="16">
        <f t="shared" si="565"/>
        <v>0</v>
      </c>
      <c r="F1159" s="127"/>
      <c r="G1159" s="88">
        <f t="shared" si="566"/>
        <v>0</v>
      </c>
      <c r="H1159" s="89">
        <f t="shared" si="579"/>
        <v>4.1666666666666666E-3</v>
      </c>
      <c r="I1159" s="219"/>
      <c r="J1159" s="219"/>
      <c r="K1159" s="6">
        <f t="shared" si="588"/>
        <v>0</v>
      </c>
      <c r="M1159" s="6">
        <f t="shared" si="567"/>
        <v>0</v>
      </c>
      <c r="N1159" s="6">
        <f t="shared" si="568"/>
        <v>0</v>
      </c>
      <c r="O1159" s="90">
        <f t="shared" si="569"/>
        <v>0</v>
      </c>
      <c r="P1159" s="91">
        <f t="shared" si="570"/>
        <v>0</v>
      </c>
      <c r="Q1159" s="6">
        <f t="shared" si="571"/>
        <v>0</v>
      </c>
      <c r="R1159" s="87">
        <f t="shared" si="590"/>
        <v>0</v>
      </c>
      <c r="S1159" s="6">
        <f t="shared" si="572"/>
        <v>0</v>
      </c>
      <c r="T1159" s="83">
        <f t="shared" si="580"/>
        <v>0</v>
      </c>
      <c r="U1159" s="91">
        <f t="shared" si="586"/>
        <v>0</v>
      </c>
      <c r="V1159" s="91">
        <f t="shared" si="581"/>
        <v>0</v>
      </c>
      <c r="W1159" s="1">
        <f t="shared" si="589"/>
        <v>0</v>
      </c>
      <c r="X1159" s="1">
        <f t="shared" si="589"/>
        <v>0</v>
      </c>
      <c r="Y1159" s="1">
        <f t="shared" si="589"/>
        <v>0</v>
      </c>
      <c r="Z1159" s="1">
        <f t="shared" si="589"/>
        <v>0</v>
      </c>
      <c r="AA1159" s="1">
        <f t="shared" si="589"/>
        <v>0</v>
      </c>
      <c r="AB1159" s="1">
        <f t="shared" si="589"/>
        <v>0</v>
      </c>
      <c r="AC1159" s="1">
        <f t="shared" si="589"/>
        <v>0</v>
      </c>
      <c r="AD1159" s="1">
        <f t="shared" si="589"/>
        <v>0</v>
      </c>
      <c r="AE1159" s="1">
        <f t="shared" si="589"/>
        <v>0</v>
      </c>
      <c r="AF1159" s="1">
        <f t="shared" si="589"/>
        <v>0</v>
      </c>
      <c r="AG1159" s="1">
        <f t="shared" si="589"/>
        <v>0</v>
      </c>
      <c r="AH1159" s="1">
        <f t="shared" si="589"/>
        <v>1</v>
      </c>
      <c r="AI1159" s="44">
        <f t="shared" si="582"/>
        <v>0</v>
      </c>
      <c r="AJ1159" s="44">
        <f t="shared" si="573"/>
        <v>0</v>
      </c>
      <c r="AK1159" s="44">
        <f t="shared" si="591"/>
        <v>0</v>
      </c>
      <c r="AL1159" s="4">
        <f t="shared" si="574"/>
        <v>469</v>
      </c>
      <c r="AM1159" s="82">
        <f t="shared" si="583"/>
        <v>0</v>
      </c>
      <c r="AN1159" s="82">
        <f t="shared" si="575"/>
        <v>0</v>
      </c>
      <c r="AO1159" s="48">
        <v>0</v>
      </c>
      <c r="AP1159" s="91">
        <f t="shared" si="584"/>
        <v>0</v>
      </c>
      <c r="AQ1159" s="91">
        <f t="shared" si="585"/>
        <v>0</v>
      </c>
    </row>
    <row r="1160" spans="1:43">
      <c r="A1160" s="190">
        <f t="shared" si="576"/>
        <v>104.88757700205338</v>
      </c>
      <c r="B1160" s="82">
        <f t="shared" si="577"/>
        <v>40</v>
      </c>
      <c r="C1160" s="83">
        <f t="shared" si="578"/>
        <v>470</v>
      </c>
      <c r="D1160" s="14">
        <f t="shared" si="564"/>
        <v>2.6283369587845051E-3</v>
      </c>
      <c r="E1160" s="16">
        <f t="shared" si="565"/>
        <v>0</v>
      </c>
      <c r="F1160" s="127"/>
      <c r="G1160" s="88">
        <f t="shared" si="566"/>
        <v>0</v>
      </c>
      <c r="H1160" s="89">
        <f t="shared" si="579"/>
        <v>4.1666666666666666E-3</v>
      </c>
      <c r="I1160" s="219"/>
      <c r="J1160" s="219"/>
      <c r="K1160" s="6">
        <f t="shared" si="588"/>
        <v>0</v>
      </c>
      <c r="M1160" s="6">
        <f t="shared" si="567"/>
        <v>0</v>
      </c>
      <c r="N1160" s="6">
        <f t="shared" si="568"/>
        <v>0</v>
      </c>
      <c r="O1160" s="90">
        <f t="shared" si="569"/>
        <v>0</v>
      </c>
      <c r="P1160" s="91">
        <f t="shared" si="570"/>
        <v>0</v>
      </c>
      <c r="Q1160" s="6">
        <f t="shared" si="571"/>
        <v>0</v>
      </c>
      <c r="R1160" s="87">
        <f t="shared" si="590"/>
        <v>0</v>
      </c>
      <c r="S1160" s="6">
        <f t="shared" si="572"/>
        <v>0</v>
      </c>
      <c r="T1160" s="83">
        <f t="shared" si="580"/>
        <v>0</v>
      </c>
      <c r="U1160" s="91">
        <f t="shared" si="586"/>
        <v>0</v>
      </c>
      <c r="V1160" s="91">
        <f t="shared" si="581"/>
        <v>0</v>
      </c>
      <c r="W1160" s="1">
        <f t="shared" si="589"/>
        <v>0</v>
      </c>
      <c r="X1160" s="1">
        <f t="shared" si="589"/>
        <v>0</v>
      </c>
      <c r="Y1160" s="1">
        <f t="shared" si="589"/>
        <v>0</v>
      </c>
      <c r="Z1160" s="1">
        <f t="shared" si="589"/>
        <v>0</v>
      </c>
      <c r="AA1160" s="1">
        <f t="shared" si="589"/>
        <v>0</v>
      </c>
      <c r="AB1160" s="1">
        <f t="shared" si="589"/>
        <v>0</v>
      </c>
      <c r="AC1160" s="1">
        <f t="shared" si="589"/>
        <v>0</v>
      </c>
      <c r="AD1160" s="1">
        <f t="shared" si="589"/>
        <v>0</v>
      </c>
      <c r="AE1160" s="1">
        <f t="shared" si="589"/>
        <v>0</v>
      </c>
      <c r="AF1160" s="1">
        <f t="shared" si="589"/>
        <v>0</v>
      </c>
      <c r="AG1160" s="1">
        <f t="shared" si="589"/>
        <v>0</v>
      </c>
      <c r="AH1160" s="1">
        <f t="shared" si="589"/>
        <v>1</v>
      </c>
      <c r="AI1160" s="44">
        <f t="shared" si="582"/>
        <v>0</v>
      </c>
      <c r="AJ1160" s="44">
        <f t="shared" si="573"/>
        <v>0</v>
      </c>
      <c r="AK1160" s="44">
        <f t="shared" si="591"/>
        <v>0</v>
      </c>
      <c r="AL1160" s="4">
        <f t="shared" si="574"/>
        <v>470</v>
      </c>
      <c r="AM1160" s="82">
        <f t="shared" si="583"/>
        <v>0</v>
      </c>
      <c r="AN1160" s="82">
        <f t="shared" si="575"/>
        <v>0</v>
      </c>
      <c r="AO1160" s="48">
        <v>0</v>
      </c>
      <c r="AP1160" s="91">
        <f t="shared" si="584"/>
        <v>0</v>
      </c>
      <c r="AQ1160" s="91">
        <f t="shared" si="585"/>
        <v>0</v>
      </c>
    </row>
    <row r="1161" spans="1:43">
      <c r="A1161" s="190">
        <f t="shared" si="576"/>
        <v>104.97091033538672</v>
      </c>
      <c r="B1161" s="82">
        <f t="shared" si="577"/>
        <v>40</v>
      </c>
      <c r="C1161" s="83">
        <f t="shared" si="578"/>
        <v>471</v>
      </c>
      <c r="D1161" s="14">
        <f t="shared" si="564"/>
        <v>2.6283369587845051E-3</v>
      </c>
      <c r="E1161" s="16">
        <f t="shared" si="565"/>
        <v>0</v>
      </c>
      <c r="F1161" s="127"/>
      <c r="G1161" s="88">
        <f t="shared" si="566"/>
        <v>0</v>
      </c>
      <c r="H1161" s="89">
        <f t="shared" si="579"/>
        <v>4.1666666666666666E-3</v>
      </c>
      <c r="I1161" s="219"/>
      <c r="J1161" s="219"/>
      <c r="K1161" s="6">
        <f t="shared" si="588"/>
        <v>0</v>
      </c>
      <c r="M1161" s="6">
        <f t="shared" si="567"/>
        <v>0</v>
      </c>
      <c r="N1161" s="6">
        <f t="shared" si="568"/>
        <v>0</v>
      </c>
      <c r="O1161" s="90">
        <f t="shared" si="569"/>
        <v>0</v>
      </c>
      <c r="P1161" s="91">
        <f t="shared" si="570"/>
        <v>0</v>
      </c>
      <c r="Q1161" s="6">
        <f t="shared" si="571"/>
        <v>0</v>
      </c>
      <c r="R1161" s="87">
        <f t="shared" si="590"/>
        <v>0</v>
      </c>
      <c r="S1161" s="6">
        <f t="shared" si="572"/>
        <v>0</v>
      </c>
      <c r="T1161" s="83">
        <f t="shared" si="580"/>
        <v>0</v>
      </c>
      <c r="U1161" s="91">
        <f t="shared" si="586"/>
        <v>0</v>
      </c>
      <c r="V1161" s="91">
        <f t="shared" si="581"/>
        <v>0</v>
      </c>
      <c r="W1161" s="1">
        <f t="shared" ref="W1161:AH1170" si="592">IF($B1161&lt;=W$78,1,0)</f>
        <v>0</v>
      </c>
      <c r="X1161" s="1">
        <f t="shared" si="592"/>
        <v>0</v>
      </c>
      <c r="Y1161" s="1">
        <f t="shared" si="592"/>
        <v>0</v>
      </c>
      <c r="Z1161" s="1">
        <f t="shared" si="592"/>
        <v>0</v>
      </c>
      <c r="AA1161" s="1">
        <f t="shared" si="592"/>
        <v>0</v>
      </c>
      <c r="AB1161" s="1">
        <f t="shared" si="592"/>
        <v>0</v>
      </c>
      <c r="AC1161" s="1">
        <f t="shared" si="592"/>
        <v>0</v>
      </c>
      <c r="AD1161" s="1">
        <f t="shared" si="592"/>
        <v>0</v>
      </c>
      <c r="AE1161" s="1">
        <f t="shared" si="592"/>
        <v>0</v>
      </c>
      <c r="AF1161" s="1">
        <f t="shared" si="592"/>
        <v>0</v>
      </c>
      <c r="AG1161" s="1">
        <f t="shared" si="592"/>
        <v>0</v>
      </c>
      <c r="AH1161" s="1">
        <f t="shared" si="592"/>
        <v>1</v>
      </c>
      <c r="AI1161" s="44">
        <f t="shared" si="582"/>
        <v>0</v>
      </c>
      <c r="AJ1161" s="44">
        <f t="shared" si="573"/>
        <v>0</v>
      </c>
      <c r="AK1161" s="44">
        <f t="shared" si="591"/>
        <v>0</v>
      </c>
      <c r="AL1161" s="4">
        <f t="shared" si="574"/>
        <v>471</v>
      </c>
      <c r="AM1161" s="82">
        <f t="shared" si="583"/>
        <v>0</v>
      </c>
      <c r="AN1161" s="82">
        <f t="shared" si="575"/>
        <v>0</v>
      </c>
      <c r="AO1161" s="48">
        <v>0</v>
      </c>
      <c r="AP1161" s="91">
        <f t="shared" si="584"/>
        <v>0</v>
      </c>
      <c r="AQ1161" s="91">
        <f t="shared" si="585"/>
        <v>0</v>
      </c>
    </row>
    <row r="1162" spans="1:43">
      <c r="A1162" s="190">
        <f t="shared" si="576"/>
        <v>105.05424366872005</v>
      </c>
      <c r="B1162" s="82">
        <f t="shared" si="577"/>
        <v>40</v>
      </c>
      <c r="C1162" s="83">
        <f t="shared" si="578"/>
        <v>472</v>
      </c>
      <c r="D1162" s="14">
        <f t="shared" si="564"/>
        <v>2.6283369587845051E-3</v>
      </c>
      <c r="E1162" s="16">
        <f t="shared" si="565"/>
        <v>0</v>
      </c>
      <c r="F1162" s="127"/>
      <c r="G1162" s="88">
        <f t="shared" si="566"/>
        <v>0</v>
      </c>
      <c r="H1162" s="89">
        <f t="shared" si="579"/>
        <v>4.1666666666666666E-3</v>
      </c>
      <c r="I1162" s="219"/>
      <c r="J1162" s="219"/>
      <c r="K1162" s="6">
        <f t="shared" si="588"/>
        <v>0</v>
      </c>
      <c r="M1162" s="6">
        <f t="shared" si="567"/>
        <v>0</v>
      </c>
      <c r="N1162" s="6">
        <f t="shared" si="568"/>
        <v>0</v>
      </c>
      <c r="O1162" s="90">
        <f t="shared" si="569"/>
        <v>0</v>
      </c>
      <c r="P1162" s="91">
        <f t="shared" si="570"/>
        <v>0</v>
      </c>
      <c r="Q1162" s="6">
        <f t="shared" si="571"/>
        <v>0</v>
      </c>
      <c r="R1162" s="87">
        <f t="shared" si="590"/>
        <v>0</v>
      </c>
      <c r="S1162" s="6">
        <f t="shared" si="572"/>
        <v>0</v>
      </c>
      <c r="T1162" s="83">
        <f t="shared" si="580"/>
        <v>0</v>
      </c>
      <c r="U1162" s="91">
        <f t="shared" si="586"/>
        <v>0</v>
      </c>
      <c r="V1162" s="91">
        <f t="shared" si="581"/>
        <v>0</v>
      </c>
      <c r="W1162" s="1">
        <f t="shared" si="592"/>
        <v>0</v>
      </c>
      <c r="X1162" s="1">
        <f t="shared" si="592"/>
        <v>0</v>
      </c>
      <c r="Y1162" s="1">
        <f t="shared" si="592"/>
        <v>0</v>
      </c>
      <c r="Z1162" s="1">
        <f t="shared" si="592"/>
        <v>0</v>
      </c>
      <c r="AA1162" s="1">
        <f t="shared" si="592"/>
        <v>0</v>
      </c>
      <c r="AB1162" s="1">
        <f t="shared" si="592"/>
        <v>0</v>
      </c>
      <c r="AC1162" s="1">
        <f t="shared" si="592"/>
        <v>0</v>
      </c>
      <c r="AD1162" s="1">
        <f t="shared" si="592"/>
        <v>0</v>
      </c>
      <c r="AE1162" s="1">
        <f t="shared" si="592"/>
        <v>0</v>
      </c>
      <c r="AF1162" s="1">
        <f t="shared" si="592"/>
        <v>0</v>
      </c>
      <c r="AG1162" s="1">
        <f t="shared" si="592"/>
        <v>0</v>
      </c>
      <c r="AH1162" s="1">
        <f t="shared" si="592"/>
        <v>1</v>
      </c>
      <c r="AI1162" s="44">
        <f t="shared" si="582"/>
        <v>0</v>
      </c>
      <c r="AJ1162" s="44">
        <f t="shared" si="573"/>
        <v>0</v>
      </c>
      <c r="AK1162" s="44">
        <f t="shared" si="591"/>
        <v>0</v>
      </c>
      <c r="AL1162" s="4">
        <f t="shared" si="574"/>
        <v>472</v>
      </c>
      <c r="AM1162" s="82">
        <f t="shared" si="583"/>
        <v>0</v>
      </c>
      <c r="AN1162" s="82">
        <f t="shared" si="575"/>
        <v>0</v>
      </c>
      <c r="AO1162" s="48">
        <v>0</v>
      </c>
      <c r="AP1162" s="91">
        <f t="shared" si="584"/>
        <v>0</v>
      </c>
      <c r="AQ1162" s="91">
        <f t="shared" si="585"/>
        <v>0</v>
      </c>
    </row>
    <row r="1163" spans="1:43">
      <c r="A1163" s="190">
        <f t="shared" si="576"/>
        <v>105.13757700205338</v>
      </c>
      <c r="B1163" s="82">
        <f t="shared" si="577"/>
        <v>40</v>
      </c>
      <c r="C1163" s="83">
        <f t="shared" si="578"/>
        <v>473</v>
      </c>
      <c r="D1163" s="14">
        <f t="shared" si="564"/>
        <v>2.6283369587845051E-3</v>
      </c>
      <c r="E1163" s="16">
        <f t="shared" si="565"/>
        <v>0</v>
      </c>
      <c r="F1163" s="127"/>
      <c r="G1163" s="88">
        <f t="shared" si="566"/>
        <v>0</v>
      </c>
      <c r="H1163" s="89">
        <f t="shared" si="579"/>
        <v>4.1666666666666666E-3</v>
      </c>
      <c r="I1163" s="219"/>
      <c r="J1163" s="219"/>
      <c r="K1163" s="6">
        <f t="shared" si="588"/>
        <v>0</v>
      </c>
      <c r="M1163" s="6">
        <f t="shared" si="567"/>
        <v>0</v>
      </c>
      <c r="N1163" s="6">
        <f t="shared" si="568"/>
        <v>0</v>
      </c>
      <c r="O1163" s="90">
        <f t="shared" si="569"/>
        <v>0</v>
      </c>
      <c r="P1163" s="91">
        <f t="shared" si="570"/>
        <v>0</v>
      </c>
      <c r="Q1163" s="6">
        <f t="shared" si="571"/>
        <v>0</v>
      </c>
      <c r="R1163" s="87">
        <f t="shared" si="590"/>
        <v>0</v>
      </c>
      <c r="S1163" s="6">
        <f t="shared" si="572"/>
        <v>0</v>
      </c>
      <c r="T1163" s="83">
        <f t="shared" si="580"/>
        <v>0</v>
      </c>
      <c r="U1163" s="91">
        <f t="shared" si="586"/>
        <v>0</v>
      </c>
      <c r="V1163" s="91">
        <f t="shared" si="581"/>
        <v>0</v>
      </c>
      <c r="W1163" s="1">
        <f t="shared" si="592"/>
        <v>0</v>
      </c>
      <c r="X1163" s="1">
        <f t="shared" si="592"/>
        <v>0</v>
      </c>
      <c r="Y1163" s="1">
        <f t="shared" si="592"/>
        <v>0</v>
      </c>
      <c r="Z1163" s="1">
        <f t="shared" si="592"/>
        <v>0</v>
      </c>
      <c r="AA1163" s="1">
        <f t="shared" si="592"/>
        <v>0</v>
      </c>
      <c r="AB1163" s="1">
        <f t="shared" si="592"/>
        <v>0</v>
      </c>
      <c r="AC1163" s="1">
        <f t="shared" si="592"/>
        <v>0</v>
      </c>
      <c r="AD1163" s="1">
        <f t="shared" si="592"/>
        <v>0</v>
      </c>
      <c r="AE1163" s="1">
        <f t="shared" si="592"/>
        <v>0</v>
      </c>
      <c r="AF1163" s="1">
        <f t="shared" si="592"/>
        <v>0</v>
      </c>
      <c r="AG1163" s="1">
        <f t="shared" si="592"/>
        <v>0</v>
      </c>
      <c r="AH1163" s="1">
        <f t="shared" si="592"/>
        <v>1</v>
      </c>
      <c r="AI1163" s="44">
        <f t="shared" si="582"/>
        <v>0</v>
      </c>
      <c r="AJ1163" s="44">
        <f t="shared" si="573"/>
        <v>0</v>
      </c>
      <c r="AK1163" s="44">
        <f t="shared" si="591"/>
        <v>0</v>
      </c>
      <c r="AL1163" s="4">
        <f t="shared" si="574"/>
        <v>473</v>
      </c>
      <c r="AM1163" s="82">
        <f t="shared" si="583"/>
        <v>0</v>
      </c>
      <c r="AN1163" s="82">
        <f t="shared" si="575"/>
        <v>0</v>
      </c>
      <c r="AO1163" s="48">
        <v>0</v>
      </c>
      <c r="AP1163" s="91">
        <f t="shared" si="584"/>
        <v>0</v>
      </c>
      <c r="AQ1163" s="91">
        <f t="shared" si="585"/>
        <v>0</v>
      </c>
    </row>
    <row r="1164" spans="1:43">
      <c r="A1164" s="190">
        <f t="shared" si="576"/>
        <v>105.22091033538672</v>
      </c>
      <c r="B1164" s="82">
        <f t="shared" si="577"/>
        <v>40</v>
      </c>
      <c r="C1164" s="83">
        <f t="shared" si="578"/>
        <v>474</v>
      </c>
      <c r="D1164" s="14">
        <f t="shared" si="564"/>
        <v>2.6283369587845051E-3</v>
      </c>
      <c r="E1164" s="16">
        <f t="shared" si="565"/>
        <v>0</v>
      </c>
      <c r="F1164" s="127"/>
      <c r="G1164" s="88">
        <f t="shared" si="566"/>
        <v>0</v>
      </c>
      <c r="H1164" s="89">
        <f t="shared" si="579"/>
        <v>4.1666666666666666E-3</v>
      </c>
      <c r="I1164" s="219"/>
      <c r="J1164" s="219"/>
      <c r="K1164" s="6">
        <f t="shared" si="588"/>
        <v>0</v>
      </c>
      <c r="M1164" s="6">
        <f t="shared" si="567"/>
        <v>0</v>
      </c>
      <c r="N1164" s="6">
        <f t="shared" si="568"/>
        <v>0</v>
      </c>
      <c r="O1164" s="90">
        <f t="shared" si="569"/>
        <v>0</v>
      </c>
      <c r="P1164" s="91">
        <f t="shared" si="570"/>
        <v>0</v>
      </c>
      <c r="Q1164" s="6">
        <f t="shared" si="571"/>
        <v>0</v>
      </c>
      <c r="R1164" s="87">
        <f t="shared" si="590"/>
        <v>0</v>
      </c>
      <c r="S1164" s="6">
        <f t="shared" si="572"/>
        <v>0</v>
      </c>
      <c r="T1164" s="83">
        <f t="shared" si="580"/>
        <v>0</v>
      </c>
      <c r="U1164" s="91">
        <f t="shared" si="586"/>
        <v>0</v>
      </c>
      <c r="V1164" s="91">
        <f t="shared" si="581"/>
        <v>0</v>
      </c>
      <c r="W1164" s="1">
        <f t="shared" si="592"/>
        <v>0</v>
      </c>
      <c r="X1164" s="1">
        <f t="shared" si="592"/>
        <v>0</v>
      </c>
      <c r="Y1164" s="1">
        <f t="shared" si="592"/>
        <v>0</v>
      </c>
      <c r="Z1164" s="1">
        <f t="shared" si="592"/>
        <v>0</v>
      </c>
      <c r="AA1164" s="1">
        <f t="shared" si="592"/>
        <v>0</v>
      </c>
      <c r="AB1164" s="1">
        <f t="shared" si="592"/>
        <v>0</v>
      </c>
      <c r="AC1164" s="1">
        <f t="shared" si="592"/>
        <v>0</v>
      </c>
      <c r="AD1164" s="1">
        <f t="shared" si="592"/>
        <v>0</v>
      </c>
      <c r="AE1164" s="1">
        <f t="shared" si="592"/>
        <v>0</v>
      </c>
      <c r="AF1164" s="1">
        <f t="shared" si="592"/>
        <v>0</v>
      </c>
      <c r="AG1164" s="1">
        <f t="shared" si="592"/>
        <v>0</v>
      </c>
      <c r="AH1164" s="1">
        <f t="shared" si="592"/>
        <v>1</v>
      </c>
      <c r="AI1164" s="44">
        <f t="shared" si="582"/>
        <v>0</v>
      </c>
      <c r="AJ1164" s="44">
        <f t="shared" si="573"/>
        <v>0</v>
      </c>
      <c r="AK1164" s="44">
        <f t="shared" si="591"/>
        <v>0</v>
      </c>
      <c r="AL1164" s="4">
        <f t="shared" si="574"/>
        <v>474</v>
      </c>
      <c r="AM1164" s="82">
        <f t="shared" si="583"/>
        <v>0</v>
      </c>
      <c r="AN1164" s="82">
        <f t="shared" si="575"/>
        <v>0</v>
      </c>
      <c r="AO1164" s="48">
        <v>0</v>
      </c>
      <c r="AP1164" s="91">
        <f t="shared" si="584"/>
        <v>0</v>
      </c>
      <c r="AQ1164" s="91">
        <f t="shared" si="585"/>
        <v>0</v>
      </c>
    </row>
    <row r="1165" spans="1:43">
      <c r="A1165" s="190">
        <f t="shared" si="576"/>
        <v>105.30424366872005</v>
      </c>
      <c r="B1165" s="82">
        <f t="shared" si="577"/>
        <v>40</v>
      </c>
      <c r="C1165" s="83">
        <f t="shared" si="578"/>
        <v>475</v>
      </c>
      <c r="D1165" s="14">
        <f t="shared" si="564"/>
        <v>2.6283369587845051E-3</v>
      </c>
      <c r="E1165" s="16">
        <f t="shared" si="565"/>
        <v>0</v>
      </c>
      <c r="F1165" s="127"/>
      <c r="G1165" s="88">
        <f t="shared" si="566"/>
        <v>0</v>
      </c>
      <c r="H1165" s="89">
        <f t="shared" si="579"/>
        <v>4.1666666666666666E-3</v>
      </c>
      <c r="I1165" s="219"/>
      <c r="J1165" s="219"/>
      <c r="K1165" s="6">
        <f t="shared" si="588"/>
        <v>0</v>
      </c>
      <c r="M1165" s="6">
        <f t="shared" si="567"/>
        <v>0</v>
      </c>
      <c r="N1165" s="6">
        <f t="shared" si="568"/>
        <v>0</v>
      </c>
      <c r="O1165" s="90">
        <f t="shared" si="569"/>
        <v>0</v>
      </c>
      <c r="P1165" s="91">
        <f t="shared" si="570"/>
        <v>0</v>
      </c>
      <c r="Q1165" s="6">
        <f t="shared" si="571"/>
        <v>0</v>
      </c>
      <c r="R1165" s="87">
        <f t="shared" si="590"/>
        <v>0</v>
      </c>
      <c r="S1165" s="6">
        <f t="shared" si="572"/>
        <v>0</v>
      </c>
      <c r="T1165" s="83">
        <f t="shared" si="580"/>
        <v>0</v>
      </c>
      <c r="U1165" s="91">
        <f t="shared" si="586"/>
        <v>0</v>
      </c>
      <c r="V1165" s="91">
        <f t="shared" si="581"/>
        <v>0</v>
      </c>
      <c r="W1165" s="1">
        <f t="shared" si="592"/>
        <v>0</v>
      </c>
      <c r="X1165" s="1">
        <f t="shared" si="592"/>
        <v>0</v>
      </c>
      <c r="Y1165" s="1">
        <f t="shared" si="592"/>
        <v>0</v>
      </c>
      <c r="Z1165" s="1">
        <f t="shared" si="592"/>
        <v>0</v>
      </c>
      <c r="AA1165" s="1">
        <f t="shared" si="592"/>
        <v>0</v>
      </c>
      <c r="AB1165" s="1">
        <f t="shared" si="592"/>
        <v>0</v>
      </c>
      <c r="AC1165" s="1">
        <f t="shared" si="592"/>
        <v>0</v>
      </c>
      <c r="AD1165" s="1">
        <f t="shared" si="592"/>
        <v>0</v>
      </c>
      <c r="AE1165" s="1">
        <f t="shared" si="592"/>
        <v>0</v>
      </c>
      <c r="AF1165" s="1">
        <f t="shared" si="592"/>
        <v>0</v>
      </c>
      <c r="AG1165" s="1">
        <f t="shared" si="592"/>
        <v>0</v>
      </c>
      <c r="AH1165" s="1">
        <f t="shared" si="592"/>
        <v>1</v>
      </c>
      <c r="AI1165" s="44">
        <f t="shared" si="582"/>
        <v>0</v>
      </c>
      <c r="AJ1165" s="44">
        <f t="shared" si="573"/>
        <v>0</v>
      </c>
      <c r="AK1165" s="44">
        <f t="shared" si="591"/>
        <v>0</v>
      </c>
      <c r="AL1165" s="4">
        <f t="shared" si="574"/>
        <v>475</v>
      </c>
      <c r="AM1165" s="82">
        <f t="shared" si="583"/>
        <v>0</v>
      </c>
      <c r="AN1165" s="82">
        <f t="shared" si="575"/>
        <v>0</v>
      </c>
      <c r="AO1165" s="48">
        <v>0</v>
      </c>
      <c r="AP1165" s="91">
        <f t="shared" si="584"/>
        <v>0</v>
      </c>
      <c r="AQ1165" s="91">
        <f t="shared" si="585"/>
        <v>0</v>
      </c>
    </row>
    <row r="1166" spans="1:43">
      <c r="A1166" s="190">
        <f t="shared" si="576"/>
        <v>105.38757700205338</v>
      </c>
      <c r="B1166" s="82">
        <f t="shared" si="577"/>
        <v>40</v>
      </c>
      <c r="C1166" s="83">
        <f t="shared" si="578"/>
        <v>476</v>
      </c>
      <c r="D1166" s="14">
        <f t="shared" si="564"/>
        <v>2.6283369587845051E-3</v>
      </c>
      <c r="E1166" s="16">
        <f t="shared" si="565"/>
        <v>0</v>
      </c>
      <c r="F1166" s="127"/>
      <c r="G1166" s="88">
        <f t="shared" si="566"/>
        <v>0</v>
      </c>
      <c r="H1166" s="89">
        <f t="shared" si="579"/>
        <v>4.1666666666666666E-3</v>
      </c>
      <c r="I1166" s="219"/>
      <c r="J1166" s="219"/>
      <c r="K1166" s="6">
        <f t="shared" si="588"/>
        <v>0</v>
      </c>
      <c r="M1166" s="6">
        <f t="shared" si="567"/>
        <v>0</v>
      </c>
      <c r="N1166" s="6">
        <f t="shared" si="568"/>
        <v>0</v>
      </c>
      <c r="O1166" s="90">
        <f t="shared" si="569"/>
        <v>0</v>
      </c>
      <c r="P1166" s="91">
        <f t="shared" si="570"/>
        <v>0</v>
      </c>
      <c r="Q1166" s="6">
        <f t="shared" si="571"/>
        <v>0</v>
      </c>
      <c r="R1166" s="87">
        <f t="shared" si="590"/>
        <v>0</v>
      </c>
      <c r="S1166" s="6">
        <f t="shared" si="572"/>
        <v>0</v>
      </c>
      <c r="T1166" s="83">
        <f t="shared" si="580"/>
        <v>0</v>
      </c>
      <c r="U1166" s="91">
        <f t="shared" si="586"/>
        <v>0</v>
      </c>
      <c r="V1166" s="91">
        <f t="shared" si="581"/>
        <v>0</v>
      </c>
      <c r="W1166" s="1">
        <f t="shared" si="592"/>
        <v>0</v>
      </c>
      <c r="X1166" s="1">
        <f t="shared" si="592"/>
        <v>0</v>
      </c>
      <c r="Y1166" s="1">
        <f t="shared" si="592"/>
        <v>0</v>
      </c>
      <c r="Z1166" s="1">
        <f t="shared" si="592"/>
        <v>0</v>
      </c>
      <c r="AA1166" s="1">
        <f t="shared" si="592"/>
        <v>0</v>
      </c>
      <c r="AB1166" s="1">
        <f t="shared" si="592"/>
        <v>0</v>
      </c>
      <c r="AC1166" s="1">
        <f t="shared" si="592"/>
        <v>0</v>
      </c>
      <c r="AD1166" s="1">
        <f t="shared" si="592"/>
        <v>0</v>
      </c>
      <c r="AE1166" s="1">
        <f t="shared" si="592"/>
        <v>0</v>
      </c>
      <c r="AF1166" s="1">
        <f t="shared" si="592"/>
        <v>0</v>
      </c>
      <c r="AG1166" s="1">
        <f t="shared" si="592"/>
        <v>0</v>
      </c>
      <c r="AH1166" s="1">
        <f t="shared" si="592"/>
        <v>1</v>
      </c>
      <c r="AI1166" s="44">
        <f t="shared" si="582"/>
        <v>0</v>
      </c>
      <c r="AJ1166" s="44">
        <f t="shared" si="573"/>
        <v>0</v>
      </c>
      <c r="AK1166" s="44">
        <f t="shared" si="591"/>
        <v>0</v>
      </c>
      <c r="AL1166" s="4">
        <f t="shared" si="574"/>
        <v>476</v>
      </c>
      <c r="AM1166" s="82">
        <f t="shared" si="583"/>
        <v>0</v>
      </c>
      <c r="AN1166" s="82">
        <f t="shared" si="575"/>
        <v>0</v>
      </c>
      <c r="AO1166" s="48">
        <v>0</v>
      </c>
      <c r="AP1166" s="91">
        <f t="shared" si="584"/>
        <v>0</v>
      </c>
      <c r="AQ1166" s="91">
        <f t="shared" si="585"/>
        <v>0</v>
      </c>
    </row>
    <row r="1167" spans="1:43">
      <c r="A1167" s="190">
        <f t="shared" si="576"/>
        <v>105.47091033538672</v>
      </c>
      <c r="B1167" s="82">
        <f t="shared" si="577"/>
        <v>40</v>
      </c>
      <c r="C1167" s="83">
        <f t="shared" si="578"/>
        <v>477</v>
      </c>
      <c r="D1167" s="14">
        <f t="shared" si="564"/>
        <v>2.6283369587845051E-3</v>
      </c>
      <c r="E1167" s="16">
        <f t="shared" si="565"/>
        <v>0</v>
      </c>
      <c r="F1167" s="127"/>
      <c r="G1167" s="88">
        <f t="shared" si="566"/>
        <v>0</v>
      </c>
      <c r="H1167" s="89">
        <f t="shared" si="579"/>
        <v>4.1666666666666666E-3</v>
      </c>
      <c r="I1167" s="219"/>
      <c r="J1167" s="219"/>
      <c r="K1167" s="6">
        <f t="shared" si="588"/>
        <v>0</v>
      </c>
      <c r="M1167" s="6">
        <f t="shared" si="567"/>
        <v>0</v>
      </c>
      <c r="N1167" s="6">
        <f t="shared" si="568"/>
        <v>0</v>
      </c>
      <c r="O1167" s="90">
        <f t="shared" si="569"/>
        <v>0</v>
      </c>
      <c r="P1167" s="91">
        <f t="shared" si="570"/>
        <v>0</v>
      </c>
      <c r="Q1167" s="6">
        <f t="shared" si="571"/>
        <v>0</v>
      </c>
      <c r="R1167" s="87">
        <f t="shared" si="590"/>
        <v>0</v>
      </c>
      <c r="S1167" s="6">
        <f t="shared" si="572"/>
        <v>0</v>
      </c>
      <c r="T1167" s="83">
        <f t="shared" si="580"/>
        <v>0</v>
      </c>
      <c r="U1167" s="91">
        <f t="shared" si="586"/>
        <v>0</v>
      </c>
      <c r="V1167" s="91">
        <f t="shared" si="581"/>
        <v>0</v>
      </c>
      <c r="W1167" s="1">
        <f t="shared" si="592"/>
        <v>0</v>
      </c>
      <c r="X1167" s="1">
        <f t="shared" si="592"/>
        <v>0</v>
      </c>
      <c r="Y1167" s="1">
        <f t="shared" si="592"/>
        <v>0</v>
      </c>
      <c r="Z1167" s="1">
        <f t="shared" si="592"/>
        <v>0</v>
      </c>
      <c r="AA1167" s="1">
        <f t="shared" si="592"/>
        <v>0</v>
      </c>
      <c r="AB1167" s="1">
        <f t="shared" si="592"/>
        <v>0</v>
      </c>
      <c r="AC1167" s="1">
        <f t="shared" si="592"/>
        <v>0</v>
      </c>
      <c r="AD1167" s="1">
        <f t="shared" si="592"/>
        <v>0</v>
      </c>
      <c r="AE1167" s="1">
        <f t="shared" si="592"/>
        <v>0</v>
      </c>
      <c r="AF1167" s="1">
        <f t="shared" si="592"/>
        <v>0</v>
      </c>
      <c r="AG1167" s="1">
        <f t="shared" si="592"/>
        <v>0</v>
      </c>
      <c r="AH1167" s="1">
        <f t="shared" si="592"/>
        <v>1</v>
      </c>
      <c r="AI1167" s="44">
        <f t="shared" si="582"/>
        <v>0</v>
      </c>
      <c r="AJ1167" s="44">
        <f t="shared" si="573"/>
        <v>0</v>
      </c>
      <c r="AK1167" s="44">
        <f t="shared" si="591"/>
        <v>0</v>
      </c>
      <c r="AL1167" s="4">
        <f t="shared" si="574"/>
        <v>477</v>
      </c>
      <c r="AM1167" s="82">
        <f t="shared" si="583"/>
        <v>0</v>
      </c>
      <c r="AN1167" s="82">
        <f t="shared" si="575"/>
        <v>0</v>
      </c>
      <c r="AO1167" s="48">
        <v>0</v>
      </c>
      <c r="AP1167" s="91">
        <f t="shared" si="584"/>
        <v>0</v>
      </c>
      <c r="AQ1167" s="91">
        <f t="shared" si="585"/>
        <v>0</v>
      </c>
    </row>
    <row r="1168" spans="1:43">
      <c r="A1168" s="190">
        <f t="shared" si="576"/>
        <v>105.55424366872005</v>
      </c>
      <c r="B1168" s="82">
        <f t="shared" si="577"/>
        <v>40</v>
      </c>
      <c r="C1168" s="83">
        <f t="shared" si="578"/>
        <v>478</v>
      </c>
      <c r="D1168" s="14">
        <f t="shared" si="564"/>
        <v>2.6283369587845051E-3</v>
      </c>
      <c r="E1168" s="16">
        <f t="shared" si="565"/>
        <v>0</v>
      </c>
      <c r="F1168" s="127"/>
      <c r="G1168" s="88">
        <f t="shared" si="566"/>
        <v>0</v>
      </c>
      <c r="H1168" s="89">
        <f t="shared" si="579"/>
        <v>4.1666666666666666E-3</v>
      </c>
      <c r="I1168" s="219"/>
      <c r="J1168" s="219"/>
      <c r="K1168" s="6">
        <f t="shared" si="588"/>
        <v>0</v>
      </c>
      <c r="M1168" s="6">
        <f t="shared" si="567"/>
        <v>0</v>
      </c>
      <c r="N1168" s="6">
        <f t="shared" si="568"/>
        <v>0</v>
      </c>
      <c r="O1168" s="90">
        <f t="shared" si="569"/>
        <v>0</v>
      </c>
      <c r="P1168" s="91">
        <f t="shared" si="570"/>
        <v>0</v>
      </c>
      <c r="Q1168" s="6">
        <f t="shared" si="571"/>
        <v>0</v>
      </c>
      <c r="R1168" s="87">
        <f t="shared" si="590"/>
        <v>0</v>
      </c>
      <c r="S1168" s="6">
        <f t="shared" si="572"/>
        <v>0</v>
      </c>
      <c r="T1168" s="83">
        <f t="shared" si="580"/>
        <v>0</v>
      </c>
      <c r="U1168" s="91">
        <f t="shared" si="586"/>
        <v>0</v>
      </c>
      <c r="V1168" s="91">
        <f t="shared" si="581"/>
        <v>0</v>
      </c>
      <c r="W1168" s="1">
        <f t="shared" si="592"/>
        <v>0</v>
      </c>
      <c r="X1168" s="1">
        <f t="shared" si="592"/>
        <v>0</v>
      </c>
      <c r="Y1168" s="1">
        <f t="shared" si="592"/>
        <v>0</v>
      </c>
      <c r="Z1168" s="1">
        <f t="shared" si="592"/>
        <v>0</v>
      </c>
      <c r="AA1168" s="1">
        <f t="shared" si="592"/>
        <v>0</v>
      </c>
      <c r="AB1168" s="1">
        <f t="shared" si="592"/>
        <v>0</v>
      </c>
      <c r="AC1168" s="1">
        <f t="shared" si="592"/>
        <v>0</v>
      </c>
      <c r="AD1168" s="1">
        <f t="shared" si="592"/>
        <v>0</v>
      </c>
      <c r="AE1168" s="1">
        <f t="shared" si="592"/>
        <v>0</v>
      </c>
      <c r="AF1168" s="1">
        <f t="shared" si="592"/>
        <v>0</v>
      </c>
      <c r="AG1168" s="1">
        <f t="shared" si="592"/>
        <v>0</v>
      </c>
      <c r="AH1168" s="1">
        <f t="shared" si="592"/>
        <v>1</v>
      </c>
      <c r="AI1168" s="44">
        <f t="shared" si="582"/>
        <v>0</v>
      </c>
      <c r="AJ1168" s="44">
        <f t="shared" si="573"/>
        <v>0</v>
      </c>
      <c r="AK1168" s="44">
        <f t="shared" si="591"/>
        <v>0</v>
      </c>
      <c r="AL1168" s="4">
        <f t="shared" si="574"/>
        <v>478</v>
      </c>
      <c r="AM1168" s="82">
        <f t="shared" si="583"/>
        <v>0</v>
      </c>
      <c r="AN1168" s="82">
        <f t="shared" si="575"/>
        <v>0</v>
      </c>
      <c r="AO1168" s="48">
        <v>0</v>
      </c>
      <c r="AP1168" s="91">
        <f t="shared" si="584"/>
        <v>0</v>
      </c>
      <c r="AQ1168" s="91">
        <f t="shared" si="585"/>
        <v>0</v>
      </c>
    </row>
    <row r="1169" spans="1:43">
      <c r="A1169" s="190">
        <f t="shared" si="576"/>
        <v>105.63757700205338</v>
      </c>
      <c r="B1169" s="82">
        <f t="shared" si="577"/>
        <v>40</v>
      </c>
      <c r="C1169" s="83">
        <f t="shared" si="578"/>
        <v>479</v>
      </c>
      <c r="D1169" s="14">
        <f t="shared" si="564"/>
        <v>2.6283369587845051E-3</v>
      </c>
      <c r="E1169" s="16">
        <f t="shared" si="565"/>
        <v>0</v>
      </c>
      <c r="F1169" s="127"/>
      <c r="G1169" s="88">
        <f t="shared" si="566"/>
        <v>0</v>
      </c>
      <c r="H1169" s="89">
        <f t="shared" si="579"/>
        <v>4.1666666666666666E-3</v>
      </c>
      <c r="I1169" s="219"/>
      <c r="J1169" s="219"/>
      <c r="K1169" s="6">
        <f t="shared" si="588"/>
        <v>0</v>
      </c>
      <c r="M1169" s="6">
        <f t="shared" si="567"/>
        <v>0</v>
      </c>
      <c r="N1169" s="6">
        <f t="shared" si="568"/>
        <v>0</v>
      </c>
      <c r="O1169" s="90">
        <f t="shared" si="569"/>
        <v>0</v>
      </c>
      <c r="P1169" s="91">
        <f t="shared" si="570"/>
        <v>0</v>
      </c>
      <c r="Q1169" s="6">
        <f t="shared" si="571"/>
        <v>0</v>
      </c>
      <c r="R1169" s="87">
        <f t="shared" si="590"/>
        <v>0</v>
      </c>
      <c r="S1169" s="6">
        <f t="shared" si="572"/>
        <v>0</v>
      </c>
      <c r="T1169" s="83">
        <f t="shared" si="580"/>
        <v>0</v>
      </c>
      <c r="U1169" s="91">
        <f t="shared" si="586"/>
        <v>0</v>
      </c>
      <c r="V1169" s="91">
        <f t="shared" si="581"/>
        <v>0</v>
      </c>
      <c r="W1169" s="1">
        <f t="shared" si="592"/>
        <v>0</v>
      </c>
      <c r="X1169" s="1">
        <f t="shared" si="592"/>
        <v>0</v>
      </c>
      <c r="Y1169" s="1">
        <f t="shared" si="592"/>
        <v>0</v>
      </c>
      <c r="Z1169" s="1">
        <f t="shared" si="592"/>
        <v>0</v>
      </c>
      <c r="AA1169" s="1">
        <f t="shared" si="592"/>
        <v>0</v>
      </c>
      <c r="AB1169" s="1">
        <f t="shared" si="592"/>
        <v>0</v>
      </c>
      <c r="AC1169" s="1">
        <f t="shared" si="592"/>
        <v>0</v>
      </c>
      <c r="AD1169" s="1">
        <f t="shared" si="592"/>
        <v>0</v>
      </c>
      <c r="AE1169" s="1">
        <f t="shared" si="592"/>
        <v>0</v>
      </c>
      <c r="AF1169" s="1">
        <f t="shared" si="592"/>
        <v>0</v>
      </c>
      <c r="AG1169" s="1">
        <f t="shared" si="592"/>
        <v>0</v>
      </c>
      <c r="AH1169" s="1">
        <f t="shared" si="592"/>
        <v>1</v>
      </c>
      <c r="AI1169" s="44">
        <f t="shared" si="582"/>
        <v>0</v>
      </c>
      <c r="AJ1169" s="44">
        <f t="shared" si="573"/>
        <v>0</v>
      </c>
      <c r="AK1169" s="44">
        <f t="shared" si="591"/>
        <v>0</v>
      </c>
      <c r="AL1169" s="4">
        <f t="shared" si="574"/>
        <v>479</v>
      </c>
      <c r="AM1169" s="82">
        <f t="shared" si="583"/>
        <v>0</v>
      </c>
      <c r="AN1169" s="82">
        <f t="shared" si="575"/>
        <v>0</v>
      </c>
      <c r="AO1169" s="48">
        <v>0</v>
      </c>
      <c r="AP1169" s="91">
        <f t="shared" si="584"/>
        <v>0</v>
      </c>
      <c r="AQ1169" s="91">
        <f t="shared" si="585"/>
        <v>0</v>
      </c>
    </row>
    <row r="1170" spans="1:43">
      <c r="A1170" s="190">
        <f t="shared" si="576"/>
        <v>105.72091033538672</v>
      </c>
      <c r="B1170" s="82">
        <f t="shared" si="577"/>
        <v>40</v>
      </c>
      <c r="C1170" s="83">
        <f t="shared" si="578"/>
        <v>480</v>
      </c>
      <c r="D1170" s="14">
        <f t="shared" si="564"/>
        <v>2.6283369587845051E-3</v>
      </c>
      <c r="E1170" s="16">
        <f t="shared" si="565"/>
        <v>0</v>
      </c>
      <c r="F1170" s="127"/>
      <c r="G1170" s="88">
        <f t="shared" si="566"/>
        <v>0</v>
      </c>
      <c r="H1170" s="89">
        <f t="shared" si="579"/>
        <v>4.1666666666666666E-3</v>
      </c>
      <c r="I1170" s="219"/>
      <c r="J1170" s="219"/>
      <c r="K1170" s="6">
        <f t="shared" si="588"/>
        <v>0</v>
      </c>
      <c r="M1170" s="6">
        <f t="shared" si="567"/>
        <v>0</v>
      </c>
      <c r="N1170" s="6">
        <f t="shared" si="568"/>
        <v>0</v>
      </c>
      <c r="O1170" s="90">
        <f t="shared" si="569"/>
        <v>0</v>
      </c>
      <c r="P1170" s="91">
        <f t="shared" si="570"/>
        <v>0</v>
      </c>
      <c r="Q1170" s="6">
        <f t="shared" si="571"/>
        <v>0</v>
      </c>
      <c r="R1170" s="87">
        <f t="shared" si="590"/>
        <v>0</v>
      </c>
      <c r="S1170" s="6">
        <f t="shared" si="572"/>
        <v>0</v>
      </c>
      <c r="T1170" s="83">
        <f t="shared" si="580"/>
        <v>0</v>
      </c>
      <c r="U1170" s="91">
        <f t="shared" si="586"/>
        <v>0</v>
      </c>
      <c r="V1170" s="91">
        <f t="shared" si="581"/>
        <v>0</v>
      </c>
      <c r="W1170" s="1">
        <f t="shared" si="592"/>
        <v>0</v>
      </c>
      <c r="X1170" s="1">
        <f t="shared" si="592"/>
        <v>0</v>
      </c>
      <c r="Y1170" s="1">
        <f t="shared" si="592"/>
        <v>0</v>
      </c>
      <c r="Z1170" s="1">
        <f t="shared" si="592"/>
        <v>0</v>
      </c>
      <c r="AA1170" s="1">
        <f t="shared" si="592"/>
        <v>0</v>
      </c>
      <c r="AB1170" s="1">
        <f t="shared" si="592"/>
        <v>0</v>
      </c>
      <c r="AC1170" s="1">
        <f t="shared" si="592"/>
        <v>0</v>
      </c>
      <c r="AD1170" s="1">
        <f t="shared" si="592"/>
        <v>0</v>
      </c>
      <c r="AE1170" s="1">
        <f t="shared" si="592"/>
        <v>0</v>
      </c>
      <c r="AF1170" s="1">
        <f t="shared" si="592"/>
        <v>0</v>
      </c>
      <c r="AG1170" s="1">
        <f t="shared" si="592"/>
        <v>0</v>
      </c>
      <c r="AH1170" s="1">
        <f t="shared" si="592"/>
        <v>1</v>
      </c>
      <c r="AI1170" s="44">
        <f t="shared" si="582"/>
        <v>0</v>
      </c>
      <c r="AJ1170" s="44">
        <f t="shared" si="573"/>
        <v>0</v>
      </c>
      <c r="AK1170" s="44">
        <f t="shared" si="591"/>
        <v>0</v>
      </c>
      <c r="AL1170" s="4">
        <f t="shared" si="574"/>
        <v>480</v>
      </c>
      <c r="AM1170" s="82">
        <f t="shared" si="583"/>
        <v>0</v>
      </c>
      <c r="AN1170" s="82">
        <f t="shared" si="575"/>
        <v>0</v>
      </c>
      <c r="AO1170" s="48">
        <v>0</v>
      </c>
      <c r="AP1170" s="91">
        <f t="shared" si="584"/>
        <v>0</v>
      </c>
      <c r="AQ1170" s="91">
        <f t="shared" si="585"/>
        <v>0</v>
      </c>
    </row>
    <row r="1171" spans="1:43">
      <c r="A1171" s="190">
        <f t="shared" si="576"/>
        <v>105.80424366872005</v>
      </c>
      <c r="B1171" s="82">
        <f t="shared" si="577"/>
        <v>41</v>
      </c>
      <c r="C1171" s="83">
        <f t="shared" si="578"/>
        <v>481</v>
      </c>
      <c r="D1171" s="14">
        <f t="shared" si="564"/>
        <v>2.6283369587845051E-3</v>
      </c>
      <c r="E1171" s="16">
        <f t="shared" si="565"/>
        <v>0</v>
      </c>
      <c r="F1171" s="127"/>
      <c r="G1171" s="88">
        <f t="shared" si="566"/>
        <v>0</v>
      </c>
      <c r="H1171" s="89">
        <f t="shared" si="579"/>
        <v>4.1666666666666666E-3</v>
      </c>
      <c r="I1171" s="219"/>
      <c r="J1171" s="219"/>
      <c r="K1171" s="6">
        <f t="shared" si="588"/>
        <v>0</v>
      </c>
      <c r="M1171" s="6">
        <f t="shared" si="567"/>
        <v>0</v>
      </c>
      <c r="N1171" s="6">
        <f t="shared" si="568"/>
        <v>0</v>
      </c>
      <c r="O1171" s="90">
        <f t="shared" si="569"/>
        <v>0</v>
      </c>
      <c r="P1171" s="91">
        <f t="shared" si="570"/>
        <v>0</v>
      </c>
      <c r="Q1171" s="6">
        <f t="shared" si="571"/>
        <v>0</v>
      </c>
      <c r="R1171" s="87">
        <f t="shared" si="590"/>
        <v>0</v>
      </c>
      <c r="S1171" s="6">
        <f t="shared" si="572"/>
        <v>0</v>
      </c>
      <c r="T1171" s="83">
        <f t="shared" si="580"/>
        <v>0</v>
      </c>
      <c r="U1171" s="91">
        <f t="shared" si="586"/>
        <v>0</v>
      </c>
      <c r="V1171" s="91">
        <f t="shared" si="581"/>
        <v>0</v>
      </c>
      <c r="W1171" s="1">
        <f t="shared" ref="W1171:AH1180" si="593">IF($B1171&lt;=W$78,1,0)</f>
        <v>0</v>
      </c>
      <c r="X1171" s="1">
        <f t="shared" si="593"/>
        <v>0</v>
      </c>
      <c r="Y1171" s="1">
        <f t="shared" si="593"/>
        <v>0</v>
      </c>
      <c r="Z1171" s="1">
        <f t="shared" si="593"/>
        <v>0</v>
      </c>
      <c r="AA1171" s="1">
        <f t="shared" si="593"/>
        <v>0</v>
      </c>
      <c r="AB1171" s="1">
        <f t="shared" si="593"/>
        <v>0</v>
      </c>
      <c r="AC1171" s="1">
        <f t="shared" si="593"/>
        <v>0</v>
      </c>
      <c r="AD1171" s="1">
        <f t="shared" si="593"/>
        <v>0</v>
      </c>
      <c r="AE1171" s="1">
        <f t="shared" si="593"/>
        <v>0</v>
      </c>
      <c r="AF1171" s="1">
        <f t="shared" si="593"/>
        <v>0</v>
      </c>
      <c r="AG1171" s="1">
        <f t="shared" si="593"/>
        <v>0</v>
      </c>
      <c r="AH1171" s="1">
        <f t="shared" si="593"/>
        <v>0</v>
      </c>
      <c r="AI1171" s="44">
        <f t="shared" si="582"/>
        <v>0</v>
      </c>
      <c r="AJ1171" s="44">
        <f t="shared" si="573"/>
        <v>0</v>
      </c>
      <c r="AK1171" s="44">
        <f t="shared" si="591"/>
        <v>0</v>
      </c>
      <c r="AL1171" s="4">
        <f t="shared" si="574"/>
        <v>481</v>
      </c>
      <c r="AM1171" s="82">
        <f t="shared" si="583"/>
        <v>0</v>
      </c>
      <c r="AN1171" s="82">
        <f t="shared" si="575"/>
        <v>0</v>
      </c>
      <c r="AO1171" s="48">
        <v>0</v>
      </c>
      <c r="AP1171" s="91">
        <f t="shared" si="584"/>
        <v>0</v>
      </c>
      <c r="AQ1171" s="91">
        <f t="shared" si="585"/>
        <v>0</v>
      </c>
    </row>
    <row r="1172" spans="1:43">
      <c r="A1172" s="190">
        <f t="shared" si="576"/>
        <v>105.88757700205338</v>
      </c>
      <c r="B1172" s="82">
        <f t="shared" si="577"/>
        <v>41</v>
      </c>
      <c r="C1172" s="83">
        <f t="shared" si="578"/>
        <v>482</v>
      </c>
      <c r="D1172" s="14">
        <f t="shared" si="564"/>
        <v>2.6283369587845051E-3</v>
      </c>
      <c r="E1172" s="16">
        <f t="shared" si="565"/>
        <v>0</v>
      </c>
      <c r="F1172" s="127"/>
      <c r="G1172" s="88">
        <f t="shared" si="566"/>
        <v>0</v>
      </c>
      <c r="H1172" s="89">
        <f t="shared" si="579"/>
        <v>4.1666666666666666E-3</v>
      </c>
      <c r="I1172" s="219"/>
      <c r="J1172" s="219"/>
      <c r="K1172" s="6">
        <f t="shared" si="588"/>
        <v>0</v>
      </c>
      <c r="M1172" s="6">
        <f t="shared" si="567"/>
        <v>0</v>
      </c>
      <c r="N1172" s="6">
        <f t="shared" si="568"/>
        <v>0</v>
      </c>
      <c r="O1172" s="90">
        <f t="shared" si="569"/>
        <v>0</v>
      </c>
      <c r="P1172" s="91">
        <f t="shared" si="570"/>
        <v>0</v>
      </c>
      <c r="Q1172" s="6">
        <f t="shared" si="571"/>
        <v>0</v>
      </c>
      <c r="R1172" s="87">
        <f t="shared" si="590"/>
        <v>0</v>
      </c>
      <c r="S1172" s="6">
        <f t="shared" si="572"/>
        <v>0</v>
      </c>
      <c r="T1172" s="83">
        <f t="shared" si="580"/>
        <v>0</v>
      </c>
      <c r="U1172" s="91">
        <f t="shared" si="586"/>
        <v>0</v>
      </c>
      <c r="V1172" s="91">
        <f t="shared" si="581"/>
        <v>0</v>
      </c>
      <c r="W1172" s="1">
        <f t="shared" si="593"/>
        <v>0</v>
      </c>
      <c r="X1172" s="1">
        <f t="shared" si="593"/>
        <v>0</v>
      </c>
      <c r="Y1172" s="1">
        <f t="shared" si="593"/>
        <v>0</v>
      </c>
      <c r="Z1172" s="1">
        <f t="shared" si="593"/>
        <v>0</v>
      </c>
      <c r="AA1172" s="1">
        <f t="shared" si="593"/>
        <v>0</v>
      </c>
      <c r="AB1172" s="1">
        <f t="shared" si="593"/>
        <v>0</v>
      </c>
      <c r="AC1172" s="1">
        <f t="shared" si="593"/>
        <v>0</v>
      </c>
      <c r="AD1172" s="1">
        <f t="shared" si="593"/>
        <v>0</v>
      </c>
      <c r="AE1172" s="1">
        <f t="shared" si="593"/>
        <v>0</v>
      </c>
      <c r="AF1172" s="1">
        <f t="shared" si="593"/>
        <v>0</v>
      </c>
      <c r="AG1172" s="1">
        <f t="shared" si="593"/>
        <v>0</v>
      </c>
      <c r="AH1172" s="1">
        <f t="shared" si="593"/>
        <v>0</v>
      </c>
      <c r="AI1172" s="44">
        <f t="shared" si="582"/>
        <v>0</v>
      </c>
      <c r="AJ1172" s="44">
        <f t="shared" si="573"/>
        <v>0</v>
      </c>
      <c r="AK1172" s="44">
        <f t="shared" si="591"/>
        <v>0</v>
      </c>
      <c r="AL1172" s="4">
        <f t="shared" si="574"/>
        <v>482</v>
      </c>
      <c r="AM1172" s="82">
        <f t="shared" si="583"/>
        <v>0</v>
      </c>
      <c r="AN1172" s="82">
        <f t="shared" si="575"/>
        <v>0</v>
      </c>
      <c r="AO1172" s="48">
        <v>0</v>
      </c>
      <c r="AP1172" s="91">
        <f t="shared" si="584"/>
        <v>0</v>
      </c>
      <c r="AQ1172" s="91">
        <f t="shared" si="585"/>
        <v>0</v>
      </c>
    </row>
    <row r="1173" spans="1:43">
      <c r="A1173" s="190">
        <f t="shared" si="576"/>
        <v>105.97091033538672</v>
      </c>
      <c r="B1173" s="82">
        <f t="shared" si="577"/>
        <v>41</v>
      </c>
      <c r="C1173" s="83">
        <f t="shared" si="578"/>
        <v>483</v>
      </c>
      <c r="D1173" s="14">
        <f t="shared" si="564"/>
        <v>2.6283369587845051E-3</v>
      </c>
      <c r="E1173" s="16">
        <f t="shared" si="565"/>
        <v>0</v>
      </c>
      <c r="F1173" s="127"/>
      <c r="G1173" s="88">
        <f t="shared" si="566"/>
        <v>0</v>
      </c>
      <c r="H1173" s="89">
        <f t="shared" si="579"/>
        <v>4.1666666666666666E-3</v>
      </c>
      <c r="I1173" s="219"/>
      <c r="J1173" s="219"/>
      <c r="K1173" s="6">
        <f t="shared" si="588"/>
        <v>0</v>
      </c>
      <c r="M1173" s="6">
        <f t="shared" si="567"/>
        <v>0</v>
      </c>
      <c r="N1173" s="6">
        <f t="shared" si="568"/>
        <v>0</v>
      </c>
      <c r="O1173" s="90">
        <f t="shared" si="569"/>
        <v>0</v>
      </c>
      <c r="P1173" s="91">
        <f t="shared" si="570"/>
        <v>0</v>
      </c>
      <c r="Q1173" s="6">
        <f t="shared" si="571"/>
        <v>0</v>
      </c>
      <c r="R1173" s="87">
        <f t="shared" si="590"/>
        <v>0</v>
      </c>
      <c r="S1173" s="6">
        <f t="shared" si="572"/>
        <v>0</v>
      </c>
      <c r="T1173" s="83">
        <f t="shared" si="580"/>
        <v>0</v>
      </c>
      <c r="U1173" s="91">
        <f t="shared" si="586"/>
        <v>0</v>
      </c>
      <c r="V1173" s="91">
        <f t="shared" si="581"/>
        <v>0</v>
      </c>
      <c r="W1173" s="1">
        <f t="shared" si="593"/>
        <v>0</v>
      </c>
      <c r="X1173" s="1">
        <f t="shared" si="593"/>
        <v>0</v>
      </c>
      <c r="Y1173" s="1">
        <f t="shared" si="593"/>
        <v>0</v>
      </c>
      <c r="Z1173" s="1">
        <f t="shared" si="593"/>
        <v>0</v>
      </c>
      <c r="AA1173" s="1">
        <f t="shared" si="593"/>
        <v>0</v>
      </c>
      <c r="AB1173" s="1">
        <f t="shared" si="593"/>
        <v>0</v>
      </c>
      <c r="AC1173" s="1">
        <f t="shared" si="593"/>
        <v>0</v>
      </c>
      <c r="AD1173" s="1">
        <f t="shared" si="593"/>
        <v>0</v>
      </c>
      <c r="AE1173" s="1">
        <f t="shared" si="593"/>
        <v>0</v>
      </c>
      <c r="AF1173" s="1">
        <f t="shared" si="593"/>
        <v>0</v>
      </c>
      <c r="AG1173" s="1">
        <f t="shared" si="593"/>
        <v>0</v>
      </c>
      <c r="AH1173" s="1">
        <f t="shared" si="593"/>
        <v>0</v>
      </c>
      <c r="AI1173" s="44">
        <f t="shared" si="582"/>
        <v>0</v>
      </c>
      <c r="AJ1173" s="44">
        <f t="shared" si="573"/>
        <v>0</v>
      </c>
      <c r="AK1173" s="44">
        <f t="shared" si="591"/>
        <v>0</v>
      </c>
      <c r="AL1173" s="4">
        <f t="shared" si="574"/>
        <v>483</v>
      </c>
      <c r="AM1173" s="82">
        <f t="shared" si="583"/>
        <v>0</v>
      </c>
      <c r="AN1173" s="82">
        <f t="shared" si="575"/>
        <v>0</v>
      </c>
      <c r="AO1173" s="48">
        <v>0</v>
      </c>
      <c r="AP1173" s="91">
        <f t="shared" si="584"/>
        <v>0</v>
      </c>
      <c r="AQ1173" s="91">
        <f t="shared" si="585"/>
        <v>0</v>
      </c>
    </row>
    <row r="1174" spans="1:43">
      <c r="A1174" s="190">
        <f t="shared" si="576"/>
        <v>106.05424366872005</v>
      </c>
      <c r="B1174" s="82">
        <f t="shared" si="577"/>
        <v>41</v>
      </c>
      <c r="C1174" s="83">
        <f t="shared" si="578"/>
        <v>484</v>
      </c>
      <c r="D1174" s="14">
        <f t="shared" si="564"/>
        <v>2.6283369587845051E-3</v>
      </c>
      <c r="E1174" s="16">
        <f t="shared" si="565"/>
        <v>0</v>
      </c>
      <c r="F1174" s="127"/>
      <c r="G1174" s="88">
        <f t="shared" si="566"/>
        <v>0</v>
      </c>
      <c r="H1174" s="89">
        <f t="shared" si="579"/>
        <v>4.1666666666666666E-3</v>
      </c>
      <c r="I1174" s="219"/>
      <c r="J1174" s="219"/>
      <c r="K1174" s="6">
        <f t="shared" si="588"/>
        <v>0</v>
      </c>
      <c r="M1174" s="6">
        <f t="shared" si="567"/>
        <v>0</v>
      </c>
      <c r="N1174" s="6">
        <f t="shared" si="568"/>
        <v>0</v>
      </c>
      <c r="O1174" s="90">
        <f t="shared" si="569"/>
        <v>0</v>
      </c>
      <c r="P1174" s="91">
        <f t="shared" si="570"/>
        <v>0</v>
      </c>
      <c r="Q1174" s="6">
        <f t="shared" si="571"/>
        <v>0</v>
      </c>
      <c r="R1174" s="87">
        <f t="shared" si="590"/>
        <v>0</v>
      </c>
      <c r="S1174" s="6">
        <f t="shared" si="572"/>
        <v>0</v>
      </c>
      <c r="T1174" s="83">
        <f t="shared" si="580"/>
        <v>0</v>
      </c>
      <c r="U1174" s="91">
        <f t="shared" si="586"/>
        <v>0</v>
      </c>
      <c r="V1174" s="91">
        <f t="shared" si="581"/>
        <v>0</v>
      </c>
      <c r="W1174" s="1">
        <f t="shared" si="593"/>
        <v>0</v>
      </c>
      <c r="X1174" s="1">
        <f t="shared" si="593"/>
        <v>0</v>
      </c>
      <c r="Y1174" s="1">
        <f t="shared" si="593"/>
        <v>0</v>
      </c>
      <c r="Z1174" s="1">
        <f t="shared" si="593"/>
        <v>0</v>
      </c>
      <c r="AA1174" s="1">
        <f t="shared" si="593"/>
        <v>0</v>
      </c>
      <c r="AB1174" s="1">
        <f t="shared" si="593"/>
        <v>0</v>
      </c>
      <c r="AC1174" s="1">
        <f t="shared" si="593"/>
        <v>0</v>
      </c>
      <c r="AD1174" s="1">
        <f t="shared" si="593"/>
        <v>0</v>
      </c>
      <c r="AE1174" s="1">
        <f t="shared" si="593"/>
        <v>0</v>
      </c>
      <c r="AF1174" s="1">
        <f t="shared" si="593"/>
        <v>0</v>
      </c>
      <c r="AG1174" s="1">
        <f t="shared" si="593"/>
        <v>0</v>
      </c>
      <c r="AH1174" s="1">
        <f t="shared" si="593"/>
        <v>0</v>
      </c>
      <c r="AI1174" s="44">
        <f t="shared" si="582"/>
        <v>0</v>
      </c>
      <c r="AJ1174" s="44">
        <f t="shared" si="573"/>
        <v>0</v>
      </c>
      <c r="AK1174" s="44">
        <f t="shared" si="591"/>
        <v>0</v>
      </c>
      <c r="AL1174" s="4">
        <f t="shared" si="574"/>
        <v>484</v>
      </c>
      <c r="AM1174" s="82">
        <f t="shared" si="583"/>
        <v>0</v>
      </c>
      <c r="AN1174" s="82">
        <f t="shared" si="575"/>
        <v>0</v>
      </c>
      <c r="AO1174" s="48">
        <v>0</v>
      </c>
      <c r="AP1174" s="91">
        <f t="shared" si="584"/>
        <v>0</v>
      </c>
      <c r="AQ1174" s="91">
        <f t="shared" si="585"/>
        <v>0</v>
      </c>
    </row>
    <row r="1175" spans="1:43">
      <c r="A1175" s="190">
        <f t="shared" si="576"/>
        <v>106.13757700205338</v>
      </c>
      <c r="B1175" s="82">
        <f t="shared" si="577"/>
        <v>41</v>
      </c>
      <c r="C1175" s="83">
        <f t="shared" si="578"/>
        <v>485</v>
      </c>
      <c r="D1175" s="14">
        <f t="shared" si="564"/>
        <v>2.6283369587845051E-3</v>
      </c>
      <c r="E1175" s="16">
        <f t="shared" si="565"/>
        <v>0</v>
      </c>
      <c r="F1175" s="127"/>
      <c r="G1175" s="88">
        <f t="shared" si="566"/>
        <v>0</v>
      </c>
      <c r="H1175" s="89">
        <f t="shared" si="579"/>
        <v>4.1666666666666666E-3</v>
      </c>
      <c r="I1175" s="219"/>
      <c r="J1175" s="219"/>
      <c r="K1175" s="6">
        <f t="shared" si="588"/>
        <v>0</v>
      </c>
      <c r="M1175" s="6">
        <f t="shared" si="567"/>
        <v>0</v>
      </c>
      <c r="N1175" s="6">
        <f t="shared" si="568"/>
        <v>0</v>
      </c>
      <c r="O1175" s="90">
        <f t="shared" si="569"/>
        <v>0</v>
      </c>
      <c r="P1175" s="91">
        <f t="shared" si="570"/>
        <v>0</v>
      </c>
      <c r="Q1175" s="6">
        <f t="shared" si="571"/>
        <v>0</v>
      </c>
      <c r="R1175" s="87">
        <f t="shared" si="590"/>
        <v>0</v>
      </c>
      <c r="S1175" s="6">
        <f t="shared" si="572"/>
        <v>0</v>
      </c>
      <c r="T1175" s="83">
        <f t="shared" si="580"/>
        <v>0</v>
      </c>
      <c r="U1175" s="91">
        <f t="shared" si="586"/>
        <v>0</v>
      </c>
      <c r="V1175" s="91">
        <f t="shared" si="581"/>
        <v>0</v>
      </c>
      <c r="W1175" s="1">
        <f t="shared" si="593"/>
        <v>0</v>
      </c>
      <c r="X1175" s="1">
        <f t="shared" si="593"/>
        <v>0</v>
      </c>
      <c r="Y1175" s="1">
        <f t="shared" si="593"/>
        <v>0</v>
      </c>
      <c r="Z1175" s="1">
        <f t="shared" si="593"/>
        <v>0</v>
      </c>
      <c r="AA1175" s="1">
        <f t="shared" si="593"/>
        <v>0</v>
      </c>
      <c r="AB1175" s="1">
        <f t="shared" si="593"/>
        <v>0</v>
      </c>
      <c r="AC1175" s="1">
        <f t="shared" si="593"/>
        <v>0</v>
      </c>
      <c r="AD1175" s="1">
        <f t="shared" si="593"/>
        <v>0</v>
      </c>
      <c r="AE1175" s="1">
        <f t="shared" si="593"/>
        <v>0</v>
      </c>
      <c r="AF1175" s="1">
        <f t="shared" si="593"/>
        <v>0</v>
      </c>
      <c r="AG1175" s="1">
        <f t="shared" si="593"/>
        <v>0</v>
      </c>
      <c r="AH1175" s="1">
        <f t="shared" si="593"/>
        <v>0</v>
      </c>
      <c r="AI1175" s="44">
        <f t="shared" si="582"/>
        <v>0</v>
      </c>
      <c r="AJ1175" s="44">
        <f t="shared" si="573"/>
        <v>0</v>
      </c>
      <c r="AK1175" s="44">
        <f t="shared" si="591"/>
        <v>0</v>
      </c>
      <c r="AL1175" s="4">
        <f t="shared" si="574"/>
        <v>485</v>
      </c>
      <c r="AM1175" s="82">
        <f t="shared" si="583"/>
        <v>0</v>
      </c>
      <c r="AN1175" s="82">
        <f t="shared" si="575"/>
        <v>0</v>
      </c>
      <c r="AO1175" s="48">
        <v>0</v>
      </c>
      <c r="AP1175" s="91">
        <f t="shared" si="584"/>
        <v>0</v>
      </c>
      <c r="AQ1175" s="91">
        <f t="shared" si="585"/>
        <v>0</v>
      </c>
    </row>
    <row r="1176" spans="1:43">
      <c r="A1176" s="190">
        <f t="shared" si="576"/>
        <v>106.22091033538672</v>
      </c>
      <c r="B1176" s="82">
        <f t="shared" si="577"/>
        <v>41</v>
      </c>
      <c r="C1176" s="83">
        <f t="shared" si="578"/>
        <v>486</v>
      </c>
      <c r="D1176" s="14">
        <f t="shared" si="564"/>
        <v>2.6283369587845051E-3</v>
      </c>
      <c r="E1176" s="16">
        <f t="shared" si="565"/>
        <v>0</v>
      </c>
      <c r="F1176" s="127"/>
      <c r="G1176" s="88">
        <f t="shared" si="566"/>
        <v>0</v>
      </c>
      <c r="H1176" s="89">
        <f t="shared" si="579"/>
        <v>4.1666666666666666E-3</v>
      </c>
      <c r="I1176" s="219"/>
      <c r="J1176" s="219"/>
      <c r="K1176" s="6">
        <f t="shared" si="588"/>
        <v>0</v>
      </c>
      <c r="M1176" s="6">
        <f t="shared" si="567"/>
        <v>0</v>
      </c>
      <c r="N1176" s="6">
        <f t="shared" si="568"/>
        <v>0</v>
      </c>
      <c r="O1176" s="90">
        <f t="shared" si="569"/>
        <v>0</v>
      </c>
      <c r="P1176" s="91">
        <f t="shared" si="570"/>
        <v>0</v>
      </c>
      <c r="Q1176" s="6">
        <f t="shared" si="571"/>
        <v>0</v>
      </c>
      <c r="R1176" s="87">
        <f t="shared" si="590"/>
        <v>0</v>
      </c>
      <c r="S1176" s="6">
        <f t="shared" si="572"/>
        <v>0</v>
      </c>
      <c r="T1176" s="83">
        <f t="shared" si="580"/>
        <v>0</v>
      </c>
      <c r="U1176" s="91">
        <f t="shared" si="586"/>
        <v>0</v>
      </c>
      <c r="V1176" s="91">
        <f t="shared" si="581"/>
        <v>0</v>
      </c>
      <c r="W1176" s="1">
        <f t="shared" si="593"/>
        <v>0</v>
      </c>
      <c r="X1176" s="1">
        <f t="shared" si="593"/>
        <v>0</v>
      </c>
      <c r="Y1176" s="1">
        <f t="shared" si="593"/>
        <v>0</v>
      </c>
      <c r="Z1176" s="1">
        <f t="shared" si="593"/>
        <v>0</v>
      </c>
      <c r="AA1176" s="1">
        <f t="shared" si="593"/>
        <v>0</v>
      </c>
      <c r="AB1176" s="1">
        <f t="shared" si="593"/>
        <v>0</v>
      </c>
      <c r="AC1176" s="1">
        <f t="shared" si="593"/>
        <v>0</v>
      </c>
      <c r="AD1176" s="1">
        <f t="shared" si="593"/>
        <v>0</v>
      </c>
      <c r="AE1176" s="1">
        <f t="shared" si="593"/>
        <v>0</v>
      </c>
      <c r="AF1176" s="1">
        <f t="shared" si="593"/>
        <v>0</v>
      </c>
      <c r="AG1176" s="1">
        <f t="shared" si="593"/>
        <v>0</v>
      </c>
      <c r="AH1176" s="1">
        <f t="shared" si="593"/>
        <v>0</v>
      </c>
      <c r="AI1176" s="44">
        <f t="shared" si="582"/>
        <v>0</v>
      </c>
      <c r="AJ1176" s="44">
        <f t="shared" si="573"/>
        <v>0</v>
      </c>
      <c r="AK1176" s="44">
        <f t="shared" si="591"/>
        <v>0</v>
      </c>
      <c r="AL1176" s="4">
        <f t="shared" si="574"/>
        <v>486</v>
      </c>
      <c r="AM1176" s="82">
        <f t="shared" si="583"/>
        <v>0</v>
      </c>
      <c r="AN1176" s="82">
        <f t="shared" si="575"/>
        <v>0</v>
      </c>
      <c r="AO1176" s="48">
        <v>0</v>
      </c>
      <c r="AP1176" s="91">
        <f t="shared" si="584"/>
        <v>0</v>
      </c>
      <c r="AQ1176" s="91">
        <f t="shared" si="585"/>
        <v>0</v>
      </c>
    </row>
    <row r="1177" spans="1:43">
      <c r="A1177" s="190">
        <f t="shared" si="576"/>
        <v>106.30424366872005</v>
      </c>
      <c r="B1177" s="82">
        <f t="shared" si="577"/>
        <v>41</v>
      </c>
      <c r="C1177" s="83">
        <f t="shared" si="578"/>
        <v>487</v>
      </c>
      <c r="D1177" s="14">
        <f t="shared" si="564"/>
        <v>2.6283369587845051E-3</v>
      </c>
      <c r="E1177" s="16">
        <f t="shared" si="565"/>
        <v>0</v>
      </c>
      <c r="F1177" s="127"/>
      <c r="G1177" s="88">
        <f t="shared" si="566"/>
        <v>0</v>
      </c>
      <c r="H1177" s="89">
        <f t="shared" si="579"/>
        <v>4.1666666666666666E-3</v>
      </c>
      <c r="I1177" s="219"/>
      <c r="J1177" s="219"/>
      <c r="K1177" s="6">
        <f t="shared" si="588"/>
        <v>0</v>
      </c>
      <c r="M1177" s="6">
        <f t="shared" si="567"/>
        <v>0</v>
      </c>
      <c r="N1177" s="6">
        <f t="shared" si="568"/>
        <v>0</v>
      </c>
      <c r="O1177" s="90">
        <f t="shared" si="569"/>
        <v>0</v>
      </c>
      <c r="P1177" s="91">
        <f t="shared" si="570"/>
        <v>0</v>
      </c>
      <c r="Q1177" s="6">
        <f t="shared" si="571"/>
        <v>0</v>
      </c>
      <c r="R1177" s="87">
        <f t="shared" si="590"/>
        <v>0</v>
      </c>
      <c r="S1177" s="6">
        <f t="shared" si="572"/>
        <v>0</v>
      </c>
      <c r="T1177" s="83">
        <f t="shared" si="580"/>
        <v>0</v>
      </c>
      <c r="U1177" s="91">
        <f t="shared" si="586"/>
        <v>0</v>
      </c>
      <c r="V1177" s="91">
        <f t="shared" si="581"/>
        <v>0</v>
      </c>
      <c r="W1177" s="1">
        <f t="shared" si="593"/>
        <v>0</v>
      </c>
      <c r="X1177" s="1">
        <f t="shared" si="593"/>
        <v>0</v>
      </c>
      <c r="Y1177" s="1">
        <f t="shared" si="593"/>
        <v>0</v>
      </c>
      <c r="Z1177" s="1">
        <f t="shared" si="593"/>
        <v>0</v>
      </c>
      <c r="AA1177" s="1">
        <f t="shared" si="593"/>
        <v>0</v>
      </c>
      <c r="AB1177" s="1">
        <f t="shared" si="593"/>
        <v>0</v>
      </c>
      <c r="AC1177" s="1">
        <f t="shared" si="593"/>
        <v>0</v>
      </c>
      <c r="AD1177" s="1">
        <f t="shared" si="593"/>
        <v>0</v>
      </c>
      <c r="AE1177" s="1">
        <f t="shared" si="593"/>
        <v>0</v>
      </c>
      <c r="AF1177" s="1">
        <f t="shared" si="593"/>
        <v>0</v>
      </c>
      <c r="AG1177" s="1">
        <f t="shared" si="593"/>
        <v>0</v>
      </c>
      <c r="AH1177" s="1">
        <f t="shared" si="593"/>
        <v>0</v>
      </c>
      <c r="AI1177" s="44">
        <f t="shared" si="582"/>
        <v>0</v>
      </c>
      <c r="AJ1177" s="44">
        <f t="shared" si="573"/>
        <v>0</v>
      </c>
      <c r="AK1177" s="44">
        <f t="shared" si="591"/>
        <v>0</v>
      </c>
      <c r="AL1177" s="4">
        <f t="shared" si="574"/>
        <v>487</v>
      </c>
      <c r="AM1177" s="82">
        <f t="shared" si="583"/>
        <v>0</v>
      </c>
      <c r="AN1177" s="82">
        <f t="shared" si="575"/>
        <v>0</v>
      </c>
      <c r="AO1177" s="48">
        <v>0</v>
      </c>
      <c r="AP1177" s="91">
        <f t="shared" si="584"/>
        <v>0</v>
      </c>
      <c r="AQ1177" s="91">
        <f t="shared" si="585"/>
        <v>0</v>
      </c>
    </row>
    <row r="1178" spans="1:43">
      <c r="A1178" s="190">
        <f t="shared" si="576"/>
        <v>106.38757700205338</v>
      </c>
      <c r="B1178" s="82">
        <f t="shared" si="577"/>
        <v>41</v>
      </c>
      <c r="C1178" s="83">
        <f t="shared" si="578"/>
        <v>488</v>
      </c>
      <c r="D1178" s="14">
        <f t="shared" si="564"/>
        <v>2.6283369587845051E-3</v>
      </c>
      <c r="E1178" s="16">
        <f t="shared" si="565"/>
        <v>0</v>
      </c>
      <c r="F1178" s="127"/>
      <c r="G1178" s="88">
        <f t="shared" si="566"/>
        <v>0</v>
      </c>
      <c r="H1178" s="89">
        <f t="shared" si="579"/>
        <v>4.1666666666666666E-3</v>
      </c>
      <c r="I1178" s="219"/>
      <c r="J1178" s="219"/>
      <c r="K1178" s="6">
        <f t="shared" si="588"/>
        <v>0</v>
      </c>
      <c r="M1178" s="6">
        <f t="shared" si="567"/>
        <v>0</v>
      </c>
      <c r="N1178" s="6">
        <f t="shared" si="568"/>
        <v>0</v>
      </c>
      <c r="O1178" s="90">
        <f t="shared" si="569"/>
        <v>0</v>
      </c>
      <c r="P1178" s="91">
        <f t="shared" si="570"/>
        <v>0</v>
      </c>
      <c r="Q1178" s="6">
        <f t="shared" si="571"/>
        <v>0</v>
      </c>
      <c r="R1178" s="87">
        <f t="shared" si="590"/>
        <v>0</v>
      </c>
      <c r="S1178" s="6">
        <f t="shared" si="572"/>
        <v>0</v>
      </c>
      <c r="T1178" s="83">
        <f t="shared" si="580"/>
        <v>0</v>
      </c>
      <c r="U1178" s="91">
        <f t="shared" si="586"/>
        <v>0</v>
      </c>
      <c r="V1178" s="91">
        <f t="shared" si="581"/>
        <v>0</v>
      </c>
      <c r="W1178" s="1">
        <f t="shared" si="593"/>
        <v>0</v>
      </c>
      <c r="X1178" s="1">
        <f t="shared" si="593"/>
        <v>0</v>
      </c>
      <c r="Y1178" s="1">
        <f t="shared" si="593"/>
        <v>0</v>
      </c>
      <c r="Z1178" s="1">
        <f t="shared" si="593"/>
        <v>0</v>
      </c>
      <c r="AA1178" s="1">
        <f t="shared" si="593"/>
        <v>0</v>
      </c>
      <c r="AB1178" s="1">
        <f t="shared" si="593"/>
        <v>0</v>
      </c>
      <c r="AC1178" s="1">
        <f t="shared" si="593"/>
        <v>0</v>
      </c>
      <c r="AD1178" s="1">
        <f t="shared" si="593"/>
        <v>0</v>
      </c>
      <c r="AE1178" s="1">
        <f t="shared" si="593"/>
        <v>0</v>
      </c>
      <c r="AF1178" s="1">
        <f t="shared" si="593"/>
        <v>0</v>
      </c>
      <c r="AG1178" s="1">
        <f t="shared" si="593"/>
        <v>0</v>
      </c>
      <c r="AH1178" s="1">
        <f t="shared" si="593"/>
        <v>0</v>
      </c>
      <c r="AI1178" s="44">
        <f t="shared" si="582"/>
        <v>0</v>
      </c>
      <c r="AJ1178" s="44">
        <f t="shared" si="573"/>
        <v>0</v>
      </c>
      <c r="AK1178" s="44">
        <f t="shared" si="591"/>
        <v>0</v>
      </c>
      <c r="AL1178" s="4">
        <f t="shared" si="574"/>
        <v>488</v>
      </c>
      <c r="AM1178" s="82">
        <f t="shared" si="583"/>
        <v>0</v>
      </c>
      <c r="AN1178" s="82">
        <f t="shared" si="575"/>
        <v>0</v>
      </c>
      <c r="AO1178" s="48">
        <v>0</v>
      </c>
      <c r="AP1178" s="91">
        <f t="shared" si="584"/>
        <v>0</v>
      </c>
      <c r="AQ1178" s="91">
        <f t="shared" si="585"/>
        <v>0</v>
      </c>
    </row>
    <row r="1179" spans="1:43">
      <c r="A1179" s="190">
        <f t="shared" si="576"/>
        <v>106.47091033538672</v>
      </c>
      <c r="B1179" s="82">
        <f t="shared" si="577"/>
        <v>41</v>
      </c>
      <c r="C1179" s="83">
        <f t="shared" si="578"/>
        <v>489</v>
      </c>
      <c r="D1179" s="14">
        <f t="shared" si="564"/>
        <v>2.6283369587845051E-3</v>
      </c>
      <c r="E1179" s="16">
        <f t="shared" si="565"/>
        <v>0</v>
      </c>
      <c r="F1179" s="127"/>
      <c r="G1179" s="88">
        <f t="shared" si="566"/>
        <v>0</v>
      </c>
      <c r="H1179" s="89">
        <f t="shared" si="579"/>
        <v>4.1666666666666666E-3</v>
      </c>
      <c r="I1179" s="219"/>
      <c r="J1179" s="219"/>
      <c r="K1179" s="6">
        <f t="shared" si="588"/>
        <v>0</v>
      </c>
      <c r="M1179" s="6">
        <f t="shared" si="567"/>
        <v>0</v>
      </c>
      <c r="N1179" s="6">
        <f t="shared" si="568"/>
        <v>0</v>
      </c>
      <c r="O1179" s="90">
        <f t="shared" si="569"/>
        <v>0</v>
      </c>
      <c r="P1179" s="91">
        <f t="shared" si="570"/>
        <v>0</v>
      </c>
      <c r="Q1179" s="6">
        <f t="shared" si="571"/>
        <v>0</v>
      </c>
      <c r="R1179" s="87">
        <f t="shared" si="590"/>
        <v>0</v>
      </c>
      <c r="S1179" s="6">
        <f t="shared" si="572"/>
        <v>0</v>
      </c>
      <c r="T1179" s="83">
        <f t="shared" si="580"/>
        <v>0</v>
      </c>
      <c r="U1179" s="91">
        <f t="shared" si="586"/>
        <v>0</v>
      </c>
      <c r="V1179" s="91">
        <f t="shared" si="581"/>
        <v>0</v>
      </c>
      <c r="W1179" s="1">
        <f t="shared" si="593"/>
        <v>0</v>
      </c>
      <c r="X1179" s="1">
        <f t="shared" si="593"/>
        <v>0</v>
      </c>
      <c r="Y1179" s="1">
        <f t="shared" si="593"/>
        <v>0</v>
      </c>
      <c r="Z1179" s="1">
        <f t="shared" si="593"/>
        <v>0</v>
      </c>
      <c r="AA1179" s="1">
        <f t="shared" si="593"/>
        <v>0</v>
      </c>
      <c r="AB1179" s="1">
        <f t="shared" si="593"/>
        <v>0</v>
      </c>
      <c r="AC1179" s="1">
        <f t="shared" si="593"/>
        <v>0</v>
      </c>
      <c r="AD1179" s="1">
        <f t="shared" si="593"/>
        <v>0</v>
      </c>
      <c r="AE1179" s="1">
        <f t="shared" si="593"/>
        <v>0</v>
      </c>
      <c r="AF1179" s="1">
        <f t="shared" si="593"/>
        <v>0</v>
      </c>
      <c r="AG1179" s="1">
        <f t="shared" si="593"/>
        <v>0</v>
      </c>
      <c r="AH1179" s="1">
        <f t="shared" si="593"/>
        <v>0</v>
      </c>
      <c r="AI1179" s="44">
        <f t="shared" si="582"/>
        <v>0</v>
      </c>
      <c r="AJ1179" s="44">
        <f t="shared" si="573"/>
        <v>0</v>
      </c>
      <c r="AK1179" s="44">
        <f t="shared" si="591"/>
        <v>0</v>
      </c>
      <c r="AL1179" s="4">
        <f t="shared" si="574"/>
        <v>489</v>
      </c>
      <c r="AM1179" s="82">
        <f t="shared" si="583"/>
        <v>0</v>
      </c>
      <c r="AN1179" s="82">
        <f t="shared" si="575"/>
        <v>0</v>
      </c>
      <c r="AO1179" s="48">
        <v>0</v>
      </c>
      <c r="AP1179" s="91">
        <f t="shared" si="584"/>
        <v>0</v>
      </c>
      <c r="AQ1179" s="91">
        <f t="shared" si="585"/>
        <v>0</v>
      </c>
    </row>
    <row r="1180" spans="1:43">
      <c r="A1180" s="190">
        <f t="shared" si="576"/>
        <v>106.55424366872005</v>
      </c>
      <c r="B1180" s="82">
        <f t="shared" si="577"/>
        <v>41</v>
      </c>
      <c r="C1180" s="83">
        <f t="shared" si="578"/>
        <v>490</v>
      </c>
      <c r="D1180" s="14">
        <f t="shared" si="564"/>
        <v>2.6283369587845051E-3</v>
      </c>
      <c r="E1180" s="16">
        <f t="shared" si="565"/>
        <v>0</v>
      </c>
      <c r="F1180" s="127"/>
      <c r="G1180" s="88">
        <f t="shared" si="566"/>
        <v>0</v>
      </c>
      <c r="H1180" s="89">
        <f t="shared" si="579"/>
        <v>4.1666666666666666E-3</v>
      </c>
      <c r="I1180" s="219"/>
      <c r="J1180" s="219"/>
      <c r="K1180" s="6">
        <f t="shared" si="588"/>
        <v>0</v>
      </c>
      <c r="M1180" s="6">
        <f t="shared" si="567"/>
        <v>0</v>
      </c>
      <c r="N1180" s="6">
        <f t="shared" si="568"/>
        <v>0</v>
      </c>
      <c r="O1180" s="90">
        <f t="shared" si="569"/>
        <v>0</v>
      </c>
      <c r="P1180" s="91">
        <f t="shared" si="570"/>
        <v>0</v>
      </c>
      <c r="Q1180" s="6">
        <f t="shared" si="571"/>
        <v>0</v>
      </c>
      <c r="R1180" s="87">
        <f t="shared" si="590"/>
        <v>0</v>
      </c>
      <c r="S1180" s="6">
        <f t="shared" si="572"/>
        <v>0</v>
      </c>
      <c r="T1180" s="83">
        <f t="shared" si="580"/>
        <v>0</v>
      </c>
      <c r="U1180" s="91">
        <f t="shared" si="586"/>
        <v>0</v>
      </c>
      <c r="V1180" s="91">
        <f t="shared" si="581"/>
        <v>0</v>
      </c>
      <c r="W1180" s="1">
        <f t="shared" si="593"/>
        <v>0</v>
      </c>
      <c r="X1180" s="1">
        <f t="shared" si="593"/>
        <v>0</v>
      </c>
      <c r="Y1180" s="1">
        <f t="shared" si="593"/>
        <v>0</v>
      </c>
      <c r="Z1180" s="1">
        <f t="shared" si="593"/>
        <v>0</v>
      </c>
      <c r="AA1180" s="1">
        <f t="shared" si="593"/>
        <v>0</v>
      </c>
      <c r="AB1180" s="1">
        <f t="shared" si="593"/>
        <v>0</v>
      </c>
      <c r="AC1180" s="1">
        <f t="shared" si="593"/>
        <v>0</v>
      </c>
      <c r="AD1180" s="1">
        <f t="shared" si="593"/>
        <v>0</v>
      </c>
      <c r="AE1180" s="1">
        <f t="shared" si="593"/>
        <v>0</v>
      </c>
      <c r="AF1180" s="1">
        <f t="shared" si="593"/>
        <v>0</v>
      </c>
      <c r="AG1180" s="1">
        <f t="shared" si="593"/>
        <v>0</v>
      </c>
      <c r="AH1180" s="1">
        <f t="shared" si="593"/>
        <v>0</v>
      </c>
      <c r="AI1180" s="44">
        <f t="shared" si="582"/>
        <v>0</v>
      </c>
      <c r="AJ1180" s="44">
        <f t="shared" si="573"/>
        <v>0</v>
      </c>
      <c r="AK1180" s="44">
        <f t="shared" si="591"/>
        <v>0</v>
      </c>
      <c r="AL1180" s="4">
        <f t="shared" si="574"/>
        <v>490</v>
      </c>
      <c r="AM1180" s="82">
        <f t="shared" si="583"/>
        <v>0</v>
      </c>
      <c r="AN1180" s="82">
        <f t="shared" si="575"/>
        <v>0</v>
      </c>
      <c r="AO1180" s="48">
        <v>0</v>
      </c>
      <c r="AP1180" s="91">
        <f t="shared" si="584"/>
        <v>0</v>
      </c>
      <c r="AQ1180" s="91">
        <f t="shared" si="585"/>
        <v>0</v>
      </c>
    </row>
    <row r="1181" spans="1:43">
      <c r="A1181" s="190">
        <f t="shared" si="576"/>
        <v>106.63757700205338</v>
      </c>
      <c r="B1181" s="82">
        <f t="shared" si="577"/>
        <v>41</v>
      </c>
      <c r="C1181" s="83">
        <f t="shared" si="578"/>
        <v>491</v>
      </c>
      <c r="D1181" s="14">
        <f t="shared" si="564"/>
        <v>2.6283369587845051E-3</v>
      </c>
      <c r="E1181" s="16">
        <f t="shared" si="565"/>
        <v>0</v>
      </c>
      <c r="F1181" s="127"/>
      <c r="G1181" s="88">
        <f t="shared" si="566"/>
        <v>0</v>
      </c>
      <c r="H1181" s="89">
        <f t="shared" si="579"/>
        <v>4.1666666666666666E-3</v>
      </c>
      <c r="I1181" s="219"/>
      <c r="J1181" s="219"/>
      <c r="K1181" s="6">
        <f t="shared" si="588"/>
        <v>0</v>
      </c>
      <c r="M1181" s="6">
        <f t="shared" si="567"/>
        <v>0</v>
      </c>
      <c r="N1181" s="6">
        <f t="shared" si="568"/>
        <v>0</v>
      </c>
      <c r="O1181" s="90">
        <f t="shared" si="569"/>
        <v>0</v>
      </c>
      <c r="P1181" s="91">
        <f t="shared" si="570"/>
        <v>0</v>
      </c>
      <c r="Q1181" s="6">
        <f t="shared" si="571"/>
        <v>0</v>
      </c>
      <c r="R1181" s="87">
        <f t="shared" si="590"/>
        <v>0</v>
      </c>
      <c r="S1181" s="6">
        <f t="shared" si="572"/>
        <v>0</v>
      </c>
      <c r="T1181" s="83">
        <f t="shared" si="580"/>
        <v>0</v>
      </c>
      <c r="U1181" s="91">
        <f t="shared" si="586"/>
        <v>0</v>
      </c>
      <c r="V1181" s="91">
        <f t="shared" si="581"/>
        <v>0</v>
      </c>
      <c r="W1181" s="1">
        <f t="shared" ref="W1181:AH1190" si="594">IF($B1181&lt;=W$78,1,0)</f>
        <v>0</v>
      </c>
      <c r="X1181" s="1">
        <f t="shared" si="594"/>
        <v>0</v>
      </c>
      <c r="Y1181" s="1">
        <f t="shared" si="594"/>
        <v>0</v>
      </c>
      <c r="Z1181" s="1">
        <f t="shared" si="594"/>
        <v>0</v>
      </c>
      <c r="AA1181" s="1">
        <f t="shared" si="594"/>
        <v>0</v>
      </c>
      <c r="AB1181" s="1">
        <f t="shared" si="594"/>
        <v>0</v>
      </c>
      <c r="AC1181" s="1">
        <f t="shared" si="594"/>
        <v>0</v>
      </c>
      <c r="AD1181" s="1">
        <f t="shared" si="594"/>
        <v>0</v>
      </c>
      <c r="AE1181" s="1">
        <f t="shared" si="594"/>
        <v>0</v>
      </c>
      <c r="AF1181" s="1">
        <f t="shared" si="594"/>
        <v>0</v>
      </c>
      <c r="AG1181" s="1">
        <f t="shared" si="594"/>
        <v>0</v>
      </c>
      <c r="AH1181" s="1">
        <f t="shared" si="594"/>
        <v>0</v>
      </c>
      <c r="AI1181" s="44">
        <f t="shared" si="582"/>
        <v>0</v>
      </c>
      <c r="AJ1181" s="44">
        <f t="shared" si="573"/>
        <v>0</v>
      </c>
      <c r="AK1181" s="44">
        <f t="shared" si="591"/>
        <v>0</v>
      </c>
      <c r="AL1181" s="4">
        <f t="shared" si="574"/>
        <v>491</v>
      </c>
      <c r="AM1181" s="82">
        <f t="shared" si="583"/>
        <v>0</v>
      </c>
      <c r="AN1181" s="82">
        <f t="shared" si="575"/>
        <v>0</v>
      </c>
      <c r="AO1181" s="48">
        <v>0</v>
      </c>
      <c r="AP1181" s="91">
        <f t="shared" si="584"/>
        <v>0</v>
      </c>
      <c r="AQ1181" s="91">
        <f t="shared" si="585"/>
        <v>0</v>
      </c>
    </row>
    <row r="1182" spans="1:43">
      <c r="A1182" s="190">
        <f t="shared" si="576"/>
        <v>106.72091033538672</v>
      </c>
      <c r="B1182" s="82">
        <f t="shared" si="577"/>
        <v>41</v>
      </c>
      <c r="C1182" s="83">
        <f t="shared" si="578"/>
        <v>492</v>
      </c>
      <c r="D1182" s="14">
        <f t="shared" si="564"/>
        <v>2.6283369587845051E-3</v>
      </c>
      <c r="E1182" s="16">
        <f t="shared" si="565"/>
        <v>0</v>
      </c>
      <c r="F1182" s="127"/>
      <c r="G1182" s="88">
        <f t="shared" si="566"/>
        <v>0</v>
      </c>
      <c r="H1182" s="89">
        <f t="shared" si="579"/>
        <v>4.1666666666666666E-3</v>
      </c>
      <c r="I1182" s="219"/>
      <c r="J1182" s="219"/>
      <c r="K1182" s="6">
        <f t="shared" si="588"/>
        <v>0</v>
      </c>
      <c r="M1182" s="6">
        <f t="shared" si="567"/>
        <v>0</v>
      </c>
      <c r="N1182" s="6">
        <f t="shared" si="568"/>
        <v>0</v>
      </c>
      <c r="O1182" s="90">
        <f t="shared" si="569"/>
        <v>0</v>
      </c>
      <c r="P1182" s="91">
        <f t="shared" si="570"/>
        <v>0</v>
      </c>
      <c r="Q1182" s="6">
        <f t="shared" si="571"/>
        <v>0</v>
      </c>
      <c r="R1182" s="87">
        <f t="shared" si="590"/>
        <v>0</v>
      </c>
      <c r="S1182" s="6">
        <f t="shared" si="572"/>
        <v>0</v>
      </c>
      <c r="T1182" s="83">
        <f t="shared" si="580"/>
        <v>0</v>
      </c>
      <c r="U1182" s="91">
        <f t="shared" si="586"/>
        <v>0</v>
      </c>
      <c r="V1182" s="91">
        <f t="shared" si="581"/>
        <v>0</v>
      </c>
      <c r="W1182" s="1">
        <f t="shared" si="594"/>
        <v>0</v>
      </c>
      <c r="X1182" s="1">
        <f t="shared" si="594"/>
        <v>0</v>
      </c>
      <c r="Y1182" s="1">
        <f t="shared" si="594"/>
        <v>0</v>
      </c>
      <c r="Z1182" s="1">
        <f t="shared" si="594"/>
        <v>0</v>
      </c>
      <c r="AA1182" s="1">
        <f t="shared" si="594"/>
        <v>0</v>
      </c>
      <c r="AB1182" s="1">
        <f t="shared" si="594"/>
        <v>0</v>
      </c>
      <c r="AC1182" s="1">
        <f t="shared" si="594"/>
        <v>0</v>
      </c>
      <c r="AD1182" s="1">
        <f t="shared" si="594"/>
        <v>0</v>
      </c>
      <c r="AE1182" s="1">
        <f t="shared" si="594"/>
        <v>0</v>
      </c>
      <c r="AF1182" s="1">
        <f t="shared" si="594"/>
        <v>0</v>
      </c>
      <c r="AG1182" s="1">
        <f t="shared" si="594"/>
        <v>0</v>
      </c>
      <c r="AH1182" s="1">
        <f t="shared" si="594"/>
        <v>0</v>
      </c>
      <c r="AI1182" s="44">
        <f t="shared" si="582"/>
        <v>0</v>
      </c>
      <c r="AJ1182" s="44">
        <f t="shared" si="573"/>
        <v>0</v>
      </c>
      <c r="AK1182" s="44">
        <f t="shared" si="591"/>
        <v>0</v>
      </c>
      <c r="AL1182" s="4">
        <f t="shared" si="574"/>
        <v>492</v>
      </c>
      <c r="AM1182" s="82">
        <f t="shared" si="583"/>
        <v>0</v>
      </c>
      <c r="AN1182" s="82">
        <f t="shared" si="575"/>
        <v>0</v>
      </c>
      <c r="AO1182" s="48">
        <v>0</v>
      </c>
      <c r="AP1182" s="91">
        <f t="shared" si="584"/>
        <v>0</v>
      </c>
      <c r="AQ1182" s="91">
        <f t="shared" si="585"/>
        <v>0</v>
      </c>
    </row>
    <row r="1183" spans="1:43">
      <c r="A1183" s="190">
        <f t="shared" si="576"/>
        <v>106.80424366872005</v>
      </c>
      <c r="B1183" s="82">
        <f t="shared" si="577"/>
        <v>42</v>
      </c>
      <c r="C1183" s="83">
        <f t="shared" si="578"/>
        <v>493</v>
      </c>
      <c r="D1183" s="14">
        <f t="shared" si="564"/>
        <v>2.6283369587845051E-3</v>
      </c>
      <c r="E1183" s="16">
        <f t="shared" si="565"/>
        <v>0</v>
      </c>
      <c r="F1183" s="127"/>
      <c r="G1183" s="88">
        <f t="shared" si="566"/>
        <v>0</v>
      </c>
      <c r="H1183" s="89">
        <f t="shared" si="579"/>
        <v>4.1666666666666666E-3</v>
      </c>
      <c r="I1183" s="219"/>
      <c r="J1183" s="219"/>
      <c r="K1183" s="6">
        <f t="shared" si="588"/>
        <v>0</v>
      </c>
      <c r="M1183" s="6">
        <f t="shared" si="567"/>
        <v>0</v>
      </c>
      <c r="N1183" s="6">
        <f t="shared" si="568"/>
        <v>0</v>
      </c>
      <c r="O1183" s="90">
        <f t="shared" si="569"/>
        <v>0</v>
      </c>
      <c r="P1183" s="91">
        <f t="shared" si="570"/>
        <v>0</v>
      </c>
      <c r="Q1183" s="6">
        <f t="shared" si="571"/>
        <v>0</v>
      </c>
      <c r="R1183" s="87">
        <f t="shared" si="590"/>
        <v>0</v>
      </c>
      <c r="S1183" s="6">
        <f t="shared" si="572"/>
        <v>0</v>
      </c>
      <c r="T1183" s="83">
        <f t="shared" si="580"/>
        <v>0</v>
      </c>
      <c r="U1183" s="91">
        <f t="shared" si="586"/>
        <v>0</v>
      </c>
      <c r="V1183" s="91">
        <f t="shared" si="581"/>
        <v>0</v>
      </c>
      <c r="W1183" s="1">
        <f t="shared" si="594"/>
        <v>0</v>
      </c>
      <c r="X1183" s="1">
        <f t="shared" si="594"/>
        <v>0</v>
      </c>
      <c r="Y1183" s="1">
        <f t="shared" si="594"/>
        <v>0</v>
      </c>
      <c r="Z1183" s="1">
        <f t="shared" si="594"/>
        <v>0</v>
      </c>
      <c r="AA1183" s="1">
        <f t="shared" si="594"/>
        <v>0</v>
      </c>
      <c r="AB1183" s="1">
        <f t="shared" si="594"/>
        <v>0</v>
      </c>
      <c r="AC1183" s="1">
        <f t="shared" si="594"/>
        <v>0</v>
      </c>
      <c r="AD1183" s="1">
        <f t="shared" si="594"/>
        <v>0</v>
      </c>
      <c r="AE1183" s="1">
        <f t="shared" si="594"/>
        <v>0</v>
      </c>
      <c r="AF1183" s="1">
        <f t="shared" si="594"/>
        <v>0</v>
      </c>
      <c r="AG1183" s="1">
        <f t="shared" si="594"/>
        <v>0</v>
      </c>
      <c r="AH1183" s="1">
        <f t="shared" si="594"/>
        <v>0</v>
      </c>
      <c r="AI1183" s="44">
        <f t="shared" si="582"/>
        <v>0</v>
      </c>
      <c r="AJ1183" s="44">
        <f t="shared" si="573"/>
        <v>0</v>
      </c>
      <c r="AK1183" s="44">
        <f t="shared" si="591"/>
        <v>0</v>
      </c>
      <c r="AL1183" s="4">
        <f t="shared" si="574"/>
        <v>493</v>
      </c>
      <c r="AM1183" s="82">
        <f t="shared" si="583"/>
        <v>0</v>
      </c>
      <c r="AN1183" s="82">
        <f t="shared" si="575"/>
        <v>0</v>
      </c>
      <c r="AO1183" s="48">
        <v>0</v>
      </c>
      <c r="AP1183" s="91">
        <f t="shared" si="584"/>
        <v>0</v>
      </c>
      <c r="AQ1183" s="91">
        <f t="shared" si="585"/>
        <v>0</v>
      </c>
    </row>
    <row r="1184" spans="1:43">
      <c r="A1184" s="190">
        <f t="shared" si="576"/>
        <v>106.88757700205338</v>
      </c>
      <c r="B1184" s="82">
        <f t="shared" si="577"/>
        <v>42</v>
      </c>
      <c r="C1184" s="83">
        <f t="shared" si="578"/>
        <v>494</v>
      </c>
      <c r="D1184" s="14">
        <f t="shared" si="564"/>
        <v>2.6283369587845051E-3</v>
      </c>
      <c r="E1184" s="16">
        <f t="shared" si="565"/>
        <v>0</v>
      </c>
      <c r="F1184" s="127"/>
      <c r="G1184" s="88">
        <f t="shared" si="566"/>
        <v>0</v>
      </c>
      <c r="H1184" s="89">
        <f t="shared" si="579"/>
        <v>4.1666666666666666E-3</v>
      </c>
      <c r="I1184" s="219"/>
      <c r="J1184" s="219"/>
      <c r="K1184" s="6">
        <f t="shared" si="588"/>
        <v>0</v>
      </c>
      <c r="M1184" s="6">
        <f t="shared" si="567"/>
        <v>0</v>
      </c>
      <c r="N1184" s="6">
        <f t="shared" si="568"/>
        <v>0</v>
      </c>
      <c r="O1184" s="90">
        <f t="shared" si="569"/>
        <v>0</v>
      </c>
      <c r="P1184" s="91">
        <f t="shared" si="570"/>
        <v>0</v>
      </c>
      <c r="Q1184" s="6">
        <f t="shared" si="571"/>
        <v>0</v>
      </c>
      <c r="R1184" s="87">
        <f t="shared" si="590"/>
        <v>0</v>
      </c>
      <c r="S1184" s="6">
        <f t="shared" si="572"/>
        <v>0</v>
      </c>
      <c r="T1184" s="83">
        <f t="shared" si="580"/>
        <v>0</v>
      </c>
      <c r="U1184" s="91">
        <f t="shared" si="586"/>
        <v>0</v>
      </c>
      <c r="V1184" s="91">
        <f t="shared" si="581"/>
        <v>0</v>
      </c>
      <c r="W1184" s="1">
        <f t="shared" si="594"/>
        <v>0</v>
      </c>
      <c r="X1184" s="1">
        <f t="shared" si="594"/>
        <v>0</v>
      </c>
      <c r="Y1184" s="1">
        <f t="shared" si="594"/>
        <v>0</v>
      </c>
      <c r="Z1184" s="1">
        <f t="shared" si="594"/>
        <v>0</v>
      </c>
      <c r="AA1184" s="1">
        <f t="shared" si="594"/>
        <v>0</v>
      </c>
      <c r="AB1184" s="1">
        <f t="shared" si="594"/>
        <v>0</v>
      </c>
      <c r="AC1184" s="1">
        <f t="shared" si="594"/>
        <v>0</v>
      </c>
      <c r="AD1184" s="1">
        <f t="shared" si="594"/>
        <v>0</v>
      </c>
      <c r="AE1184" s="1">
        <f t="shared" si="594"/>
        <v>0</v>
      </c>
      <c r="AF1184" s="1">
        <f t="shared" si="594"/>
        <v>0</v>
      </c>
      <c r="AG1184" s="1">
        <f t="shared" si="594"/>
        <v>0</v>
      </c>
      <c r="AH1184" s="1">
        <f t="shared" si="594"/>
        <v>0</v>
      </c>
      <c r="AI1184" s="44">
        <f t="shared" si="582"/>
        <v>0</v>
      </c>
      <c r="AJ1184" s="44">
        <f t="shared" si="573"/>
        <v>0</v>
      </c>
      <c r="AK1184" s="44">
        <f t="shared" si="591"/>
        <v>0</v>
      </c>
      <c r="AL1184" s="4">
        <f t="shared" si="574"/>
        <v>494</v>
      </c>
      <c r="AM1184" s="82">
        <f t="shared" si="583"/>
        <v>0</v>
      </c>
      <c r="AN1184" s="82">
        <f t="shared" si="575"/>
        <v>0</v>
      </c>
      <c r="AO1184" s="48">
        <v>0</v>
      </c>
      <c r="AP1184" s="91">
        <f t="shared" si="584"/>
        <v>0</v>
      </c>
      <c r="AQ1184" s="91">
        <f t="shared" si="585"/>
        <v>0</v>
      </c>
    </row>
    <row r="1185" spans="1:43">
      <c r="A1185" s="190">
        <f t="shared" si="576"/>
        <v>106.97091033538672</v>
      </c>
      <c r="B1185" s="82">
        <f t="shared" si="577"/>
        <v>42</v>
      </c>
      <c r="C1185" s="83">
        <f t="shared" si="578"/>
        <v>495</v>
      </c>
      <c r="D1185" s="14">
        <f t="shared" si="564"/>
        <v>2.6283369587845051E-3</v>
      </c>
      <c r="E1185" s="16">
        <f t="shared" si="565"/>
        <v>0</v>
      </c>
      <c r="F1185" s="127"/>
      <c r="G1185" s="88">
        <f t="shared" si="566"/>
        <v>0</v>
      </c>
      <c r="H1185" s="89">
        <f t="shared" si="579"/>
        <v>4.1666666666666666E-3</v>
      </c>
      <c r="I1185" s="219"/>
      <c r="J1185" s="219"/>
      <c r="K1185" s="6">
        <f t="shared" si="588"/>
        <v>0</v>
      </c>
      <c r="M1185" s="6">
        <f t="shared" si="567"/>
        <v>0</v>
      </c>
      <c r="N1185" s="6">
        <f t="shared" si="568"/>
        <v>0</v>
      </c>
      <c r="O1185" s="90">
        <f t="shared" si="569"/>
        <v>0</v>
      </c>
      <c r="P1185" s="91">
        <f t="shared" si="570"/>
        <v>0</v>
      </c>
      <c r="Q1185" s="6">
        <f t="shared" si="571"/>
        <v>0</v>
      </c>
      <c r="R1185" s="87">
        <f t="shared" si="590"/>
        <v>0</v>
      </c>
      <c r="S1185" s="6">
        <f t="shared" si="572"/>
        <v>0</v>
      </c>
      <c r="T1185" s="83">
        <f t="shared" si="580"/>
        <v>0</v>
      </c>
      <c r="U1185" s="91">
        <f t="shared" si="586"/>
        <v>0</v>
      </c>
      <c r="V1185" s="91">
        <f t="shared" si="581"/>
        <v>0</v>
      </c>
      <c r="W1185" s="1">
        <f t="shared" si="594"/>
        <v>0</v>
      </c>
      <c r="X1185" s="1">
        <f t="shared" si="594"/>
        <v>0</v>
      </c>
      <c r="Y1185" s="1">
        <f t="shared" si="594"/>
        <v>0</v>
      </c>
      <c r="Z1185" s="1">
        <f t="shared" si="594"/>
        <v>0</v>
      </c>
      <c r="AA1185" s="1">
        <f t="shared" si="594"/>
        <v>0</v>
      </c>
      <c r="AB1185" s="1">
        <f t="shared" si="594"/>
        <v>0</v>
      </c>
      <c r="AC1185" s="1">
        <f t="shared" si="594"/>
        <v>0</v>
      </c>
      <c r="AD1185" s="1">
        <f t="shared" si="594"/>
        <v>0</v>
      </c>
      <c r="AE1185" s="1">
        <f t="shared" si="594"/>
        <v>0</v>
      </c>
      <c r="AF1185" s="1">
        <f t="shared" si="594"/>
        <v>0</v>
      </c>
      <c r="AG1185" s="1">
        <f t="shared" si="594"/>
        <v>0</v>
      </c>
      <c r="AH1185" s="1">
        <f t="shared" si="594"/>
        <v>0</v>
      </c>
      <c r="AI1185" s="44">
        <f t="shared" si="582"/>
        <v>0</v>
      </c>
      <c r="AJ1185" s="44">
        <f t="shared" si="573"/>
        <v>0</v>
      </c>
      <c r="AK1185" s="44">
        <f t="shared" si="591"/>
        <v>0</v>
      </c>
      <c r="AL1185" s="4">
        <f t="shared" si="574"/>
        <v>495</v>
      </c>
      <c r="AM1185" s="82">
        <f t="shared" si="583"/>
        <v>0</v>
      </c>
      <c r="AN1185" s="82">
        <f t="shared" si="575"/>
        <v>0</v>
      </c>
      <c r="AO1185" s="48">
        <v>0</v>
      </c>
      <c r="AP1185" s="91">
        <f t="shared" si="584"/>
        <v>0</v>
      </c>
      <c r="AQ1185" s="91">
        <f t="shared" si="585"/>
        <v>0</v>
      </c>
    </row>
    <row r="1186" spans="1:43">
      <c r="A1186" s="190">
        <f t="shared" si="576"/>
        <v>107.05424366872005</v>
      </c>
      <c r="B1186" s="82">
        <f t="shared" si="577"/>
        <v>42</v>
      </c>
      <c r="C1186" s="83">
        <f t="shared" si="578"/>
        <v>496</v>
      </c>
      <c r="D1186" s="14">
        <f t="shared" si="564"/>
        <v>2.6283369587845051E-3</v>
      </c>
      <c r="E1186" s="16">
        <f t="shared" si="565"/>
        <v>0</v>
      </c>
      <c r="F1186" s="127"/>
      <c r="G1186" s="88">
        <f t="shared" si="566"/>
        <v>0</v>
      </c>
      <c r="H1186" s="89">
        <f t="shared" si="579"/>
        <v>4.1666666666666666E-3</v>
      </c>
      <c r="I1186" s="219"/>
      <c r="J1186" s="219"/>
      <c r="K1186" s="6">
        <f t="shared" si="588"/>
        <v>0</v>
      </c>
      <c r="M1186" s="6">
        <f t="shared" si="567"/>
        <v>0</v>
      </c>
      <c r="N1186" s="6">
        <f t="shared" si="568"/>
        <v>0</v>
      </c>
      <c r="O1186" s="90">
        <f t="shared" si="569"/>
        <v>0</v>
      </c>
      <c r="P1186" s="91">
        <f t="shared" si="570"/>
        <v>0</v>
      </c>
      <c r="Q1186" s="6">
        <f t="shared" si="571"/>
        <v>0</v>
      </c>
      <c r="R1186" s="87">
        <f t="shared" si="590"/>
        <v>0</v>
      </c>
      <c r="S1186" s="6">
        <f t="shared" si="572"/>
        <v>0</v>
      </c>
      <c r="T1186" s="83">
        <f t="shared" si="580"/>
        <v>0</v>
      </c>
      <c r="U1186" s="91">
        <f t="shared" si="586"/>
        <v>0</v>
      </c>
      <c r="V1186" s="91">
        <f t="shared" si="581"/>
        <v>0</v>
      </c>
      <c r="W1186" s="1">
        <f t="shared" si="594"/>
        <v>0</v>
      </c>
      <c r="X1186" s="1">
        <f t="shared" si="594"/>
        <v>0</v>
      </c>
      <c r="Y1186" s="1">
        <f t="shared" si="594"/>
        <v>0</v>
      </c>
      <c r="Z1186" s="1">
        <f t="shared" si="594"/>
        <v>0</v>
      </c>
      <c r="AA1186" s="1">
        <f t="shared" si="594"/>
        <v>0</v>
      </c>
      <c r="AB1186" s="1">
        <f t="shared" si="594"/>
        <v>0</v>
      </c>
      <c r="AC1186" s="1">
        <f t="shared" si="594"/>
        <v>0</v>
      </c>
      <c r="AD1186" s="1">
        <f t="shared" si="594"/>
        <v>0</v>
      </c>
      <c r="AE1186" s="1">
        <f t="shared" si="594"/>
        <v>0</v>
      </c>
      <c r="AF1186" s="1">
        <f t="shared" si="594"/>
        <v>0</v>
      </c>
      <c r="AG1186" s="1">
        <f t="shared" si="594"/>
        <v>0</v>
      </c>
      <c r="AH1186" s="1">
        <f t="shared" si="594"/>
        <v>0</v>
      </c>
      <c r="AI1186" s="44">
        <f t="shared" si="582"/>
        <v>0</v>
      </c>
      <c r="AJ1186" s="44">
        <f t="shared" si="573"/>
        <v>0</v>
      </c>
      <c r="AK1186" s="44">
        <f t="shared" si="591"/>
        <v>0</v>
      </c>
      <c r="AL1186" s="4">
        <f t="shared" si="574"/>
        <v>496</v>
      </c>
      <c r="AM1186" s="82">
        <f t="shared" si="583"/>
        <v>0</v>
      </c>
      <c r="AN1186" s="82">
        <f t="shared" si="575"/>
        <v>0</v>
      </c>
      <c r="AO1186" s="48">
        <v>0</v>
      </c>
      <c r="AP1186" s="91">
        <f t="shared" si="584"/>
        <v>0</v>
      </c>
      <c r="AQ1186" s="91">
        <f t="shared" si="585"/>
        <v>0</v>
      </c>
    </row>
    <row r="1187" spans="1:43">
      <c r="A1187" s="190">
        <f t="shared" si="576"/>
        <v>107.13757700205338</v>
      </c>
      <c r="B1187" s="82">
        <f t="shared" si="577"/>
        <v>42</v>
      </c>
      <c r="C1187" s="83">
        <f t="shared" si="578"/>
        <v>497</v>
      </c>
      <c r="D1187" s="14">
        <f t="shared" si="564"/>
        <v>2.6283369587845051E-3</v>
      </c>
      <c r="E1187" s="16">
        <f t="shared" si="565"/>
        <v>0</v>
      </c>
      <c r="F1187" s="127"/>
      <c r="G1187" s="88">
        <f t="shared" si="566"/>
        <v>0</v>
      </c>
      <c r="H1187" s="89">
        <f t="shared" si="579"/>
        <v>4.1666666666666666E-3</v>
      </c>
      <c r="I1187" s="219"/>
      <c r="J1187" s="219"/>
      <c r="K1187" s="6">
        <f t="shared" si="588"/>
        <v>0</v>
      </c>
      <c r="M1187" s="6">
        <f t="shared" si="567"/>
        <v>0</v>
      </c>
      <c r="N1187" s="6">
        <f t="shared" si="568"/>
        <v>0</v>
      </c>
      <c r="O1187" s="90">
        <f t="shared" si="569"/>
        <v>0</v>
      </c>
      <c r="P1187" s="91">
        <f t="shared" si="570"/>
        <v>0</v>
      </c>
      <c r="Q1187" s="6">
        <f t="shared" si="571"/>
        <v>0</v>
      </c>
      <c r="R1187" s="87">
        <f t="shared" si="590"/>
        <v>0</v>
      </c>
      <c r="S1187" s="6">
        <f t="shared" si="572"/>
        <v>0</v>
      </c>
      <c r="T1187" s="83">
        <f t="shared" si="580"/>
        <v>0</v>
      </c>
      <c r="U1187" s="91">
        <f t="shared" si="586"/>
        <v>0</v>
      </c>
      <c r="V1187" s="91">
        <f t="shared" si="581"/>
        <v>0</v>
      </c>
      <c r="W1187" s="1">
        <f t="shared" si="594"/>
        <v>0</v>
      </c>
      <c r="X1187" s="1">
        <f t="shared" si="594"/>
        <v>0</v>
      </c>
      <c r="Y1187" s="1">
        <f t="shared" si="594"/>
        <v>0</v>
      </c>
      <c r="Z1187" s="1">
        <f t="shared" si="594"/>
        <v>0</v>
      </c>
      <c r="AA1187" s="1">
        <f t="shared" si="594"/>
        <v>0</v>
      </c>
      <c r="AB1187" s="1">
        <f t="shared" si="594"/>
        <v>0</v>
      </c>
      <c r="AC1187" s="1">
        <f t="shared" si="594"/>
        <v>0</v>
      </c>
      <c r="AD1187" s="1">
        <f t="shared" si="594"/>
        <v>0</v>
      </c>
      <c r="AE1187" s="1">
        <f t="shared" si="594"/>
        <v>0</v>
      </c>
      <c r="AF1187" s="1">
        <f t="shared" si="594"/>
        <v>0</v>
      </c>
      <c r="AG1187" s="1">
        <f t="shared" si="594"/>
        <v>0</v>
      </c>
      <c r="AH1187" s="1">
        <f t="shared" si="594"/>
        <v>0</v>
      </c>
      <c r="AI1187" s="44">
        <f t="shared" si="582"/>
        <v>0</v>
      </c>
      <c r="AJ1187" s="44">
        <f t="shared" si="573"/>
        <v>0</v>
      </c>
      <c r="AK1187" s="44">
        <f t="shared" si="591"/>
        <v>0</v>
      </c>
      <c r="AL1187" s="4">
        <f t="shared" si="574"/>
        <v>497</v>
      </c>
      <c r="AM1187" s="82">
        <f t="shared" si="583"/>
        <v>0</v>
      </c>
      <c r="AN1187" s="82">
        <f t="shared" si="575"/>
        <v>0</v>
      </c>
      <c r="AO1187" s="48">
        <v>0</v>
      </c>
      <c r="AP1187" s="91">
        <f t="shared" si="584"/>
        <v>0</v>
      </c>
      <c r="AQ1187" s="91">
        <f t="shared" si="585"/>
        <v>0</v>
      </c>
    </row>
    <row r="1188" spans="1:43">
      <c r="A1188" s="190">
        <f t="shared" si="576"/>
        <v>107.22091033538672</v>
      </c>
      <c r="B1188" s="82">
        <f t="shared" si="577"/>
        <v>42</v>
      </c>
      <c r="C1188" s="83">
        <f t="shared" si="578"/>
        <v>498</v>
      </c>
      <c r="D1188" s="14">
        <f t="shared" si="564"/>
        <v>2.6283369587845051E-3</v>
      </c>
      <c r="E1188" s="16">
        <f t="shared" si="565"/>
        <v>0</v>
      </c>
      <c r="F1188" s="127"/>
      <c r="G1188" s="88">
        <f t="shared" si="566"/>
        <v>0</v>
      </c>
      <c r="H1188" s="89">
        <f t="shared" si="579"/>
        <v>4.1666666666666666E-3</v>
      </c>
      <c r="I1188" s="219"/>
      <c r="J1188" s="219"/>
      <c r="K1188" s="6">
        <f t="shared" si="588"/>
        <v>0</v>
      </c>
      <c r="M1188" s="6">
        <f t="shared" si="567"/>
        <v>0</v>
      </c>
      <c r="N1188" s="6">
        <f t="shared" si="568"/>
        <v>0</v>
      </c>
      <c r="O1188" s="90">
        <f t="shared" si="569"/>
        <v>0</v>
      </c>
      <c r="P1188" s="91">
        <f t="shared" si="570"/>
        <v>0</v>
      </c>
      <c r="Q1188" s="6">
        <f t="shared" si="571"/>
        <v>0</v>
      </c>
      <c r="R1188" s="87">
        <f t="shared" si="590"/>
        <v>0</v>
      </c>
      <c r="S1188" s="6">
        <f t="shared" si="572"/>
        <v>0</v>
      </c>
      <c r="T1188" s="83">
        <f t="shared" si="580"/>
        <v>0</v>
      </c>
      <c r="U1188" s="91">
        <f t="shared" si="586"/>
        <v>0</v>
      </c>
      <c r="V1188" s="91">
        <f t="shared" si="581"/>
        <v>0</v>
      </c>
      <c r="W1188" s="1">
        <f t="shared" si="594"/>
        <v>0</v>
      </c>
      <c r="X1188" s="1">
        <f t="shared" si="594"/>
        <v>0</v>
      </c>
      <c r="Y1188" s="1">
        <f t="shared" si="594"/>
        <v>0</v>
      </c>
      <c r="Z1188" s="1">
        <f t="shared" si="594"/>
        <v>0</v>
      </c>
      <c r="AA1188" s="1">
        <f t="shared" si="594"/>
        <v>0</v>
      </c>
      <c r="AB1188" s="1">
        <f t="shared" si="594"/>
        <v>0</v>
      </c>
      <c r="AC1188" s="1">
        <f t="shared" si="594"/>
        <v>0</v>
      </c>
      <c r="AD1188" s="1">
        <f t="shared" si="594"/>
        <v>0</v>
      </c>
      <c r="AE1188" s="1">
        <f t="shared" si="594"/>
        <v>0</v>
      </c>
      <c r="AF1188" s="1">
        <f t="shared" si="594"/>
        <v>0</v>
      </c>
      <c r="AG1188" s="1">
        <f t="shared" si="594"/>
        <v>0</v>
      </c>
      <c r="AH1188" s="1">
        <f t="shared" si="594"/>
        <v>0</v>
      </c>
      <c r="AI1188" s="44">
        <f t="shared" si="582"/>
        <v>0</v>
      </c>
      <c r="AJ1188" s="44">
        <f t="shared" si="573"/>
        <v>0</v>
      </c>
      <c r="AK1188" s="44">
        <f t="shared" si="591"/>
        <v>0</v>
      </c>
      <c r="AL1188" s="4">
        <f t="shared" si="574"/>
        <v>498</v>
      </c>
      <c r="AM1188" s="82">
        <f t="shared" si="583"/>
        <v>0</v>
      </c>
      <c r="AN1188" s="82">
        <f t="shared" si="575"/>
        <v>0</v>
      </c>
      <c r="AO1188" s="48">
        <v>0</v>
      </c>
      <c r="AP1188" s="91">
        <f t="shared" si="584"/>
        <v>0</v>
      </c>
      <c r="AQ1188" s="91">
        <f t="shared" si="585"/>
        <v>0</v>
      </c>
    </row>
    <row r="1189" spans="1:43">
      <c r="A1189" s="190">
        <f t="shared" si="576"/>
        <v>107.30424366872005</v>
      </c>
      <c r="B1189" s="82">
        <f t="shared" si="577"/>
        <v>42</v>
      </c>
      <c r="C1189" s="83">
        <f t="shared" si="578"/>
        <v>499</v>
      </c>
      <c r="D1189" s="14">
        <f t="shared" si="564"/>
        <v>2.6283369587845051E-3</v>
      </c>
      <c r="E1189" s="16">
        <f t="shared" si="565"/>
        <v>0</v>
      </c>
      <c r="F1189" s="127"/>
      <c r="G1189" s="88">
        <f t="shared" si="566"/>
        <v>0</v>
      </c>
      <c r="H1189" s="89">
        <f t="shared" si="579"/>
        <v>4.1666666666666666E-3</v>
      </c>
      <c r="I1189" s="219"/>
      <c r="J1189" s="219"/>
      <c r="K1189" s="6">
        <f t="shared" si="588"/>
        <v>0</v>
      </c>
      <c r="M1189" s="6">
        <f t="shared" si="567"/>
        <v>0</v>
      </c>
      <c r="N1189" s="6">
        <f t="shared" si="568"/>
        <v>0</v>
      </c>
      <c r="O1189" s="90">
        <f t="shared" si="569"/>
        <v>0</v>
      </c>
      <c r="P1189" s="91">
        <f t="shared" si="570"/>
        <v>0</v>
      </c>
      <c r="Q1189" s="6">
        <f t="shared" si="571"/>
        <v>0</v>
      </c>
      <c r="R1189" s="87">
        <f t="shared" si="590"/>
        <v>0</v>
      </c>
      <c r="S1189" s="6">
        <f t="shared" si="572"/>
        <v>0</v>
      </c>
      <c r="T1189" s="83">
        <f t="shared" si="580"/>
        <v>0</v>
      </c>
      <c r="U1189" s="91">
        <f t="shared" si="586"/>
        <v>0</v>
      </c>
      <c r="V1189" s="91">
        <f t="shared" si="581"/>
        <v>0</v>
      </c>
      <c r="W1189" s="1">
        <f t="shared" si="594"/>
        <v>0</v>
      </c>
      <c r="X1189" s="1">
        <f t="shared" si="594"/>
        <v>0</v>
      </c>
      <c r="Y1189" s="1">
        <f t="shared" si="594"/>
        <v>0</v>
      </c>
      <c r="Z1189" s="1">
        <f t="shared" si="594"/>
        <v>0</v>
      </c>
      <c r="AA1189" s="1">
        <f t="shared" si="594"/>
        <v>0</v>
      </c>
      <c r="AB1189" s="1">
        <f t="shared" si="594"/>
        <v>0</v>
      </c>
      <c r="AC1189" s="1">
        <f t="shared" si="594"/>
        <v>0</v>
      </c>
      <c r="AD1189" s="1">
        <f t="shared" si="594"/>
        <v>0</v>
      </c>
      <c r="AE1189" s="1">
        <f t="shared" si="594"/>
        <v>0</v>
      </c>
      <c r="AF1189" s="1">
        <f t="shared" si="594"/>
        <v>0</v>
      </c>
      <c r="AG1189" s="1">
        <f t="shared" si="594"/>
        <v>0</v>
      </c>
      <c r="AH1189" s="1">
        <f t="shared" si="594"/>
        <v>0</v>
      </c>
      <c r="AI1189" s="44">
        <f t="shared" si="582"/>
        <v>0</v>
      </c>
      <c r="AJ1189" s="44">
        <f t="shared" si="573"/>
        <v>0</v>
      </c>
      <c r="AK1189" s="44">
        <f t="shared" si="591"/>
        <v>0</v>
      </c>
      <c r="AL1189" s="4">
        <f t="shared" si="574"/>
        <v>499</v>
      </c>
      <c r="AM1189" s="82">
        <f t="shared" si="583"/>
        <v>0</v>
      </c>
      <c r="AN1189" s="82">
        <f t="shared" si="575"/>
        <v>0</v>
      </c>
      <c r="AO1189" s="48">
        <v>0</v>
      </c>
      <c r="AP1189" s="91">
        <f t="shared" si="584"/>
        <v>0</v>
      </c>
      <c r="AQ1189" s="91">
        <f t="shared" si="585"/>
        <v>0</v>
      </c>
    </row>
    <row r="1190" spans="1:43">
      <c r="A1190" s="190">
        <f t="shared" si="576"/>
        <v>107.38757700205338</v>
      </c>
      <c r="B1190" s="82">
        <f t="shared" si="577"/>
        <v>42</v>
      </c>
      <c r="C1190" s="83">
        <f t="shared" si="578"/>
        <v>500</v>
      </c>
      <c r="D1190" s="14">
        <f t="shared" si="564"/>
        <v>2.6283369587845051E-3</v>
      </c>
      <c r="E1190" s="16">
        <f t="shared" si="565"/>
        <v>0</v>
      </c>
      <c r="F1190" s="127"/>
      <c r="G1190" s="88">
        <f t="shared" si="566"/>
        <v>0</v>
      </c>
      <c r="H1190" s="89">
        <f t="shared" si="579"/>
        <v>4.1666666666666666E-3</v>
      </c>
      <c r="I1190" s="219"/>
      <c r="J1190" s="219"/>
      <c r="K1190" s="6">
        <f t="shared" si="588"/>
        <v>0</v>
      </c>
      <c r="M1190" s="6">
        <f t="shared" si="567"/>
        <v>0</v>
      </c>
      <c r="N1190" s="6">
        <f t="shared" si="568"/>
        <v>0</v>
      </c>
      <c r="O1190" s="90">
        <f t="shared" si="569"/>
        <v>0</v>
      </c>
      <c r="P1190" s="91">
        <f t="shared" si="570"/>
        <v>0</v>
      </c>
      <c r="Q1190" s="6">
        <f t="shared" si="571"/>
        <v>0</v>
      </c>
      <c r="R1190" s="87">
        <f t="shared" si="590"/>
        <v>0</v>
      </c>
      <c r="S1190" s="6">
        <f t="shared" si="572"/>
        <v>0</v>
      </c>
      <c r="T1190" s="83">
        <f t="shared" si="580"/>
        <v>0</v>
      </c>
      <c r="U1190" s="91">
        <f t="shared" si="586"/>
        <v>0</v>
      </c>
      <c r="V1190" s="91">
        <f t="shared" si="581"/>
        <v>0</v>
      </c>
      <c r="W1190" s="1">
        <f t="shared" si="594"/>
        <v>0</v>
      </c>
      <c r="X1190" s="1">
        <f t="shared" si="594"/>
        <v>0</v>
      </c>
      <c r="Y1190" s="1">
        <f t="shared" si="594"/>
        <v>0</v>
      </c>
      <c r="Z1190" s="1">
        <f t="shared" si="594"/>
        <v>0</v>
      </c>
      <c r="AA1190" s="1">
        <f t="shared" si="594"/>
        <v>0</v>
      </c>
      <c r="AB1190" s="1">
        <f t="shared" si="594"/>
        <v>0</v>
      </c>
      <c r="AC1190" s="1">
        <f t="shared" si="594"/>
        <v>0</v>
      </c>
      <c r="AD1190" s="1">
        <f t="shared" si="594"/>
        <v>0</v>
      </c>
      <c r="AE1190" s="1">
        <f t="shared" si="594"/>
        <v>0</v>
      </c>
      <c r="AF1190" s="1">
        <f t="shared" si="594"/>
        <v>0</v>
      </c>
      <c r="AG1190" s="1">
        <f t="shared" si="594"/>
        <v>0</v>
      </c>
      <c r="AH1190" s="1">
        <f t="shared" si="594"/>
        <v>0</v>
      </c>
      <c r="AI1190" s="44">
        <f t="shared" si="582"/>
        <v>0</v>
      </c>
      <c r="AJ1190" s="44">
        <f t="shared" si="573"/>
        <v>0</v>
      </c>
      <c r="AK1190" s="44">
        <f t="shared" si="591"/>
        <v>0</v>
      </c>
      <c r="AL1190" s="4">
        <f t="shared" si="574"/>
        <v>500</v>
      </c>
      <c r="AM1190" s="82">
        <f t="shared" si="583"/>
        <v>0</v>
      </c>
      <c r="AN1190" s="82">
        <f t="shared" si="575"/>
        <v>0</v>
      </c>
      <c r="AO1190" s="48">
        <v>0</v>
      </c>
      <c r="AP1190" s="91">
        <f t="shared" si="584"/>
        <v>0</v>
      </c>
      <c r="AQ1190" s="91">
        <f t="shared" si="585"/>
        <v>0</v>
      </c>
    </row>
    <row r="1191" spans="1:43">
      <c r="A1191" s="190">
        <f t="shared" si="576"/>
        <v>107.47091033538672</v>
      </c>
      <c r="B1191" s="82">
        <f t="shared" si="577"/>
        <v>42</v>
      </c>
      <c r="C1191" s="83">
        <f t="shared" si="578"/>
        <v>501</v>
      </c>
      <c r="D1191" s="14">
        <f t="shared" si="564"/>
        <v>2.6283369587845051E-3</v>
      </c>
      <c r="E1191" s="16">
        <f t="shared" si="565"/>
        <v>0</v>
      </c>
      <c r="F1191" s="127"/>
      <c r="G1191" s="88">
        <f t="shared" si="566"/>
        <v>0</v>
      </c>
      <c r="H1191" s="89">
        <f t="shared" si="579"/>
        <v>4.1666666666666666E-3</v>
      </c>
      <c r="I1191" s="219"/>
      <c r="J1191" s="219"/>
      <c r="K1191" s="6">
        <f t="shared" si="588"/>
        <v>0</v>
      </c>
      <c r="M1191" s="6">
        <f t="shared" si="567"/>
        <v>0</v>
      </c>
      <c r="N1191" s="6">
        <f t="shared" si="568"/>
        <v>0</v>
      </c>
      <c r="O1191" s="90">
        <f t="shared" si="569"/>
        <v>0</v>
      </c>
      <c r="P1191" s="91">
        <f t="shared" si="570"/>
        <v>0</v>
      </c>
      <c r="Q1191" s="6">
        <f t="shared" si="571"/>
        <v>0</v>
      </c>
      <c r="R1191" s="87">
        <f t="shared" si="590"/>
        <v>0</v>
      </c>
      <c r="S1191" s="6">
        <f t="shared" si="572"/>
        <v>0</v>
      </c>
      <c r="T1191" s="83">
        <f t="shared" si="580"/>
        <v>0</v>
      </c>
      <c r="U1191" s="91">
        <f t="shared" si="586"/>
        <v>0</v>
      </c>
      <c r="V1191" s="91">
        <f t="shared" si="581"/>
        <v>0</v>
      </c>
      <c r="W1191" s="1">
        <f t="shared" ref="W1191:AH1200" si="595">IF($B1191&lt;=W$78,1,0)</f>
        <v>0</v>
      </c>
      <c r="X1191" s="1">
        <f t="shared" si="595"/>
        <v>0</v>
      </c>
      <c r="Y1191" s="1">
        <f t="shared" si="595"/>
        <v>0</v>
      </c>
      <c r="Z1191" s="1">
        <f t="shared" si="595"/>
        <v>0</v>
      </c>
      <c r="AA1191" s="1">
        <f t="shared" si="595"/>
        <v>0</v>
      </c>
      <c r="AB1191" s="1">
        <f t="shared" si="595"/>
        <v>0</v>
      </c>
      <c r="AC1191" s="1">
        <f t="shared" si="595"/>
        <v>0</v>
      </c>
      <c r="AD1191" s="1">
        <f t="shared" si="595"/>
        <v>0</v>
      </c>
      <c r="AE1191" s="1">
        <f t="shared" si="595"/>
        <v>0</v>
      </c>
      <c r="AF1191" s="1">
        <f t="shared" si="595"/>
        <v>0</v>
      </c>
      <c r="AG1191" s="1">
        <f t="shared" si="595"/>
        <v>0</v>
      </c>
      <c r="AH1191" s="1">
        <f t="shared" si="595"/>
        <v>0</v>
      </c>
      <c r="AI1191" s="44">
        <f t="shared" si="582"/>
        <v>0</v>
      </c>
      <c r="AJ1191" s="44">
        <f t="shared" si="573"/>
        <v>0</v>
      </c>
      <c r="AK1191" s="44">
        <f t="shared" si="591"/>
        <v>0</v>
      </c>
      <c r="AL1191" s="4">
        <f t="shared" si="574"/>
        <v>501</v>
      </c>
      <c r="AM1191" s="82">
        <f t="shared" si="583"/>
        <v>0</v>
      </c>
      <c r="AN1191" s="82">
        <f t="shared" si="575"/>
        <v>0</v>
      </c>
      <c r="AO1191" s="48">
        <v>0</v>
      </c>
      <c r="AP1191" s="91">
        <f t="shared" si="584"/>
        <v>0</v>
      </c>
      <c r="AQ1191" s="91">
        <f t="shared" si="585"/>
        <v>0</v>
      </c>
    </row>
    <row r="1192" spans="1:43">
      <c r="A1192" s="190">
        <f t="shared" si="576"/>
        <v>107.55424366872005</v>
      </c>
      <c r="B1192" s="82">
        <f t="shared" si="577"/>
        <v>42</v>
      </c>
      <c r="C1192" s="83">
        <f t="shared" si="578"/>
        <v>502</v>
      </c>
      <c r="D1192" s="14">
        <f t="shared" si="564"/>
        <v>2.6283369587845051E-3</v>
      </c>
      <c r="E1192" s="16">
        <f t="shared" si="565"/>
        <v>0</v>
      </c>
      <c r="F1192" s="127"/>
      <c r="G1192" s="88">
        <f t="shared" si="566"/>
        <v>0</v>
      </c>
      <c r="H1192" s="89">
        <f t="shared" si="579"/>
        <v>4.1666666666666666E-3</v>
      </c>
      <c r="I1192" s="219"/>
      <c r="J1192" s="219"/>
      <c r="K1192" s="6">
        <f t="shared" si="588"/>
        <v>0</v>
      </c>
      <c r="M1192" s="6">
        <f t="shared" si="567"/>
        <v>0</v>
      </c>
      <c r="N1192" s="6">
        <f t="shared" si="568"/>
        <v>0</v>
      </c>
      <c r="O1192" s="90">
        <f t="shared" si="569"/>
        <v>0</v>
      </c>
      <c r="P1192" s="91">
        <f t="shared" si="570"/>
        <v>0</v>
      </c>
      <c r="Q1192" s="6">
        <f t="shared" si="571"/>
        <v>0</v>
      </c>
      <c r="R1192" s="87">
        <f t="shared" si="590"/>
        <v>0</v>
      </c>
      <c r="S1192" s="6">
        <f t="shared" si="572"/>
        <v>0</v>
      </c>
      <c r="T1192" s="83">
        <f t="shared" si="580"/>
        <v>0</v>
      </c>
      <c r="U1192" s="91">
        <f t="shared" si="586"/>
        <v>0</v>
      </c>
      <c r="V1192" s="91">
        <f t="shared" si="581"/>
        <v>0</v>
      </c>
      <c r="W1192" s="1">
        <f t="shared" si="595"/>
        <v>0</v>
      </c>
      <c r="X1192" s="1">
        <f t="shared" si="595"/>
        <v>0</v>
      </c>
      <c r="Y1192" s="1">
        <f t="shared" si="595"/>
        <v>0</v>
      </c>
      <c r="Z1192" s="1">
        <f t="shared" si="595"/>
        <v>0</v>
      </c>
      <c r="AA1192" s="1">
        <f t="shared" si="595"/>
        <v>0</v>
      </c>
      <c r="AB1192" s="1">
        <f t="shared" si="595"/>
        <v>0</v>
      </c>
      <c r="AC1192" s="1">
        <f t="shared" si="595"/>
        <v>0</v>
      </c>
      <c r="AD1192" s="1">
        <f t="shared" si="595"/>
        <v>0</v>
      </c>
      <c r="AE1192" s="1">
        <f t="shared" si="595"/>
        <v>0</v>
      </c>
      <c r="AF1192" s="1">
        <f t="shared" si="595"/>
        <v>0</v>
      </c>
      <c r="AG1192" s="1">
        <f t="shared" si="595"/>
        <v>0</v>
      </c>
      <c r="AH1192" s="1">
        <f t="shared" si="595"/>
        <v>0</v>
      </c>
      <c r="AI1192" s="44">
        <f t="shared" si="582"/>
        <v>0</v>
      </c>
      <c r="AJ1192" s="44">
        <f t="shared" si="573"/>
        <v>0</v>
      </c>
      <c r="AK1192" s="44">
        <f t="shared" si="591"/>
        <v>0</v>
      </c>
      <c r="AL1192" s="4">
        <f t="shared" si="574"/>
        <v>502</v>
      </c>
      <c r="AM1192" s="82">
        <f t="shared" si="583"/>
        <v>0</v>
      </c>
      <c r="AN1192" s="82">
        <f t="shared" si="575"/>
        <v>0</v>
      </c>
      <c r="AO1192" s="48">
        <v>0</v>
      </c>
      <c r="AP1192" s="91">
        <f t="shared" si="584"/>
        <v>0</v>
      </c>
      <c r="AQ1192" s="91">
        <f t="shared" si="585"/>
        <v>0</v>
      </c>
    </row>
    <row r="1193" spans="1:43">
      <c r="A1193" s="190">
        <f t="shared" si="576"/>
        <v>107.63757700205338</v>
      </c>
      <c r="B1193" s="82">
        <f t="shared" si="577"/>
        <v>42</v>
      </c>
      <c r="C1193" s="83">
        <f t="shared" si="578"/>
        <v>503</v>
      </c>
      <c r="D1193" s="14">
        <f t="shared" si="564"/>
        <v>2.6283369587845051E-3</v>
      </c>
      <c r="E1193" s="16">
        <f t="shared" si="565"/>
        <v>0</v>
      </c>
      <c r="F1193" s="127"/>
      <c r="G1193" s="88">
        <f t="shared" si="566"/>
        <v>0</v>
      </c>
      <c r="H1193" s="89">
        <f t="shared" si="579"/>
        <v>4.1666666666666666E-3</v>
      </c>
      <c r="I1193" s="219"/>
      <c r="J1193" s="219"/>
      <c r="K1193" s="6">
        <f t="shared" si="588"/>
        <v>0</v>
      </c>
      <c r="M1193" s="6">
        <f t="shared" si="567"/>
        <v>0</v>
      </c>
      <c r="N1193" s="6">
        <f t="shared" si="568"/>
        <v>0</v>
      </c>
      <c r="O1193" s="90">
        <f t="shared" si="569"/>
        <v>0</v>
      </c>
      <c r="P1193" s="91">
        <f t="shared" si="570"/>
        <v>0</v>
      </c>
      <c r="Q1193" s="6">
        <f t="shared" si="571"/>
        <v>0</v>
      </c>
      <c r="R1193" s="87">
        <f t="shared" si="590"/>
        <v>0</v>
      </c>
      <c r="S1193" s="6">
        <f t="shared" si="572"/>
        <v>0</v>
      </c>
      <c r="T1193" s="83">
        <f t="shared" si="580"/>
        <v>0</v>
      </c>
      <c r="U1193" s="91">
        <f t="shared" si="586"/>
        <v>0</v>
      </c>
      <c r="V1193" s="91">
        <f t="shared" si="581"/>
        <v>0</v>
      </c>
      <c r="W1193" s="1">
        <f t="shared" si="595"/>
        <v>0</v>
      </c>
      <c r="X1193" s="1">
        <f t="shared" si="595"/>
        <v>0</v>
      </c>
      <c r="Y1193" s="1">
        <f t="shared" si="595"/>
        <v>0</v>
      </c>
      <c r="Z1193" s="1">
        <f t="shared" si="595"/>
        <v>0</v>
      </c>
      <c r="AA1193" s="1">
        <f t="shared" si="595"/>
        <v>0</v>
      </c>
      <c r="AB1193" s="1">
        <f t="shared" si="595"/>
        <v>0</v>
      </c>
      <c r="AC1193" s="1">
        <f t="shared" si="595"/>
        <v>0</v>
      </c>
      <c r="AD1193" s="1">
        <f t="shared" si="595"/>
        <v>0</v>
      </c>
      <c r="AE1193" s="1">
        <f t="shared" si="595"/>
        <v>0</v>
      </c>
      <c r="AF1193" s="1">
        <f t="shared" si="595"/>
        <v>0</v>
      </c>
      <c r="AG1193" s="1">
        <f t="shared" si="595"/>
        <v>0</v>
      </c>
      <c r="AH1193" s="1">
        <f t="shared" si="595"/>
        <v>0</v>
      </c>
      <c r="AI1193" s="44">
        <f t="shared" si="582"/>
        <v>0</v>
      </c>
      <c r="AJ1193" s="44">
        <f t="shared" si="573"/>
        <v>0</v>
      </c>
      <c r="AK1193" s="44">
        <f t="shared" si="591"/>
        <v>0</v>
      </c>
      <c r="AL1193" s="4">
        <f t="shared" si="574"/>
        <v>503</v>
      </c>
      <c r="AM1193" s="82">
        <f t="shared" si="583"/>
        <v>0</v>
      </c>
      <c r="AN1193" s="82">
        <f t="shared" si="575"/>
        <v>0</v>
      </c>
      <c r="AO1193" s="48">
        <v>0</v>
      </c>
      <c r="AP1193" s="91">
        <f t="shared" si="584"/>
        <v>0</v>
      </c>
      <c r="AQ1193" s="91">
        <f t="shared" si="585"/>
        <v>0</v>
      </c>
    </row>
    <row r="1194" spans="1:43">
      <c r="A1194" s="190">
        <f t="shared" si="576"/>
        <v>107.72091033538672</v>
      </c>
      <c r="B1194" s="82">
        <f t="shared" si="577"/>
        <v>42</v>
      </c>
      <c r="C1194" s="83">
        <f t="shared" si="578"/>
        <v>504</v>
      </c>
      <c r="D1194" s="14">
        <f t="shared" si="564"/>
        <v>2.6283369587845051E-3</v>
      </c>
      <c r="E1194" s="16">
        <f t="shared" si="565"/>
        <v>0</v>
      </c>
      <c r="F1194" s="127"/>
      <c r="G1194" s="88">
        <f t="shared" si="566"/>
        <v>0</v>
      </c>
      <c r="H1194" s="89">
        <f t="shared" si="579"/>
        <v>4.1666666666666666E-3</v>
      </c>
      <c r="I1194" s="219"/>
      <c r="J1194" s="219"/>
      <c r="K1194" s="6">
        <f t="shared" si="588"/>
        <v>0</v>
      </c>
      <c r="M1194" s="6">
        <f t="shared" si="567"/>
        <v>0</v>
      </c>
      <c r="N1194" s="6">
        <f t="shared" si="568"/>
        <v>0</v>
      </c>
      <c r="O1194" s="90">
        <f t="shared" si="569"/>
        <v>0</v>
      </c>
      <c r="P1194" s="91">
        <f t="shared" si="570"/>
        <v>0</v>
      </c>
      <c r="Q1194" s="6">
        <f t="shared" si="571"/>
        <v>0</v>
      </c>
      <c r="R1194" s="87">
        <f t="shared" si="590"/>
        <v>0</v>
      </c>
      <c r="S1194" s="6">
        <f t="shared" si="572"/>
        <v>0</v>
      </c>
      <c r="T1194" s="83">
        <f t="shared" si="580"/>
        <v>0</v>
      </c>
      <c r="U1194" s="91">
        <f t="shared" si="586"/>
        <v>0</v>
      </c>
      <c r="V1194" s="91">
        <f t="shared" si="581"/>
        <v>0</v>
      </c>
      <c r="W1194" s="1">
        <f t="shared" si="595"/>
        <v>0</v>
      </c>
      <c r="X1194" s="1">
        <f t="shared" si="595"/>
        <v>0</v>
      </c>
      <c r="Y1194" s="1">
        <f t="shared" si="595"/>
        <v>0</v>
      </c>
      <c r="Z1194" s="1">
        <f t="shared" si="595"/>
        <v>0</v>
      </c>
      <c r="AA1194" s="1">
        <f t="shared" si="595"/>
        <v>0</v>
      </c>
      <c r="AB1194" s="1">
        <f t="shared" si="595"/>
        <v>0</v>
      </c>
      <c r="AC1194" s="1">
        <f t="shared" si="595"/>
        <v>0</v>
      </c>
      <c r="AD1194" s="1">
        <f t="shared" si="595"/>
        <v>0</v>
      </c>
      <c r="AE1194" s="1">
        <f t="shared" si="595"/>
        <v>0</v>
      </c>
      <c r="AF1194" s="1">
        <f t="shared" si="595"/>
        <v>0</v>
      </c>
      <c r="AG1194" s="1">
        <f t="shared" si="595"/>
        <v>0</v>
      </c>
      <c r="AH1194" s="1">
        <f t="shared" si="595"/>
        <v>0</v>
      </c>
      <c r="AI1194" s="44">
        <f t="shared" si="582"/>
        <v>0</v>
      </c>
      <c r="AJ1194" s="44">
        <f t="shared" si="573"/>
        <v>0</v>
      </c>
      <c r="AK1194" s="44">
        <f t="shared" si="591"/>
        <v>0</v>
      </c>
      <c r="AL1194" s="4">
        <f t="shared" si="574"/>
        <v>504</v>
      </c>
      <c r="AM1194" s="82">
        <f t="shared" si="583"/>
        <v>0</v>
      </c>
      <c r="AN1194" s="82">
        <f t="shared" si="575"/>
        <v>0</v>
      </c>
      <c r="AO1194" s="48">
        <v>0</v>
      </c>
      <c r="AP1194" s="91">
        <f t="shared" si="584"/>
        <v>0</v>
      </c>
      <c r="AQ1194" s="91">
        <f t="shared" si="585"/>
        <v>0</v>
      </c>
    </row>
    <row r="1195" spans="1:43">
      <c r="A1195" s="190">
        <f t="shared" si="576"/>
        <v>107.80424366872005</v>
      </c>
      <c r="B1195" s="82">
        <f t="shared" si="577"/>
        <v>43</v>
      </c>
      <c r="C1195" s="83">
        <f t="shared" si="578"/>
        <v>505</v>
      </c>
      <c r="D1195" s="14">
        <f t="shared" si="564"/>
        <v>2.6283369587845051E-3</v>
      </c>
      <c r="E1195" s="16">
        <f t="shared" si="565"/>
        <v>0</v>
      </c>
      <c r="F1195" s="127"/>
      <c r="G1195" s="88">
        <f t="shared" si="566"/>
        <v>0</v>
      </c>
      <c r="H1195" s="89">
        <f t="shared" si="579"/>
        <v>4.1666666666666666E-3</v>
      </c>
      <c r="I1195" s="219"/>
      <c r="J1195" s="219"/>
      <c r="K1195" s="6">
        <f t="shared" si="588"/>
        <v>0</v>
      </c>
      <c r="M1195" s="6">
        <f t="shared" si="567"/>
        <v>0</v>
      </c>
      <c r="N1195" s="6">
        <f t="shared" si="568"/>
        <v>0</v>
      </c>
      <c r="O1195" s="90">
        <f t="shared" si="569"/>
        <v>0</v>
      </c>
      <c r="P1195" s="91">
        <f t="shared" si="570"/>
        <v>0</v>
      </c>
      <c r="Q1195" s="6">
        <f t="shared" si="571"/>
        <v>0</v>
      </c>
      <c r="R1195" s="87">
        <f t="shared" si="590"/>
        <v>0</v>
      </c>
      <c r="S1195" s="6">
        <f t="shared" si="572"/>
        <v>0</v>
      </c>
      <c r="T1195" s="83">
        <f t="shared" si="580"/>
        <v>0</v>
      </c>
      <c r="U1195" s="91">
        <f t="shared" si="586"/>
        <v>0</v>
      </c>
      <c r="V1195" s="91">
        <f t="shared" si="581"/>
        <v>0</v>
      </c>
      <c r="W1195" s="1">
        <f t="shared" si="595"/>
        <v>0</v>
      </c>
      <c r="X1195" s="1">
        <f t="shared" si="595"/>
        <v>0</v>
      </c>
      <c r="Y1195" s="1">
        <f t="shared" si="595"/>
        <v>0</v>
      </c>
      <c r="Z1195" s="1">
        <f t="shared" si="595"/>
        <v>0</v>
      </c>
      <c r="AA1195" s="1">
        <f t="shared" si="595"/>
        <v>0</v>
      </c>
      <c r="AB1195" s="1">
        <f t="shared" si="595"/>
        <v>0</v>
      </c>
      <c r="AC1195" s="1">
        <f t="shared" si="595"/>
        <v>0</v>
      </c>
      <c r="AD1195" s="1">
        <f t="shared" si="595"/>
        <v>0</v>
      </c>
      <c r="AE1195" s="1">
        <f t="shared" si="595"/>
        <v>0</v>
      </c>
      <c r="AF1195" s="1">
        <f t="shared" si="595"/>
        <v>0</v>
      </c>
      <c r="AG1195" s="1">
        <f t="shared" si="595"/>
        <v>0</v>
      </c>
      <c r="AH1195" s="1">
        <f t="shared" si="595"/>
        <v>0</v>
      </c>
      <c r="AI1195" s="44">
        <f t="shared" si="582"/>
        <v>0</v>
      </c>
      <c r="AJ1195" s="44">
        <f t="shared" si="573"/>
        <v>0</v>
      </c>
      <c r="AK1195" s="44">
        <f t="shared" si="591"/>
        <v>0</v>
      </c>
      <c r="AL1195" s="4">
        <f t="shared" si="574"/>
        <v>505</v>
      </c>
      <c r="AM1195" s="82">
        <f t="shared" si="583"/>
        <v>0</v>
      </c>
      <c r="AN1195" s="82">
        <f t="shared" si="575"/>
        <v>0</v>
      </c>
      <c r="AO1195" s="48">
        <v>0</v>
      </c>
      <c r="AP1195" s="91">
        <f t="shared" si="584"/>
        <v>0</v>
      </c>
      <c r="AQ1195" s="91">
        <f t="shared" si="585"/>
        <v>0</v>
      </c>
    </row>
    <row r="1196" spans="1:43">
      <c r="A1196" s="190">
        <f t="shared" si="576"/>
        <v>107.88757700205338</v>
      </c>
      <c r="B1196" s="82">
        <f t="shared" si="577"/>
        <v>43</v>
      </c>
      <c r="C1196" s="83">
        <f t="shared" si="578"/>
        <v>506</v>
      </c>
      <c r="D1196" s="14">
        <f t="shared" si="564"/>
        <v>2.6283369587845051E-3</v>
      </c>
      <c r="E1196" s="16">
        <f t="shared" si="565"/>
        <v>0</v>
      </c>
      <c r="F1196" s="127"/>
      <c r="G1196" s="88">
        <f t="shared" si="566"/>
        <v>0</v>
      </c>
      <c r="H1196" s="89">
        <f t="shared" si="579"/>
        <v>4.1666666666666666E-3</v>
      </c>
      <c r="I1196" s="219"/>
      <c r="J1196" s="219"/>
      <c r="K1196" s="6">
        <f t="shared" si="588"/>
        <v>0</v>
      </c>
      <c r="M1196" s="6">
        <f t="shared" si="567"/>
        <v>0</v>
      </c>
      <c r="N1196" s="6">
        <f t="shared" si="568"/>
        <v>0</v>
      </c>
      <c r="O1196" s="90">
        <f t="shared" si="569"/>
        <v>0</v>
      </c>
      <c r="P1196" s="91">
        <f t="shared" si="570"/>
        <v>0</v>
      </c>
      <c r="Q1196" s="6">
        <f t="shared" si="571"/>
        <v>0</v>
      </c>
      <c r="R1196" s="87">
        <f t="shared" si="590"/>
        <v>0</v>
      </c>
      <c r="S1196" s="6">
        <f t="shared" si="572"/>
        <v>0</v>
      </c>
      <c r="T1196" s="83">
        <f t="shared" si="580"/>
        <v>0</v>
      </c>
      <c r="U1196" s="91">
        <f t="shared" si="586"/>
        <v>0</v>
      </c>
      <c r="V1196" s="91">
        <f t="shared" si="581"/>
        <v>0</v>
      </c>
      <c r="W1196" s="1">
        <f t="shared" si="595"/>
        <v>0</v>
      </c>
      <c r="X1196" s="1">
        <f t="shared" si="595"/>
        <v>0</v>
      </c>
      <c r="Y1196" s="1">
        <f t="shared" si="595"/>
        <v>0</v>
      </c>
      <c r="Z1196" s="1">
        <f t="shared" si="595"/>
        <v>0</v>
      </c>
      <c r="AA1196" s="1">
        <f t="shared" si="595"/>
        <v>0</v>
      </c>
      <c r="AB1196" s="1">
        <f t="shared" si="595"/>
        <v>0</v>
      </c>
      <c r="AC1196" s="1">
        <f t="shared" si="595"/>
        <v>0</v>
      </c>
      <c r="AD1196" s="1">
        <f t="shared" si="595"/>
        <v>0</v>
      </c>
      <c r="AE1196" s="1">
        <f t="shared" si="595"/>
        <v>0</v>
      </c>
      <c r="AF1196" s="1">
        <f t="shared" si="595"/>
        <v>0</v>
      </c>
      <c r="AG1196" s="1">
        <f t="shared" si="595"/>
        <v>0</v>
      </c>
      <c r="AH1196" s="1">
        <f t="shared" si="595"/>
        <v>0</v>
      </c>
      <c r="AI1196" s="44">
        <f t="shared" si="582"/>
        <v>0</v>
      </c>
      <c r="AJ1196" s="44">
        <f t="shared" si="573"/>
        <v>0</v>
      </c>
      <c r="AK1196" s="44">
        <f t="shared" si="591"/>
        <v>0</v>
      </c>
      <c r="AL1196" s="4">
        <f t="shared" si="574"/>
        <v>506</v>
      </c>
      <c r="AM1196" s="82">
        <f t="shared" si="583"/>
        <v>0</v>
      </c>
      <c r="AN1196" s="82">
        <f t="shared" si="575"/>
        <v>0</v>
      </c>
      <c r="AO1196" s="48">
        <v>0</v>
      </c>
      <c r="AP1196" s="91">
        <f t="shared" si="584"/>
        <v>0</v>
      </c>
      <c r="AQ1196" s="91">
        <f t="shared" si="585"/>
        <v>0</v>
      </c>
    </row>
    <row r="1197" spans="1:43">
      <c r="A1197" s="190">
        <f t="shared" si="576"/>
        <v>107.97091033538672</v>
      </c>
      <c r="B1197" s="82">
        <f t="shared" si="577"/>
        <v>43</v>
      </c>
      <c r="C1197" s="83">
        <f t="shared" si="578"/>
        <v>507</v>
      </c>
      <c r="D1197" s="14">
        <f t="shared" si="564"/>
        <v>2.6283369587845051E-3</v>
      </c>
      <c r="E1197" s="16">
        <f t="shared" si="565"/>
        <v>0</v>
      </c>
      <c r="F1197" s="127"/>
      <c r="G1197" s="88">
        <f t="shared" si="566"/>
        <v>0</v>
      </c>
      <c r="H1197" s="89">
        <f t="shared" si="579"/>
        <v>4.1666666666666666E-3</v>
      </c>
      <c r="I1197" s="219"/>
      <c r="J1197" s="219"/>
      <c r="K1197" s="6">
        <f t="shared" si="588"/>
        <v>0</v>
      </c>
      <c r="M1197" s="6">
        <f t="shared" si="567"/>
        <v>0</v>
      </c>
      <c r="N1197" s="6">
        <f t="shared" si="568"/>
        <v>0</v>
      </c>
      <c r="O1197" s="90">
        <f t="shared" si="569"/>
        <v>0</v>
      </c>
      <c r="P1197" s="91">
        <f t="shared" si="570"/>
        <v>0</v>
      </c>
      <c r="Q1197" s="6">
        <f t="shared" si="571"/>
        <v>0</v>
      </c>
      <c r="R1197" s="87">
        <f t="shared" si="590"/>
        <v>0</v>
      </c>
      <c r="S1197" s="6">
        <f t="shared" si="572"/>
        <v>0</v>
      </c>
      <c r="T1197" s="83">
        <f t="shared" si="580"/>
        <v>0</v>
      </c>
      <c r="U1197" s="91">
        <f t="shared" si="586"/>
        <v>0</v>
      </c>
      <c r="V1197" s="91">
        <f t="shared" si="581"/>
        <v>0</v>
      </c>
      <c r="W1197" s="1">
        <f t="shared" si="595"/>
        <v>0</v>
      </c>
      <c r="X1197" s="1">
        <f t="shared" si="595"/>
        <v>0</v>
      </c>
      <c r="Y1197" s="1">
        <f t="shared" si="595"/>
        <v>0</v>
      </c>
      <c r="Z1197" s="1">
        <f t="shared" si="595"/>
        <v>0</v>
      </c>
      <c r="AA1197" s="1">
        <f t="shared" si="595"/>
        <v>0</v>
      </c>
      <c r="AB1197" s="1">
        <f t="shared" si="595"/>
        <v>0</v>
      </c>
      <c r="AC1197" s="1">
        <f t="shared" si="595"/>
        <v>0</v>
      </c>
      <c r="AD1197" s="1">
        <f t="shared" si="595"/>
        <v>0</v>
      </c>
      <c r="AE1197" s="1">
        <f t="shared" si="595"/>
        <v>0</v>
      </c>
      <c r="AF1197" s="1">
        <f t="shared" si="595"/>
        <v>0</v>
      </c>
      <c r="AG1197" s="1">
        <f t="shared" si="595"/>
        <v>0</v>
      </c>
      <c r="AH1197" s="1">
        <f t="shared" si="595"/>
        <v>0</v>
      </c>
      <c r="AI1197" s="44">
        <f t="shared" si="582"/>
        <v>0</v>
      </c>
      <c r="AJ1197" s="44">
        <f t="shared" si="573"/>
        <v>0</v>
      </c>
      <c r="AK1197" s="44">
        <f t="shared" si="591"/>
        <v>0</v>
      </c>
      <c r="AL1197" s="4">
        <f t="shared" si="574"/>
        <v>507</v>
      </c>
      <c r="AM1197" s="82">
        <f t="shared" si="583"/>
        <v>0</v>
      </c>
      <c r="AN1197" s="82">
        <f t="shared" si="575"/>
        <v>0</v>
      </c>
      <c r="AO1197" s="48">
        <v>0</v>
      </c>
      <c r="AP1197" s="91">
        <f t="shared" si="584"/>
        <v>0</v>
      </c>
      <c r="AQ1197" s="91">
        <f t="shared" si="585"/>
        <v>0</v>
      </c>
    </row>
    <row r="1198" spans="1:43">
      <c r="A1198" s="190">
        <f t="shared" si="576"/>
        <v>108.05424366872005</v>
      </c>
      <c r="B1198" s="82">
        <f t="shared" si="577"/>
        <v>43</v>
      </c>
      <c r="C1198" s="83">
        <f t="shared" si="578"/>
        <v>508</v>
      </c>
      <c r="D1198" s="14">
        <f t="shared" si="564"/>
        <v>2.6283369587845051E-3</v>
      </c>
      <c r="E1198" s="16">
        <f t="shared" si="565"/>
        <v>0</v>
      </c>
      <c r="F1198" s="127"/>
      <c r="G1198" s="88">
        <f t="shared" si="566"/>
        <v>0</v>
      </c>
      <c r="H1198" s="89">
        <f t="shared" si="579"/>
        <v>4.1666666666666666E-3</v>
      </c>
      <c r="I1198" s="219"/>
      <c r="J1198" s="219"/>
      <c r="K1198" s="6">
        <f t="shared" si="588"/>
        <v>0</v>
      </c>
      <c r="M1198" s="6">
        <f t="shared" si="567"/>
        <v>0</v>
      </c>
      <c r="N1198" s="6">
        <f t="shared" si="568"/>
        <v>0</v>
      </c>
      <c r="O1198" s="90">
        <f t="shared" si="569"/>
        <v>0</v>
      </c>
      <c r="P1198" s="91">
        <f t="shared" si="570"/>
        <v>0</v>
      </c>
      <c r="Q1198" s="6">
        <f t="shared" si="571"/>
        <v>0</v>
      </c>
      <c r="R1198" s="87">
        <f t="shared" si="590"/>
        <v>0</v>
      </c>
      <c r="S1198" s="6">
        <f t="shared" si="572"/>
        <v>0</v>
      </c>
      <c r="T1198" s="83">
        <f t="shared" si="580"/>
        <v>0</v>
      </c>
      <c r="U1198" s="91">
        <f t="shared" si="586"/>
        <v>0</v>
      </c>
      <c r="V1198" s="91">
        <f t="shared" si="581"/>
        <v>0</v>
      </c>
      <c r="W1198" s="1">
        <f t="shared" si="595"/>
        <v>0</v>
      </c>
      <c r="X1198" s="1">
        <f t="shared" si="595"/>
        <v>0</v>
      </c>
      <c r="Y1198" s="1">
        <f t="shared" si="595"/>
        <v>0</v>
      </c>
      <c r="Z1198" s="1">
        <f t="shared" si="595"/>
        <v>0</v>
      </c>
      <c r="AA1198" s="1">
        <f t="shared" si="595"/>
        <v>0</v>
      </c>
      <c r="AB1198" s="1">
        <f t="shared" si="595"/>
        <v>0</v>
      </c>
      <c r="AC1198" s="1">
        <f t="shared" si="595"/>
        <v>0</v>
      </c>
      <c r="AD1198" s="1">
        <f t="shared" si="595"/>
        <v>0</v>
      </c>
      <c r="AE1198" s="1">
        <f t="shared" si="595"/>
        <v>0</v>
      </c>
      <c r="AF1198" s="1">
        <f t="shared" si="595"/>
        <v>0</v>
      </c>
      <c r="AG1198" s="1">
        <f t="shared" si="595"/>
        <v>0</v>
      </c>
      <c r="AH1198" s="1">
        <f t="shared" si="595"/>
        <v>0</v>
      </c>
      <c r="AI1198" s="44">
        <f t="shared" si="582"/>
        <v>0</v>
      </c>
      <c r="AJ1198" s="44">
        <f t="shared" si="573"/>
        <v>0</v>
      </c>
      <c r="AK1198" s="44">
        <f t="shared" si="591"/>
        <v>0</v>
      </c>
      <c r="AL1198" s="4">
        <f t="shared" si="574"/>
        <v>508</v>
      </c>
      <c r="AM1198" s="82">
        <f t="shared" si="583"/>
        <v>0</v>
      </c>
      <c r="AN1198" s="82">
        <f t="shared" si="575"/>
        <v>0</v>
      </c>
      <c r="AO1198" s="48">
        <v>0</v>
      </c>
      <c r="AP1198" s="91">
        <f t="shared" si="584"/>
        <v>0</v>
      </c>
      <c r="AQ1198" s="91">
        <f t="shared" si="585"/>
        <v>0</v>
      </c>
    </row>
    <row r="1199" spans="1:43">
      <c r="A1199" s="190">
        <f t="shared" si="576"/>
        <v>108.13757700205338</v>
      </c>
      <c r="B1199" s="82">
        <f t="shared" si="577"/>
        <v>43</v>
      </c>
      <c r="C1199" s="83">
        <f t="shared" si="578"/>
        <v>509</v>
      </c>
      <c r="D1199" s="14">
        <f t="shared" si="564"/>
        <v>2.6283369587845051E-3</v>
      </c>
      <c r="E1199" s="16">
        <f t="shared" si="565"/>
        <v>0</v>
      </c>
      <c r="F1199" s="127"/>
      <c r="G1199" s="88">
        <f t="shared" si="566"/>
        <v>0</v>
      </c>
      <c r="H1199" s="89">
        <f t="shared" si="579"/>
        <v>4.1666666666666666E-3</v>
      </c>
      <c r="I1199" s="219"/>
      <c r="J1199" s="219"/>
      <c r="K1199" s="6">
        <f t="shared" si="588"/>
        <v>0</v>
      </c>
      <c r="M1199" s="6">
        <f t="shared" si="567"/>
        <v>0</v>
      </c>
      <c r="N1199" s="6">
        <f t="shared" si="568"/>
        <v>0</v>
      </c>
      <c r="O1199" s="90">
        <f t="shared" si="569"/>
        <v>0</v>
      </c>
      <c r="P1199" s="91">
        <f t="shared" si="570"/>
        <v>0</v>
      </c>
      <c r="Q1199" s="6">
        <f t="shared" si="571"/>
        <v>0</v>
      </c>
      <c r="R1199" s="87">
        <f t="shared" si="590"/>
        <v>0</v>
      </c>
      <c r="S1199" s="6">
        <f t="shared" si="572"/>
        <v>0</v>
      </c>
      <c r="T1199" s="83">
        <f t="shared" si="580"/>
        <v>0</v>
      </c>
      <c r="U1199" s="91">
        <f t="shared" si="586"/>
        <v>0</v>
      </c>
      <c r="V1199" s="91">
        <f t="shared" si="581"/>
        <v>0</v>
      </c>
      <c r="W1199" s="1">
        <f t="shared" si="595"/>
        <v>0</v>
      </c>
      <c r="X1199" s="1">
        <f t="shared" si="595"/>
        <v>0</v>
      </c>
      <c r="Y1199" s="1">
        <f t="shared" si="595"/>
        <v>0</v>
      </c>
      <c r="Z1199" s="1">
        <f t="shared" si="595"/>
        <v>0</v>
      </c>
      <c r="AA1199" s="1">
        <f t="shared" si="595"/>
        <v>0</v>
      </c>
      <c r="AB1199" s="1">
        <f t="shared" si="595"/>
        <v>0</v>
      </c>
      <c r="AC1199" s="1">
        <f t="shared" si="595"/>
        <v>0</v>
      </c>
      <c r="AD1199" s="1">
        <f t="shared" si="595"/>
        <v>0</v>
      </c>
      <c r="AE1199" s="1">
        <f t="shared" si="595"/>
        <v>0</v>
      </c>
      <c r="AF1199" s="1">
        <f t="shared" si="595"/>
        <v>0</v>
      </c>
      <c r="AG1199" s="1">
        <f t="shared" si="595"/>
        <v>0</v>
      </c>
      <c r="AH1199" s="1">
        <f t="shared" si="595"/>
        <v>0</v>
      </c>
      <c r="AI1199" s="44">
        <f t="shared" si="582"/>
        <v>0</v>
      </c>
      <c r="AJ1199" s="44">
        <f t="shared" si="573"/>
        <v>0</v>
      </c>
      <c r="AK1199" s="44">
        <f t="shared" si="591"/>
        <v>0</v>
      </c>
      <c r="AL1199" s="4">
        <f t="shared" si="574"/>
        <v>509</v>
      </c>
      <c r="AM1199" s="82">
        <f t="shared" si="583"/>
        <v>0</v>
      </c>
      <c r="AN1199" s="82">
        <f t="shared" si="575"/>
        <v>0</v>
      </c>
      <c r="AO1199" s="48">
        <v>0</v>
      </c>
      <c r="AP1199" s="91">
        <f t="shared" si="584"/>
        <v>0</v>
      </c>
      <c r="AQ1199" s="91">
        <f t="shared" si="585"/>
        <v>0</v>
      </c>
    </row>
    <row r="1200" spans="1:43">
      <c r="A1200" s="190">
        <f t="shared" si="576"/>
        <v>108.22091033538672</v>
      </c>
      <c r="B1200" s="82">
        <f t="shared" si="577"/>
        <v>43</v>
      </c>
      <c r="C1200" s="83">
        <f t="shared" si="578"/>
        <v>510</v>
      </c>
      <c r="D1200" s="14">
        <f t="shared" si="564"/>
        <v>2.6283369587845051E-3</v>
      </c>
      <c r="E1200" s="16">
        <f t="shared" si="565"/>
        <v>0</v>
      </c>
      <c r="F1200" s="127"/>
      <c r="G1200" s="88">
        <f t="shared" si="566"/>
        <v>0</v>
      </c>
      <c r="H1200" s="89">
        <f t="shared" si="579"/>
        <v>4.1666666666666666E-3</v>
      </c>
      <c r="I1200" s="219"/>
      <c r="J1200" s="219"/>
      <c r="K1200" s="6">
        <f t="shared" si="588"/>
        <v>0</v>
      </c>
      <c r="M1200" s="6">
        <f t="shared" si="567"/>
        <v>0</v>
      </c>
      <c r="N1200" s="6">
        <f t="shared" si="568"/>
        <v>0</v>
      </c>
      <c r="O1200" s="90">
        <f t="shared" si="569"/>
        <v>0</v>
      </c>
      <c r="P1200" s="91">
        <f t="shared" si="570"/>
        <v>0</v>
      </c>
      <c r="Q1200" s="6">
        <f t="shared" si="571"/>
        <v>0</v>
      </c>
      <c r="R1200" s="87">
        <f t="shared" si="590"/>
        <v>0</v>
      </c>
      <c r="S1200" s="6">
        <f t="shared" si="572"/>
        <v>0</v>
      </c>
      <c r="T1200" s="83">
        <f t="shared" si="580"/>
        <v>0</v>
      </c>
      <c r="U1200" s="91">
        <f t="shared" si="586"/>
        <v>0</v>
      </c>
      <c r="V1200" s="91">
        <f t="shared" si="581"/>
        <v>0</v>
      </c>
      <c r="W1200" s="1">
        <f t="shared" si="595"/>
        <v>0</v>
      </c>
      <c r="X1200" s="1">
        <f t="shared" si="595"/>
        <v>0</v>
      </c>
      <c r="Y1200" s="1">
        <f t="shared" si="595"/>
        <v>0</v>
      </c>
      <c r="Z1200" s="1">
        <f t="shared" si="595"/>
        <v>0</v>
      </c>
      <c r="AA1200" s="1">
        <f t="shared" si="595"/>
        <v>0</v>
      </c>
      <c r="AB1200" s="1">
        <f t="shared" si="595"/>
        <v>0</v>
      </c>
      <c r="AC1200" s="1">
        <f t="shared" si="595"/>
        <v>0</v>
      </c>
      <c r="AD1200" s="1">
        <f t="shared" si="595"/>
        <v>0</v>
      </c>
      <c r="AE1200" s="1">
        <f t="shared" si="595"/>
        <v>0</v>
      </c>
      <c r="AF1200" s="1">
        <f t="shared" si="595"/>
        <v>0</v>
      </c>
      <c r="AG1200" s="1">
        <f t="shared" si="595"/>
        <v>0</v>
      </c>
      <c r="AH1200" s="1">
        <f t="shared" si="595"/>
        <v>0</v>
      </c>
      <c r="AI1200" s="44">
        <f t="shared" si="582"/>
        <v>0</v>
      </c>
      <c r="AJ1200" s="44">
        <f t="shared" si="573"/>
        <v>0</v>
      </c>
      <c r="AK1200" s="44">
        <f t="shared" si="591"/>
        <v>0</v>
      </c>
      <c r="AL1200" s="4">
        <f t="shared" si="574"/>
        <v>510</v>
      </c>
      <c r="AM1200" s="82">
        <f t="shared" si="583"/>
        <v>0</v>
      </c>
      <c r="AN1200" s="82">
        <f t="shared" si="575"/>
        <v>0</v>
      </c>
      <c r="AO1200" s="48">
        <v>0</v>
      </c>
      <c r="AP1200" s="91">
        <f t="shared" si="584"/>
        <v>0</v>
      </c>
      <c r="AQ1200" s="91">
        <f t="shared" si="585"/>
        <v>0</v>
      </c>
    </row>
    <row r="1201" spans="1:43">
      <c r="A1201" s="190">
        <f t="shared" si="576"/>
        <v>108.30424366872005</v>
      </c>
      <c r="B1201" s="82">
        <f t="shared" si="577"/>
        <v>43</v>
      </c>
      <c r="C1201" s="83">
        <f t="shared" si="578"/>
        <v>511</v>
      </c>
      <c r="D1201" s="14">
        <f t="shared" si="564"/>
        <v>2.6283369587845051E-3</v>
      </c>
      <c r="E1201" s="16">
        <f t="shared" si="565"/>
        <v>0</v>
      </c>
      <c r="F1201" s="127"/>
      <c r="G1201" s="88">
        <f t="shared" si="566"/>
        <v>0</v>
      </c>
      <c r="H1201" s="89">
        <f t="shared" si="579"/>
        <v>4.1666666666666666E-3</v>
      </c>
      <c r="I1201" s="219"/>
      <c r="J1201" s="219"/>
      <c r="K1201" s="6">
        <f t="shared" si="588"/>
        <v>0</v>
      </c>
      <c r="M1201" s="6">
        <f t="shared" si="567"/>
        <v>0</v>
      </c>
      <c r="N1201" s="6">
        <f t="shared" si="568"/>
        <v>0</v>
      </c>
      <c r="O1201" s="90">
        <f t="shared" si="569"/>
        <v>0</v>
      </c>
      <c r="P1201" s="91">
        <f t="shared" si="570"/>
        <v>0</v>
      </c>
      <c r="Q1201" s="6">
        <f t="shared" si="571"/>
        <v>0</v>
      </c>
      <c r="R1201" s="87">
        <f t="shared" si="590"/>
        <v>0</v>
      </c>
      <c r="S1201" s="6">
        <f t="shared" si="572"/>
        <v>0</v>
      </c>
      <c r="T1201" s="83">
        <f t="shared" si="580"/>
        <v>0</v>
      </c>
      <c r="U1201" s="91">
        <f t="shared" si="586"/>
        <v>0</v>
      </c>
      <c r="V1201" s="91">
        <f t="shared" si="581"/>
        <v>0</v>
      </c>
      <c r="W1201" s="1">
        <f t="shared" ref="W1201:AH1210" si="596">IF($B1201&lt;=W$78,1,0)</f>
        <v>0</v>
      </c>
      <c r="X1201" s="1">
        <f t="shared" si="596"/>
        <v>0</v>
      </c>
      <c r="Y1201" s="1">
        <f t="shared" si="596"/>
        <v>0</v>
      </c>
      <c r="Z1201" s="1">
        <f t="shared" si="596"/>
        <v>0</v>
      </c>
      <c r="AA1201" s="1">
        <f t="shared" si="596"/>
        <v>0</v>
      </c>
      <c r="AB1201" s="1">
        <f t="shared" si="596"/>
        <v>0</v>
      </c>
      <c r="AC1201" s="1">
        <f t="shared" si="596"/>
        <v>0</v>
      </c>
      <c r="AD1201" s="1">
        <f t="shared" si="596"/>
        <v>0</v>
      </c>
      <c r="AE1201" s="1">
        <f t="shared" si="596"/>
        <v>0</v>
      </c>
      <c r="AF1201" s="1">
        <f t="shared" si="596"/>
        <v>0</v>
      </c>
      <c r="AG1201" s="1">
        <f t="shared" si="596"/>
        <v>0</v>
      </c>
      <c r="AH1201" s="1">
        <f t="shared" si="596"/>
        <v>0</v>
      </c>
      <c r="AI1201" s="44">
        <f t="shared" si="582"/>
        <v>0</v>
      </c>
      <c r="AJ1201" s="44">
        <f t="shared" si="573"/>
        <v>0</v>
      </c>
      <c r="AK1201" s="44">
        <f t="shared" si="591"/>
        <v>0</v>
      </c>
      <c r="AL1201" s="4">
        <f t="shared" si="574"/>
        <v>511</v>
      </c>
      <c r="AM1201" s="82">
        <f t="shared" si="583"/>
        <v>0</v>
      </c>
      <c r="AN1201" s="82">
        <f t="shared" si="575"/>
        <v>0</v>
      </c>
      <c r="AO1201" s="48">
        <v>0</v>
      </c>
      <c r="AP1201" s="91">
        <f t="shared" si="584"/>
        <v>0</v>
      </c>
      <c r="AQ1201" s="91">
        <f t="shared" si="585"/>
        <v>0</v>
      </c>
    </row>
    <row r="1202" spans="1:43">
      <c r="A1202" s="190">
        <f t="shared" si="576"/>
        <v>108.38757700205338</v>
      </c>
      <c r="B1202" s="82">
        <f t="shared" si="577"/>
        <v>43</v>
      </c>
      <c r="C1202" s="83">
        <f t="shared" si="578"/>
        <v>512</v>
      </c>
      <c r="D1202" s="14">
        <f t="shared" si="564"/>
        <v>2.6283369587845051E-3</v>
      </c>
      <c r="E1202" s="16">
        <f t="shared" si="565"/>
        <v>0</v>
      </c>
      <c r="F1202" s="127"/>
      <c r="G1202" s="88">
        <f t="shared" si="566"/>
        <v>0</v>
      </c>
      <c r="H1202" s="89">
        <f t="shared" si="579"/>
        <v>4.1666666666666666E-3</v>
      </c>
      <c r="I1202" s="219"/>
      <c r="J1202" s="219"/>
      <c r="K1202" s="6">
        <f t="shared" si="588"/>
        <v>0</v>
      </c>
      <c r="M1202" s="6">
        <f t="shared" si="567"/>
        <v>0</v>
      </c>
      <c r="N1202" s="6">
        <f t="shared" si="568"/>
        <v>0</v>
      </c>
      <c r="O1202" s="90">
        <f t="shared" si="569"/>
        <v>0</v>
      </c>
      <c r="P1202" s="91">
        <f t="shared" si="570"/>
        <v>0</v>
      </c>
      <c r="Q1202" s="6">
        <f t="shared" si="571"/>
        <v>0</v>
      </c>
      <c r="R1202" s="87">
        <f t="shared" si="590"/>
        <v>0</v>
      </c>
      <c r="S1202" s="6">
        <f t="shared" si="572"/>
        <v>0</v>
      </c>
      <c r="T1202" s="83">
        <f t="shared" si="580"/>
        <v>0</v>
      </c>
      <c r="U1202" s="91">
        <f t="shared" si="586"/>
        <v>0</v>
      </c>
      <c r="V1202" s="91">
        <f t="shared" si="581"/>
        <v>0</v>
      </c>
      <c r="W1202" s="1">
        <f t="shared" si="596"/>
        <v>0</v>
      </c>
      <c r="X1202" s="1">
        <f t="shared" si="596"/>
        <v>0</v>
      </c>
      <c r="Y1202" s="1">
        <f t="shared" si="596"/>
        <v>0</v>
      </c>
      <c r="Z1202" s="1">
        <f t="shared" si="596"/>
        <v>0</v>
      </c>
      <c r="AA1202" s="1">
        <f t="shared" si="596"/>
        <v>0</v>
      </c>
      <c r="AB1202" s="1">
        <f t="shared" si="596"/>
        <v>0</v>
      </c>
      <c r="AC1202" s="1">
        <f t="shared" si="596"/>
        <v>0</v>
      </c>
      <c r="AD1202" s="1">
        <f t="shared" si="596"/>
        <v>0</v>
      </c>
      <c r="AE1202" s="1">
        <f t="shared" si="596"/>
        <v>0</v>
      </c>
      <c r="AF1202" s="1">
        <f t="shared" si="596"/>
        <v>0</v>
      </c>
      <c r="AG1202" s="1">
        <f t="shared" si="596"/>
        <v>0</v>
      </c>
      <c r="AH1202" s="1">
        <f t="shared" si="596"/>
        <v>0</v>
      </c>
      <c r="AI1202" s="44">
        <f t="shared" si="582"/>
        <v>0</v>
      </c>
      <c r="AJ1202" s="44">
        <f t="shared" si="573"/>
        <v>0</v>
      </c>
      <c r="AK1202" s="44">
        <f t="shared" si="591"/>
        <v>0</v>
      </c>
      <c r="AL1202" s="4">
        <f t="shared" si="574"/>
        <v>512</v>
      </c>
      <c r="AM1202" s="82">
        <f t="shared" si="583"/>
        <v>0</v>
      </c>
      <c r="AN1202" s="82">
        <f t="shared" si="575"/>
        <v>0</v>
      </c>
      <c r="AO1202" s="48">
        <v>0</v>
      </c>
      <c r="AP1202" s="91">
        <f t="shared" si="584"/>
        <v>0</v>
      </c>
      <c r="AQ1202" s="91">
        <f t="shared" si="585"/>
        <v>0</v>
      </c>
    </row>
    <row r="1203" spans="1:43">
      <c r="A1203" s="190">
        <f t="shared" si="576"/>
        <v>108.47091033538672</v>
      </c>
      <c r="B1203" s="82">
        <f t="shared" si="577"/>
        <v>43</v>
      </c>
      <c r="C1203" s="83">
        <f t="shared" si="578"/>
        <v>513</v>
      </c>
      <c r="D1203" s="14">
        <f t="shared" ref="D1203:D1266" si="597">Growth_Rate_2_Monthly</f>
        <v>2.6283369587845051E-3</v>
      </c>
      <c r="E1203" s="16">
        <f t="shared" ref="E1203:E1266" si="598">IF(Gtee_Flag="on",1,0)</f>
        <v>0</v>
      </c>
      <c r="F1203" s="127"/>
      <c r="G1203" s="88">
        <f t="shared" ref="G1203:G1266" si="599">IF(B1203&lt;=8,VLOOKUP(Product_Code,Product_Parameters,B1203+5,FALSE),0)</f>
        <v>0</v>
      </c>
      <c r="H1203" s="89">
        <f t="shared" si="579"/>
        <v>4.1666666666666666E-3</v>
      </c>
      <c r="I1203" s="219"/>
      <c r="J1203" s="219"/>
      <c r="K1203" s="6">
        <f t="shared" si="588"/>
        <v>0</v>
      </c>
      <c r="M1203" s="6">
        <f t="shared" ref="M1203:M1266" si="600">(K1203+L1203)*D1203</f>
        <v>0</v>
      </c>
      <c r="N1203" s="6">
        <f t="shared" ref="N1203:N1266" si="601">-(($K1203+(L1203)+M1203/2)*(External_Fund_Charge_Monthly+Fund_Charge_Monthly+Gtee_Charge_Monthly*$E1203))</f>
        <v>0</v>
      </c>
      <c r="O1203" s="90">
        <f t="shared" ref="O1203:O1266" si="602">IF(C1203&gt;=Regular_Income_Start_Month,
MIN(Regular_Income_Amount/12*(1+Income_Escalation_Rate_Annual)^($B1203-1),AJ1203),0)</f>
        <v>0</v>
      </c>
      <c r="P1203" s="91">
        <f t="shared" ref="P1203:P1266" si="603">MAX(IF(C1203&gt;=Regular_Income_Start_Month,
MIN(IF(Income_Type="Fixed Percent",$C$51,0)/12*(K1203+L1203+M1203+N1203),AJ1203),0),0)</f>
        <v>0</v>
      </c>
      <c r="Q1203" s="6">
        <f t="shared" ref="Q1203:Q1266" si="604">MAX(IF(C1203&gt;=Regular_Income_Start_Month,
MIN(H1203*(K1203+L1203+M1203+N1203),AJ1203),0),0)</f>
        <v>0</v>
      </c>
      <c r="R1203" s="87">
        <f t="shared" si="590"/>
        <v>0</v>
      </c>
      <c r="S1203" s="6">
        <f t="shared" ref="S1203:S1266" si="605">-(($K1203+I1203+M1203/2+N1203/2+R1203/2)*(Ongoing_Commission_Monthly)+(I1203)*new_upfront_commission)</f>
        <v>0</v>
      </c>
      <c r="T1203" s="83">
        <f t="shared" si="580"/>
        <v>0</v>
      </c>
      <c r="U1203" s="91">
        <f t="shared" si="586"/>
        <v>0</v>
      </c>
      <c r="V1203" s="91">
        <f t="shared" si="581"/>
        <v>0</v>
      </c>
      <c r="W1203" s="1">
        <f t="shared" si="596"/>
        <v>0</v>
      </c>
      <c r="X1203" s="1">
        <f t="shared" si="596"/>
        <v>0</v>
      </c>
      <c r="Y1203" s="1">
        <f t="shared" si="596"/>
        <v>0</v>
      </c>
      <c r="Z1203" s="1">
        <f t="shared" si="596"/>
        <v>0</v>
      </c>
      <c r="AA1203" s="1">
        <f t="shared" si="596"/>
        <v>0</v>
      </c>
      <c r="AB1203" s="1">
        <f t="shared" si="596"/>
        <v>0</v>
      </c>
      <c r="AC1203" s="1">
        <f t="shared" si="596"/>
        <v>0</v>
      </c>
      <c r="AD1203" s="1">
        <f t="shared" si="596"/>
        <v>0</v>
      </c>
      <c r="AE1203" s="1">
        <f t="shared" si="596"/>
        <v>0</v>
      </c>
      <c r="AF1203" s="1">
        <f t="shared" si="596"/>
        <v>0</v>
      </c>
      <c r="AG1203" s="1">
        <f t="shared" si="596"/>
        <v>0</v>
      </c>
      <c r="AH1203" s="1">
        <f t="shared" si="596"/>
        <v>0</v>
      </c>
      <c r="AI1203" s="44">
        <f t="shared" si="582"/>
        <v>0</v>
      </c>
      <c r="AJ1203" s="44">
        <f t="shared" ref="AJ1203:AJ1266" si="606">MAX(0,SUM(K1203:N1203)-$C$66)</f>
        <v>0</v>
      </c>
      <c r="AK1203" s="44">
        <f t="shared" si="591"/>
        <v>0</v>
      </c>
      <c r="AL1203" s="4">
        <f t="shared" ref="AL1203:AL1266" si="607">C1203</f>
        <v>513</v>
      </c>
      <c r="AM1203" s="82">
        <f t="shared" si="583"/>
        <v>0</v>
      </c>
      <c r="AN1203" s="82">
        <f t="shared" ref="AN1203:AN1266" si="608">IF(AND(B1203=Fund_Zero_Year_2,K1204=0,K1203&gt;0),-U1203,IF(AND(B1203+1=Fund_Zero_Year_2,K1204=0,K1203&gt;0),-U1203,0))</f>
        <v>0</v>
      </c>
      <c r="AO1203" s="48">
        <v>0</v>
      </c>
      <c r="AP1203" s="91">
        <f t="shared" si="584"/>
        <v>0</v>
      </c>
      <c r="AQ1203" s="91">
        <f t="shared" si="585"/>
        <v>0</v>
      </c>
    </row>
    <row r="1204" spans="1:43">
      <c r="A1204" s="190">
        <f t="shared" ref="A1204:A1267" si="609">$C$43+C1203/12</f>
        <v>108.55424366872005</v>
      </c>
      <c r="B1204" s="82">
        <f t="shared" ref="B1204:B1267" si="610">INT((C1204-1)/12)+1</f>
        <v>43</v>
      </c>
      <c r="C1204" s="83">
        <f t="shared" ref="C1204:C1267" si="611">C1203+1</f>
        <v>514</v>
      </c>
      <c r="D1204" s="14">
        <f t="shared" si="597"/>
        <v>2.6283369587845051E-3</v>
      </c>
      <c r="E1204" s="16">
        <f t="shared" si="598"/>
        <v>0</v>
      </c>
      <c r="F1204" s="127"/>
      <c r="G1204" s="88">
        <f t="shared" si="599"/>
        <v>0</v>
      </c>
      <c r="H1204" s="89">
        <f t="shared" ref="H1204:H1267" si="612">IF((K1203+L1203+M1203+N1203+R1203)&gt;=2000000,VLOOKUP("&gt;=2000000",Default_IncomeRate_table,3,FALSE),
IF($A1204&lt;71,VLOOKUP("&lt;71",Default_IncomeRate_table,3,FALSE),
IF($A1204&gt;=71,VLOOKUP("&gt;=71",Default_IncomeRate_table,3,FALSE),"")))</f>
        <v>4.1666666666666666E-3</v>
      </c>
      <c r="I1204" s="219"/>
      <c r="J1204" s="219"/>
      <c r="K1204" s="6">
        <f t="shared" si="588"/>
        <v>0</v>
      </c>
      <c r="M1204" s="6">
        <f t="shared" si="600"/>
        <v>0</v>
      </c>
      <c r="N1204" s="6">
        <f t="shared" si="601"/>
        <v>0</v>
      </c>
      <c r="O1204" s="90">
        <f t="shared" si="602"/>
        <v>0</v>
      </c>
      <c r="P1204" s="91">
        <f t="shared" si="603"/>
        <v>0</v>
      </c>
      <c r="Q1204" s="6">
        <f t="shared" si="604"/>
        <v>0</v>
      </c>
      <c r="R1204" s="87">
        <f t="shared" si="590"/>
        <v>0</v>
      </c>
      <c r="S1204" s="6">
        <f t="shared" si="605"/>
        <v>0</v>
      </c>
      <c r="T1204" s="83">
        <f t="shared" ref="T1204:T1267" si="613">SUM(K1204:N1204,R1204)*$G1204</f>
        <v>0</v>
      </c>
      <c r="U1204" s="91">
        <f t="shared" si="586"/>
        <v>0</v>
      </c>
      <c r="V1204" s="91">
        <f t="shared" ref="V1204:V1267" si="614">U1204*D1204</f>
        <v>0</v>
      </c>
      <c r="W1204" s="1">
        <f t="shared" si="596"/>
        <v>0</v>
      </c>
      <c r="X1204" s="1">
        <f t="shared" si="596"/>
        <v>0</v>
      </c>
      <c r="Y1204" s="1">
        <f t="shared" si="596"/>
        <v>0</v>
      </c>
      <c r="Z1204" s="1">
        <f t="shared" si="596"/>
        <v>0</v>
      </c>
      <c r="AA1204" s="1">
        <f t="shared" si="596"/>
        <v>0</v>
      </c>
      <c r="AB1204" s="1">
        <f t="shared" si="596"/>
        <v>0</v>
      </c>
      <c r="AC1204" s="1">
        <f t="shared" si="596"/>
        <v>0</v>
      </c>
      <c r="AD1204" s="1">
        <f t="shared" si="596"/>
        <v>0</v>
      </c>
      <c r="AE1204" s="1">
        <f t="shared" si="596"/>
        <v>0</v>
      </c>
      <c r="AF1204" s="1">
        <f t="shared" si="596"/>
        <v>0</v>
      </c>
      <c r="AG1204" s="1">
        <f t="shared" si="596"/>
        <v>0</v>
      </c>
      <c r="AH1204" s="1">
        <f t="shared" si="596"/>
        <v>0</v>
      </c>
      <c r="AI1204" s="44">
        <f t="shared" ref="AI1204:AI1267" si="615">SUM(K1204:N1204,R1204)</f>
        <v>0</v>
      </c>
      <c r="AJ1204" s="44">
        <f t="shared" si="606"/>
        <v>0</v>
      </c>
      <c r="AK1204" s="44">
        <f t="shared" si="591"/>
        <v>0</v>
      </c>
      <c r="AL1204" s="4">
        <f t="shared" si="607"/>
        <v>514</v>
      </c>
      <c r="AM1204" s="82">
        <f t="shared" ref="AM1204:AM1267" si="616">I1204</f>
        <v>0</v>
      </c>
      <c r="AN1204" s="82">
        <f t="shared" si="608"/>
        <v>0</v>
      </c>
      <c r="AO1204" s="48">
        <v>0</v>
      </c>
      <c r="AP1204" s="91">
        <f t="shared" ref="AP1204:AP1267" si="617">$R1204+AN1204+AM1204</f>
        <v>0</v>
      </c>
      <c r="AQ1204" s="91">
        <f t="shared" ref="AQ1204:AQ1267" si="618">$R1204+AO1204+AM1204</f>
        <v>0</v>
      </c>
    </row>
    <row r="1205" spans="1:43">
      <c r="A1205" s="190">
        <f t="shared" si="609"/>
        <v>108.63757700205338</v>
      </c>
      <c r="B1205" s="82">
        <f t="shared" si="610"/>
        <v>43</v>
      </c>
      <c r="C1205" s="83">
        <f t="shared" si="611"/>
        <v>515</v>
      </c>
      <c r="D1205" s="14">
        <f t="shared" si="597"/>
        <v>2.6283369587845051E-3</v>
      </c>
      <c r="E1205" s="16">
        <f t="shared" si="598"/>
        <v>0</v>
      </c>
      <c r="F1205" s="127"/>
      <c r="G1205" s="88">
        <f t="shared" si="599"/>
        <v>0</v>
      </c>
      <c r="H1205" s="89">
        <f t="shared" si="612"/>
        <v>4.1666666666666666E-3</v>
      </c>
      <c r="I1205" s="219"/>
      <c r="J1205" s="219"/>
      <c r="K1205" s="6">
        <f t="shared" si="588"/>
        <v>0</v>
      </c>
      <c r="M1205" s="6">
        <f t="shared" si="600"/>
        <v>0</v>
      </c>
      <c r="N1205" s="6">
        <f t="shared" si="601"/>
        <v>0</v>
      </c>
      <c r="O1205" s="90">
        <f t="shared" si="602"/>
        <v>0</v>
      </c>
      <c r="P1205" s="91">
        <f t="shared" si="603"/>
        <v>0</v>
      </c>
      <c r="Q1205" s="6">
        <f t="shared" si="604"/>
        <v>0</v>
      </c>
      <c r="R1205" s="87">
        <f t="shared" si="590"/>
        <v>0</v>
      </c>
      <c r="S1205" s="6">
        <f t="shared" si="605"/>
        <v>0</v>
      </c>
      <c r="T1205" s="83">
        <f t="shared" si="613"/>
        <v>0</v>
      </c>
      <c r="U1205" s="91">
        <f t="shared" ref="U1205:U1268" si="619">IF(K1205=0,0,SUM(U1204,R1204,V1204))</f>
        <v>0</v>
      </c>
      <c r="V1205" s="91">
        <f t="shared" si="614"/>
        <v>0</v>
      </c>
      <c r="W1205" s="1">
        <f t="shared" si="596"/>
        <v>0</v>
      </c>
      <c r="X1205" s="1">
        <f t="shared" si="596"/>
        <v>0</v>
      </c>
      <c r="Y1205" s="1">
        <f t="shared" si="596"/>
        <v>0</v>
      </c>
      <c r="Z1205" s="1">
        <f t="shared" si="596"/>
        <v>0</v>
      </c>
      <c r="AA1205" s="1">
        <f t="shared" si="596"/>
        <v>0</v>
      </c>
      <c r="AB1205" s="1">
        <f t="shared" si="596"/>
        <v>0</v>
      </c>
      <c r="AC1205" s="1">
        <f t="shared" si="596"/>
        <v>0</v>
      </c>
      <c r="AD1205" s="1">
        <f t="shared" si="596"/>
        <v>0</v>
      </c>
      <c r="AE1205" s="1">
        <f t="shared" si="596"/>
        <v>0</v>
      </c>
      <c r="AF1205" s="1">
        <f t="shared" si="596"/>
        <v>0</v>
      </c>
      <c r="AG1205" s="1">
        <f t="shared" si="596"/>
        <v>0</v>
      </c>
      <c r="AH1205" s="1">
        <f t="shared" si="596"/>
        <v>0</v>
      </c>
      <c r="AI1205" s="44">
        <f t="shared" si="615"/>
        <v>0</v>
      </c>
      <c r="AJ1205" s="44">
        <f t="shared" si="606"/>
        <v>0</v>
      </c>
      <c r="AK1205" s="44">
        <f t="shared" si="591"/>
        <v>0</v>
      </c>
      <c r="AL1205" s="4">
        <f t="shared" si="607"/>
        <v>515</v>
      </c>
      <c r="AM1205" s="82">
        <f t="shared" si="616"/>
        <v>0</v>
      </c>
      <c r="AN1205" s="82">
        <f t="shared" si="608"/>
        <v>0</v>
      </c>
      <c r="AO1205" s="48">
        <v>0</v>
      </c>
      <c r="AP1205" s="91">
        <f t="shared" si="617"/>
        <v>0</v>
      </c>
      <c r="AQ1205" s="91">
        <f t="shared" si="618"/>
        <v>0</v>
      </c>
    </row>
    <row r="1206" spans="1:43">
      <c r="A1206" s="190">
        <f t="shared" si="609"/>
        <v>108.72091033538672</v>
      </c>
      <c r="B1206" s="82">
        <f t="shared" si="610"/>
        <v>43</v>
      </c>
      <c r="C1206" s="83">
        <f t="shared" si="611"/>
        <v>516</v>
      </c>
      <c r="D1206" s="14">
        <f t="shared" si="597"/>
        <v>2.6283369587845051E-3</v>
      </c>
      <c r="E1206" s="16">
        <f t="shared" si="598"/>
        <v>0</v>
      </c>
      <c r="F1206" s="127"/>
      <c r="G1206" s="88">
        <f t="shared" si="599"/>
        <v>0</v>
      </c>
      <c r="H1206" s="89">
        <f t="shared" si="612"/>
        <v>4.1666666666666666E-3</v>
      </c>
      <c r="I1206" s="219"/>
      <c r="J1206" s="219"/>
      <c r="K1206" s="6">
        <f t="shared" si="588"/>
        <v>0</v>
      </c>
      <c r="M1206" s="6">
        <f t="shared" si="600"/>
        <v>0</v>
      </c>
      <c r="N1206" s="6">
        <f t="shared" si="601"/>
        <v>0</v>
      </c>
      <c r="O1206" s="90">
        <f t="shared" si="602"/>
        <v>0</v>
      </c>
      <c r="P1206" s="91">
        <f t="shared" si="603"/>
        <v>0</v>
      </c>
      <c r="Q1206" s="6">
        <f t="shared" si="604"/>
        <v>0</v>
      </c>
      <c r="R1206" s="87">
        <f t="shared" si="590"/>
        <v>0</v>
      </c>
      <c r="S1206" s="6">
        <f t="shared" si="605"/>
        <v>0</v>
      </c>
      <c r="T1206" s="83">
        <f t="shared" si="613"/>
        <v>0</v>
      </c>
      <c r="U1206" s="91">
        <f t="shared" si="619"/>
        <v>0</v>
      </c>
      <c r="V1206" s="91">
        <f t="shared" si="614"/>
        <v>0</v>
      </c>
      <c r="W1206" s="1">
        <f t="shared" si="596"/>
        <v>0</v>
      </c>
      <c r="X1206" s="1">
        <f t="shared" si="596"/>
        <v>0</v>
      </c>
      <c r="Y1206" s="1">
        <f t="shared" si="596"/>
        <v>0</v>
      </c>
      <c r="Z1206" s="1">
        <f t="shared" si="596"/>
        <v>0</v>
      </c>
      <c r="AA1206" s="1">
        <f t="shared" si="596"/>
        <v>0</v>
      </c>
      <c r="AB1206" s="1">
        <f t="shared" si="596"/>
        <v>0</v>
      </c>
      <c r="AC1206" s="1">
        <f t="shared" si="596"/>
        <v>0</v>
      </c>
      <c r="AD1206" s="1">
        <f t="shared" si="596"/>
        <v>0</v>
      </c>
      <c r="AE1206" s="1">
        <f t="shared" si="596"/>
        <v>0</v>
      </c>
      <c r="AF1206" s="1">
        <f t="shared" si="596"/>
        <v>0</v>
      </c>
      <c r="AG1206" s="1">
        <f t="shared" si="596"/>
        <v>0</v>
      </c>
      <c r="AH1206" s="1">
        <f t="shared" si="596"/>
        <v>0</v>
      </c>
      <c r="AI1206" s="44">
        <f t="shared" si="615"/>
        <v>0</v>
      </c>
      <c r="AJ1206" s="44">
        <f t="shared" si="606"/>
        <v>0</v>
      </c>
      <c r="AK1206" s="44">
        <f t="shared" si="591"/>
        <v>0</v>
      </c>
      <c r="AL1206" s="4">
        <f t="shared" si="607"/>
        <v>516</v>
      </c>
      <c r="AM1206" s="82">
        <f t="shared" si="616"/>
        <v>0</v>
      </c>
      <c r="AN1206" s="82">
        <f t="shared" si="608"/>
        <v>0</v>
      </c>
      <c r="AO1206" s="48">
        <v>0</v>
      </c>
      <c r="AP1206" s="91">
        <f t="shared" si="617"/>
        <v>0</v>
      </c>
      <c r="AQ1206" s="91">
        <f t="shared" si="618"/>
        <v>0</v>
      </c>
    </row>
    <row r="1207" spans="1:43">
      <c r="A1207" s="190">
        <f t="shared" si="609"/>
        <v>108.80424366872005</v>
      </c>
      <c r="B1207" s="82">
        <f t="shared" si="610"/>
        <v>44</v>
      </c>
      <c r="C1207" s="83">
        <f t="shared" si="611"/>
        <v>517</v>
      </c>
      <c r="D1207" s="14">
        <f t="shared" si="597"/>
        <v>2.6283369587845051E-3</v>
      </c>
      <c r="E1207" s="16">
        <f t="shared" si="598"/>
        <v>0</v>
      </c>
      <c r="F1207" s="127"/>
      <c r="G1207" s="88">
        <f t="shared" si="599"/>
        <v>0</v>
      </c>
      <c r="H1207" s="89">
        <f t="shared" si="612"/>
        <v>4.1666666666666666E-3</v>
      </c>
      <c r="I1207" s="219"/>
      <c r="J1207" s="219"/>
      <c r="K1207" s="6">
        <f t="shared" ref="K1207:K1270" si="620">SUM(K1206:M1206,N1206,R1206)</f>
        <v>0</v>
      </c>
      <c r="M1207" s="6">
        <f t="shared" si="600"/>
        <v>0</v>
      </c>
      <c r="N1207" s="6">
        <f t="shared" si="601"/>
        <v>0</v>
      </c>
      <c r="O1207" s="90">
        <f t="shared" si="602"/>
        <v>0</v>
      </c>
      <c r="P1207" s="91">
        <f t="shared" si="603"/>
        <v>0</v>
      </c>
      <c r="Q1207" s="6">
        <f t="shared" si="604"/>
        <v>0</v>
      </c>
      <c r="R1207" s="87">
        <f t="shared" si="590"/>
        <v>0</v>
      </c>
      <c r="S1207" s="6">
        <f t="shared" si="605"/>
        <v>0</v>
      </c>
      <c r="T1207" s="83">
        <f t="shared" si="613"/>
        <v>0</v>
      </c>
      <c r="U1207" s="91">
        <f t="shared" si="619"/>
        <v>0</v>
      </c>
      <c r="V1207" s="91">
        <f t="shared" si="614"/>
        <v>0</v>
      </c>
      <c r="W1207" s="1">
        <f t="shared" si="596"/>
        <v>0</v>
      </c>
      <c r="X1207" s="1">
        <f t="shared" si="596"/>
        <v>0</v>
      </c>
      <c r="Y1207" s="1">
        <f t="shared" si="596"/>
        <v>0</v>
      </c>
      <c r="Z1207" s="1">
        <f t="shared" si="596"/>
        <v>0</v>
      </c>
      <c r="AA1207" s="1">
        <f t="shared" si="596"/>
        <v>0</v>
      </c>
      <c r="AB1207" s="1">
        <f t="shared" si="596"/>
        <v>0</v>
      </c>
      <c r="AC1207" s="1">
        <f t="shared" si="596"/>
        <v>0</v>
      </c>
      <c r="AD1207" s="1">
        <f t="shared" si="596"/>
        <v>0</v>
      </c>
      <c r="AE1207" s="1">
        <f t="shared" si="596"/>
        <v>0</v>
      </c>
      <c r="AF1207" s="1">
        <f t="shared" si="596"/>
        <v>0</v>
      </c>
      <c r="AG1207" s="1">
        <f t="shared" si="596"/>
        <v>0</v>
      </c>
      <c r="AH1207" s="1">
        <f t="shared" si="596"/>
        <v>0</v>
      </c>
      <c r="AI1207" s="44">
        <f t="shared" si="615"/>
        <v>0</v>
      </c>
      <c r="AJ1207" s="44">
        <f t="shared" si="606"/>
        <v>0</v>
      </c>
      <c r="AK1207" s="44">
        <f t="shared" si="591"/>
        <v>0</v>
      </c>
      <c r="AL1207" s="4">
        <f t="shared" si="607"/>
        <v>517</v>
      </c>
      <c r="AM1207" s="82">
        <f t="shared" si="616"/>
        <v>0</v>
      </c>
      <c r="AN1207" s="82">
        <f t="shared" si="608"/>
        <v>0</v>
      </c>
      <c r="AO1207" s="48">
        <v>0</v>
      </c>
      <c r="AP1207" s="91">
        <f t="shared" si="617"/>
        <v>0</v>
      </c>
      <c r="AQ1207" s="91">
        <f t="shared" si="618"/>
        <v>0</v>
      </c>
    </row>
    <row r="1208" spans="1:43">
      <c r="A1208" s="190">
        <f t="shared" si="609"/>
        <v>108.88757700205338</v>
      </c>
      <c r="B1208" s="82">
        <f t="shared" si="610"/>
        <v>44</v>
      </c>
      <c r="C1208" s="83">
        <f t="shared" si="611"/>
        <v>518</v>
      </c>
      <c r="D1208" s="14">
        <f t="shared" si="597"/>
        <v>2.6283369587845051E-3</v>
      </c>
      <c r="E1208" s="16">
        <f t="shared" si="598"/>
        <v>0</v>
      </c>
      <c r="F1208" s="127"/>
      <c r="G1208" s="88">
        <f t="shared" si="599"/>
        <v>0</v>
      </c>
      <c r="H1208" s="89">
        <f t="shared" si="612"/>
        <v>4.1666666666666666E-3</v>
      </c>
      <c r="I1208" s="219"/>
      <c r="J1208" s="219"/>
      <c r="K1208" s="6">
        <f t="shared" si="620"/>
        <v>0</v>
      </c>
      <c r="M1208" s="6">
        <f t="shared" si="600"/>
        <v>0</v>
      </c>
      <c r="N1208" s="6">
        <f t="shared" si="601"/>
        <v>0</v>
      </c>
      <c r="O1208" s="90">
        <f t="shared" si="602"/>
        <v>0</v>
      </c>
      <c r="P1208" s="91">
        <f t="shared" si="603"/>
        <v>0</v>
      </c>
      <c r="Q1208" s="6">
        <f t="shared" si="604"/>
        <v>0</v>
      </c>
      <c r="R1208" s="87">
        <f t="shared" si="590"/>
        <v>0</v>
      </c>
      <c r="S1208" s="6">
        <f t="shared" si="605"/>
        <v>0</v>
      </c>
      <c r="T1208" s="83">
        <f t="shared" si="613"/>
        <v>0</v>
      </c>
      <c r="U1208" s="91">
        <f t="shared" si="619"/>
        <v>0</v>
      </c>
      <c r="V1208" s="91">
        <f t="shared" si="614"/>
        <v>0</v>
      </c>
      <c r="W1208" s="1">
        <f t="shared" si="596"/>
        <v>0</v>
      </c>
      <c r="X1208" s="1">
        <f t="shared" si="596"/>
        <v>0</v>
      </c>
      <c r="Y1208" s="1">
        <f t="shared" si="596"/>
        <v>0</v>
      </c>
      <c r="Z1208" s="1">
        <f t="shared" si="596"/>
        <v>0</v>
      </c>
      <c r="AA1208" s="1">
        <f t="shared" si="596"/>
        <v>0</v>
      </c>
      <c r="AB1208" s="1">
        <f t="shared" si="596"/>
        <v>0</v>
      </c>
      <c r="AC1208" s="1">
        <f t="shared" si="596"/>
        <v>0</v>
      </c>
      <c r="AD1208" s="1">
        <f t="shared" si="596"/>
        <v>0</v>
      </c>
      <c r="AE1208" s="1">
        <f t="shared" si="596"/>
        <v>0</v>
      </c>
      <c r="AF1208" s="1">
        <f t="shared" si="596"/>
        <v>0</v>
      </c>
      <c r="AG1208" s="1">
        <f t="shared" si="596"/>
        <v>0</v>
      </c>
      <c r="AH1208" s="1">
        <f t="shared" si="596"/>
        <v>0</v>
      </c>
      <c r="AI1208" s="44">
        <f t="shared" si="615"/>
        <v>0</v>
      </c>
      <c r="AJ1208" s="44">
        <f t="shared" si="606"/>
        <v>0</v>
      </c>
      <c r="AK1208" s="44">
        <f t="shared" si="591"/>
        <v>0</v>
      </c>
      <c r="AL1208" s="4">
        <f t="shared" si="607"/>
        <v>518</v>
      </c>
      <c r="AM1208" s="82">
        <f t="shared" si="616"/>
        <v>0</v>
      </c>
      <c r="AN1208" s="82">
        <f t="shared" si="608"/>
        <v>0</v>
      </c>
      <c r="AO1208" s="48">
        <v>0</v>
      </c>
      <c r="AP1208" s="91">
        <f t="shared" si="617"/>
        <v>0</v>
      </c>
      <c r="AQ1208" s="91">
        <f t="shared" si="618"/>
        <v>0</v>
      </c>
    </row>
    <row r="1209" spans="1:43">
      <c r="A1209" s="190">
        <f t="shared" si="609"/>
        <v>108.97091033538672</v>
      </c>
      <c r="B1209" s="82">
        <f t="shared" si="610"/>
        <v>44</v>
      </c>
      <c r="C1209" s="83">
        <f t="shared" si="611"/>
        <v>519</v>
      </c>
      <c r="D1209" s="14">
        <f t="shared" si="597"/>
        <v>2.6283369587845051E-3</v>
      </c>
      <c r="E1209" s="16">
        <f t="shared" si="598"/>
        <v>0</v>
      </c>
      <c r="F1209" s="127"/>
      <c r="G1209" s="88">
        <f t="shared" si="599"/>
        <v>0</v>
      </c>
      <c r="H1209" s="89">
        <f t="shared" si="612"/>
        <v>4.1666666666666666E-3</v>
      </c>
      <c r="I1209" s="219"/>
      <c r="J1209" s="219"/>
      <c r="K1209" s="6">
        <f t="shared" si="620"/>
        <v>0</v>
      </c>
      <c r="M1209" s="6">
        <f t="shared" si="600"/>
        <v>0</v>
      </c>
      <c r="N1209" s="6">
        <f t="shared" si="601"/>
        <v>0</v>
      </c>
      <c r="O1209" s="90">
        <f t="shared" si="602"/>
        <v>0</v>
      </c>
      <c r="P1209" s="91">
        <f t="shared" si="603"/>
        <v>0</v>
      </c>
      <c r="Q1209" s="6">
        <f t="shared" si="604"/>
        <v>0</v>
      </c>
      <c r="R1209" s="87">
        <f t="shared" si="590"/>
        <v>0</v>
      </c>
      <c r="S1209" s="6">
        <f t="shared" si="605"/>
        <v>0</v>
      </c>
      <c r="T1209" s="83">
        <f t="shared" si="613"/>
        <v>0</v>
      </c>
      <c r="U1209" s="91">
        <f t="shared" si="619"/>
        <v>0</v>
      </c>
      <c r="V1209" s="91">
        <f t="shared" si="614"/>
        <v>0</v>
      </c>
      <c r="W1209" s="1">
        <f t="shared" si="596"/>
        <v>0</v>
      </c>
      <c r="X1209" s="1">
        <f t="shared" si="596"/>
        <v>0</v>
      </c>
      <c r="Y1209" s="1">
        <f t="shared" si="596"/>
        <v>0</v>
      </c>
      <c r="Z1209" s="1">
        <f t="shared" si="596"/>
        <v>0</v>
      </c>
      <c r="AA1209" s="1">
        <f t="shared" si="596"/>
        <v>0</v>
      </c>
      <c r="AB1209" s="1">
        <f t="shared" si="596"/>
        <v>0</v>
      </c>
      <c r="AC1209" s="1">
        <f t="shared" si="596"/>
        <v>0</v>
      </c>
      <c r="AD1209" s="1">
        <f t="shared" si="596"/>
        <v>0</v>
      </c>
      <c r="AE1209" s="1">
        <f t="shared" si="596"/>
        <v>0</v>
      </c>
      <c r="AF1209" s="1">
        <f t="shared" si="596"/>
        <v>0</v>
      </c>
      <c r="AG1209" s="1">
        <f t="shared" si="596"/>
        <v>0</v>
      </c>
      <c r="AH1209" s="1">
        <f t="shared" si="596"/>
        <v>0</v>
      </c>
      <c r="AI1209" s="44">
        <f t="shared" si="615"/>
        <v>0</v>
      </c>
      <c r="AJ1209" s="44">
        <f t="shared" si="606"/>
        <v>0</v>
      </c>
      <c r="AK1209" s="44">
        <f t="shared" si="591"/>
        <v>0</v>
      </c>
      <c r="AL1209" s="4">
        <f t="shared" si="607"/>
        <v>519</v>
      </c>
      <c r="AM1209" s="82">
        <f t="shared" si="616"/>
        <v>0</v>
      </c>
      <c r="AN1209" s="82">
        <f t="shared" si="608"/>
        <v>0</v>
      </c>
      <c r="AO1209" s="48">
        <v>0</v>
      </c>
      <c r="AP1209" s="91">
        <f t="shared" si="617"/>
        <v>0</v>
      </c>
      <c r="AQ1209" s="91">
        <f t="shared" si="618"/>
        <v>0</v>
      </c>
    </row>
    <row r="1210" spans="1:43">
      <c r="A1210" s="190">
        <f t="shared" si="609"/>
        <v>109.05424366872005</v>
      </c>
      <c r="B1210" s="82">
        <f t="shared" si="610"/>
        <v>44</v>
      </c>
      <c r="C1210" s="83">
        <f t="shared" si="611"/>
        <v>520</v>
      </c>
      <c r="D1210" s="14">
        <f t="shared" si="597"/>
        <v>2.6283369587845051E-3</v>
      </c>
      <c r="E1210" s="16">
        <f t="shared" si="598"/>
        <v>0</v>
      </c>
      <c r="F1210" s="127"/>
      <c r="G1210" s="88">
        <f t="shared" si="599"/>
        <v>0</v>
      </c>
      <c r="H1210" s="89">
        <f t="shared" si="612"/>
        <v>4.1666666666666666E-3</v>
      </c>
      <c r="I1210" s="219"/>
      <c r="J1210" s="219"/>
      <c r="K1210" s="6">
        <f t="shared" si="620"/>
        <v>0</v>
      </c>
      <c r="M1210" s="6">
        <f t="shared" si="600"/>
        <v>0</v>
      </c>
      <c r="N1210" s="6">
        <f t="shared" si="601"/>
        <v>0</v>
      </c>
      <c r="O1210" s="90">
        <f t="shared" si="602"/>
        <v>0</v>
      </c>
      <c r="P1210" s="91">
        <f t="shared" si="603"/>
        <v>0</v>
      </c>
      <c r="Q1210" s="6">
        <f t="shared" si="604"/>
        <v>0</v>
      </c>
      <c r="R1210" s="87">
        <f t="shared" si="590"/>
        <v>0</v>
      </c>
      <c r="S1210" s="6">
        <f t="shared" si="605"/>
        <v>0</v>
      </c>
      <c r="T1210" s="83">
        <f t="shared" si="613"/>
        <v>0</v>
      </c>
      <c r="U1210" s="91">
        <f t="shared" si="619"/>
        <v>0</v>
      </c>
      <c r="V1210" s="91">
        <f t="shared" si="614"/>
        <v>0</v>
      </c>
      <c r="W1210" s="1">
        <f t="shared" si="596"/>
        <v>0</v>
      </c>
      <c r="X1210" s="1">
        <f t="shared" si="596"/>
        <v>0</v>
      </c>
      <c r="Y1210" s="1">
        <f t="shared" si="596"/>
        <v>0</v>
      </c>
      <c r="Z1210" s="1">
        <f t="shared" si="596"/>
        <v>0</v>
      </c>
      <c r="AA1210" s="1">
        <f t="shared" si="596"/>
        <v>0</v>
      </c>
      <c r="AB1210" s="1">
        <f t="shared" si="596"/>
        <v>0</v>
      </c>
      <c r="AC1210" s="1">
        <f t="shared" si="596"/>
        <v>0</v>
      </c>
      <c r="AD1210" s="1">
        <f t="shared" si="596"/>
        <v>0</v>
      </c>
      <c r="AE1210" s="1">
        <f t="shared" si="596"/>
        <v>0</v>
      </c>
      <c r="AF1210" s="1">
        <f t="shared" si="596"/>
        <v>0</v>
      </c>
      <c r="AG1210" s="1">
        <f t="shared" si="596"/>
        <v>0</v>
      </c>
      <c r="AH1210" s="1">
        <f t="shared" si="596"/>
        <v>0</v>
      </c>
      <c r="AI1210" s="44">
        <f t="shared" si="615"/>
        <v>0</v>
      </c>
      <c r="AJ1210" s="44">
        <f t="shared" si="606"/>
        <v>0</v>
      </c>
      <c r="AK1210" s="44">
        <f t="shared" si="591"/>
        <v>0</v>
      </c>
      <c r="AL1210" s="4">
        <f t="shared" si="607"/>
        <v>520</v>
      </c>
      <c r="AM1210" s="82">
        <f t="shared" si="616"/>
        <v>0</v>
      </c>
      <c r="AN1210" s="82">
        <f t="shared" si="608"/>
        <v>0</v>
      </c>
      <c r="AO1210" s="48">
        <v>0</v>
      </c>
      <c r="AP1210" s="91">
        <f t="shared" si="617"/>
        <v>0</v>
      </c>
      <c r="AQ1210" s="91">
        <f t="shared" si="618"/>
        <v>0</v>
      </c>
    </row>
    <row r="1211" spans="1:43">
      <c r="A1211" s="190">
        <f t="shared" si="609"/>
        <v>109.13757700205338</v>
      </c>
      <c r="B1211" s="82">
        <f t="shared" si="610"/>
        <v>44</v>
      </c>
      <c r="C1211" s="83">
        <f t="shared" si="611"/>
        <v>521</v>
      </c>
      <c r="D1211" s="14">
        <f t="shared" si="597"/>
        <v>2.6283369587845051E-3</v>
      </c>
      <c r="E1211" s="16">
        <f t="shared" si="598"/>
        <v>0</v>
      </c>
      <c r="F1211" s="127"/>
      <c r="G1211" s="88">
        <f t="shared" si="599"/>
        <v>0</v>
      </c>
      <c r="H1211" s="89">
        <f t="shared" si="612"/>
        <v>4.1666666666666666E-3</v>
      </c>
      <c r="I1211" s="219"/>
      <c r="J1211" s="219"/>
      <c r="K1211" s="6">
        <f t="shared" si="620"/>
        <v>0</v>
      </c>
      <c r="M1211" s="6">
        <f t="shared" si="600"/>
        <v>0</v>
      </c>
      <c r="N1211" s="6">
        <f t="shared" si="601"/>
        <v>0</v>
      </c>
      <c r="O1211" s="90">
        <f t="shared" si="602"/>
        <v>0</v>
      </c>
      <c r="P1211" s="91">
        <f t="shared" si="603"/>
        <v>0</v>
      </c>
      <c r="Q1211" s="6">
        <f t="shared" si="604"/>
        <v>0</v>
      </c>
      <c r="R1211" s="87">
        <f t="shared" si="590"/>
        <v>0</v>
      </c>
      <c r="S1211" s="6">
        <f t="shared" si="605"/>
        <v>0</v>
      </c>
      <c r="T1211" s="83">
        <f t="shared" si="613"/>
        <v>0</v>
      </c>
      <c r="U1211" s="91">
        <f t="shared" si="619"/>
        <v>0</v>
      </c>
      <c r="V1211" s="91">
        <f t="shared" si="614"/>
        <v>0</v>
      </c>
      <c r="W1211" s="1">
        <f t="shared" ref="W1211:AH1220" si="621">IF($B1211&lt;=W$78,1,0)</f>
        <v>0</v>
      </c>
      <c r="X1211" s="1">
        <f t="shared" si="621"/>
        <v>0</v>
      </c>
      <c r="Y1211" s="1">
        <f t="shared" si="621"/>
        <v>0</v>
      </c>
      <c r="Z1211" s="1">
        <f t="shared" si="621"/>
        <v>0</v>
      </c>
      <c r="AA1211" s="1">
        <f t="shared" si="621"/>
        <v>0</v>
      </c>
      <c r="AB1211" s="1">
        <f t="shared" si="621"/>
        <v>0</v>
      </c>
      <c r="AC1211" s="1">
        <f t="shared" si="621"/>
        <v>0</v>
      </c>
      <c r="AD1211" s="1">
        <f t="shared" si="621"/>
        <v>0</v>
      </c>
      <c r="AE1211" s="1">
        <f t="shared" si="621"/>
        <v>0</v>
      </c>
      <c r="AF1211" s="1">
        <f t="shared" si="621"/>
        <v>0</v>
      </c>
      <c r="AG1211" s="1">
        <f t="shared" si="621"/>
        <v>0</v>
      </c>
      <c r="AH1211" s="1">
        <f t="shared" si="621"/>
        <v>0</v>
      </c>
      <c r="AI1211" s="44">
        <f t="shared" si="615"/>
        <v>0</v>
      </c>
      <c r="AJ1211" s="44">
        <f t="shared" si="606"/>
        <v>0</v>
      </c>
      <c r="AK1211" s="44">
        <f t="shared" si="591"/>
        <v>0</v>
      </c>
      <c r="AL1211" s="4">
        <f t="shared" si="607"/>
        <v>521</v>
      </c>
      <c r="AM1211" s="82">
        <f t="shared" si="616"/>
        <v>0</v>
      </c>
      <c r="AN1211" s="82">
        <f t="shared" si="608"/>
        <v>0</v>
      </c>
      <c r="AO1211" s="48">
        <v>0</v>
      </c>
      <c r="AP1211" s="91">
        <f t="shared" si="617"/>
        <v>0</v>
      </c>
      <c r="AQ1211" s="91">
        <f t="shared" si="618"/>
        <v>0</v>
      </c>
    </row>
    <row r="1212" spans="1:43">
      <c r="A1212" s="190">
        <f t="shared" si="609"/>
        <v>109.22091033538672</v>
      </c>
      <c r="B1212" s="82">
        <f t="shared" si="610"/>
        <v>44</v>
      </c>
      <c r="C1212" s="83">
        <f t="shared" si="611"/>
        <v>522</v>
      </c>
      <c r="D1212" s="14">
        <f t="shared" si="597"/>
        <v>2.6283369587845051E-3</v>
      </c>
      <c r="E1212" s="16">
        <f t="shared" si="598"/>
        <v>0</v>
      </c>
      <c r="F1212" s="127"/>
      <c r="G1212" s="88">
        <f t="shared" si="599"/>
        <v>0</v>
      </c>
      <c r="H1212" s="89">
        <f t="shared" si="612"/>
        <v>4.1666666666666666E-3</v>
      </c>
      <c r="I1212" s="219"/>
      <c r="J1212" s="219"/>
      <c r="K1212" s="6">
        <f t="shared" si="620"/>
        <v>0</v>
      </c>
      <c r="M1212" s="6">
        <f t="shared" si="600"/>
        <v>0</v>
      </c>
      <c r="N1212" s="6">
        <f t="shared" si="601"/>
        <v>0</v>
      </c>
      <c r="O1212" s="90">
        <f t="shared" si="602"/>
        <v>0</v>
      </c>
      <c r="P1212" s="91">
        <f t="shared" si="603"/>
        <v>0</v>
      </c>
      <c r="Q1212" s="6">
        <f t="shared" si="604"/>
        <v>0</v>
      </c>
      <c r="R1212" s="87">
        <f t="shared" si="590"/>
        <v>0</v>
      </c>
      <c r="S1212" s="6">
        <f t="shared" si="605"/>
        <v>0</v>
      </c>
      <c r="T1212" s="83">
        <f t="shared" si="613"/>
        <v>0</v>
      </c>
      <c r="U1212" s="91">
        <f t="shared" si="619"/>
        <v>0</v>
      </c>
      <c r="V1212" s="91">
        <f t="shared" si="614"/>
        <v>0</v>
      </c>
      <c r="W1212" s="1">
        <f t="shared" si="621"/>
        <v>0</v>
      </c>
      <c r="X1212" s="1">
        <f t="shared" si="621"/>
        <v>0</v>
      </c>
      <c r="Y1212" s="1">
        <f t="shared" si="621"/>
        <v>0</v>
      </c>
      <c r="Z1212" s="1">
        <f t="shared" si="621"/>
        <v>0</v>
      </c>
      <c r="AA1212" s="1">
        <f t="shared" si="621"/>
        <v>0</v>
      </c>
      <c r="AB1212" s="1">
        <f t="shared" si="621"/>
        <v>0</v>
      </c>
      <c r="AC1212" s="1">
        <f t="shared" si="621"/>
        <v>0</v>
      </c>
      <c r="AD1212" s="1">
        <f t="shared" si="621"/>
        <v>0</v>
      </c>
      <c r="AE1212" s="1">
        <f t="shared" si="621"/>
        <v>0</v>
      </c>
      <c r="AF1212" s="1">
        <f t="shared" si="621"/>
        <v>0</v>
      </c>
      <c r="AG1212" s="1">
        <f t="shared" si="621"/>
        <v>0</v>
      </c>
      <c r="AH1212" s="1">
        <f t="shared" si="621"/>
        <v>0</v>
      </c>
      <c r="AI1212" s="44">
        <f t="shared" si="615"/>
        <v>0</v>
      </c>
      <c r="AJ1212" s="44">
        <f t="shared" si="606"/>
        <v>0</v>
      </c>
      <c r="AK1212" s="44">
        <f t="shared" si="591"/>
        <v>0</v>
      </c>
      <c r="AL1212" s="4">
        <f t="shared" si="607"/>
        <v>522</v>
      </c>
      <c r="AM1212" s="82">
        <f t="shared" si="616"/>
        <v>0</v>
      </c>
      <c r="AN1212" s="82">
        <f t="shared" si="608"/>
        <v>0</v>
      </c>
      <c r="AO1212" s="48">
        <v>0</v>
      </c>
      <c r="AP1212" s="91">
        <f t="shared" si="617"/>
        <v>0</v>
      </c>
      <c r="AQ1212" s="91">
        <f t="shared" si="618"/>
        <v>0</v>
      </c>
    </row>
    <row r="1213" spans="1:43">
      <c r="A1213" s="190">
        <f t="shared" si="609"/>
        <v>109.30424366872005</v>
      </c>
      <c r="B1213" s="82">
        <f t="shared" si="610"/>
        <v>44</v>
      </c>
      <c r="C1213" s="83">
        <f t="shared" si="611"/>
        <v>523</v>
      </c>
      <c r="D1213" s="14">
        <f t="shared" si="597"/>
        <v>2.6283369587845051E-3</v>
      </c>
      <c r="E1213" s="16">
        <f t="shared" si="598"/>
        <v>0</v>
      </c>
      <c r="F1213" s="127"/>
      <c r="G1213" s="88">
        <f t="shared" si="599"/>
        <v>0</v>
      </c>
      <c r="H1213" s="89">
        <f t="shared" si="612"/>
        <v>4.1666666666666666E-3</v>
      </c>
      <c r="I1213" s="219"/>
      <c r="J1213" s="219"/>
      <c r="K1213" s="6">
        <f t="shared" si="620"/>
        <v>0</v>
      </c>
      <c r="M1213" s="6">
        <f t="shared" si="600"/>
        <v>0</v>
      </c>
      <c r="N1213" s="6">
        <f t="shared" si="601"/>
        <v>0</v>
      </c>
      <c r="O1213" s="90">
        <f t="shared" si="602"/>
        <v>0</v>
      </c>
      <c r="P1213" s="91">
        <f t="shared" si="603"/>
        <v>0</v>
      </c>
      <c r="Q1213" s="6">
        <f t="shared" si="604"/>
        <v>0</v>
      </c>
      <c r="R1213" s="87">
        <f t="shared" si="590"/>
        <v>0</v>
      </c>
      <c r="S1213" s="6">
        <f t="shared" si="605"/>
        <v>0</v>
      </c>
      <c r="T1213" s="83">
        <f t="shared" si="613"/>
        <v>0</v>
      </c>
      <c r="U1213" s="91">
        <f t="shared" si="619"/>
        <v>0</v>
      </c>
      <c r="V1213" s="91">
        <f t="shared" si="614"/>
        <v>0</v>
      </c>
      <c r="W1213" s="1">
        <f t="shared" si="621"/>
        <v>0</v>
      </c>
      <c r="X1213" s="1">
        <f t="shared" si="621"/>
        <v>0</v>
      </c>
      <c r="Y1213" s="1">
        <f t="shared" si="621"/>
        <v>0</v>
      </c>
      <c r="Z1213" s="1">
        <f t="shared" si="621"/>
        <v>0</v>
      </c>
      <c r="AA1213" s="1">
        <f t="shared" si="621"/>
        <v>0</v>
      </c>
      <c r="AB1213" s="1">
        <f t="shared" si="621"/>
        <v>0</v>
      </c>
      <c r="AC1213" s="1">
        <f t="shared" si="621"/>
        <v>0</v>
      </c>
      <c r="AD1213" s="1">
        <f t="shared" si="621"/>
        <v>0</v>
      </c>
      <c r="AE1213" s="1">
        <f t="shared" si="621"/>
        <v>0</v>
      </c>
      <c r="AF1213" s="1">
        <f t="shared" si="621"/>
        <v>0</v>
      </c>
      <c r="AG1213" s="1">
        <f t="shared" si="621"/>
        <v>0</v>
      </c>
      <c r="AH1213" s="1">
        <f t="shared" si="621"/>
        <v>0</v>
      </c>
      <c r="AI1213" s="44">
        <f t="shared" si="615"/>
        <v>0</v>
      </c>
      <c r="AJ1213" s="44">
        <f t="shared" si="606"/>
        <v>0</v>
      </c>
      <c r="AK1213" s="44">
        <f t="shared" si="591"/>
        <v>0</v>
      </c>
      <c r="AL1213" s="4">
        <f t="shared" si="607"/>
        <v>523</v>
      </c>
      <c r="AM1213" s="82">
        <f t="shared" si="616"/>
        <v>0</v>
      </c>
      <c r="AN1213" s="82">
        <f t="shared" si="608"/>
        <v>0</v>
      </c>
      <c r="AO1213" s="48">
        <v>0</v>
      </c>
      <c r="AP1213" s="91">
        <f t="shared" si="617"/>
        <v>0</v>
      </c>
      <c r="AQ1213" s="91">
        <f t="shared" si="618"/>
        <v>0</v>
      </c>
    </row>
    <row r="1214" spans="1:43">
      <c r="A1214" s="190">
        <f t="shared" si="609"/>
        <v>109.38757700205338</v>
      </c>
      <c r="B1214" s="82">
        <f t="shared" si="610"/>
        <v>44</v>
      </c>
      <c r="C1214" s="83">
        <f t="shared" si="611"/>
        <v>524</v>
      </c>
      <c r="D1214" s="14">
        <f t="shared" si="597"/>
        <v>2.6283369587845051E-3</v>
      </c>
      <c r="E1214" s="16">
        <f t="shared" si="598"/>
        <v>0</v>
      </c>
      <c r="F1214" s="127"/>
      <c r="G1214" s="88">
        <f t="shared" si="599"/>
        <v>0</v>
      </c>
      <c r="H1214" s="89">
        <f t="shared" si="612"/>
        <v>4.1666666666666666E-3</v>
      </c>
      <c r="I1214" s="219"/>
      <c r="J1214" s="219"/>
      <c r="K1214" s="6">
        <f t="shared" si="620"/>
        <v>0</v>
      </c>
      <c r="M1214" s="6">
        <f t="shared" si="600"/>
        <v>0</v>
      </c>
      <c r="N1214" s="6">
        <f t="shared" si="601"/>
        <v>0</v>
      </c>
      <c r="O1214" s="90">
        <f t="shared" si="602"/>
        <v>0</v>
      </c>
      <c r="P1214" s="91">
        <f t="shared" si="603"/>
        <v>0</v>
      </c>
      <c r="Q1214" s="6">
        <f t="shared" si="604"/>
        <v>0</v>
      </c>
      <c r="R1214" s="87">
        <f t="shared" si="590"/>
        <v>0</v>
      </c>
      <c r="S1214" s="6">
        <f t="shared" si="605"/>
        <v>0</v>
      </c>
      <c r="T1214" s="83">
        <f t="shared" si="613"/>
        <v>0</v>
      </c>
      <c r="U1214" s="91">
        <f t="shared" si="619"/>
        <v>0</v>
      </c>
      <c r="V1214" s="91">
        <f t="shared" si="614"/>
        <v>0</v>
      </c>
      <c r="W1214" s="1">
        <f t="shared" si="621"/>
        <v>0</v>
      </c>
      <c r="X1214" s="1">
        <f t="shared" si="621"/>
        <v>0</v>
      </c>
      <c r="Y1214" s="1">
        <f t="shared" si="621"/>
        <v>0</v>
      </c>
      <c r="Z1214" s="1">
        <f t="shared" si="621"/>
        <v>0</v>
      </c>
      <c r="AA1214" s="1">
        <f t="shared" si="621"/>
        <v>0</v>
      </c>
      <c r="AB1214" s="1">
        <f t="shared" si="621"/>
        <v>0</v>
      </c>
      <c r="AC1214" s="1">
        <f t="shared" si="621"/>
        <v>0</v>
      </c>
      <c r="AD1214" s="1">
        <f t="shared" si="621"/>
        <v>0</v>
      </c>
      <c r="AE1214" s="1">
        <f t="shared" si="621"/>
        <v>0</v>
      </c>
      <c r="AF1214" s="1">
        <f t="shared" si="621"/>
        <v>0</v>
      </c>
      <c r="AG1214" s="1">
        <f t="shared" si="621"/>
        <v>0</v>
      </c>
      <c r="AH1214" s="1">
        <f t="shared" si="621"/>
        <v>0</v>
      </c>
      <c r="AI1214" s="44">
        <f t="shared" si="615"/>
        <v>0</v>
      </c>
      <c r="AJ1214" s="44">
        <f t="shared" si="606"/>
        <v>0</v>
      </c>
      <c r="AK1214" s="44">
        <f t="shared" si="591"/>
        <v>0</v>
      </c>
      <c r="AL1214" s="4">
        <f t="shared" si="607"/>
        <v>524</v>
      </c>
      <c r="AM1214" s="82">
        <f t="shared" si="616"/>
        <v>0</v>
      </c>
      <c r="AN1214" s="82">
        <f t="shared" si="608"/>
        <v>0</v>
      </c>
      <c r="AO1214" s="48">
        <v>0</v>
      </c>
      <c r="AP1214" s="91">
        <f t="shared" si="617"/>
        <v>0</v>
      </c>
      <c r="AQ1214" s="91">
        <f t="shared" si="618"/>
        <v>0</v>
      </c>
    </row>
    <row r="1215" spans="1:43">
      <c r="A1215" s="190">
        <f t="shared" si="609"/>
        <v>109.47091033538672</v>
      </c>
      <c r="B1215" s="82">
        <f t="shared" si="610"/>
        <v>44</v>
      </c>
      <c r="C1215" s="83">
        <f t="shared" si="611"/>
        <v>525</v>
      </c>
      <c r="D1215" s="14">
        <f t="shared" si="597"/>
        <v>2.6283369587845051E-3</v>
      </c>
      <c r="E1215" s="16">
        <f t="shared" si="598"/>
        <v>0</v>
      </c>
      <c r="F1215" s="127"/>
      <c r="G1215" s="88">
        <f t="shared" si="599"/>
        <v>0</v>
      </c>
      <c r="H1215" s="89">
        <f t="shared" si="612"/>
        <v>4.1666666666666666E-3</v>
      </c>
      <c r="I1215" s="219"/>
      <c r="J1215" s="219"/>
      <c r="K1215" s="6">
        <f t="shared" si="620"/>
        <v>0</v>
      </c>
      <c r="M1215" s="6">
        <f t="shared" si="600"/>
        <v>0</v>
      </c>
      <c r="N1215" s="6">
        <f t="shared" si="601"/>
        <v>0</v>
      </c>
      <c r="O1215" s="90">
        <f t="shared" si="602"/>
        <v>0</v>
      </c>
      <c r="P1215" s="91">
        <f t="shared" si="603"/>
        <v>0</v>
      </c>
      <c r="Q1215" s="6">
        <f t="shared" si="604"/>
        <v>0</v>
      </c>
      <c r="R1215" s="87">
        <f t="shared" si="590"/>
        <v>0</v>
      </c>
      <c r="S1215" s="6">
        <f t="shared" si="605"/>
        <v>0</v>
      </c>
      <c r="T1215" s="83">
        <f t="shared" si="613"/>
        <v>0</v>
      </c>
      <c r="U1215" s="91">
        <f t="shared" si="619"/>
        <v>0</v>
      </c>
      <c r="V1215" s="91">
        <f t="shared" si="614"/>
        <v>0</v>
      </c>
      <c r="W1215" s="1">
        <f t="shared" si="621"/>
        <v>0</v>
      </c>
      <c r="X1215" s="1">
        <f t="shared" si="621"/>
        <v>0</v>
      </c>
      <c r="Y1215" s="1">
        <f t="shared" si="621"/>
        <v>0</v>
      </c>
      <c r="Z1215" s="1">
        <f t="shared" si="621"/>
        <v>0</v>
      </c>
      <c r="AA1215" s="1">
        <f t="shared" si="621"/>
        <v>0</v>
      </c>
      <c r="AB1215" s="1">
        <f t="shared" si="621"/>
        <v>0</v>
      </c>
      <c r="AC1215" s="1">
        <f t="shared" si="621"/>
        <v>0</v>
      </c>
      <c r="AD1215" s="1">
        <f t="shared" si="621"/>
        <v>0</v>
      </c>
      <c r="AE1215" s="1">
        <f t="shared" si="621"/>
        <v>0</v>
      </c>
      <c r="AF1215" s="1">
        <f t="shared" si="621"/>
        <v>0</v>
      </c>
      <c r="AG1215" s="1">
        <f t="shared" si="621"/>
        <v>0</v>
      </c>
      <c r="AH1215" s="1">
        <f t="shared" si="621"/>
        <v>0</v>
      </c>
      <c r="AI1215" s="44">
        <f t="shared" si="615"/>
        <v>0</v>
      </c>
      <c r="AJ1215" s="44">
        <f t="shared" si="606"/>
        <v>0</v>
      </c>
      <c r="AK1215" s="44">
        <f t="shared" si="591"/>
        <v>0</v>
      </c>
      <c r="AL1215" s="4">
        <f t="shared" si="607"/>
        <v>525</v>
      </c>
      <c r="AM1215" s="82">
        <f t="shared" si="616"/>
        <v>0</v>
      </c>
      <c r="AN1215" s="82">
        <f t="shared" si="608"/>
        <v>0</v>
      </c>
      <c r="AO1215" s="48">
        <v>0</v>
      </c>
      <c r="AP1215" s="91">
        <f t="shared" si="617"/>
        <v>0</v>
      </c>
      <c r="AQ1215" s="91">
        <f t="shared" si="618"/>
        <v>0</v>
      </c>
    </row>
    <row r="1216" spans="1:43">
      <c r="A1216" s="190">
        <f t="shared" si="609"/>
        <v>109.55424366872005</v>
      </c>
      <c r="B1216" s="82">
        <f t="shared" si="610"/>
        <v>44</v>
      </c>
      <c r="C1216" s="83">
        <f t="shared" si="611"/>
        <v>526</v>
      </c>
      <c r="D1216" s="14">
        <f t="shared" si="597"/>
        <v>2.6283369587845051E-3</v>
      </c>
      <c r="E1216" s="16">
        <f t="shared" si="598"/>
        <v>0</v>
      </c>
      <c r="F1216" s="127"/>
      <c r="G1216" s="88">
        <f t="shared" si="599"/>
        <v>0</v>
      </c>
      <c r="H1216" s="89">
        <f t="shared" si="612"/>
        <v>4.1666666666666666E-3</v>
      </c>
      <c r="I1216" s="219"/>
      <c r="J1216" s="219"/>
      <c r="K1216" s="6">
        <f t="shared" si="620"/>
        <v>0</v>
      </c>
      <c r="M1216" s="6">
        <f t="shared" si="600"/>
        <v>0</v>
      </c>
      <c r="N1216" s="6">
        <f t="shared" si="601"/>
        <v>0</v>
      </c>
      <c r="O1216" s="90">
        <f t="shared" si="602"/>
        <v>0</v>
      </c>
      <c r="P1216" s="91">
        <f t="shared" si="603"/>
        <v>0</v>
      </c>
      <c r="Q1216" s="6">
        <f t="shared" si="604"/>
        <v>0</v>
      </c>
      <c r="R1216" s="87">
        <f t="shared" ref="R1216:R1279" si="622">-MIN(MAX(O1216,P1216,Q1216,-R1204*1.02),AJ1216)</f>
        <v>0</v>
      </c>
      <c r="S1216" s="6">
        <f t="shared" si="605"/>
        <v>0</v>
      </c>
      <c r="T1216" s="83">
        <f t="shared" si="613"/>
        <v>0</v>
      </c>
      <c r="U1216" s="91">
        <f t="shared" si="619"/>
        <v>0</v>
      </c>
      <c r="V1216" s="91">
        <f t="shared" si="614"/>
        <v>0</v>
      </c>
      <c r="W1216" s="1">
        <f t="shared" si="621"/>
        <v>0</v>
      </c>
      <c r="X1216" s="1">
        <f t="shared" si="621"/>
        <v>0</v>
      </c>
      <c r="Y1216" s="1">
        <f t="shared" si="621"/>
        <v>0</v>
      </c>
      <c r="Z1216" s="1">
        <f t="shared" si="621"/>
        <v>0</v>
      </c>
      <c r="AA1216" s="1">
        <f t="shared" si="621"/>
        <v>0</v>
      </c>
      <c r="AB1216" s="1">
        <f t="shared" si="621"/>
        <v>0</v>
      </c>
      <c r="AC1216" s="1">
        <f t="shared" si="621"/>
        <v>0</v>
      </c>
      <c r="AD1216" s="1">
        <f t="shared" si="621"/>
        <v>0</v>
      </c>
      <c r="AE1216" s="1">
        <f t="shared" si="621"/>
        <v>0</v>
      </c>
      <c r="AF1216" s="1">
        <f t="shared" si="621"/>
        <v>0</v>
      </c>
      <c r="AG1216" s="1">
        <f t="shared" si="621"/>
        <v>0</v>
      </c>
      <c r="AH1216" s="1">
        <f t="shared" si="621"/>
        <v>0</v>
      </c>
      <c r="AI1216" s="44">
        <f t="shared" si="615"/>
        <v>0</v>
      </c>
      <c r="AJ1216" s="44">
        <f t="shared" si="606"/>
        <v>0</v>
      </c>
      <c r="AK1216" s="44">
        <f t="shared" ref="AK1216:AK1279" si="623">IF(R1216=0,0,IF(R1216&gt;R1204,"Y","N"))</f>
        <v>0</v>
      </c>
      <c r="AL1216" s="4">
        <f t="shared" si="607"/>
        <v>526</v>
      </c>
      <c r="AM1216" s="82">
        <f t="shared" si="616"/>
        <v>0</v>
      </c>
      <c r="AN1216" s="82">
        <f t="shared" si="608"/>
        <v>0</v>
      </c>
      <c r="AO1216" s="48">
        <v>0</v>
      </c>
      <c r="AP1216" s="91">
        <f t="shared" si="617"/>
        <v>0</v>
      </c>
      <c r="AQ1216" s="91">
        <f t="shared" si="618"/>
        <v>0</v>
      </c>
    </row>
    <row r="1217" spans="1:43">
      <c r="A1217" s="190">
        <f t="shared" si="609"/>
        <v>109.63757700205338</v>
      </c>
      <c r="B1217" s="82">
        <f t="shared" si="610"/>
        <v>44</v>
      </c>
      <c r="C1217" s="83">
        <f t="shared" si="611"/>
        <v>527</v>
      </c>
      <c r="D1217" s="14">
        <f t="shared" si="597"/>
        <v>2.6283369587845051E-3</v>
      </c>
      <c r="E1217" s="16">
        <f t="shared" si="598"/>
        <v>0</v>
      </c>
      <c r="F1217" s="127"/>
      <c r="G1217" s="88">
        <f t="shared" si="599"/>
        <v>0</v>
      </c>
      <c r="H1217" s="89">
        <f t="shared" si="612"/>
        <v>4.1666666666666666E-3</v>
      </c>
      <c r="I1217" s="219"/>
      <c r="J1217" s="219"/>
      <c r="K1217" s="6">
        <f t="shared" si="620"/>
        <v>0</v>
      </c>
      <c r="M1217" s="6">
        <f t="shared" si="600"/>
        <v>0</v>
      </c>
      <c r="N1217" s="6">
        <f t="shared" si="601"/>
        <v>0</v>
      </c>
      <c r="O1217" s="90">
        <f t="shared" si="602"/>
        <v>0</v>
      </c>
      <c r="P1217" s="91">
        <f t="shared" si="603"/>
        <v>0</v>
      </c>
      <c r="Q1217" s="6">
        <f t="shared" si="604"/>
        <v>0</v>
      </c>
      <c r="R1217" s="87">
        <f t="shared" si="622"/>
        <v>0</v>
      </c>
      <c r="S1217" s="6">
        <f t="shared" si="605"/>
        <v>0</v>
      </c>
      <c r="T1217" s="83">
        <f t="shared" si="613"/>
        <v>0</v>
      </c>
      <c r="U1217" s="91">
        <f t="shared" si="619"/>
        <v>0</v>
      </c>
      <c r="V1217" s="91">
        <f t="shared" si="614"/>
        <v>0</v>
      </c>
      <c r="W1217" s="1">
        <f t="shared" si="621"/>
        <v>0</v>
      </c>
      <c r="X1217" s="1">
        <f t="shared" si="621"/>
        <v>0</v>
      </c>
      <c r="Y1217" s="1">
        <f t="shared" si="621"/>
        <v>0</v>
      </c>
      <c r="Z1217" s="1">
        <f t="shared" si="621"/>
        <v>0</v>
      </c>
      <c r="AA1217" s="1">
        <f t="shared" si="621"/>
        <v>0</v>
      </c>
      <c r="AB1217" s="1">
        <f t="shared" si="621"/>
        <v>0</v>
      </c>
      <c r="AC1217" s="1">
        <f t="shared" si="621"/>
        <v>0</v>
      </c>
      <c r="AD1217" s="1">
        <f t="shared" si="621"/>
        <v>0</v>
      </c>
      <c r="AE1217" s="1">
        <f t="shared" si="621"/>
        <v>0</v>
      </c>
      <c r="AF1217" s="1">
        <f t="shared" si="621"/>
        <v>0</v>
      </c>
      <c r="AG1217" s="1">
        <f t="shared" si="621"/>
        <v>0</v>
      </c>
      <c r="AH1217" s="1">
        <f t="shared" si="621"/>
        <v>0</v>
      </c>
      <c r="AI1217" s="44">
        <f t="shared" si="615"/>
        <v>0</v>
      </c>
      <c r="AJ1217" s="44">
        <f t="shared" si="606"/>
        <v>0</v>
      </c>
      <c r="AK1217" s="44">
        <f t="shared" si="623"/>
        <v>0</v>
      </c>
      <c r="AL1217" s="4">
        <f t="shared" si="607"/>
        <v>527</v>
      </c>
      <c r="AM1217" s="82">
        <f t="shared" si="616"/>
        <v>0</v>
      </c>
      <c r="AN1217" s="82">
        <f t="shared" si="608"/>
        <v>0</v>
      </c>
      <c r="AO1217" s="48">
        <v>0</v>
      </c>
      <c r="AP1217" s="91">
        <f t="shared" si="617"/>
        <v>0</v>
      </c>
      <c r="AQ1217" s="91">
        <f t="shared" si="618"/>
        <v>0</v>
      </c>
    </row>
    <row r="1218" spans="1:43">
      <c r="A1218" s="190">
        <f t="shared" si="609"/>
        <v>109.72091033538672</v>
      </c>
      <c r="B1218" s="82">
        <f t="shared" si="610"/>
        <v>44</v>
      </c>
      <c r="C1218" s="83">
        <f t="shared" si="611"/>
        <v>528</v>
      </c>
      <c r="D1218" s="14">
        <f t="shared" si="597"/>
        <v>2.6283369587845051E-3</v>
      </c>
      <c r="E1218" s="16">
        <f t="shared" si="598"/>
        <v>0</v>
      </c>
      <c r="F1218" s="127"/>
      <c r="G1218" s="88">
        <f t="shared" si="599"/>
        <v>0</v>
      </c>
      <c r="H1218" s="89">
        <f t="shared" si="612"/>
        <v>4.1666666666666666E-3</v>
      </c>
      <c r="I1218" s="219"/>
      <c r="J1218" s="219"/>
      <c r="K1218" s="6">
        <f t="shared" si="620"/>
        <v>0</v>
      </c>
      <c r="M1218" s="6">
        <f t="shared" si="600"/>
        <v>0</v>
      </c>
      <c r="N1218" s="6">
        <f t="shared" si="601"/>
        <v>0</v>
      </c>
      <c r="O1218" s="90">
        <f t="shared" si="602"/>
        <v>0</v>
      </c>
      <c r="P1218" s="91">
        <f t="shared" si="603"/>
        <v>0</v>
      </c>
      <c r="Q1218" s="6">
        <f t="shared" si="604"/>
        <v>0</v>
      </c>
      <c r="R1218" s="87">
        <f t="shared" si="622"/>
        <v>0</v>
      </c>
      <c r="S1218" s="6">
        <f t="shared" si="605"/>
        <v>0</v>
      </c>
      <c r="T1218" s="83">
        <f t="shared" si="613"/>
        <v>0</v>
      </c>
      <c r="U1218" s="91">
        <f t="shared" si="619"/>
        <v>0</v>
      </c>
      <c r="V1218" s="91">
        <f t="shared" si="614"/>
        <v>0</v>
      </c>
      <c r="W1218" s="1">
        <f t="shared" si="621"/>
        <v>0</v>
      </c>
      <c r="X1218" s="1">
        <f t="shared" si="621"/>
        <v>0</v>
      </c>
      <c r="Y1218" s="1">
        <f t="shared" si="621"/>
        <v>0</v>
      </c>
      <c r="Z1218" s="1">
        <f t="shared" si="621"/>
        <v>0</v>
      </c>
      <c r="AA1218" s="1">
        <f t="shared" si="621"/>
        <v>0</v>
      </c>
      <c r="AB1218" s="1">
        <f t="shared" si="621"/>
        <v>0</v>
      </c>
      <c r="AC1218" s="1">
        <f t="shared" si="621"/>
        <v>0</v>
      </c>
      <c r="AD1218" s="1">
        <f t="shared" si="621"/>
        <v>0</v>
      </c>
      <c r="AE1218" s="1">
        <f t="shared" si="621"/>
        <v>0</v>
      </c>
      <c r="AF1218" s="1">
        <f t="shared" si="621"/>
        <v>0</v>
      </c>
      <c r="AG1218" s="1">
        <f t="shared" si="621"/>
        <v>0</v>
      </c>
      <c r="AH1218" s="1">
        <f t="shared" si="621"/>
        <v>0</v>
      </c>
      <c r="AI1218" s="44">
        <f t="shared" si="615"/>
        <v>0</v>
      </c>
      <c r="AJ1218" s="44">
        <f t="shared" si="606"/>
        <v>0</v>
      </c>
      <c r="AK1218" s="44">
        <f t="shared" si="623"/>
        <v>0</v>
      </c>
      <c r="AL1218" s="4">
        <f t="shared" si="607"/>
        <v>528</v>
      </c>
      <c r="AM1218" s="82">
        <f t="shared" si="616"/>
        <v>0</v>
      </c>
      <c r="AN1218" s="82">
        <f t="shared" si="608"/>
        <v>0</v>
      </c>
      <c r="AO1218" s="48">
        <v>0</v>
      </c>
      <c r="AP1218" s="91">
        <f t="shared" si="617"/>
        <v>0</v>
      </c>
      <c r="AQ1218" s="91">
        <f t="shared" si="618"/>
        <v>0</v>
      </c>
    </row>
    <row r="1219" spans="1:43">
      <c r="A1219" s="190">
        <f t="shared" si="609"/>
        <v>109.80424366872005</v>
      </c>
      <c r="B1219" s="82">
        <f t="shared" si="610"/>
        <v>45</v>
      </c>
      <c r="C1219" s="83">
        <f t="shared" si="611"/>
        <v>529</v>
      </c>
      <c r="D1219" s="14">
        <f t="shared" si="597"/>
        <v>2.6283369587845051E-3</v>
      </c>
      <c r="E1219" s="16">
        <f t="shared" si="598"/>
        <v>0</v>
      </c>
      <c r="F1219" s="127"/>
      <c r="G1219" s="88">
        <f t="shared" si="599"/>
        <v>0</v>
      </c>
      <c r="H1219" s="89">
        <f t="shared" si="612"/>
        <v>4.1666666666666666E-3</v>
      </c>
      <c r="I1219" s="219"/>
      <c r="J1219" s="219"/>
      <c r="K1219" s="6">
        <f t="shared" si="620"/>
        <v>0</v>
      </c>
      <c r="M1219" s="6">
        <f t="shared" si="600"/>
        <v>0</v>
      </c>
      <c r="N1219" s="6">
        <f t="shared" si="601"/>
        <v>0</v>
      </c>
      <c r="O1219" s="90">
        <f t="shared" si="602"/>
        <v>0</v>
      </c>
      <c r="P1219" s="91">
        <f t="shared" si="603"/>
        <v>0</v>
      </c>
      <c r="Q1219" s="6">
        <f t="shared" si="604"/>
        <v>0</v>
      </c>
      <c r="R1219" s="87">
        <f t="shared" si="622"/>
        <v>0</v>
      </c>
      <c r="S1219" s="6">
        <f t="shared" si="605"/>
        <v>0</v>
      </c>
      <c r="T1219" s="83">
        <f t="shared" si="613"/>
        <v>0</v>
      </c>
      <c r="U1219" s="91">
        <f t="shared" si="619"/>
        <v>0</v>
      </c>
      <c r="V1219" s="91">
        <f t="shared" si="614"/>
        <v>0</v>
      </c>
      <c r="W1219" s="1">
        <f t="shared" si="621"/>
        <v>0</v>
      </c>
      <c r="X1219" s="1">
        <f t="shared" si="621"/>
        <v>0</v>
      </c>
      <c r="Y1219" s="1">
        <f t="shared" si="621"/>
        <v>0</v>
      </c>
      <c r="Z1219" s="1">
        <f t="shared" si="621"/>
        <v>0</v>
      </c>
      <c r="AA1219" s="1">
        <f t="shared" si="621"/>
        <v>0</v>
      </c>
      <c r="AB1219" s="1">
        <f t="shared" si="621"/>
        <v>0</v>
      </c>
      <c r="AC1219" s="1">
        <f t="shared" si="621"/>
        <v>0</v>
      </c>
      <c r="AD1219" s="1">
        <f t="shared" si="621"/>
        <v>0</v>
      </c>
      <c r="AE1219" s="1">
        <f t="shared" si="621"/>
        <v>0</v>
      </c>
      <c r="AF1219" s="1">
        <f t="shared" si="621"/>
        <v>0</v>
      </c>
      <c r="AG1219" s="1">
        <f t="shared" si="621"/>
        <v>0</v>
      </c>
      <c r="AH1219" s="1">
        <f t="shared" si="621"/>
        <v>0</v>
      </c>
      <c r="AI1219" s="44">
        <f t="shared" si="615"/>
        <v>0</v>
      </c>
      <c r="AJ1219" s="44">
        <f t="shared" si="606"/>
        <v>0</v>
      </c>
      <c r="AK1219" s="44">
        <f t="shared" si="623"/>
        <v>0</v>
      </c>
      <c r="AL1219" s="4">
        <f t="shared" si="607"/>
        <v>529</v>
      </c>
      <c r="AM1219" s="82">
        <f t="shared" si="616"/>
        <v>0</v>
      </c>
      <c r="AN1219" s="82">
        <f t="shared" si="608"/>
        <v>0</v>
      </c>
      <c r="AO1219" s="48">
        <v>0</v>
      </c>
      <c r="AP1219" s="91">
        <f t="shared" si="617"/>
        <v>0</v>
      </c>
      <c r="AQ1219" s="91">
        <f t="shared" si="618"/>
        <v>0</v>
      </c>
    </row>
    <row r="1220" spans="1:43">
      <c r="A1220" s="190">
        <f t="shared" si="609"/>
        <v>109.88757700205338</v>
      </c>
      <c r="B1220" s="82">
        <f t="shared" si="610"/>
        <v>45</v>
      </c>
      <c r="C1220" s="83">
        <f t="shared" si="611"/>
        <v>530</v>
      </c>
      <c r="D1220" s="14">
        <f t="shared" si="597"/>
        <v>2.6283369587845051E-3</v>
      </c>
      <c r="E1220" s="16">
        <f t="shared" si="598"/>
        <v>0</v>
      </c>
      <c r="F1220" s="127"/>
      <c r="G1220" s="88">
        <f t="shared" si="599"/>
        <v>0</v>
      </c>
      <c r="H1220" s="89">
        <f t="shared" si="612"/>
        <v>4.1666666666666666E-3</v>
      </c>
      <c r="I1220" s="219"/>
      <c r="J1220" s="219"/>
      <c r="K1220" s="6">
        <f t="shared" si="620"/>
        <v>0</v>
      </c>
      <c r="M1220" s="6">
        <f t="shared" si="600"/>
        <v>0</v>
      </c>
      <c r="N1220" s="6">
        <f t="shared" si="601"/>
        <v>0</v>
      </c>
      <c r="O1220" s="90">
        <f t="shared" si="602"/>
        <v>0</v>
      </c>
      <c r="P1220" s="91">
        <f t="shared" si="603"/>
        <v>0</v>
      </c>
      <c r="Q1220" s="6">
        <f t="shared" si="604"/>
        <v>0</v>
      </c>
      <c r="R1220" s="87">
        <f t="shared" si="622"/>
        <v>0</v>
      </c>
      <c r="S1220" s="6">
        <f t="shared" si="605"/>
        <v>0</v>
      </c>
      <c r="T1220" s="83">
        <f t="shared" si="613"/>
        <v>0</v>
      </c>
      <c r="U1220" s="91">
        <f t="shared" si="619"/>
        <v>0</v>
      </c>
      <c r="V1220" s="91">
        <f t="shared" si="614"/>
        <v>0</v>
      </c>
      <c r="W1220" s="1">
        <f t="shared" si="621"/>
        <v>0</v>
      </c>
      <c r="X1220" s="1">
        <f t="shared" si="621"/>
        <v>0</v>
      </c>
      <c r="Y1220" s="1">
        <f t="shared" si="621"/>
        <v>0</v>
      </c>
      <c r="Z1220" s="1">
        <f t="shared" si="621"/>
        <v>0</v>
      </c>
      <c r="AA1220" s="1">
        <f t="shared" si="621"/>
        <v>0</v>
      </c>
      <c r="AB1220" s="1">
        <f t="shared" si="621"/>
        <v>0</v>
      </c>
      <c r="AC1220" s="1">
        <f t="shared" si="621"/>
        <v>0</v>
      </c>
      <c r="AD1220" s="1">
        <f t="shared" si="621"/>
        <v>0</v>
      </c>
      <c r="AE1220" s="1">
        <f t="shared" si="621"/>
        <v>0</v>
      </c>
      <c r="AF1220" s="1">
        <f t="shared" si="621"/>
        <v>0</v>
      </c>
      <c r="AG1220" s="1">
        <f t="shared" si="621"/>
        <v>0</v>
      </c>
      <c r="AH1220" s="1">
        <f t="shared" si="621"/>
        <v>0</v>
      </c>
      <c r="AI1220" s="44">
        <f t="shared" si="615"/>
        <v>0</v>
      </c>
      <c r="AJ1220" s="44">
        <f t="shared" si="606"/>
        <v>0</v>
      </c>
      <c r="AK1220" s="44">
        <f t="shared" si="623"/>
        <v>0</v>
      </c>
      <c r="AL1220" s="4">
        <f t="shared" si="607"/>
        <v>530</v>
      </c>
      <c r="AM1220" s="82">
        <f t="shared" si="616"/>
        <v>0</v>
      </c>
      <c r="AN1220" s="82">
        <f t="shared" si="608"/>
        <v>0</v>
      </c>
      <c r="AO1220" s="48">
        <v>0</v>
      </c>
      <c r="AP1220" s="91">
        <f t="shared" si="617"/>
        <v>0</v>
      </c>
      <c r="AQ1220" s="91">
        <f t="shared" si="618"/>
        <v>0</v>
      </c>
    </row>
    <row r="1221" spans="1:43">
      <c r="A1221" s="190">
        <f t="shared" si="609"/>
        <v>109.97091033538672</v>
      </c>
      <c r="B1221" s="82">
        <f t="shared" si="610"/>
        <v>45</v>
      </c>
      <c r="C1221" s="83">
        <f t="shared" si="611"/>
        <v>531</v>
      </c>
      <c r="D1221" s="14">
        <f t="shared" si="597"/>
        <v>2.6283369587845051E-3</v>
      </c>
      <c r="E1221" s="16">
        <f t="shared" si="598"/>
        <v>0</v>
      </c>
      <c r="F1221" s="127"/>
      <c r="G1221" s="88">
        <f t="shared" si="599"/>
        <v>0</v>
      </c>
      <c r="H1221" s="89">
        <f t="shared" si="612"/>
        <v>4.1666666666666666E-3</v>
      </c>
      <c r="I1221" s="219"/>
      <c r="J1221" s="219"/>
      <c r="K1221" s="6">
        <f t="shared" si="620"/>
        <v>0</v>
      </c>
      <c r="M1221" s="6">
        <f t="shared" si="600"/>
        <v>0</v>
      </c>
      <c r="N1221" s="6">
        <f t="shared" si="601"/>
        <v>0</v>
      </c>
      <c r="O1221" s="90">
        <f t="shared" si="602"/>
        <v>0</v>
      </c>
      <c r="P1221" s="91">
        <f t="shared" si="603"/>
        <v>0</v>
      </c>
      <c r="Q1221" s="6">
        <f t="shared" si="604"/>
        <v>0</v>
      </c>
      <c r="R1221" s="87">
        <f t="shared" si="622"/>
        <v>0</v>
      </c>
      <c r="S1221" s="6">
        <f t="shared" si="605"/>
        <v>0</v>
      </c>
      <c r="T1221" s="83">
        <f t="shared" si="613"/>
        <v>0</v>
      </c>
      <c r="U1221" s="91">
        <f t="shared" si="619"/>
        <v>0</v>
      </c>
      <c r="V1221" s="91">
        <f t="shared" si="614"/>
        <v>0</v>
      </c>
      <c r="W1221" s="1">
        <f t="shared" ref="W1221:AH1230" si="624">IF($B1221&lt;=W$78,1,0)</f>
        <v>0</v>
      </c>
      <c r="X1221" s="1">
        <f t="shared" si="624"/>
        <v>0</v>
      </c>
      <c r="Y1221" s="1">
        <f t="shared" si="624"/>
        <v>0</v>
      </c>
      <c r="Z1221" s="1">
        <f t="shared" si="624"/>
        <v>0</v>
      </c>
      <c r="AA1221" s="1">
        <f t="shared" si="624"/>
        <v>0</v>
      </c>
      <c r="AB1221" s="1">
        <f t="shared" si="624"/>
        <v>0</v>
      </c>
      <c r="AC1221" s="1">
        <f t="shared" si="624"/>
        <v>0</v>
      </c>
      <c r="AD1221" s="1">
        <f t="shared" si="624"/>
        <v>0</v>
      </c>
      <c r="AE1221" s="1">
        <f t="shared" si="624"/>
        <v>0</v>
      </c>
      <c r="AF1221" s="1">
        <f t="shared" si="624"/>
        <v>0</v>
      </c>
      <c r="AG1221" s="1">
        <f t="shared" si="624"/>
        <v>0</v>
      </c>
      <c r="AH1221" s="1">
        <f t="shared" si="624"/>
        <v>0</v>
      </c>
      <c r="AI1221" s="44">
        <f t="shared" si="615"/>
        <v>0</v>
      </c>
      <c r="AJ1221" s="44">
        <f t="shared" si="606"/>
        <v>0</v>
      </c>
      <c r="AK1221" s="44">
        <f t="shared" si="623"/>
        <v>0</v>
      </c>
      <c r="AL1221" s="4">
        <f t="shared" si="607"/>
        <v>531</v>
      </c>
      <c r="AM1221" s="82">
        <f t="shared" si="616"/>
        <v>0</v>
      </c>
      <c r="AN1221" s="82">
        <f t="shared" si="608"/>
        <v>0</v>
      </c>
      <c r="AO1221" s="48">
        <v>0</v>
      </c>
      <c r="AP1221" s="91">
        <f t="shared" si="617"/>
        <v>0</v>
      </c>
      <c r="AQ1221" s="91">
        <f t="shared" si="618"/>
        <v>0</v>
      </c>
    </row>
    <row r="1222" spans="1:43">
      <c r="A1222" s="190">
        <f t="shared" si="609"/>
        <v>110.05424366872005</v>
      </c>
      <c r="B1222" s="82">
        <f t="shared" si="610"/>
        <v>45</v>
      </c>
      <c r="C1222" s="83">
        <f t="shared" si="611"/>
        <v>532</v>
      </c>
      <c r="D1222" s="14">
        <f t="shared" si="597"/>
        <v>2.6283369587845051E-3</v>
      </c>
      <c r="E1222" s="16">
        <f t="shared" si="598"/>
        <v>0</v>
      </c>
      <c r="F1222" s="127"/>
      <c r="G1222" s="88">
        <f t="shared" si="599"/>
        <v>0</v>
      </c>
      <c r="H1222" s="89">
        <f t="shared" si="612"/>
        <v>4.1666666666666666E-3</v>
      </c>
      <c r="I1222" s="219"/>
      <c r="J1222" s="219"/>
      <c r="K1222" s="6">
        <f t="shared" si="620"/>
        <v>0</v>
      </c>
      <c r="M1222" s="6">
        <f t="shared" si="600"/>
        <v>0</v>
      </c>
      <c r="N1222" s="6">
        <f t="shared" si="601"/>
        <v>0</v>
      </c>
      <c r="O1222" s="90">
        <f t="shared" si="602"/>
        <v>0</v>
      </c>
      <c r="P1222" s="91">
        <f t="shared" si="603"/>
        <v>0</v>
      </c>
      <c r="Q1222" s="6">
        <f t="shared" si="604"/>
        <v>0</v>
      </c>
      <c r="R1222" s="87">
        <f t="shared" si="622"/>
        <v>0</v>
      </c>
      <c r="S1222" s="6">
        <f t="shared" si="605"/>
        <v>0</v>
      </c>
      <c r="T1222" s="83">
        <f t="shared" si="613"/>
        <v>0</v>
      </c>
      <c r="U1222" s="91">
        <f t="shared" si="619"/>
        <v>0</v>
      </c>
      <c r="V1222" s="91">
        <f t="shared" si="614"/>
        <v>0</v>
      </c>
      <c r="W1222" s="1">
        <f t="shared" si="624"/>
        <v>0</v>
      </c>
      <c r="X1222" s="1">
        <f t="shared" si="624"/>
        <v>0</v>
      </c>
      <c r="Y1222" s="1">
        <f t="shared" si="624"/>
        <v>0</v>
      </c>
      <c r="Z1222" s="1">
        <f t="shared" si="624"/>
        <v>0</v>
      </c>
      <c r="AA1222" s="1">
        <f t="shared" si="624"/>
        <v>0</v>
      </c>
      <c r="AB1222" s="1">
        <f t="shared" si="624"/>
        <v>0</v>
      </c>
      <c r="AC1222" s="1">
        <f t="shared" si="624"/>
        <v>0</v>
      </c>
      <c r="AD1222" s="1">
        <f t="shared" si="624"/>
        <v>0</v>
      </c>
      <c r="AE1222" s="1">
        <f t="shared" si="624"/>
        <v>0</v>
      </c>
      <c r="AF1222" s="1">
        <f t="shared" si="624"/>
        <v>0</v>
      </c>
      <c r="AG1222" s="1">
        <f t="shared" si="624"/>
        <v>0</v>
      </c>
      <c r="AH1222" s="1">
        <f t="shared" si="624"/>
        <v>0</v>
      </c>
      <c r="AI1222" s="44">
        <f t="shared" si="615"/>
        <v>0</v>
      </c>
      <c r="AJ1222" s="44">
        <f t="shared" si="606"/>
        <v>0</v>
      </c>
      <c r="AK1222" s="44">
        <f t="shared" si="623"/>
        <v>0</v>
      </c>
      <c r="AL1222" s="4">
        <f t="shared" si="607"/>
        <v>532</v>
      </c>
      <c r="AM1222" s="82">
        <f t="shared" si="616"/>
        <v>0</v>
      </c>
      <c r="AN1222" s="82">
        <f t="shared" si="608"/>
        <v>0</v>
      </c>
      <c r="AO1222" s="48">
        <v>0</v>
      </c>
      <c r="AP1222" s="91">
        <f t="shared" si="617"/>
        <v>0</v>
      </c>
      <c r="AQ1222" s="91">
        <f t="shared" si="618"/>
        <v>0</v>
      </c>
    </row>
    <row r="1223" spans="1:43">
      <c r="A1223" s="190">
        <f t="shared" si="609"/>
        <v>110.13757700205338</v>
      </c>
      <c r="B1223" s="82">
        <f t="shared" si="610"/>
        <v>45</v>
      </c>
      <c r="C1223" s="83">
        <f t="shared" si="611"/>
        <v>533</v>
      </c>
      <c r="D1223" s="14">
        <f t="shared" si="597"/>
        <v>2.6283369587845051E-3</v>
      </c>
      <c r="E1223" s="16">
        <f t="shared" si="598"/>
        <v>0</v>
      </c>
      <c r="F1223" s="127"/>
      <c r="G1223" s="88">
        <f t="shared" si="599"/>
        <v>0</v>
      </c>
      <c r="H1223" s="89">
        <f t="shared" si="612"/>
        <v>4.1666666666666666E-3</v>
      </c>
      <c r="I1223" s="219"/>
      <c r="J1223" s="219"/>
      <c r="K1223" s="6">
        <f t="shared" si="620"/>
        <v>0</v>
      </c>
      <c r="M1223" s="6">
        <f t="shared" si="600"/>
        <v>0</v>
      </c>
      <c r="N1223" s="6">
        <f t="shared" si="601"/>
        <v>0</v>
      </c>
      <c r="O1223" s="90">
        <f t="shared" si="602"/>
        <v>0</v>
      </c>
      <c r="P1223" s="91">
        <f t="shared" si="603"/>
        <v>0</v>
      </c>
      <c r="Q1223" s="6">
        <f t="shared" si="604"/>
        <v>0</v>
      </c>
      <c r="R1223" s="87">
        <f t="shared" si="622"/>
        <v>0</v>
      </c>
      <c r="S1223" s="6">
        <f t="shared" si="605"/>
        <v>0</v>
      </c>
      <c r="T1223" s="83">
        <f t="shared" si="613"/>
        <v>0</v>
      </c>
      <c r="U1223" s="91">
        <f t="shared" si="619"/>
        <v>0</v>
      </c>
      <c r="V1223" s="91">
        <f t="shared" si="614"/>
        <v>0</v>
      </c>
      <c r="W1223" s="1">
        <f t="shared" si="624"/>
        <v>0</v>
      </c>
      <c r="X1223" s="1">
        <f t="shared" si="624"/>
        <v>0</v>
      </c>
      <c r="Y1223" s="1">
        <f t="shared" si="624"/>
        <v>0</v>
      </c>
      <c r="Z1223" s="1">
        <f t="shared" si="624"/>
        <v>0</v>
      </c>
      <c r="AA1223" s="1">
        <f t="shared" si="624"/>
        <v>0</v>
      </c>
      <c r="AB1223" s="1">
        <f t="shared" si="624"/>
        <v>0</v>
      </c>
      <c r="AC1223" s="1">
        <f t="shared" si="624"/>
        <v>0</v>
      </c>
      <c r="AD1223" s="1">
        <f t="shared" si="624"/>
        <v>0</v>
      </c>
      <c r="AE1223" s="1">
        <f t="shared" si="624"/>
        <v>0</v>
      </c>
      <c r="AF1223" s="1">
        <f t="shared" si="624"/>
        <v>0</v>
      </c>
      <c r="AG1223" s="1">
        <f t="shared" si="624"/>
        <v>0</v>
      </c>
      <c r="AH1223" s="1">
        <f t="shared" si="624"/>
        <v>0</v>
      </c>
      <c r="AI1223" s="44">
        <f t="shared" si="615"/>
        <v>0</v>
      </c>
      <c r="AJ1223" s="44">
        <f t="shared" si="606"/>
        <v>0</v>
      </c>
      <c r="AK1223" s="44">
        <f t="shared" si="623"/>
        <v>0</v>
      </c>
      <c r="AL1223" s="4">
        <f t="shared" si="607"/>
        <v>533</v>
      </c>
      <c r="AM1223" s="82">
        <f t="shared" si="616"/>
        <v>0</v>
      </c>
      <c r="AN1223" s="82">
        <f t="shared" si="608"/>
        <v>0</v>
      </c>
      <c r="AO1223" s="48">
        <v>0</v>
      </c>
      <c r="AP1223" s="91">
        <f t="shared" si="617"/>
        <v>0</v>
      </c>
      <c r="AQ1223" s="91">
        <f t="shared" si="618"/>
        <v>0</v>
      </c>
    </row>
    <row r="1224" spans="1:43">
      <c r="A1224" s="190">
        <f t="shared" si="609"/>
        <v>110.22091033538672</v>
      </c>
      <c r="B1224" s="82">
        <f t="shared" si="610"/>
        <v>45</v>
      </c>
      <c r="C1224" s="83">
        <f t="shared" si="611"/>
        <v>534</v>
      </c>
      <c r="D1224" s="14">
        <f t="shared" si="597"/>
        <v>2.6283369587845051E-3</v>
      </c>
      <c r="E1224" s="16">
        <f t="shared" si="598"/>
        <v>0</v>
      </c>
      <c r="F1224" s="127"/>
      <c r="G1224" s="88">
        <f t="shared" si="599"/>
        <v>0</v>
      </c>
      <c r="H1224" s="89">
        <f t="shared" si="612"/>
        <v>4.1666666666666666E-3</v>
      </c>
      <c r="I1224" s="219"/>
      <c r="J1224" s="219"/>
      <c r="K1224" s="6">
        <f t="shared" si="620"/>
        <v>0</v>
      </c>
      <c r="M1224" s="6">
        <f t="shared" si="600"/>
        <v>0</v>
      </c>
      <c r="N1224" s="6">
        <f t="shared" si="601"/>
        <v>0</v>
      </c>
      <c r="O1224" s="90">
        <f t="shared" si="602"/>
        <v>0</v>
      </c>
      <c r="P1224" s="91">
        <f t="shared" si="603"/>
        <v>0</v>
      </c>
      <c r="Q1224" s="6">
        <f t="shared" si="604"/>
        <v>0</v>
      </c>
      <c r="R1224" s="87">
        <f t="shared" si="622"/>
        <v>0</v>
      </c>
      <c r="S1224" s="6">
        <f t="shared" si="605"/>
        <v>0</v>
      </c>
      <c r="T1224" s="83">
        <f t="shared" si="613"/>
        <v>0</v>
      </c>
      <c r="U1224" s="91">
        <f t="shared" si="619"/>
        <v>0</v>
      </c>
      <c r="V1224" s="91">
        <f t="shared" si="614"/>
        <v>0</v>
      </c>
      <c r="W1224" s="1">
        <f t="shared" si="624"/>
        <v>0</v>
      </c>
      <c r="X1224" s="1">
        <f t="shared" si="624"/>
        <v>0</v>
      </c>
      <c r="Y1224" s="1">
        <f t="shared" si="624"/>
        <v>0</v>
      </c>
      <c r="Z1224" s="1">
        <f t="shared" si="624"/>
        <v>0</v>
      </c>
      <c r="AA1224" s="1">
        <f t="shared" si="624"/>
        <v>0</v>
      </c>
      <c r="AB1224" s="1">
        <f t="shared" si="624"/>
        <v>0</v>
      </c>
      <c r="AC1224" s="1">
        <f t="shared" si="624"/>
        <v>0</v>
      </c>
      <c r="AD1224" s="1">
        <f t="shared" si="624"/>
        <v>0</v>
      </c>
      <c r="AE1224" s="1">
        <f t="shared" si="624"/>
        <v>0</v>
      </c>
      <c r="AF1224" s="1">
        <f t="shared" si="624"/>
        <v>0</v>
      </c>
      <c r="AG1224" s="1">
        <f t="shared" si="624"/>
        <v>0</v>
      </c>
      <c r="AH1224" s="1">
        <f t="shared" si="624"/>
        <v>0</v>
      </c>
      <c r="AI1224" s="44">
        <f t="shared" si="615"/>
        <v>0</v>
      </c>
      <c r="AJ1224" s="44">
        <f t="shared" si="606"/>
        <v>0</v>
      </c>
      <c r="AK1224" s="44">
        <f t="shared" si="623"/>
        <v>0</v>
      </c>
      <c r="AL1224" s="4">
        <f t="shared" si="607"/>
        <v>534</v>
      </c>
      <c r="AM1224" s="82">
        <f t="shared" si="616"/>
        <v>0</v>
      </c>
      <c r="AN1224" s="82">
        <f t="shared" si="608"/>
        <v>0</v>
      </c>
      <c r="AO1224" s="48">
        <v>0</v>
      </c>
      <c r="AP1224" s="91">
        <f t="shared" si="617"/>
        <v>0</v>
      </c>
      <c r="AQ1224" s="91">
        <f t="shared" si="618"/>
        <v>0</v>
      </c>
    </row>
    <row r="1225" spans="1:43">
      <c r="A1225" s="190">
        <f t="shared" si="609"/>
        <v>110.30424366872005</v>
      </c>
      <c r="B1225" s="82">
        <f t="shared" si="610"/>
        <v>45</v>
      </c>
      <c r="C1225" s="83">
        <f t="shared" si="611"/>
        <v>535</v>
      </c>
      <c r="D1225" s="14">
        <f t="shared" si="597"/>
        <v>2.6283369587845051E-3</v>
      </c>
      <c r="E1225" s="16">
        <f t="shared" si="598"/>
        <v>0</v>
      </c>
      <c r="F1225" s="127"/>
      <c r="G1225" s="88">
        <f t="shared" si="599"/>
        <v>0</v>
      </c>
      <c r="H1225" s="89">
        <f t="shared" si="612"/>
        <v>4.1666666666666666E-3</v>
      </c>
      <c r="I1225" s="219"/>
      <c r="J1225" s="219"/>
      <c r="K1225" s="6">
        <f t="shared" si="620"/>
        <v>0</v>
      </c>
      <c r="M1225" s="6">
        <f t="shared" si="600"/>
        <v>0</v>
      </c>
      <c r="N1225" s="6">
        <f t="shared" si="601"/>
        <v>0</v>
      </c>
      <c r="O1225" s="90">
        <f t="shared" si="602"/>
        <v>0</v>
      </c>
      <c r="P1225" s="91">
        <f t="shared" si="603"/>
        <v>0</v>
      </c>
      <c r="Q1225" s="6">
        <f t="shared" si="604"/>
        <v>0</v>
      </c>
      <c r="R1225" s="87">
        <f t="shared" si="622"/>
        <v>0</v>
      </c>
      <c r="S1225" s="6">
        <f t="shared" si="605"/>
        <v>0</v>
      </c>
      <c r="T1225" s="83">
        <f t="shared" si="613"/>
        <v>0</v>
      </c>
      <c r="U1225" s="91">
        <f t="shared" si="619"/>
        <v>0</v>
      </c>
      <c r="V1225" s="91">
        <f t="shared" si="614"/>
        <v>0</v>
      </c>
      <c r="W1225" s="1">
        <f t="shared" si="624"/>
        <v>0</v>
      </c>
      <c r="X1225" s="1">
        <f t="shared" si="624"/>
        <v>0</v>
      </c>
      <c r="Y1225" s="1">
        <f t="shared" si="624"/>
        <v>0</v>
      </c>
      <c r="Z1225" s="1">
        <f t="shared" si="624"/>
        <v>0</v>
      </c>
      <c r="AA1225" s="1">
        <f t="shared" si="624"/>
        <v>0</v>
      </c>
      <c r="AB1225" s="1">
        <f t="shared" si="624"/>
        <v>0</v>
      </c>
      <c r="AC1225" s="1">
        <f t="shared" si="624"/>
        <v>0</v>
      </c>
      <c r="AD1225" s="1">
        <f t="shared" si="624"/>
        <v>0</v>
      </c>
      <c r="AE1225" s="1">
        <f t="shared" si="624"/>
        <v>0</v>
      </c>
      <c r="AF1225" s="1">
        <f t="shared" si="624"/>
        <v>0</v>
      </c>
      <c r="AG1225" s="1">
        <f t="shared" si="624"/>
        <v>0</v>
      </c>
      <c r="AH1225" s="1">
        <f t="shared" si="624"/>
        <v>0</v>
      </c>
      <c r="AI1225" s="44">
        <f t="shared" si="615"/>
        <v>0</v>
      </c>
      <c r="AJ1225" s="44">
        <f t="shared" si="606"/>
        <v>0</v>
      </c>
      <c r="AK1225" s="44">
        <f t="shared" si="623"/>
        <v>0</v>
      </c>
      <c r="AL1225" s="4">
        <f t="shared" si="607"/>
        <v>535</v>
      </c>
      <c r="AM1225" s="82">
        <f t="shared" si="616"/>
        <v>0</v>
      </c>
      <c r="AN1225" s="82">
        <f t="shared" si="608"/>
        <v>0</v>
      </c>
      <c r="AO1225" s="48">
        <v>0</v>
      </c>
      <c r="AP1225" s="91">
        <f t="shared" si="617"/>
        <v>0</v>
      </c>
      <c r="AQ1225" s="91">
        <f t="shared" si="618"/>
        <v>0</v>
      </c>
    </row>
    <row r="1226" spans="1:43">
      <c r="A1226" s="190">
        <f t="shared" si="609"/>
        <v>110.38757700205338</v>
      </c>
      <c r="B1226" s="82">
        <f t="shared" si="610"/>
        <v>45</v>
      </c>
      <c r="C1226" s="83">
        <f t="shared" si="611"/>
        <v>536</v>
      </c>
      <c r="D1226" s="14">
        <f t="shared" si="597"/>
        <v>2.6283369587845051E-3</v>
      </c>
      <c r="E1226" s="16">
        <f t="shared" si="598"/>
        <v>0</v>
      </c>
      <c r="F1226" s="127"/>
      <c r="G1226" s="88">
        <f t="shared" si="599"/>
        <v>0</v>
      </c>
      <c r="H1226" s="89">
        <f t="shared" si="612"/>
        <v>4.1666666666666666E-3</v>
      </c>
      <c r="I1226" s="219"/>
      <c r="J1226" s="219"/>
      <c r="K1226" s="6">
        <f t="shared" si="620"/>
        <v>0</v>
      </c>
      <c r="M1226" s="6">
        <f t="shared" si="600"/>
        <v>0</v>
      </c>
      <c r="N1226" s="6">
        <f t="shared" si="601"/>
        <v>0</v>
      </c>
      <c r="O1226" s="90">
        <f t="shared" si="602"/>
        <v>0</v>
      </c>
      <c r="P1226" s="91">
        <f t="shared" si="603"/>
        <v>0</v>
      </c>
      <c r="Q1226" s="6">
        <f t="shared" si="604"/>
        <v>0</v>
      </c>
      <c r="R1226" s="87">
        <f t="shared" si="622"/>
        <v>0</v>
      </c>
      <c r="S1226" s="6">
        <f t="shared" si="605"/>
        <v>0</v>
      </c>
      <c r="T1226" s="83">
        <f t="shared" si="613"/>
        <v>0</v>
      </c>
      <c r="U1226" s="91">
        <f t="shared" si="619"/>
        <v>0</v>
      </c>
      <c r="V1226" s="91">
        <f t="shared" si="614"/>
        <v>0</v>
      </c>
      <c r="W1226" s="1">
        <f t="shared" si="624"/>
        <v>0</v>
      </c>
      <c r="X1226" s="1">
        <f t="shared" si="624"/>
        <v>0</v>
      </c>
      <c r="Y1226" s="1">
        <f t="shared" si="624"/>
        <v>0</v>
      </c>
      <c r="Z1226" s="1">
        <f t="shared" si="624"/>
        <v>0</v>
      </c>
      <c r="AA1226" s="1">
        <f t="shared" si="624"/>
        <v>0</v>
      </c>
      <c r="AB1226" s="1">
        <f t="shared" si="624"/>
        <v>0</v>
      </c>
      <c r="AC1226" s="1">
        <f t="shared" si="624"/>
        <v>0</v>
      </c>
      <c r="AD1226" s="1">
        <f t="shared" si="624"/>
        <v>0</v>
      </c>
      <c r="AE1226" s="1">
        <f t="shared" si="624"/>
        <v>0</v>
      </c>
      <c r="AF1226" s="1">
        <f t="shared" si="624"/>
        <v>0</v>
      </c>
      <c r="AG1226" s="1">
        <f t="shared" si="624"/>
        <v>0</v>
      </c>
      <c r="AH1226" s="1">
        <f t="shared" si="624"/>
        <v>0</v>
      </c>
      <c r="AI1226" s="44">
        <f t="shared" si="615"/>
        <v>0</v>
      </c>
      <c r="AJ1226" s="44">
        <f t="shared" si="606"/>
        <v>0</v>
      </c>
      <c r="AK1226" s="44">
        <f t="shared" si="623"/>
        <v>0</v>
      </c>
      <c r="AL1226" s="4">
        <f t="shared" si="607"/>
        <v>536</v>
      </c>
      <c r="AM1226" s="82">
        <f t="shared" si="616"/>
        <v>0</v>
      </c>
      <c r="AN1226" s="82">
        <f t="shared" si="608"/>
        <v>0</v>
      </c>
      <c r="AO1226" s="48">
        <v>0</v>
      </c>
      <c r="AP1226" s="91">
        <f t="shared" si="617"/>
        <v>0</v>
      </c>
      <c r="AQ1226" s="91">
        <f t="shared" si="618"/>
        <v>0</v>
      </c>
    </row>
    <row r="1227" spans="1:43">
      <c r="A1227" s="190">
        <f t="shared" si="609"/>
        <v>110.47091033538672</v>
      </c>
      <c r="B1227" s="82">
        <f t="shared" si="610"/>
        <v>45</v>
      </c>
      <c r="C1227" s="83">
        <f t="shared" si="611"/>
        <v>537</v>
      </c>
      <c r="D1227" s="14">
        <f t="shared" si="597"/>
        <v>2.6283369587845051E-3</v>
      </c>
      <c r="E1227" s="16">
        <f t="shared" si="598"/>
        <v>0</v>
      </c>
      <c r="F1227" s="127"/>
      <c r="G1227" s="88">
        <f t="shared" si="599"/>
        <v>0</v>
      </c>
      <c r="H1227" s="89">
        <f t="shared" si="612"/>
        <v>4.1666666666666666E-3</v>
      </c>
      <c r="I1227" s="219"/>
      <c r="J1227" s="219"/>
      <c r="K1227" s="6">
        <f t="shared" si="620"/>
        <v>0</v>
      </c>
      <c r="M1227" s="6">
        <f t="shared" si="600"/>
        <v>0</v>
      </c>
      <c r="N1227" s="6">
        <f t="shared" si="601"/>
        <v>0</v>
      </c>
      <c r="O1227" s="90">
        <f t="shared" si="602"/>
        <v>0</v>
      </c>
      <c r="P1227" s="91">
        <f t="shared" si="603"/>
        <v>0</v>
      </c>
      <c r="Q1227" s="6">
        <f t="shared" si="604"/>
        <v>0</v>
      </c>
      <c r="R1227" s="87">
        <f t="shared" si="622"/>
        <v>0</v>
      </c>
      <c r="S1227" s="6">
        <f t="shared" si="605"/>
        <v>0</v>
      </c>
      <c r="T1227" s="83">
        <f t="shared" si="613"/>
        <v>0</v>
      </c>
      <c r="U1227" s="91">
        <f t="shared" si="619"/>
        <v>0</v>
      </c>
      <c r="V1227" s="91">
        <f t="shared" si="614"/>
        <v>0</v>
      </c>
      <c r="W1227" s="1">
        <f t="shared" si="624"/>
        <v>0</v>
      </c>
      <c r="X1227" s="1">
        <f t="shared" si="624"/>
        <v>0</v>
      </c>
      <c r="Y1227" s="1">
        <f t="shared" si="624"/>
        <v>0</v>
      </c>
      <c r="Z1227" s="1">
        <f t="shared" si="624"/>
        <v>0</v>
      </c>
      <c r="AA1227" s="1">
        <f t="shared" si="624"/>
        <v>0</v>
      </c>
      <c r="AB1227" s="1">
        <f t="shared" si="624"/>
        <v>0</v>
      </c>
      <c r="AC1227" s="1">
        <f t="shared" si="624"/>
        <v>0</v>
      </c>
      <c r="AD1227" s="1">
        <f t="shared" si="624"/>
        <v>0</v>
      </c>
      <c r="AE1227" s="1">
        <f t="shared" si="624"/>
        <v>0</v>
      </c>
      <c r="AF1227" s="1">
        <f t="shared" si="624"/>
        <v>0</v>
      </c>
      <c r="AG1227" s="1">
        <f t="shared" si="624"/>
        <v>0</v>
      </c>
      <c r="AH1227" s="1">
        <f t="shared" si="624"/>
        <v>0</v>
      </c>
      <c r="AI1227" s="44">
        <f t="shared" si="615"/>
        <v>0</v>
      </c>
      <c r="AJ1227" s="44">
        <f t="shared" si="606"/>
        <v>0</v>
      </c>
      <c r="AK1227" s="44">
        <f t="shared" si="623"/>
        <v>0</v>
      </c>
      <c r="AL1227" s="4">
        <f t="shared" si="607"/>
        <v>537</v>
      </c>
      <c r="AM1227" s="82">
        <f t="shared" si="616"/>
        <v>0</v>
      </c>
      <c r="AN1227" s="82">
        <f t="shared" si="608"/>
        <v>0</v>
      </c>
      <c r="AO1227" s="48">
        <v>0</v>
      </c>
      <c r="AP1227" s="91">
        <f t="shared" si="617"/>
        <v>0</v>
      </c>
      <c r="AQ1227" s="91">
        <f t="shared" si="618"/>
        <v>0</v>
      </c>
    </row>
    <row r="1228" spans="1:43">
      <c r="A1228" s="190">
        <f t="shared" si="609"/>
        <v>110.55424366872005</v>
      </c>
      <c r="B1228" s="82">
        <f t="shared" si="610"/>
        <v>45</v>
      </c>
      <c r="C1228" s="83">
        <f t="shared" si="611"/>
        <v>538</v>
      </c>
      <c r="D1228" s="14">
        <f t="shared" si="597"/>
        <v>2.6283369587845051E-3</v>
      </c>
      <c r="E1228" s="16">
        <f t="shared" si="598"/>
        <v>0</v>
      </c>
      <c r="F1228" s="127"/>
      <c r="G1228" s="88">
        <f t="shared" si="599"/>
        <v>0</v>
      </c>
      <c r="H1228" s="89">
        <f t="shared" si="612"/>
        <v>4.1666666666666666E-3</v>
      </c>
      <c r="I1228" s="219"/>
      <c r="J1228" s="219"/>
      <c r="K1228" s="6">
        <f t="shared" si="620"/>
        <v>0</v>
      </c>
      <c r="M1228" s="6">
        <f t="shared" si="600"/>
        <v>0</v>
      </c>
      <c r="N1228" s="6">
        <f t="shared" si="601"/>
        <v>0</v>
      </c>
      <c r="O1228" s="90">
        <f t="shared" si="602"/>
        <v>0</v>
      </c>
      <c r="P1228" s="91">
        <f t="shared" si="603"/>
        <v>0</v>
      </c>
      <c r="Q1228" s="6">
        <f t="shared" si="604"/>
        <v>0</v>
      </c>
      <c r="R1228" s="87">
        <f t="shared" si="622"/>
        <v>0</v>
      </c>
      <c r="S1228" s="6">
        <f t="shared" si="605"/>
        <v>0</v>
      </c>
      <c r="T1228" s="83">
        <f t="shared" si="613"/>
        <v>0</v>
      </c>
      <c r="U1228" s="91">
        <f t="shared" si="619"/>
        <v>0</v>
      </c>
      <c r="V1228" s="91">
        <f t="shared" si="614"/>
        <v>0</v>
      </c>
      <c r="W1228" s="1">
        <f t="shared" si="624"/>
        <v>0</v>
      </c>
      <c r="X1228" s="1">
        <f t="shared" si="624"/>
        <v>0</v>
      </c>
      <c r="Y1228" s="1">
        <f t="shared" si="624"/>
        <v>0</v>
      </c>
      <c r="Z1228" s="1">
        <f t="shared" si="624"/>
        <v>0</v>
      </c>
      <c r="AA1228" s="1">
        <f t="shared" si="624"/>
        <v>0</v>
      </c>
      <c r="AB1228" s="1">
        <f t="shared" si="624"/>
        <v>0</v>
      </c>
      <c r="AC1228" s="1">
        <f t="shared" si="624"/>
        <v>0</v>
      </c>
      <c r="AD1228" s="1">
        <f t="shared" si="624"/>
        <v>0</v>
      </c>
      <c r="AE1228" s="1">
        <f t="shared" si="624"/>
        <v>0</v>
      </c>
      <c r="AF1228" s="1">
        <f t="shared" si="624"/>
        <v>0</v>
      </c>
      <c r="AG1228" s="1">
        <f t="shared" si="624"/>
        <v>0</v>
      </c>
      <c r="AH1228" s="1">
        <f t="shared" si="624"/>
        <v>0</v>
      </c>
      <c r="AI1228" s="44">
        <f t="shared" si="615"/>
        <v>0</v>
      </c>
      <c r="AJ1228" s="44">
        <f t="shared" si="606"/>
        <v>0</v>
      </c>
      <c r="AK1228" s="44">
        <f t="shared" si="623"/>
        <v>0</v>
      </c>
      <c r="AL1228" s="4">
        <f t="shared" si="607"/>
        <v>538</v>
      </c>
      <c r="AM1228" s="82">
        <f t="shared" si="616"/>
        <v>0</v>
      </c>
      <c r="AN1228" s="82">
        <f t="shared" si="608"/>
        <v>0</v>
      </c>
      <c r="AO1228" s="48">
        <v>0</v>
      </c>
      <c r="AP1228" s="91">
        <f t="shared" si="617"/>
        <v>0</v>
      </c>
      <c r="AQ1228" s="91">
        <f t="shared" si="618"/>
        <v>0</v>
      </c>
    </row>
    <row r="1229" spans="1:43">
      <c r="A1229" s="190">
        <f t="shared" si="609"/>
        <v>110.63757700205338</v>
      </c>
      <c r="B1229" s="82">
        <f t="shared" si="610"/>
        <v>45</v>
      </c>
      <c r="C1229" s="83">
        <f t="shared" si="611"/>
        <v>539</v>
      </c>
      <c r="D1229" s="14">
        <f t="shared" si="597"/>
        <v>2.6283369587845051E-3</v>
      </c>
      <c r="E1229" s="16">
        <f t="shared" si="598"/>
        <v>0</v>
      </c>
      <c r="F1229" s="127"/>
      <c r="G1229" s="88">
        <f t="shared" si="599"/>
        <v>0</v>
      </c>
      <c r="H1229" s="89">
        <f t="shared" si="612"/>
        <v>4.1666666666666666E-3</v>
      </c>
      <c r="I1229" s="219"/>
      <c r="J1229" s="219"/>
      <c r="K1229" s="6">
        <f t="shared" si="620"/>
        <v>0</v>
      </c>
      <c r="M1229" s="6">
        <f t="shared" si="600"/>
        <v>0</v>
      </c>
      <c r="N1229" s="6">
        <f t="shared" si="601"/>
        <v>0</v>
      </c>
      <c r="O1229" s="90">
        <f t="shared" si="602"/>
        <v>0</v>
      </c>
      <c r="P1229" s="91">
        <f t="shared" si="603"/>
        <v>0</v>
      </c>
      <c r="Q1229" s="6">
        <f t="shared" si="604"/>
        <v>0</v>
      </c>
      <c r="R1229" s="87">
        <f t="shared" si="622"/>
        <v>0</v>
      </c>
      <c r="S1229" s="6">
        <f t="shared" si="605"/>
        <v>0</v>
      </c>
      <c r="T1229" s="83">
        <f t="shared" si="613"/>
        <v>0</v>
      </c>
      <c r="U1229" s="91">
        <f t="shared" si="619"/>
        <v>0</v>
      </c>
      <c r="V1229" s="91">
        <f t="shared" si="614"/>
        <v>0</v>
      </c>
      <c r="W1229" s="1">
        <f t="shared" si="624"/>
        <v>0</v>
      </c>
      <c r="X1229" s="1">
        <f t="shared" si="624"/>
        <v>0</v>
      </c>
      <c r="Y1229" s="1">
        <f t="shared" si="624"/>
        <v>0</v>
      </c>
      <c r="Z1229" s="1">
        <f t="shared" si="624"/>
        <v>0</v>
      </c>
      <c r="AA1229" s="1">
        <f t="shared" si="624"/>
        <v>0</v>
      </c>
      <c r="AB1229" s="1">
        <f t="shared" si="624"/>
        <v>0</v>
      </c>
      <c r="AC1229" s="1">
        <f t="shared" si="624"/>
        <v>0</v>
      </c>
      <c r="AD1229" s="1">
        <f t="shared" si="624"/>
        <v>0</v>
      </c>
      <c r="AE1229" s="1">
        <f t="shared" si="624"/>
        <v>0</v>
      </c>
      <c r="AF1229" s="1">
        <f t="shared" si="624"/>
        <v>0</v>
      </c>
      <c r="AG1229" s="1">
        <f t="shared" si="624"/>
        <v>0</v>
      </c>
      <c r="AH1229" s="1">
        <f t="shared" si="624"/>
        <v>0</v>
      </c>
      <c r="AI1229" s="44">
        <f t="shared" si="615"/>
        <v>0</v>
      </c>
      <c r="AJ1229" s="44">
        <f t="shared" si="606"/>
        <v>0</v>
      </c>
      <c r="AK1229" s="44">
        <f t="shared" si="623"/>
        <v>0</v>
      </c>
      <c r="AL1229" s="4">
        <f t="shared" si="607"/>
        <v>539</v>
      </c>
      <c r="AM1229" s="82">
        <f t="shared" si="616"/>
        <v>0</v>
      </c>
      <c r="AN1229" s="82">
        <f t="shared" si="608"/>
        <v>0</v>
      </c>
      <c r="AO1229" s="48">
        <v>0</v>
      </c>
      <c r="AP1229" s="91">
        <f t="shared" si="617"/>
        <v>0</v>
      </c>
      <c r="AQ1229" s="91">
        <f t="shared" si="618"/>
        <v>0</v>
      </c>
    </row>
    <row r="1230" spans="1:43">
      <c r="A1230" s="190">
        <f t="shared" si="609"/>
        <v>110.72091033538672</v>
      </c>
      <c r="B1230" s="82">
        <f t="shared" si="610"/>
        <v>45</v>
      </c>
      <c r="C1230" s="83">
        <f t="shared" si="611"/>
        <v>540</v>
      </c>
      <c r="D1230" s="14">
        <f t="shared" si="597"/>
        <v>2.6283369587845051E-3</v>
      </c>
      <c r="E1230" s="16">
        <f t="shared" si="598"/>
        <v>0</v>
      </c>
      <c r="F1230" s="127"/>
      <c r="G1230" s="88">
        <f t="shared" si="599"/>
        <v>0</v>
      </c>
      <c r="H1230" s="89">
        <f t="shared" si="612"/>
        <v>4.1666666666666666E-3</v>
      </c>
      <c r="I1230" s="219"/>
      <c r="J1230" s="219"/>
      <c r="K1230" s="6">
        <f t="shared" si="620"/>
        <v>0</v>
      </c>
      <c r="M1230" s="6">
        <f t="shared" si="600"/>
        <v>0</v>
      </c>
      <c r="N1230" s="6">
        <f t="shared" si="601"/>
        <v>0</v>
      </c>
      <c r="O1230" s="90">
        <f t="shared" si="602"/>
        <v>0</v>
      </c>
      <c r="P1230" s="91">
        <f t="shared" si="603"/>
        <v>0</v>
      </c>
      <c r="Q1230" s="6">
        <f t="shared" si="604"/>
        <v>0</v>
      </c>
      <c r="R1230" s="87">
        <f t="shared" si="622"/>
        <v>0</v>
      </c>
      <c r="S1230" s="6">
        <f t="shared" si="605"/>
        <v>0</v>
      </c>
      <c r="T1230" s="83">
        <f t="shared" si="613"/>
        <v>0</v>
      </c>
      <c r="U1230" s="91">
        <f t="shared" si="619"/>
        <v>0</v>
      </c>
      <c r="V1230" s="91">
        <f t="shared" si="614"/>
        <v>0</v>
      </c>
      <c r="W1230" s="1">
        <f t="shared" si="624"/>
        <v>0</v>
      </c>
      <c r="X1230" s="1">
        <f t="shared" si="624"/>
        <v>0</v>
      </c>
      <c r="Y1230" s="1">
        <f t="shared" si="624"/>
        <v>0</v>
      </c>
      <c r="Z1230" s="1">
        <f t="shared" si="624"/>
        <v>0</v>
      </c>
      <c r="AA1230" s="1">
        <f t="shared" si="624"/>
        <v>0</v>
      </c>
      <c r="AB1230" s="1">
        <f t="shared" si="624"/>
        <v>0</v>
      </c>
      <c r="AC1230" s="1">
        <f t="shared" si="624"/>
        <v>0</v>
      </c>
      <c r="AD1230" s="1">
        <f t="shared" si="624"/>
        <v>0</v>
      </c>
      <c r="AE1230" s="1">
        <f t="shared" si="624"/>
        <v>0</v>
      </c>
      <c r="AF1230" s="1">
        <f t="shared" si="624"/>
        <v>0</v>
      </c>
      <c r="AG1230" s="1">
        <f t="shared" si="624"/>
        <v>0</v>
      </c>
      <c r="AH1230" s="1">
        <f t="shared" si="624"/>
        <v>0</v>
      </c>
      <c r="AI1230" s="44">
        <f t="shared" si="615"/>
        <v>0</v>
      </c>
      <c r="AJ1230" s="44">
        <f t="shared" si="606"/>
        <v>0</v>
      </c>
      <c r="AK1230" s="44">
        <f t="shared" si="623"/>
        <v>0</v>
      </c>
      <c r="AL1230" s="4">
        <f t="shared" si="607"/>
        <v>540</v>
      </c>
      <c r="AM1230" s="82">
        <f t="shared" si="616"/>
        <v>0</v>
      </c>
      <c r="AN1230" s="82">
        <f t="shared" si="608"/>
        <v>0</v>
      </c>
      <c r="AO1230" s="48">
        <v>0</v>
      </c>
      <c r="AP1230" s="91">
        <f t="shared" si="617"/>
        <v>0</v>
      </c>
      <c r="AQ1230" s="91">
        <f t="shared" si="618"/>
        <v>0</v>
      </c>
    </row>
    <row r="1231" spans="1:43">
      <c r="A1231" s="190">
        <f t="shared" si="609"/>
        <v>110.80424366872005</v>
      </c>
      <c r="B1231" s="82">
        <f t="shared" si="610"/>
        <v>46</v>
      </c>
      <c r="C1231" s="83">
        <f t="shared" si="611"/>
        <v>541</v>
      </c>
      <c r="D1231" s="14">
        <f t="shared" si="597"/>
        <v>2.6283369587845051E-3</v>
      </c>
      <c r="E1231" s="16">
        <f t="shared" si="598"/>
        <v>0</v>
      </c>
      <c r="F1231" s="127"/>
      <c r="G1231" s="88">
        <f t="shared" si="599"/>
        <v>0</v>
      </c>
      <c r="H1231" s="89">
        <f t="shared" si="612"/>
        <v>4.1666666666666666E-3</v>
      </c>
      <c r="I1231" s="219"/>
      <c r="J1231" s="219"/>
      <c r="K1231" s="6">
        <f t="shared" si="620"/>
        <v>0</v>
      </c>
      <c r="M1231" s="6">
        <f t="shared" si="600"/>
        <v>0</v>
      </c>
      <c r="N1231" s="6">
        <f t="shared" si="601"/>
        <v>0</v>
      </c>
      <c r="O1231" s="90">
        <f t="shared" si="602"/>
        <v>0</v>
      </c>
      <c r="P1231" s="91">
        <f t="shared" si="603"/>
        <v>0</v>
      </c>
      <c r="Q1231" s="6">
        <f t="shared" si="604"/>
        <v>0</v>
      </c>
      <c r="R1231" s="87">
        <f t="shared" si="622"/>
        <v>0</v>
      </c>
      <c r="S1231" s="6">
        <f t="shared" si="605"/>
        <v>0</v>
      </c>
      <c r="T1231" s="83">
        <f t="shared" si="613"/>
        <v>0</v>
      </c>
      <c r="U1231" s="91">
        <f t="shared" si="619"/>
        <v>0</v>
      </c>
      <c r="V1231" s="91">
        <f t="shared" si="614"/>
        <v>0</v>
      </c>
      <c r="W1231" s="1">
        <f t="shared" ref="W1231:AH1240" si="625">IF($B1231&lt;=W$78,1,0)</f>
        <v>0</v>
      </c>
      <c r="X1231" s="1">
        <f t="shared" si="625"/>
        <v>0</v>
      </c>
      <c r="Y1231" s="1">
        <f t="shared" si="625"/>
        <v>0</v>
      </c>
      <c r="Z1231" s="1">
        <f t="shared" si="625"/>
        <v>0</v>
      </c>
      <c r="AA1231" s="1">
        <f t="shared" si="625"/>
        <v>0</v>
      </c>
      <c r="AB1231" s="1">
        <f t="shared" si="625"/>
        <v>0</v>
      </c>
      <c r="AC1231" s="1">
        <f t="shared" si="625"/>
        <v>0</v>
      </c>
      <c r="AD1231" s="1">
        <f t="shared" si="625"/>
        <v>0</v>
      </c>
      <c r="AE1231" s="1">
        <f t="shared" si="625"/>
        <v>0</v>
      </c>
      <c r="AF1231" s="1">
        <f t="shared" si="625"/>
        <v>0</v>
      </c>
      <c r="AG1231" s="1">
        <f t="shared" si="625"/>
        <v>0</v>
      </c>
      <c r="AH1231" s="1">
        <f t="shared" si="625"/>
        <v>0</v>
      </c>
      <c r="AI1231" s="44">
        <f t="shared" si="615"/>
        <v>0</v>
      </c>
      <c r="AJ1231" s="44">
        <f t="shared" si="606"/>
        <v>0</v>
      </c>
      <c r="AK1231" s="44">
        <f t="shared" si="623"/>
        <v>0</v>
      </c>
      <c r="AL1231" s="4">
        <f t="shared" si="607"/>
        <v>541</v>
      </c>
      <c r="AM1231" s="82">
        <f t="shared" si="616"/>
        <v>0</v>
      </c>
      <c r="AN1231" s="82">
        <f t="shared" si="608"/>
        <v>0</v>
      </c>
      <c r="AO1231" s="48">
        <v>0</v>
      </c>
      <c r="AP1231" s="91">
        <f t="shared" si="617"/>
        <v>0</v>
      </c>
      <c r="AQ1231" s="91">
        <f t="shared" si="618"/>
        <v>0</v>
      </c>
    </row>
    <row r="1232" spans="1:43">
      <c r="A1232" s="190">
        <f t="shared" si="609"/>
        <v>110.88757700205338</v>
      </c>
      <c r="B1232" s="82">
        <f t="shared" si="610"/>
        <v>46</v>
      </c>
      <c r="C1232" s="83">
        <f t="shared" si="611"/>
        <v>542</v>
      </c>
      <c r="D1232" s="14">
        <f t="shared" si="597"/>
        <v>2.6283369587845051E-3</v>
      </c>
      <c r="E1232" s="16">
        <f t="shared" si="598"/>
        <v>0</v>
      </c>
      <c r="F1232" s="127"/>
      <c r="G1232" s="88">
        <f t="shared" si="599"/>
        <v>0</v>
      </c>
      <c r="H1232" s="89">
        <f t="shared" si="612"/>
        <v>4.1666666666666666E-3</v>
      </c>
      <c r="I1232" s="219"/>
      <c r="J1232" s="219"/>
      <c r="K1232" s="6">
        <f t="shared" si="620"/>
        <v>0</v>
      </c>
      <c r="M1232" s="6">
        <f t="shared" si="600"/>
        <v>0</v>
      </c>
      <c r="N1232" s="6">
        <f t="shared" si="601"/>
        <v>0</v>
      </c>
      <c r="O1232" s="90">
        <f t="shared" si="602"/>
        <v>0</v>
      </c>
      <c r="P1232" s="91">
        <f t="shared" si="603"/>
        <v>0</v>
      </c>
      <c r="Q1232" s="6">
        <f t="shared" si="604"/>
        <v>0</v>
      </c>
      <c r="R1232" s="87">
        <f t="shared" si="622"/>
        <v>0</v>
      </c>
      <c r="S1232" s="6">
        <f t="shared" si="605"/>
        <v>0</v>
      </c>
      <c r="T1232" s="83">
        <f t="shared" si="613"/>
        <v>0</v>
      </c>
      <c r="U1232" s="91">
        <f t="shared" si="619"/>
        <v>0</v>
      </c>
      <c r="V1232" s="91">
        <f t="shared" si="614"/>
        <v>0</v>
      </c>
      <c r="W1232" s="1">
        <f t="shared" si="625"/>
        <v>0</v>
      </c>
      <c r="X1232" s="1">
        <f t="shared" si="625"/>
        <v>0</v>
      </c>
      <c r="Y1232" s="1">
        <f t="shared" si="625"/>
        <v>0</v>
      </c>
      <c r="Z1232" s="1">
        <f t="shared" si="625"/>
        <v>0</v>
      </c>
      <c r="AA1232" s="1">
        <f t="shared" si="625"/>
        <v>0</v>
      </c>
      <c r="AB1232" s="1">
        <f t="shared" si="625"/>
        <v>0</v>
      </c>
      <c r="AC1232" s="1">
        <f t="shared" si="625"/>
        <v>0</v>
      </c>
      <c r="AD1232" s="1">
        <f t="shared" si="625"/>
        <v>0</v>
      </c>
      <c r="AE1232" s="1">
        <f t="shared" si="625"/>
        <v>0</v>
      </c>
      <c r="AF1232" s="1">
        <f t="shared" si="625"/>
        <v>0</v>
      </c>
      <c r="AG1232" s="1">
        <f t="shared" si="625"/>
        <v>0</v>
      </c>
      <c r="AH1232" s="1">
        <f t="shared" si="625"/>
        <v>0</v>
      </c>
      <c r="AI1232" s="44">
        <f t="shared" si="615"/>
        <v>0</v>
      </c>
      <c r="AJ1232" s="44">
        <f t="shared" si="606"/>
        <v>0</v>
      </c>
      <c r="AK1232" s="44">
        <f t="shared" si="623"/>
        <v>0</v>
      </c>
      <c r="AL1232" s="4">
        <f t="shared" si="607"/>
        <v>542</v>
      </c>
      <c r="AM1232" s="82">
        <f t="shared" si="616"/>
        <v>0</v>
      </c>
      <c r="AN1232" s="82">
        <f t="shared" si="608"/>
        <v>0</v>
      </c>
      <c r="AO1232" s="48">
        <v>0</v>
      </c>
      <c r="AP1232" s="91">
        <f t="shared" si="617"/>
        <v>0</v>
      </c>
      <c r="AQ1232" s="91">
        <f t="shared" si="618"/>
        <v>0</v>
      </c>
    </row>
    <row r="1233" spans="1:43">
      <c r="A1233" s="190">
        <f t="shared" si="609"/>
        <v>110.97091033538672</v>
      </c>
      <c r="B1233" s="82">
        <f t="shared" si="610"/>
        <v>46</v>
      </c>
      <c r="C1233" s="83">
        <f t="shared" si="611"/>
        <v>543</v>
      </c>
      <c r="D1233" s="14">
        <f t="shared" si="597"/>
        <v>2.6283369587845051E-3</v>
      </c>
      <c r="E1233" s="16">
        <f t="shared" si="598"/>
        <v>0</v>
      </c>
      <c r="F1233" s="127"/>
      <c r="G1233" s="88">
        <f t="shared" si="599"/>
        <v>0</v>
      </c>
      <c r="H1233" s="89">
        <f t="shared" si="612"/>
        <v>4.1666666666666666E-3</v>
      </c>
      <c r="I1233" s="219"/>
      <c r="J1233" s="219"/>
      <c r="K1233" s="6">
        <f t="shared" si="620"/>
        <v>0</v>
      </c>
      <c r="M1233" s="6">
        <f t="shared" si="600"/>
        <v>0</v>
      </c>
      <c r="N1233" s="6">
        <f t="shared" si="601"/>
        <v>0</v>
      </c>
      <c r="O1233" s="90">
        <f t="shared" si="602"/>
        <v>0</v>
      </c>
      <c r="P1233" s="91">
        <f t="shared" si="603"/>
        <v>0</v>
      </c>
      <c r="Q1233" s="6">
        <f t="shared" si="604"/>
        <v>0</v>
      </c>
      <c r="R1233" s="87">
        <f t="shared" si="622"/>
        <v>0</v>
      </c>
      <c r="S1233" s="6">
        <f t="shared" si="605"/>
        <v>0</v>
      </c>
      <c r="T1233" s="83">
        <f t="shared" si="613"/>
        <v>0</v>
      </c>
      <c r="U1233" s="91">
        <f t="shared" si="619"/>
        <v>0</v>
      </c>
      <c r="V1233" s="91">
        <f t="shared" si="614"/>
        <v>0</v>
      </c>
      <c r="W1233" s="1">
        <f t="shared" si="625"/>
        <v>0</v>
      </c>
      <c r="X1233" s="1">
        <f t="shared" si="625"/>
        <v>0</v>
      </c>
      <c r="Y1233" s="1">
        <f t="shared" si="625"/>
        <v>0</v>
      </c>
      <c r="Z1233" s="1">
        <f t="shared" si="625"/>
        <v>0</v>
      </c>
      <c r="AA1233" s="1">
        <f t="shared" si="625"/>
        <v>0</v>
      </c>
      <c r="AB1233" s="1">
        <f t="shared" si="625"/>
        <v>0</v>
      </c>
      <c r="AC1233" s="1">
        <f t="shared" si="625"/>
        <v>0</v>
      </c>
      <c r="AD1233" s="1">
        <f t="shared" si="625"/>
        <v>0</v>
      </c>
      <c r="AE1233" s="1">
        <f t="shared" si="625"/>
        <v>0</v>
      </c>
      <c r="AF1233" s="1">
        <f t="shared" si="625"/>
        <v>0</v>
      </c>
      <c r="AG1233" s="1">
        <f t="shared" si="625"/>
        <v>0</v>
      </c>
      <c r="AH1233" s="1">
        <f t="shared" si="625"/>
        <v>0</v>
      </c>
      <c r="AI1233" s="44">
        <f t="shared" si="615"/>
        <v>0</v>
      </c>
      <c r="AJ1233" s="44">
        <f t="shared" si="606"/>
        <v>0</v>
      </c>
      <c r="AK1233" s="44">
        <f t="shared" si="623"/>
        <v>0</v>
      </c>
      <c r="AL1233" s="4">
        <f t="shared" si="607"/>
        <v>543</v>
      </c>
      <c r="AM1233" s="82">
        <f t="shared" si="616"/>
        <v>0</v>
      </c>
      <c r="AN1233" s="82">
        <f t="shared" si="608"/>
        <v>0</v>
      </c>
      <c r="AO1233" s="48">
        <v>0</v>
      </c>
      <c r="AP1233" s="91">
        <f t="shared" si="617"/>
        <v>0</v>
      </c>
      <c r="AQ1233" s="91">
        <f t="shared" si="618"/>
        <v>0</v>
      </c>
    </row>
    <row r="1234" spans="1:43">
      <c r="A1234" s="190">
        <f t="shared" si="609"/>
        <v>111.05424366872005</v>
      </c>
      <c r="B1234" s="82">
        <f t="shared" si="610"/>
        <v>46</v>
      </c>
      <c r="C1234" s="83">
        <f t="shared" si="611"/>
        <v>544</v>
      </c>
      <c r="D1234" s="14">
        <f t="shared" si="597"/>
        <v>2.6283369587845051E-3</v>
      </c>
      <c r="E1234" s="16">
        <f t="shared" si="598"/>
        <v>0</v>
      </c>
      <c r="F1234" s="127"/>
      <c r="G1234" s="88">
        <f t="shared" si="599"/>
        <v>0</v>
      </c>
      <c r="H1234" s="89">
        <f t="shared" si="612"/>
        <v>4.1666666666666666E-3</v>
      </c>
      <c r="I1234" s="219"/>
      <c r="J1234" s="219"/>
      <c r="K1234" s="6">
        <f t="shared" si="620"/>
        <v>0</v>
      </c>
      <c r="M1234" s="6">
        <f t="shared" si="600"/>
        <v>0</v>
      </c>
      <c r="N1234" s="6">
        <f t="shared" si="601"/>
        <v>0</v>
      </c>
      <c r="O1234" s="90">
        <f t="shared" si="602"/>
        <v>0</v>
      </c>
      <c r="P1234" s="91">
        <f t="shared" si="603"/>
        <v>0</v>
      </c>
      <c r="Q1234" s="6">
        <f t="shared" si="604"/>
        <v>0</v>
      </c>
      <c r="R1234" s="87">
        <f t="shared" si="622"/>
        <v>0</v>
      </c>
      <c r="S1234" s="6">
        <f t="shared" si="605"/>
        <v>0</v>
      </c>
      <c r="T1234" s="83">
        <f t="shared" si="613"/>
        <v>0</v>
      </c>
      <c r="U1234" s="91">
        <f t="shared" si="619"/>
        <v>0</v>
      </c>
      <c r="V1234" s="91">
        <f t="shared" si="614"/>
        <v>0</v>
      </c>
      <c r="W1234" s="1">
        <f t="shared" si="625"/>
        <v>0</v>
      </c>
      <c r="X1234" s="1">
        <f t="shared" si="625"/>
        <v>0</v>
      </c>
      <c r="Y1234" s="1">
        <f t="shared" si="625"/>
        <v>0</v>
      </c>
      <c r="Z1234" s="1">
        <f t="shared" si="625"/>
        <v>0</v>
      </c>
      <c r="AA1234" s="1">
        <f t="shared" si="625"/>
        <v>0</v>
      </c>
      <c r="AB1234" s="1">
        <f t="shared" si="625"/>
        <v>0</v>
      </c>
      <c r="AC1234" s="1">
        <f t="shared" si="625"/>
        <v>0</v>
      </c>
      <c r="AD1234" s="1">
        <f t="shared" si="625"/>
        <v>0</v>
      </c>
      <c r="AE1234" s="1">
        <f t="shared" si="625"/>
        <v>0</v>
      </c>
      <c r="AF1234" s="1">
        <f t="shared" si="625"/>
        <v>0</v>
      </c>
      <c r="AG1234" s="1">
        <f t="shared" si="625"/>
        <v>0</v>
      </c>
      <c r="AH1234" s="1">
        <f t="shared" si="625"/>
        <v>0</v>
      </c>
      <c r="AI1234" s="44">
        <f t="shared" si="615"/>
        <v>0</v>
      </c>
      <c r="AJ1234" s="44">
        <f t="shared" si="606"/>
        <v>0</v>
      </c>
      <c r="AK1234" s="44">
        <f t="shared" si="623"/>
        <v>0</v>
      </c>
      <c r="AL1234" s="4">
        <f t="shared" si="607"/>
        <v>544</v>
      </c>
      <c r="AM1234" s="82">
        <f t="shared" si="616"/>
        <v>0</v>
      </c>
      <c r="AN1234" s="82">
        <f t="shared" si="608"/>
        <v>0</v>
      </c>
      <c r="AO1234" s="48">
        <v>0</v>
      </c>
      <c r="AP1234" s="91">
        <f t="shared" si="617"/>
        <v>0</v>
      </c>
      <c r="AQ1234" s="91">
        <f t="shared" si="618"/>
        <v>0</v>
      </c>
    </row>
    <row r="1235" spans="1:43">
      <c r="A1235" s="190">
        <f t="shared" si="609"/>
        <v>111.13757700205338</v>
      </c>
      <c r="B1235" s="82">
        <f t="shared" si="610"/>
        <v>46</v>
      </c>
      <c r="C1235" s="83">
        <f t="shared" si="611"/>
        <v>545</v>
      </c>
      <c r="D1235" s="14">
        <f t="shared" si="597"/>
        <v>2.6283369587845051E-3</v>
      </c>
      <c r="E1235" s="16">
        <f t="shared" si="598"/>
        <v>0</v>
      </c>
      <c r="F1235" s="127"/>
      <c r="G1235" s="88">
        <f t="shared" si="599"/>
        <v>0</v>
      </c>
      <c r="H1235" s="89">
        <f t="shared" si="612"/>
        <v>4.1666666666666666E-3</v>
      </c>
      <c r="I1235" s="219"/>
      <c r="J1235" s="219"/>
      <c r="K1235" s="6">
        <f t="shared" si="620"/>
        <v>0</v>
      </c>
      <c r="M1235" s="6">
        <f t="shared" si="600"/>
        <v>0</v>
      </c>
      <c r="N1235" s="6">
        <f t="shared" si="601"/>
        <v>0</v>
      </c>
      <c r="O1235" s="90">
        <f t="shared" si="602"/>
        <v>0</v>
      </c>
      <c r="P1235" s="91">
        <f t="shared" si="603"/>
        <v>0</v>
      </c>
      <c r="Q1235" s="6">
        <f t="shared" si="604"/>
        <v>0</v>
      </c>
      <c r="R1235" s="87">
        <f t="shared" si="622"/>
        <v>0</v>
      </c>
      <c r="S1235" s="6">
        <f t="shared" si="605"/>
        <v>0</v>
      </c>
      <c r="T1235" s="83">
        <f t="shared" si="613"/>
        <v>0</v>
      </c>
      <c r="U1235" s="91">
        <f t="shared" si="619"/>
        <v>0</v>
      </c>
      <c r="V1235" s="91">
        <f t="shared" si="614"/>
        <v>0</v>
      </c>
      <c r="W1235" s="1">
        <f t="shared" si="625"/>
        <v>0</v>
      </c>
      <c r="X1235" s="1">
        <f t="shared" si="625"/>
        <v>0</v>
      </c>
      <c r="Y1235" s="1">
        <f t="shared" si="625"/>
        <v>0</v>
      </c>
      <c r="Z1235" s="1">
        <f t="shared" si="625"/>
        <v>0</v>
      </c>
      <c r="AA1235" s="1">
        <f t="shared" si="625"/>
        <v>0</v>
      </c>
      <c r="AB1235" s="1">
        <f t="shared" si="625"/>
        <v>0</v>
      </c>
      <c r="AC1235" s="1">
        <f t="shared" si="625"/>
        <v>0</v>
      </c>
      <c r="AD1235" s="1">
        <f t="shared" si="625"/>
        <v>0</v>
      </c>
      <c r="AE1235" s="1">
        <f t="shared" si="625"/>
        <v>0</v>
      </c>
      <c r="AF1235" s="1">
        <f t="shared" si="625"/>
        <v>0</v>
      </c>
      <c r="AG1235" s="1">
        <f t="shared" si="625"/>
        <v>0</v>
      </c>
      <c r="AH1235" s="1">
        <f t="shared" si="625"/>
        <v>0</v>
      </c>
      <c r="AI1235" s="44">
        <f t="shared" si="615"/>
        <v>0</v>
      </c>
      <c r="AJ1235" s="44">
        <f t="shared" si="606"/>
        <v>0</v>
      </c>
      <c r="AK1235" s="44">
        <f t="shared" si="623"/>
        <v>0</v>
      </c>
      <c r="AL1235" s="4">
        <f t="shared" si="607"/>
        <v>545</v>
      </c>
      <c r="AM1235" s="82">
        <f t="shared" si="616"/>
        <v>0</v>
      </c>
      <c r="AN1235" s="82">
        <f t="shared" si="608"/>
        <v>0</v>
      </c>
      <c r="AO1235" s="48">
        <v>0</v>
      </c>
      <c r="AP1235" s="91">
        <f t="shared" si="617"/>
        <v>0</v>
      </c>
      <c r="AQ1235" s="91">
        <f t="shared" si="618"/>
        <v>0</v>
      </c>
    </row>
    <row r="1236" spans="1:43">
      <c r="A1236" s="190">
        <f t="shared" si="609"/>
        <v>111.22091033538672</v>
      </c>
      <c r="B1236" s="82">
        <f t="shared" si="610"/>
        <v>46</v>
      </c>
      <c r="C1236" s="83">
        <f t="shared" si="611"/>
        <v>546</v>
      </c>
      <c r="D1236" s="14">
        <f t="shared" si="597"/>
        <v>2.6283369587845051E-3</v>
      </c>
      <c r="E1236" s="16">
        <f t="shared" si="598"/>
        <v>0</v>
      </c>
      <c r="F1236" s="127"/>
      <c r="G1236" s="88">
        <f t="shared" si="599"/>
        <v>0</v>
      </c>
      <c r="H1236" s="89">
        <f t="shared" si="612"/>
        <v>4.1666666666666666E-3</v>
      </c>
      <c r="I1236" s="219"/>
      <c r="J1236" s="219"/>
      <c r="K1236" s="6">
        <f t="shared" si="620"/>
        <v>0</v>
      </c>
      <c r="M1236" s="6">
        <f t="shared" si="600"/>
        <v>0</v>
      </c>
      <c r="N1236" s="6">
        <f t="shared" si="601"/>
        <v>0</v>
      </c>
      <c r="O1236" s="90">
        <f t="shared" si="602"/>
        <v>0</v>
      </c>
      <c r="P1236" s="91">
        <f t="shared" si="603"/>
        <v>0</v>
      </c>
      <c r="Q1236" s="6">
        <f t="shared" si="604"/>
        <v>0</v>
      </c>
      <c r="R1236" s="87">
        <f t="shared" si="622"/>
        <v>0</v>
      </c>
      <c r="S1236" s="6">
        <f t="shared" si="605"/>
        <v>0</v>
      </c>
      <c r="T1236" s="83">
        <f t="shared" si="613"/>
        <v>0</v>
      </c>
      <c r="U1236" s="91">
        <f t="shared" si="619"/>
        <v>0</v>
      </c>
      <c r="V1236" s="91">
        <f t="shared" si="614"/>
        <v>0</v>
      </c>
      <c r="W1236" s="1">
        <f t="shared" si="625"/>
        <v>0</v>
      </c>
      <c r="X1236" s="1">
        <f t="shared" si="625"/>
        <v>0</v>
      </c>
      <c r="Y1236" s="1">
        <f t="shared" si="625"/>
        <v>0</v>
      </c>
      <c r="Z1236" s="1">
        <f t="shared" si="625"/>
        <v>0</v>
      </c>
      <c r="AA1236" s="1">
        <f t="shared" si="625"/>
        <v>0</v>
      </c>
      <c r="AB1236" s="1">
        <f t="shared" si="625"/>
        <v>0</v>
      </c>
      <c r="AC1236" s="1">
        <f t="shared" si="625"/>
        <v>0</v>
      </c>
      <c r="AD1236" s="1">
        <f t="shared" si="625"/>
        <v>0</v>
      </c>
      <c r="AE1236" s="1">
        <f t="shared" si="625"/>
        <v>0</v>
      </c>
      <c r="AF1236" s="1">
        <f t="shared" si="625"/>
        <v>0</v>
      </c>
      <c r="AG1236" s="1">
        <f t="shared" si="625"/>
        <v>0</v>
      </c>
      <c r="AH1236" s="1">
        <f t="shared" si="625"/>
        <v>0</v>
      </c>
      <c r="AI1236" s="44">
        <f t="shared" si="615"/>
        <v>0</v>
      </c>
      <c r="AJ1236" s="44">
        <f t="shared" si="606"/>
        <v>0</v>
      </c>
      <c r="AK1236" s="44">
        <f t="shared" si="623"/>
        <v>0</v>
      </c>
      <c r="AL1236" s="4">
        <f t="shared" si="607"/>
        <v>546</v>
      </c>
      <c r="AM1236" s="82">
        <f t="shared" si="616"/>
        <v>0</v>
      </c>
      <c r="AN1236" s="82">
        <f t="shared" si="608"/>
        <v>0</v>
      </c>
      <c r="AO1236" s="48">
        <v>0</v>
      </c>
      <c r="AP1236" s="91">
        <f t="shared" si="617"/>
        <v>0</v>
      </c>
      <c r="AQ1236" s="91">
        <f t="shared" si="618"/>
        <v>0</v>
      </c>
    </row>
    <row r="1237" spans="1:43">
      <c r="A1237" s="190">
        <f t="shared" si="609"/>
        <v>111.30424366872005</v>
      </c>
      <c r="B1237" s="82">
        <f t="shared" si="610"/>
        <v>46</v>
      </c>
      <c r="C1237" s="83">
        <f t="shared" si="611"/>
        <v>547</v>
      </c>
      <c r="D1237" s="14">
        <f t="shared" si="597"/>
        <v>2.6283369587845051E-3</v>
      </c>
      <c r="E1237" s="16">
        <f t="shared" si="598"/>
        <v>0</v>
      </c>
      <c r="F1237" s="127"/>
      <c r="G1237" s="88">
        <f t="shared" si="599"/>
        <v>0</v>
      </c>
      <c r="H1237" s="89">
        <f t="shared" si="612"/>
        <v>4.1666666666666666E-3</v>
      </c>
      <c r="I1237" s="219"/>
      <c r="J1237" s="219"/>
      <c r="K1237" s="6">
        <f t="shared" si="620"/>
        <v>0</v>
      </c>
      <c r="M1237" s="6">
        <f t="shared" si="600"/>
        <v>0</v>
      </c>
      <c r="N1237" s="6">
        <f t="shared" si="601"/>
        <v>0</v>
      </c>
      <c r="O1237" s="90">
        <f t="shared" si="602"/>
        <v>0</v>
      </c>
      <c r="P1237" s="91">
        <f t="shared" si="603"/>
        <v>0</v>
      </c>
      <c r="Q1237" s="6">
        <f t="shared" si="604"/>
        <v>0</v>
      </c>
      <c r="R1237" s="87">
        <f t="shared" si="622"/>
        <v>0</v>
      </c>
      <c r="S1237" s="6">
        <f t="shared" si="605"/>
        <v>0</v>
      </c>
      <c r="T1237" s="83">
        <f t="shared" si="613"/>
        <v>0</v>
      </c>
      <c r="U1237" s="91">
        <f t="shared" si="619"/>
        <v>0</v>
      </c>
      <c r="V1237" s="91">
        <f t="shared" si="614"/>
        <v>0</v>
      </c>
      <c r="W1237" s="1">
        <f t="shared" si="625"/>
        <v>0</v>
      </c>
      <c r="X1237" s="1">
        <f t="shared" si="625"/>
        <v>0</v>
      </c>
      <c r="Y1237" s="1">
        <f t="shared" si="625"/>
        <v>0</v>
      </c>
      <c r="Z1237" s="1">
        <f t="shared" si="625"/>
        <v>0</v>
      </c>
      <c r="AA1237" s="1">
        <f t="shared" si="625"/>
        <v>0</v>
      </c>
      <c r="AB1237" s="1">
        <f t="shared" si="625"/>
        <v>0</v>
      </c>
      <c r="AC1237" s="1">
        <f t="shared" si="625"/>
        <v>0</v>
      </c>
      <c r="AD1237" s="1">
        <f t="shared" si="625"/>
        <v>0</v>
      </c>
      <c r="AE1237" s="1">
        <f t="shared" si="625"/>
        <v>0</v>
      </c>
      <c r="AF1237" s="1">
        <f t="shared" si="625"/>
        <v>0</v>
      </c>
      <c r="AG1237" s="1">
        <f t="shared" si="625"/>
        <v>0</v>
      </c>
      <c r="AH1237" s="1">
        <f t="shared" si="625"/>
        <v>0</v>
      </c>
      <c r="AI1237" s="44">
        <f t="shared" si="615"/>
        <v>0</v>
      </c>
      <c r="AJ1237" s="44">
        <f t="shared" si="606"/>
        <v>0</v>
      </c>
      <c r="AK1237" s="44">
        <f t="shared" si="623"/>
        <v>0</v>
      </c>
      <c r="AL1237" s="4">
        <f t="shared" si="607"/>
        <v>547</v>
      </c>
      <c r="AM1237" s="82">
        <f t="shared" si="616"/>
        <v>0</v>
      </c>
      <c r="AN1237" s="82">
        <f t="shared" si="608"/>
        <v>0</v>
      </c>
      <c r="AO1237" s="48">
        <v>0</v>
      </c>
      <c r="AP1237" s="91">
        <f t="shared" si="617"/>
        <v>0</v>
      </c>
      <c r="AQ1237" s="91">
        <f t="shared" si="618"/>
        <v>0</v>
      </c>
    </row>
    <row r="1238" spans="1:43">
      <c r="A1238" s="190">
        <f t="shared" si="609"/>
        <v>111.38757700205338</v>
      </c>
      <c r="B1238" s="82">
        <f t="shared" si="610"/>
        <v>46</v>
      </c>
      <c r="C1238" s="83">
        <f t="shared" si="611"/>
        <v>548</v>
      </c>
      <c r="D1238" s="14">
        <f t="shared" si="597"/>
        <v>2.6283369587845051E-3</v>
      </c>
      <c r="E1238" s="16">
        <f t="shared" si="598"/>
        <v>0</v>
      </c>
      <c r="F1238" s="127"/>
      <c r="G1238" s="88">
        <f t="shared" si="599"/>
        <v>0</v>
      </c>
      <c r="H1238" s="89">
        <f t="shared" si="612"/>
        <v>4.1666666666666666E-3</v>
      </c>
      <c r="I1238" s="219"/>
      <c r="J1238" s="219"/>
      <c r="K1238" s="6">
        <f t="shared" si="620"/>
        <v>0</v>
      </c>
      <c r="M1238" s="6">
        <f t="shared" si="600"/>
        <v>0</v>
      </c>
      <c r="N1238" s="6">
        <f t="shared" si="601"/>
        <v>0</v>
      </c>
      <c r="O1238" s="90">
        <f t="shared" si="602"/>
        <v>0</v>
      </c>
      <c r="P1238" s="91">
        <f t="shared" si="603"/>
        <v>0</v>
      </c>
      <c r="Q1238" s="6">
        <f t="shared" si="604"/>
        <v>0</v>
      </c>
      <c r="R1238" s="87">
        <f t="shared" si="622"/>
        <v>0</v>
      </c>
      <c r="S1238" s="6">
        <f t="shared" si="605"/>
        <v>0</v>
      </c>
      <c r="T1238" s="83">
        <f t="shared" si="613"/>
        <v>0</v>
      </c>
      <c r="U1238" s="91">
        <f t="shared" si="619"/>
        <v>0</v>
      </c>
      <c r="V1238" s="91">
        <f t="shared" si="614"/>
        <v>0</v>
      </c>
      <c r="W1238" s="1">
        <f t="shared" si="625"/>
        <v>0</v>
      </c>
      <c r="X1238" s="1">
        <f t="shared" si="625"/>
        <v>0</v>
      </c>
      <c r="Y1238" s="1">
        <f t="shared" si="625"/>
        <v>0</v>
      </c>
      <c r="Z1238" s="1">
        <f t="shared" si="625"/>
        <v>0</v>
      </c>
      <c r="AA1238" s="1">
        <f t="shared" si="625"/>
        <v>0</v>
      </c>
      <c r="AB1238" s="1">
        <f t="shared" si="625"/>
        <v>0</v>
      </c>
      <c r="AC1238" s="1">
        <f t="shared" si="625"/>
        <v>0</v>
      </c>
      <c r="AD1238" s="1">
        <f t="shared" si="625"/>
        <v>0</v>
      </c>
      <c r="AE1238" s="1">
        <f t="shared" si="625"/>
        <v>0</v>
      </c>
      <c r="AF1238" s="1">
        <f t="shared" si="625"/>
        <v>0</v>
      </c>
      <c r="AG1238" s="1">
        <f t="shared" si="625"/>
        <v>0</v>
      </c>
      <c r="AH1238" s="1">
        <f t="shared" si="625"/>
        <v>0</v>
      </c>
      <c r="AI1238" s="44">
        <f t="shared" si="615"/>
        <v>0</v>
      </c>
      <c r="AJ1238" s="44">
        <f t="shared" si="606"/>
        <v>0</v>
      </c>
      <c r="AK1238" s="44">
        <f t="shared" si="623"/>
        <v>0</v>
      </c>
      <c r="AL1238" s="4">
        <f t="shared" si="607"/>
        <v>548</v>
      </c>
      <c r="AM1238" s="82">
        <f t="shared" si="616"/>
        <v>0</v>
      </c>
      <c r="AN1238" s="82">
        <f t="shared" si="608"/>
        <v>0</v>
      </c>
      <c r="AO1238" s="48">
        <v>0</v>
      </c>
      <c r="AP1238" s="91">
        <f t="shared" si="617"/>
        <v>0</v>
      </c>
      <c r="AQ1238" s="91">
        <f t="shared" si="618"/>
        <v>0</v>
      </c>
    </row>
    <row r="1239" spans="1:43">
      <c r="A1239" s="190">
        <f t="shared" si="609"/>
        <v>111.47091033538672</v>
      </c>
      <c r="B1239" s="82">
        <f t="shared" si="610"/>
        <v>46</v>
      </c>
      <c r="C1239" s="83">
        <f t="shared" si="611"/>
        <v>549</v>
      </c>
      <c r="D1239" s="14">
        <f t="shared" si="597"/>
        <v>2.6283369587845051E-3</v>
      </c>
      <c r="E1239" s="16">
        <f t="shared" si="598"/>
        <v>0</v>
      </c>
      <c r="F1239" s="127"/>
      <c r="G1239" s="88">
        <f t="shared" si="599"/>
        <v>0</v>
      </c>
      <c r="H1239" s="89">
        <f t="shared" si="612"/>
        <v>4.1666666666666666E-3</v>
      </c>
      <c r="I1239" s="219"/>
      <c r="J1239" s="219"/>
      <c r="K1239" s="6">
        <f t="shared" si="620"/>
        <v>0</v>
      </c>
      <c r="M1239" s="6">
        <f t="shared" si="600"/>
        <v>0</v>
      </c>
      <c r="N1239" s="6">
        <f t="shared" si="601"/>
        <v>0</v>
      </c>
      <c r="O1239" s="90">
        <f t="shared" si="602"/>
        <v>0</v>
      </c>
      <c r="P1239" s="91">
        <f t="shared" si="603"/>
        <v>0</v>
      </c>
      <c r="Q1239" s="6">
        <f t="shared" si="604"/>
        <v>0</v>
      </c>
      <c r="R1239" s="87">
        <f t="shared" si="622"/>
        <v>0</v>
      </c>
      <c r="S1239" s="6">
        <f t="shared" si="605"/>
        <v>0</v>
      </c>
      <c r="T1239" s="83">
        <f t="shared" si="613"/>
        <v>0</v>
      </c>
      <c r="U1239" s="91">
        <f t="shared" si="619"/>
        <v>0</v>
      </c>
      <c r="V1239" s="91">
        <f t="shared" si="614"/>
        <v>0</v>
      </c>
      <c r="W1239" s="1">
        <f t="shared" si="625"/>
        <v>0</v>
      </c>
      <c r="X1239" s="1">
        <f t="shared" si="625"/>
        <v>0</v>
      </c>
      <c r="Y1239" s="1">
        <f t="shared" si="625"/>
        <v>0</v>
      </c>
      <c r="Z1239" s="1">
        <f t="shared" si="625"/>
        <v>0</v>
      </c>
      <c r="AA1239" s="1">
        <f t="shared" si="625"/>
        <v>0</v>
      </c>
      <c r="AB1239" s="1">
        <f t="shared" si="625"/>
        <v>0</v>
      </c>
      <c r="AC1239" s="1">
        <f t="shared" si="625"/>
        <v>0</v>
      </c>
      <c r="AD1239" s="1">
        <f t="shared" si="625"/>
        <v>0</v>
      </c>
      <c r="AE1239" s="1">
        <f t="shared" si="625"/>
        <v>0</v>
      </c>
      <c r="AF1239" s="1">
        <f t="shared" si="625"/>
        <v>0</v>
      </c>
      <c r="AG1239" s="1">
        <f t="shared" si="625"/>
        <v>0</v>
      </c>
      <c r="AH1239" s="1">
        <f t="shared" si="625"/>
        <v>0</v>
      </c>
      <c r="AI1239" s="44">
        <f t="shared" si="615"/>
        <v>0</v>
      </c>
      <c r="AJ1239" s="44">
        <f t="shared" si="606"/>
        <v>0</v>
      </c>
      <c r="AK1239" s="44">
        <f t="shared" si="623"/>
        <v>0</v>
      </c>
      <c r="AL1239" s="4">
        <f t="shared" si="607"/>
        <v>549</v>
      </c>
      <c r="AM1239" s="82">
        <f t="shared" si="616"/>
        <v>0</v>
      </c>
      <c r="AN1239" s="82">
        <f t="shared" si="608"/>
        <v>0</v>
      </c>
      <c r="AO1239" s="48">
        <v>0</v>
      </c>
      <c r="AP1239" s="91">
        <f t="shared" si="617"/>
        <v>0</v>
      </c>
      <c r="AQ1239" s="91">
        <f t="shared" si="618"/>
        <v>0</v>
      </c>
    </row>
    <row r="1240" spans="1:43">
      <c r="A1240" s="190">
        <f t="shared" si="609"/>
        <v>111.55424366872005</v>
      </c>
      <c r="B1240" s="82">
        <f t="shared" si="610"/>
        <v>46</v>
      </c>
      <c r="C1240" s="83">
        <f t="shared" si="611"/>
        <v>550</v>
      </c>
      <c r="D1240" s="14">
        <f t="shared" si="597"/>
        <v>2.6283369587845051E-3</v>
      </c>
      <c r="E1240" s="16">
        <f t="shared" si="598"/>
        <v>0</v>
      </c>
      <c r="F1240" s="127"/>
      <c r="G1240" s="88">
        <f t="shared" si="599"/>
        <v>0</v>
      </c>
      <c r="H1240" s="89">
        <f t="shared" si="612"/>
        <v>4.1666666666666666E-3</v>
      </c>
      <c r="I1240" s="219"/>
      <c r="J1240" s="219"/>
      <c r="K1240" s="6">
        <f t="shared" si="620"/>
        <v>0</v>
      </c>
      <c r="M1240" s="6">
        <f t="shared" si="600"/>
        <v>0</v>
      </c>
      <c r="N1240" s="6">
        <f t="shared" si="601"/>
        <v>0</v>
      </c>
      <c r="O1240" s="90">
        <f t="shared" si="602"/>
        <v>0</v>
      </c>
      <c r="P1240" s="91">
        <f t="shared" si="603"/>
        <v>0</v>
      </c>
      <c r="Q1240" s="6">
        <f t="shared" si="604"/>
        <v>0</v>
      </c>
      <c r="R1240" s="87">
        <f t="shared" si="622"/>
        <v>0</v>
      </c>
      <c r="S1240" s="6">
        <f t="shared" si="605"/>
        <v>0</v>
      </c>
      <c r="T1240" s="83">
        <f t="shared" si="613"/>
        <v>0</v>
      </c>
      <c r="U1240" s="91">
        <f t="shared" si="619"/>
        <v>0</v>
      </c>
      <c r="V1240" s="91">
        <f t="shared" si="614"/>
        <v>0</v>
      </c>
      <c r="W1240" s="1">
        <f t="shared" si="625"/>
        <v>0</v>
      </c>
      <c r="X1240" s="1">
        <f t="shared" si="625"/>
        <v>0</v>
      </c>
      <c r="Y1240" s="1">
        <f t="shared" si="625"/>
        <v>0</v>
      </c>
      <c r="Z1240" s="1">
        <f t="shared" si="625"/>
        <v>0</v>
      </c>
      <c r="AA1240" s="1">
        <f t="shared" si="625"/>
        <v>0</v>
      </c>
      <c r="AB1240" s="1">
        <f t="shared" si="625"/>
        <v>0</v>
      </c>
      <c r="AC1240" s="1">
        <f t="shared" si="625"/>
        <v>0</v>
      </c>
      <c r="AD1240" s="1">
        <f t="shared" si="625"/>
        <v>0</v>
      </c>
      <c r="AE1240" s="1">
        <f t="shared" si="625"/>
        <v>0</v>
      </c>
      <c r="AF1240" s="1">
        <f t="shared" si="625"/>
        <v>0</v>
      </c>
      <c r="AG1240" s="1">
        <f t="shared" si="625"/>
        <v>0</v>
      </c>
      <c r="AH1240" s="1">
        <f t="shared" si="625"/>
        <v>0</v>
      </c>
      <c r="AI1240" s="44">
        <f t="shared" si="615"/>
        <v>0</v>
      </c>
      <c r="AJ1240" s="44">
        <f t="shared" si="606"/>
        <v>0</v>
      </c>
      <c r="AK1240" s="44">
        <f t="shared" si="623"/>
        <v>0</v>
      </c>
      <c r="AL1240" s="4">
        <f t="shared" si="607"/>
        <v>550</v>
      </c>
      <c r="AM1240" s="82">
        <f t="shared" si="616"/>
        <v>0</v>
      </c>
      <c r="AN1240" s="82">
        <f t="shared" si="608"/>
        <v>0</v>
      </c>
      <c r="AO1240" s="48">
        <v>0</v>
      </c>
      <c r="AP1240" s="91">
        <f t="shared" si="617"/>
        <v>0</v>
      </c>
      <c r="AQ1240" s="91">
        <f t="shared" si="618"/>
        <v>0</v>
      </c>
    </row>
    <row r="1241" spans="1:43">
      <c r="A1241" s="190">
        <f t="shared" si="609"/>
        <v>111.63757700205338</v>
      </c>
      <c r="B1241" s="82">
        <f t="shared" si="610"/>
        <v>46</v>
      </c>
      <c r="C1241" s="83">
        <f t="shared" si="611"/>
        <v>551</v>
      </c>
      <c r="D1241" s="14">
        <f t="shared" si="597"/>
        <v>2.6283369587845051E-3</v>
      </c>
      <c r="E1241" s="16">
        <f t="shared" si="598"/>
        <v>0</v>
      </c>
      <c r="F1241" s="127"/>
      <c r="G1241" s="88">
        <f t="shared" si="599"/>
        <v>0</v>
      </c>
      <c r="H1241" s="89">
        <f t="shared" si="612"/>
        <v>4.1666666666666666E-3</v>
      </c>
      <c r="I1241" s="219"/>
      <c r="J1241" s="219"/>
      <c r="K1241" s="6">
        <f t="shared" si="620"/>
        <v>0</v>
      </c>
      <c r="M1241" s="6">
        <f t="shared" si="600"/>
        <v>0</v>
      </c>
      <c r="N1241" s="6">
        <f t="shared" si="601"/>
        <v>0</v>
      </c>
      <c r="O1241" s="90">
        <f t="shared" si="602"/>
        <v>0</v>
      </c>
      <c r="P1241" s="91">
        <f t="shared" si="603"/>
        <v>0</v>
      </c>
      <c r="Q1241" s="6">
        <f t="shared" si="604"/>
        <v>0</v>
      </c>
      <c r="R1241" s="87">
        <f t="shared" si="622"/>
        <v>0</v>
      </c>
      <c r="S1241" s="6">
        <f t="shared" si="605"/>
        <v>0</v>
      </c>
      <c r="T1241" s="83">
        <f t="shared" si="613"/>
        <v>0</v>
      </c>
      <c r="U1241" s="91">
        <f t="shared" si="619"/>
        <v>0</v>
      </c>
      <c r="V1241" s="91">
        <f t="shared" si="614"/>
        <v>0</v>
      </c>
      <c r="W1241" s="1">
        <f t="shared" ref="W1241:AH1250" si="626">IF($B1241&lt;=W$78,1,0)</f>
        <v>0</v>
      </c>
      <c r="X1241" s="1">
        <f t="shared" si="626"/>
        <v>0</v>
      </c>
      <c r="Y1241" s="1">
        <f t="shared" si="626"/>
        <v>0</v>
      </c>
      <c r="Z1241" s="1">
        <f t="shared" si="626"/>
        <v>0</v>
      </c>
      <c r="AA1241" s="1">
        <f t="shared" si="626"/>
        <v>0</v>
      </c>
      <c r="AB1241" s="1">
        <f t="shared" si="626"/>
        <v>0</v>
      </c>
      <c r="AC1241" s="1">
        <f t="shared" si="626"/>
        <v>0</v>
      </c>
      <c r="AD1241" s="1">
        <f t="shared" si="626"/>
        <v>0</v>
      </c>
      <c r="AE1241" s="1">
        <f t="shared" si="626"/>
        <v>0</v>
      </c>
      <c r="AF1241" s="1">
        <f t="shared" si="626"/>
        <v>0</v>
      </c>
      <c r="AG1241" s="1">
        <f t="shared" si="626"/>
        <v>0</v>
      </c>
      <c r="AH1241" s="1">
        <f t="shared" si="626"/>
        <v>0</v>
      </c>
      <c r="AI1241" s="44">
        <f t="shared" si="615"/>
        <v>0</v>
      </c>
      <c r="AJ1241" s="44">
        <f t="shared" si="606"/>
        <v>0</v>
      </c>
      <c r="AK1241" s="44">
        <f t="shared" si="623"/>
        <v>0</v>
      </c>
      <c r="AL1241" s="4">
        <f t="shared" si="607"/>
        <v>551</v>
      </c>
      <c r="AM1241" s="82">
        <f t="shared" si="616"/>
        <v>0</v>
      </c>
      <c r="AN1241" s="82">
        <f t="shared" si="608"/>
        <v>0</v>
      </c>
      <c r="AO1241" s="48">
        <v>0</v>
      </c>
      <c r="AP1241" s="91">
        <f t="shared" si="617"/>
        <v>0</v>
      </c>
      <c r="AQ1241" s="91">
        <f t="shared" si="618"/>
        <v>0</v>
      </c>
    </row>
    <row r="1242" spans="1:43">
      <c r="A1242" s="190">
        <f t="shared" si="609"/>
        <v>111.72091033538672</v>
      </c>
      <c r="B1242" s="82">
        <f t="shared" si="610"/>
        <v>46</v>
      </c>
      <c r="C1242" s="83">
        <f t="shared" si="611"/>
        <v>552</v>
      </c>
      <c r="D1242" s="14">
        <f t="shared" si="597"/>
        <v>2.6283369587845051E-3</v>
      </c>
      <c r="E1242" s="16">
        <f t="shared" si="598"/>
        <v>0</v>
      </c>
      <c r="F1242" s="127"/>
      <c r="G1242" s="88">
        <f t="shared" si="599"/>
        <v>0</v>
      </c>
      <c r="H1242" s="89">
        <f t="shared" si="612"/>
        <v>4.1666666666666666E-3</v>
      </c>
      <c r="I1242" s="219"/>
      <c r="J1242" s="219"/>
      <c r="K1242" s="6">
        <f t="shared" si="620"/>
        <v>0</v>
      </c>
      <c r="M1242" s="6">
        <f t="shared" si="600"/>
        <v>0</v>
      </c>
      <c r="N1242" s="6">
        <f t="shared" si="601"/>
        <v>0</v>
      </c>
      <c r="O1242" s="90">
        <f t="shared" si="602"/>
        <v>0</v>
      </c>
      <c r="P1242" s="91">
        <f t="shared" si="603"/>
        <v>0</v>
      </c>
      <c r="Q1242" s="6">
        <f t="shared" si="604"/>
        <v>0</v>
      </c>
      <c r="R1242" s="87">
        <f t="shared" si="622"/>
        <v>0</v>
      </c>
      <c r="S1242" s="6">
        <f t="shared" si="605"/>
        <v>0</v>
      </c>
      <c r="T1242" s="83">
        <f t="shared" si="613"/>
        <v>0</v>
      </c>
      <c r="U1242" s="91">
        <f t="shared" si="619"/>
        <v>0</v>
      </c>
      <c r="V1242" s="91">
        <f t="shared" si="614"/>
        <v>0</v>
      </c>
      <c r="W1242" s="1">
        <f t="shared" si="626"/>
        <v>0</v>
      </c>
      <c r="X1242" s="1">
        <f t="shared" si="626"/>
        <v>0</v>
      </c>
      <c r="Y1242" s="1">
        <f t="shared" si="626"/>
        <v>0</v>
      </c>
      <c r="Z1242" s="1">
        <f t="shared" si="626"/>
        <v>0</v>
      </c>
      <c r="AA1242" s="1">
        <f t="shared" si="626"/>
        <v>0</v>
      </c>
      <c r="AB1242" s="1">
        <f t="shared" si="626"/>
        <v>0</v>
      </c>
      <c r="AC1242" s="1">
        <f t="shared" si="626"/>
        <v>0</v>
      </c>
      <c r="AD1242" s="1">
        <f t="shared" si="626"/>
        <v>0</v>
      </c>
      <c r="AE1242" s="1">
        <f t="shared" si="626"/>
        <v>0</v>
      </c>
      <c r="AF1242" s="1">
        <f t="shared" si="626"/>
        <v>0</v>
      </c>
      <c r="AG1242" s="1">
        <f t="shared" si="626"/>
        <v>0</v>
      </c>
      <c r="AH1242" s="1">
        <f t="shared" si="626"/>
        <v>0</v>
      </c>
      <c r="AI1242" s="44">
        <f t="shared" si="615"/>
        <v>0</v>
      </c>
      <c r="AJ1242" s="44">
        <f t="shared" si="606"/>
        <v>0</v>
      </c>
      <c r="AK1242" s="44">
        <f t="shared" si="623"/>
        <v>0</v>
      </c>
      <c r="AL1242" s="4">
        <f t="shared" si="607"/>
        <v>552</v>
      </c>
      <c r="AM1242" s="82">
        <f t="shared" si="616"/>
        <v>0</v>
      </c>
      <c r="AN1242" s="82">
        <f t="shared" si="608"/>
        <v>0</v>
      </c>
      <c r="AO1242" s="48">
        <v>0</v>
      </c>
      <c r="AP1242" s="91">
        <f t="shared" si="617"/>
        <v>0</v>
      </c>
      <c r="AQ1242" s="91">
        <f t="shared" si="618"/>
        <v>0</v>
      </c>
    </row>
    <row r="1243" spans="1:43">
      <c r="A1243" s="190">
        <f t="shared" si="609"/>
        <v>111.80424366872005</v>
      </c>
      <c r="B1243" s="82">
        <f t="shared" si="610"/>
        <v>47</v>
      </c>
      <c r="C1243" s="83">
        <f t="shared" si="611"/>
        <v>553</v>
      </c>
      <c r="D1243" s="14">
        <f t="shared" si="597"/>
        <v>2.6283369587845051E-3</v>
      </c>
      <c r="E1243" s="16">
        <f t="shared" si="598"/>
        <v>0</v>
      </c>
      <c r="F1243" s="127"/>
      <c r="G1243" s="88">
        <f t="shared" si="599"/>
        <v>0</v>
      </c>
      <c r="H1243" s="89">
        <f t="shared" si="612"/>
        <v>4.1666666666666666E-3</v>
      </c>
      <c r="I1243" s="219"/>
      <c r="J1243" s="219"/>
      <c r="K1243" s="6">
        <f t="shared" si="620"/>
        <v>0</v>
      </c>
      <c r="M1243" s="6">
        <f t="shared" si="600"/>
        <v>0</v>
      </c>
      <c r="N1243" s="6">
        <f t="shared" si="601"/>
        <v>0</v>
      </c>
      <c r="O1243" s="90">
        <f t="shared" si="602"/>
        <v>0</v>
      </c>
      <c r="P1243" s="91">
        <f t="shared" si="603"/>
        <v>0</v>
      </c>
      <c r="Q1243" s="6">
        <f t="shared" si="604"/>
        <v>0</v>
      </c>
      <c r="R1243" s="87">
        <f t="shared" si="622"/>
        <v>0</v>
      </c>
      <c r="S1243" s="6">
        <f t="shared" si="605"/>
        <v>0</v>
      </c>
      <c r="T1243" s="83">
        <f t="shared" si="613"/>
        <v>0</v>
      </c>
      <c r="U1243" s="91">
        <f t="shared" si="619"/>
        <v>0</v>
      </c>
      <c r="V1243" s="91">
        <f t="shared" si="614"/>
        <v>0</v>
      </c>
      <c r="W1243" s="1">
        <f t="shared" si="626"/>
        <v>0</v>
      </c>
      <c r="X1243" s="1">
        <f t="shared" si="626"/>
        <v>0</v>
      </c>
      <c r="Y1243" s="1">
        <f t="shared" si="626"/>
        <v>0</v>
      </c>
      <c r="Z1243" s="1">
        <f t="shared" si="626"/>
        <v>0</v>
      </c>
      <c r="AA1243" s="1">
        <f t="shared" si="626"/>
        <v>0</v>
      </c>
      <c r="AB1243" s="1">
        <f t="shared" si="626"/>
        <v>0</v>
      </c>
      <c r="AC1243" s="1">
        <f t="shared" si="626"/>
        <v>0</v>
      </c>
      <c r="AD1243" s="1">
        <f t="shared" si="626"/>
        <v>0</v>
      </c>
      <c r="AE1243" s="1">
        <f t="shared" si="626"/>
        <v>0</v>
      </c>
      <c r="AF1243" s="1">
        <f t="shared" si="626"/>
        <v>0</v>
      </c>
      <c r="AG1243" s="1">
        <f t="shared" si="626"/>
        <v>0</v>
      </c>
      <c r="AH1243" s="1">
        <f t="shared" si="626"/>
        <v>0</v>
      </c>
      <c r="AI1243" s="44">
        <f t="shared" si="615"/>
        <v>0</v>
      </c>
      <c r="AJ1243" s="44">
        <f t="shared" si="606"/>
        <v>0</v>
      </c>
      <c r="AK1243" s="44">
        <f t="shared" si="623"/>
        <v>0</v>
      </c>
      <c r="AL1243" s="4">
        <f t="shared" si="607"/>
        <v>553</v>
      </c>
      <c r="AM1243" s="82">
        <f t="shared" si="616"/>
        <v>0</v>
      </c>
      <c r="AN1243" s="82">
        <f t="shared" si="608"/>
        <v>0</v>
      </c>
      <c r="AO1243" s="48">
        <v>0</v>
      </c>
      <c r="AP1243" s="91">
        <f t="shared" si="617"/>
        <v>0</v>
      </c>
      <c r="AQ1243" s="91">
        <f t="shared" si="618"/>
        <v>0</v>
      </c>
    </row>
    <row r="1244" spans="1:43">
      <c r="A1244" s="190">
        <f t="shared" si="609"/>
        <v>111.88757700205338</v>
      </c>
      <c r="B1244" s="82">
        <f t="shared" si="610"/>
        <v>47</v>
      </c>
      <c r="C1244" s="83">
        <f t="shared" si="611"/>
        <v>554</v>
      </c>
      <c r="D1244" s="14">
        <f t="shared" si="597"/>
        <v>2.6283369587845051E-3</v>
      </c>
      <c r="E1244" s="16">
        <f t="shared" si="598"/>
        <v>0</v>
      </c>
      <c r="F1244" s="127"/>
      <c r="G1244" s="88">
        <f t="shared" si="599"/>
        <v>0</v>
      </c>
      <c r="H1244" s="89">
        <f t="shared" si="612"/>
        <v>4.1666666666666666E-3</v>
      </c>
      <c r="I1244" s="219"/>
      <c r="J1244" s="219"/>
      <c r="K1244" s="6">
        <f t="shared" si="620"/>
        <v>0</v>
      </c>
      <c r="M1244" s="6">
        <f t="shared" si="600"/>
        <v>0</v>
      </c>
      <c r="N1244" s="6">
        <f t="shared" si="601"/>
        <v>0</v>
      </c>
      <c r="O1244" s="90">
        <f t="shared" si="602"/>
        <v>0</v>
      </c>
      <c r="P1244" s="91">
        <f t="shared" si="603"/>
        <v>0</v>
      </c>
      <c r="Q1244" s="6">
        <f t="shared" si="604"/>
        <v>0</v>
      </c>
      <c r="R1244" s="87">
        <f t="shared" si="622"/>
        <v>0</v>
      </c>
      <c r="S1244" s="6">
        <f t="shared" si="605"/>
        <v>0</v>
      </c>
      <c r="T1244" s="83">
        <f t="shared" si="613"/>
        <v>0</v>
      </c>
      <c r="U1244" s="91">
        <f t="shared" si="619"/>
        <v>0</v>
      </c>
      <c r="V1244" s="91">
        <f t="shared" si="614"/>
        <v>0</v>
      </c>
      <c r="W1244" s="1">
        <f t="shared" si="626"/>
        <v>0</v>
      </c>
      <c r="X1244" s="1">
        <f t="shared" si="626"/>
        <v>0</v>
      </c>
      <c r="Y1244" s="1">
        <f t="shared" si="626"/>
        <v>0</v>
      </c>
      <c r="Z1244" s="1">
        <f t="shared" si="626"/>
        <v>0</v>
      </c>
      <c r="AA1244" s="1">
        <f t="shared" si="626"/>
        <v>0</v>
      </c>
      <c r="AB1244" s="1">
        <f t="shared" si="626"/>
        <v>0</v>
      </c>
      <c r="AC1244" s="1">
        <f t="shared" si="626"/>
        <v>0</v>
      </c>
      <c r="AD1244" s="1">
        <f t="shared" si="626"/>
        <v>0</v>
      </c>
      <c r="AE1244" s="1">
        <f t="shared" si="626"/>
        <v>0</v>
      </c>
      <c r="AF1244" s="1">
        <f t="shared" si="626"/>
        <v>0</v>
      </c>
      <c r="AG1244" s="1">
        <f t="shared" si="626"/>
        <v>0</v>
      </c>
      <c r="AH1244" s="1">
        <f t="shared" si="626"/>
        <v>0</v>
      </c>
      <c r="AI1244" s="44">
        <f t="shared" si="615"/>
        <v>0</v>
      </c>
      <c r="AJ1244" s="44">
        <f t="shared" si="606"/>
        <v>0</v>
      </c>
      <c r="AK1244" s="44">
        <f t="shared" si="623"/>
        <v>0</v>
      </c>
      <c r="AL1244" s="4">
        <f t="shared" si="607"/>
        <v>554</v>
      </c>
      <c r="AM1244" s="82">
        <f t="shared" si="616"/>
        <v>0</v>
      </c>
      <c r="AN1244" s="82">
        <f t="shared" si="608"/>
        <v>0</v>
      </c>
      <c r="AO1244" s="48">
        <v>0</v>
      </c>
      <c r="AP1244" s="91">
        <f t="shared" si="617"/>
        <v>0</v>
      </c>
      <c r="AQ1244" s="91">
        <f t="shared" si="618"/>
        <v>0</v>
      </c>
    </row>
    <row r="1245" spans="1:43">
      <c r="A1245" s="190">
        <f t="shared" si="609"/>
        <v>111.97091033538672</v>
      </c>
      <c r="B1245" s="82">
        <f t="shared" si="610"/>
        <v>47</v>
      </c>
      <c r="C1245" s="83">
        <f t="shared" si="611"/>
        <v>555</v>
      </c>
      <c r="D1245" s="14">
        <f t="shared" si="597"/>
        <v>2.6283369587845051E-3</v>
      </c>
      <c r="E1245" s="16">
        <f t="shared" si="598"/>
        <v>0</v>
      </c>
      <c r="F1245" s="127"/>
      <c r="G1245" s="88">
        <f t="shared" si="599"/>
        <v>0</v>
      </c>
      <c r="H1245" s="89">
        <f t="shared" si="612"/>
        <v>4.1666666666666666E-3</v>
      </c>
      <c r="I1245" s="219"/>
      <c r="J1245" s="219"/>
      <c r="K1245" s="6">
        <f t="shared" si="620"/>
        <v>0</v>
      </c>
      <c r="M1245" s="6">
        <f t="shared" si="600"/>
        <v>0</v>
      </c>
      <c r="N1245" s="6">
        <f t="shared" si="601"/>
        <v>0</v>
      </c>
      <c r="O1245" s="90">
        <f t="shared" si="602"/>
        <v>0</v>
      </c>
      <c r="P1245" s="91">
        <f t="shared" si="603"/>
        <v>0</v>
      </c>
      <c r="Q1245" s="6">
        <f t="shared" si="604"/>
        <v>0</v>
      </c>
      <c r="R1245" s="87">
        <f t="shared" si="622"/>
        <v>0</v>
      </c>
      <c r="S1245" s="6">
        <f t="shared" si="605"/>
        <v>0</v>
      </c>
      <c r="T1245" s="83">
        <f t="shared" si="613"/>
        <v>0</v>
      </c>
      <c r="U1245" s="91">
        <f t="shared" si="619"/>
        <v>0</v>
      </c>
      <c r="V1245" s="91">
        <f t="shared" si="614"/>
        <v>0</v>
      </c>
      <c r="W1245" s="1">
        <f t="shared" si="626"/>
        <v>0</v>
      </c>
      <c r="X1245" s="1">
        <f t="shared" si="626"/>
        <v>0</v>
      </c>
      <c r="Y1245" s="1">
        <f t="shared" si="626"/>
        <v>0</v>
      </c>
      <c r="Z1245" s="1">
        <f t="shared" si="626"/>
        <v>0</v>
      </c>
      <c r="AA1245" s="1">
        <f t="shared" si="626"/>
        <v>0</v>
      </c>
      <c r="AB1245" s="1">
        <f t="shared" si="626"/>
        <v>0</v>
      </c>
      <c r="AC1245" s="1">
        <f t="shared" si="626"/>
        <v>0</v>
      </c>
      <c r="AD1245" s="1">
        <f t="shared" si="626"/>
        <v>0</v>
      </c>
      <c r="AE1245" s="1">
        <f t="shared" si="626"/>
        <v>0</v>
      </c>
      <c r="AF1245" s="1">
        <f t="shared" si="626"/>
        <v>0</v>
      </c>
      <c r="AG1245" s="1">
        <f t="shared" si="626"/>
        <v>0</v>
      </c>
      <c r="AH1245" s="1">
        <f t="shared" si="626"/>
        <v>0</v>
      </c>
      <c r="AI1245" s="44">
        <f t="shared" si="615"/>
        <v>0</v>
      </c>
      <c r="AJ1245" s="44">
        <f t="shared" si="606"/>
        <v>0</v>
      </c>
      <c r="AK1245" s="44">
        <f t="shared" si="623"/>
        <v>0</v>
      </c>
      <c r="AL1245" s="4">
        <f t="shared" si="607"/>
        <v>555</v>
      </c>
      <c r="AM1245" s="82">
        <f t="shared" si="616"/>
        <v>0</v>
      </c>
      <c r="AN1245" s="82">
        <f t="shared" si="608"/>
        <v>0</v>
      </c>
      <c r="AO1245" s="48">
        <v>0</v>
      </c>
      <c r="AP1245" s="91">
        <f t="shared" si="617"/>
        <v>0</v>
      </c>
      <c r="AQ1245" s="91">
        <f t="shared" si="618"/>
        <v>0</v>
      </c>
    </row>
    <row r="1246" spans="1:43">
      <c r="A1246" s="190">
        <f t="shared" si="609"/>
        <v>112.05424366872005</v>
      </c>
      <c r="B1246" s="82">
        <f t="shared" si="610"/>
        <v>47</v>
      </c>
      <c r="C1246" s="83">
        <f t="shared" si="611"/>
        <v>556</v>
      </c>
      <c r="D1246" s="14">
        <f t="shared" si="597"/>
        <v>2.6283369587845051E-3</v>
      </c>
      <c r="E1246" s="16">
        <f t="shared" si="598"/>
        <v>0</v>
      </c>
      <c r="F1246" s="127"/>
      <c r="G1246" s="88">
        <f t="shared" si="599"/>
        <v>0</v>
      </c>
      <c r="H1246" s="89">
        <f t="shared" si="612"/>
        <v>4.1666666666666666E-3</v>
      </c>
      <c r="I1246" s="219"/>
      <c r="J1246" s="219"/>
      <c r="K1246" s="6">
        <f t="shared" si="620"/>
        <v>0</v>
      </c>
      <c r="M1246" s="6">
        <f t="shared" si="600"/>
        <v>0</v>
      </c>
      <c r="N1246" s="6">
        <f t="shared" si="601"/>
        <v>0</v>
      </c>
      <c r="O1246" s="90">
        <f t="shared" si="602"/>
        <v>0</v>
      </c>
      <c r="P1246" s="91">
        <f t="shared" si="603"/>
        <v>0</v>
      </c>
      <c r="Q1246" s="6">
        <f t="shared" si="604"/>
        <v>0</v>
      </c>
      <c r="R1246" s="87">
        <f t="shared" si="622"/>
        <v>0</v>
      </c>
      <c r="S1246" s="6">
        <f t="shared" si="605"/>
        <v>0</v>
      </c>
      <c r="T1246" s="83">
        <f t="shared" si="613"/>
        <v>0</v>
      </c>
      <c r="U1246" s="91">
        <f t="shared" si="619"/>
        <v>0</v>
      </c>
      <c r="V1246" s="91">
        <f t="shared" si="614"/>
        <v>0</v>
      </c>
      <c r="W1246" s="1">
        <f t="shared" si="626"/>
        <v>0</v>
      </c>
      <c r="X1246" s="1">
        <f t="shared" si="626"/>
        <v>0</v>
      </c>
      <c r="Y1246" s="1">
        <f t="shared" si="626"/>
        <v>0</v>
      </c>
      <c r="Z1246" s="1">
        <f t="shared" si="626"/>
        <v>0</v>
      </c>
      <c r="AA1246" s="1">
        <f t="shared" si="626"/>
        <v>0</v>
      </c>
      <c r="AB1246" s="1">
        <f t="shared" si="626"/>
        <v>0</v>
      </c>
      <c r="AC1246" s="1">
        <f t="shared" si="626"/>
        <v>0</v>
      </c>
      <c r="AD1246" s="1">
        <f t="shared" si="626"/>
        <v>0</v>
      </c>
      <c r="AE1246" s="1">
        <f t="shared" si="626"/>
        <v>0</v>
      </c>
      <c r="AF1246" s="1">
        <f t="shared" si="626"/>
        <v>0</v>
      </c>
      <c r="AG1246" s="1">
        <f t="shared" si="626"/>
        <v>0</v>
      </c>
      <c r="AH1246" s="1">
        <f t="shared" si="626"/>
        <v>0</v>
      </c>
      <c r="AI1246" s="44">
        <f t="shared" si="615"/>
        <v>0</v>
      </c>
      <c r="AJ1246" s="44">
        <f t="shared" si="606"/>
        <v>0</v>
      </c>
      <c r="AK1246" s="44">
        <f t="shared" si="623"/>
        <v>0</v>
      </c>
      <c r="AL1246" s="4">
        <f t="shared" si="607"/>
        <v>556</v>
      </c>
      <c r="AM1246" s="82">
        <f t="shared" si="616"/>
        <v>0</v>
      </c>
      <c r="AN1246" s="82">
        <f t="shared" si="608"/>
        <v>0</v>
      </c>
      <c r="AO1246" s="48">
        <v>0</v>
      </c>
      <c r="AP1246" s="91">
        <f t="shared" si="617"/>
        <v>0</v>
      </c>
      <c r="AQ1246" s="91">
        <f t="shared" si="618"/>
        <v>0</v>
      </c>
    </row>
    <row r="1247" spans="1:43">
      <c r="A1247" s="190">
        <f t="shared" si="609"/>
        <v>112.13757700205338</v>
      </c>
      <c r="B1247" s="82">
        <f t="shared" si="610"/>
        <v>47</v>
      </c>
      <c r="C1247" s="83">
        <f t="shared" si="611"/>
        <v>557</v>
      </c>
      <c r="D1247" s="14">
        <f t="shared" si="597"/>
        <v>2.6283369587845051E-3</v>
      </c>
      <c r="E1247" s="16">
        <f t="shared" si="598"/>
        <v>0</v>
      </c>
      <c r="F1247" s="127"/>
      <c r="G1247" s="88">
        <f t="shared" si="599"/>
        <v>0</v>
      </c>
      <c r="H1247" s="89">
        <f t="shared" si="612"/>
        <v>4.1666666666666666E-3</v>
      </c>
      <c r="I1247" s="219"/>
      <c r="J1247" s="219"/>
      <c r="K1247" s="6">
        <f t="shared" si="620"/>
        <v>0</v>
      </c>
      <c r="M1247" s="6">
        <f t="shared" si="600"/>
        <v>0</v>
      </c>
      <c r="N1247" s="6">
        <f t="shared" si="601"/>
        <v>0</v>
      </c>
      <c r="O1247" s="90">
        <f t="shared" si="602"/>
        <v>0</v>
      </c>
      <c r="P1247" s="91">
        <f t="shared" si="603"/>
        <v>0</v>
      </c>
      <c r="Q1247" s="6">
        <f t="shared" si="604"/>
        <v>0</v>
      </c>
      <c r="R1247" s="87">
        <f t="shared" si="622"/>
        <v>0</v>
      </c>
      <c r="S1247" s="6">
        <f t="shared" si="605"/>
        <v>0</v>
      </c>
      <c r="T1247" s="83">
        <f t="shared" si="613"/>
        <v>0</v>
      </c>
      <c r="U1247" s="91">
        <f t="shared" si="619"/>
        <v>0</v>
      </c>
      <c r="V1247" s="91">
        <f t="shared" si="614"/>
        <v>0</v>
      </c>
      <c r="W1247" s="1">
        <f t="shared" si="626"/>
        <v>0</v>
      </c>
      <c r="X1247" s="1">
        <f t="shared" si="626"/>
        <v>0</v>
      </c>
      <c r="Y1247" s="1">
        <f t="shared" si="626"/>
        <v>0</v>
      </c>
      <c r="Z1247" s="1">
        <f t="shared" si="626"/>
        <v>0</v>
      </c>
      <c r="AA1247" s="1">
        <f t="shared" si="626"/>
        <v>0</v>
      </c>
      <c r="AB1247" s="1">
        <f t="shared" si="626"/>
        <v>0</v>
      </c>
      <c r="AC1247" s="1">
        <f t="shared" si="626"/>
        <v>0</v>
      </c>
      <c r="AD1247" s="1">
        <f t="shared" si="626"/>
        <v>0</v>
      </c>
      <c r="AE1247" s="1">
        <f t="shared" si="626"/>
        <v>0</v>
      </c>
      <c r="AF1247" s="1">
        <f t="shared" si="626"/>
        <v>0</v>
      </c>
      <c r="AG1247" s="1">
        <f t="shared" si="626"/>
        <v>0</v>
      </c>
      <c r="AH1247" s="1">
        <f t="shared" si="626"/>
        <v>0</v>
      </c>
      <c r="AI1247" s="44">
        <f t="shared" si="615"/>
        <v>0</v>
      </c>
      <c r="AJ1247" s="44">
        <f t="shared" si="606"/>
        <v>0</v>
      </c>
      <c r="AK1247" s="44">
        <f t="shared" si="623"/>
        <v>0</v>
      </c>
      <c r="AL1247" s="4">
        <f t="shared" si="607"/>
        <v>557</v>
      </c>
      <c r="AM1247" s="82">
        <f t="shared" si="616"/>
        <v>0</v>
      </c>
      <c r="AN1247" s="82">
        <f t="shared" si="608"/>
        <v>0</v>
      </c>
      <c r="AO1247" s="48">
        <v>0</v>
      </c>
      <c r="AP1247" s="91">
        <f t="shared" si="617"/>
        <v>0</v>
      </c>
      <c r="AQ1247" s="91">
        <f t="shared" si="618"/>
        <v>0</v>
      </c>
    </row>
    <row r="1248" spans="1:43">
      <c r="A1248" s="190">
        <f t="shared" si="609"/>
        <v>112.22091033538672</v>
      </c>
      <c r="B1248" s="82">
        <f t="shared" si="610"/>
        <v>47</v>
      </c>
      <c r="C1248" s="83">
        <f t="shared" si="611"/>
        <v>558</v>
      </c>
      <c r="D1248" s="14">
        <f t="shared" si="597"/>
        <v>2.6283369587845051E-3</v>
      </c>
      <c r="E1248" s="16">
        <f t="shared" si="598"/>
        <v>0</v>
      </c>
      <c r="F1248" s="127"/>
      <c r="G1248" s="88">
        <f t="shared" si="599"/>
        <v>0</v>
      </c>
      <c r="H1248" s="89">
        <f t="shared" si="612"/>
        <v>4.1666666666666666E-3</v>
      </c>
      <c r="I1248" s="219"/>
      <c r="J1248" s="219"/>
      <c r="K1248" s="6">
        <f t="shared" si="620"/>
        <v>0</v>
      </c>
      <c r="M1248" s="6">
        <f t="shared" si="600"/>
        <v>0</v>
      </c>
      <c r="N1248" s="6">
        <f t="shared" si="601"/>
        <v>0</v>
      </c>
      <c r="O1248" s="90">
        <f t="shared" si="602"/>
        <v>0</v>
      </c>
      <c r="P1248" s="91">
        <f t="shared" si="603"/>
        <v>0</v>
      </c>
      <c r="Q1248" s="6">
        <f t="shared" si="604"/>
        <v>0</v>
      </c>
      <c r="R1248" s="87">
        <f t="shared" si="622"/>
        <v>0</v>
      </c>
      <c r="S1248" s="6">
        <f t="shared" si="605"/>
        <v>0</v>
      </c>
      <c r="T1248" s="83">
        <f t="shared" si="613"/>
        <v>0</v>
      </c>
      <c r="U1248" s="91">
        <f t="shared" si="619"/>
        <v>0</v>
      </c>
      <c r="V1248" s="91">
        <f t="shared" si="614"/>
        <v>0</v>
      </c>
      <c r="W1248" s="1">
        <f t="shared" si="626"/>
        <v>0</v>
      </c>
      <c r="X1248" s="1">
        <f t="shared" si="626"/>
        <v>0</v>
      </c>
      <c r="Y1248" s="1">
        <f t="shared" si="626"/>
        <v>0</v>
      </c>
      <c r="Z1248" s="1">
        <f t="shared" si="626"/>
        <v>0</v>
      </c>
      <c r="AA1248" s="1">
        <f t="shared" si="626"/>
        <v>0</v>
      </c>
      <c r="AB1248" s="1">
        <f t="shared" si="626"/>
        <v>0</v>
      </c>
      <c r="AC1248" s="1">
        <f t="shared" si="626"/>
        <v>0</v>
      </c>
      <c r="AD1248" s="1">
        <f t="shared" si="626"/>
        <v>0</v>
      </c>
      <c r="AE1248" s="1">
        <f t="shared" si="626"/>
        <v>0</v>
      </c>
      <c r="AF1248" s="1">
        <f t="shared" si="626"/>
        <v>0</v>
      </c>
      <c r="AG1248" s="1">
        <f t="shared" si="626"/>
        <v>0</v>
      </c>
      <c r="AH1248" s="1">
        <f t="shared" si="626"/>
        <v>0</v>
      </c>
      <c r="AI1248" s="44">
        <f t="shared" si="615"/>
        <v>0</v>
      </c>
      <c r="AJ1248" s="44">
        <f t="shared" si="606"/>
        <v>0</v>
      </c>
      <c r="AK1248" s="44">
        <f t="shared" si="623"/>
        <v>0</v>
      </c>
      <c r="AL1248" s="4">
        <f t="shared" si="607"/>
        <v>558</v>
      </c>
      <c r="AM1248" s="82">
        <f t="shared" si="616"/>
        <v>0</v>
      </c>
      <c r="AN1248" s="82">
        <f t="shared" si="608"/>
        <v>0</v>
      </c>
      <c r="AO1248" s="48">
        <v>0</v>
      </c>
      <c r="AP1248" s="91">
        <f t="shared" si="617"/>
        <v>0</v>
      </c>
      <c r="AQ1248" s="91">
        <f t="shared" si="618"/>
        <v>0</v>
      </c>
    </row>
    <row r="1249" spans="1:43">
      <c r="A1249" s="190">
        <f t="shared" si="609"/>
        <v>112.30424366872005</v>
      </c>
      <c r="B1249" s="82">
        <f t="shared" si="610"/>
        <v>47</v>
      </c>
      <c r="C1249" s="83">
        <f t="shared" si="611"/>
        <v>559</v>
      </c>
      <c r="D1249" s="14">
        <f t="shared" si="597"/>
        <v>2.6283369587845051E-3</v>
      </c>
      <c r="E1249" s="16">
        <f t="shared" si="598"/>
        <v>0</v>
      </c>
      <c r="F1249" s="127"/>
      <c r="G1249" s="88">
        <f t="shared" si="599"/>
        <v>0</v>
      </c>
      <c r="H1249" s="89">
        <f t="shared" si="612"/>
        <v>4.1666666666666666E-3</v>
      </c>
      <c r="I1249" s="219"/>
      <c r="J1249" s="219"/>
      <c r="K1249" s="6">
        <f t="shared" si="620"/>
        <v>0</v>
      </c>
      <c r="M1249" s="6">
        <f t="shared" si="600"/>
        <v>0</v>
      </c>
      <c r="N1249" s="6">
        <f t="shared" si="601"/>
        <v>0</v>
      </c>
      <c r="O1249" s="90">
        <f t="shared" si="602"/>
        <v>0</v>
      </c>
      <c r="P1249" s="91">
        <f t="shared" si="603"/>
        <v>0</v>
      </c>
      <c r="Q1249" s="6">
        <f t="shared" si="604"/>
        <v>0</v>
      </c>
      <c r="R1249" s="87">
        <f t="shared" si="622"/>
        <v>0</v>
      </c>
      <c r="S1249" s="6">
        <f t="shared" si="605"/>
        <v>0</v>
      </c>
      <c r="T1249" s="83">
        <f t="shared" si="613"/>
        <v>0</v>
      </c>
      <c r="U1249" s="91">
        <f t="shared" si="619"/>
        <v>0</v>
      </c>
      <c r="V1249" s="91">
        <f t="shared" si="614"/>
        <v>0</v>
      </c>
      <c r="W1249" s="1">
        <f t="shared" si="626"/>
        <v>0</v>
      </c>
      <c r="X1249" s="1">
        <f t="shared" si="626"/>
        <v>0</v>
      </c>
      <c r="Y1249" s="1">
        <f t="shared" si="626"/>
        <v>0</v>
      </c>
      <c r="Z1249" s="1">
        <f t="shared" si="626"/>
        <v>0</v>
      </c>
      <c r="AA1249" s="1">
        <f t="shared" si="626"/>
        <v>0</v>
      </c>
      <c r="AB1249" s="1">
        <f t="shared" si="626"/>
        <v>0</v>
      </c>
      <c r="AC1249" s="1">
        <f t="shared" si="626"/>
        <v>0</v>
      </c>
      <c r="AD1249" s="1">
        <f t="shared" si="626"/>
        <v>0</v>
      </c>
      <c r="AE1249" s="1">
        <f t="shared" si="626"/>
        <v>0</v>
      </c>
      <c r="AF1249" s="1">
        <f t="shared" si="626"/>
        <v>0</v>
      </c>
      <c r="AG1249" s="1">
        <f t="shared" si="626"/>
        <v>0</v>
      </c>
      <c r="AH1249" s="1">
        <f t="shared" si="626"/>
        <v>0</v>
      </c>
      <c r="AI1249" s="44">
        <f t="shared" si="615"/>
        <v>0</v>
      </c>
      <c r="AJ1249" s="44">
        <f t="shared" si="606"/>
        <v>0</v>
      </c>
      <c r="AK1249" s="44">
        <f t="shared" si="623"/>
        <v>0</v>
      </c>
      <c r="AL1249" s="4">
        <f t="shared" si="607"/>
        <v>559</v>
      </c>
      <c r="AM1249" s="82">
        <f t="shared" si="616"/>
        <v>0</v>
      </c>
      <c r="AN1249" s="82">
        <f t="shared" si="608"/>
        <v>0</v>
      </c>
      <c r="AO1249" s="48">
        <v>0</v>
      </c>
      <c r="AP1249" s="91">
        <f t="shared" si="617"/>
        <v>0</v>
      </c>
      <c r="AQ1249" s="91">
        <f t="shared" si="618"/>
        <v>0</v>
      </c>
    </row>
    <row r="1250" spans="1:43">
      <c r="A1250" s="190">
        <f t="shared" si="609"/>
        <v>112.38757700205338</v>
      </c>
      <c r="B1250" s="82">
        <f t="shared" si="610"/>
        <v>47</v>
      </c>
      <c r="C1250" s="83">
        <f t="shared" si="611"/>
        <v>560</v>
      </c>
      <c r="D1250" s="14">
        <f t="shared" si="597"/>
        <v>2.6283369587845051E-3</v>
      </c>
      <c r="E1250" s="16">
        <f t="shared" si="598"/>
        <v>0</v>
      </c>
      <c r="F1250" s="127"/>
      <c r="G1250" s="88">
        <f t="shared" si="599"/>
        <v>0</v>
      </c>
      <c r="H1250" s="89">
        <f t="shared" si="612"/>
        <v>4.1666666666666666E-3</v>
      </c>
      <c r="I1250" s="219"/>
      <c r="J1250" s="219"/>
      <c r="K1250" s="6">
        <f t="shared" si="620"/>
        <v>0</v>
      </c>
      <c r="M1250" s="6">
        <f t="shared" si="600"/>
        <v>0</v>
      </c>
      <c r="N1250" s="6">
        <f t="shared" si="601"/>
        <v>0</v>
      </c>
      <c r="O1250" s="90">
        <f t="shared" si="602"/>
        <v>0</v>
      </c>
      <c r="P1250" s="91">
        <f t="shared" si="603"/>
        <v>0</v>
      </c>
      <c r="Q1250" s="6">
        <f t="shared" si="604"/>
        <v>0</v>
      </c>
      <c r="R1250" s="87">
        <f t="shared" si="622"/>
        <v>0</v>
      </c>
      <c r="S1250" s="6">
        <f t="shared" si="605"/>
        <v>0</v>
      </c>
      <c r="T1250" s="83">
        <f t="shared" si="613"/>
        <v>0</v>
      </c>
      <c r="U1250" s="91">
        <f t="shared" si="619"/>
        <v>0</v>
      </c>
      <c r="V1250" s="91">
        <f t="shared" si="614"/>
        <v>0</v>
      </c>
      <c r="W1250" s="1">
        <f t="shared" si="626"/>
        <v>0</v>
      </c>
      <c r="X1250" s="1">
        <f t="shared" si="626"/>
        <v>0</v>
      </c>
      <c r="Y1250" s="1">
        <f t="shared" si="626"/>
        <v>0</v>
      </c>
      <c r="Z1250" s="1">
        <f t="shared" si="626"/>
        <v>0</v>
      </c>
      <c r="AA1250" s="1">
        <f t="shared" si="626"/>
        <v>0</v>
      </c>
      <c r="AB1250" s="1">
        <f t="shared" si="626"/>
        <v>0</v>
      </c>
      <c r="AC1250" s="1">
        <f t="shared" si="626"/>
        <v>0</v>
      </c>
      <c r="AD1250" s="1">
        <f t="shared" si="626"/>
        <v>0</v>
      </c>
      <c r="AE1250" s="1">
        <f t="shared" si="626"/>
        <v>0</v>
      </c>
      <c r="AF1250" s="1">
        <f t="shared" si="626"/>
        <v>0</v>
      </c>
      <c r="AG1250" s="1">
        <f t="shared" si="626"/>
        <v>0</v>
      </c>
      <c r="AH1250" s="1">
        <f t="shared" si="626"/>
        <v>0</v>
      </c>
      <c r="AI1250" s="44">
        <f t="shared" si="615"/>
        <v>0</v>
      </c>
      <c r="AJ1250" s="44">
        <f t="shared" si="606"/>
        <v>0</v>
      </c>
      <c r="AK1250" s="44">
        <f t="shared" si="623"/>
        <v>0</v>
      </c>
      <c r="AL1250" s="4">
        <f t="shared" si="607"/>
        <v>560</v>
      </c>
      <c r="AM1250" s="82">
        <f t="shared" si="616"/>
        <v>0</v>
      </c>
      <c r="AN1250" s="82">
        <f t="shared" si="608"/>
        <v>0</v>
      </c>
      <c r="AO1250" s="48">
        <v>0</v>
      </c>
      <c r="AP1250" s="91">
        <f t="shared" si="617"/>
        <v>0</v>
      </c>
      <c r="AQ1250" s="91">
        <f t="shared" si="618"/>
        <v>0</v>
      </c>
    </row>
    <row r="1251" spans="1:43">
      <c r="A1251" s="190">
        <f t="shared" si="609"/>
        <v>112.47091033538672</v>
      </c>
      <c r="B1251" s="82">
        <f t="shared" si="610"/>
        <v>47</v>
      </c>
      <c r="C1251" s="83">
        <f t="shared" si="611"/>
        <v>561</v>
      </c>
      <c r="D1251" s="14">
        <f t="shared" si="597"/>
        <v>2.6283369587845051E-3</v>
      </c>
      <c r="E1251" s="16">
        <f t="shared" si="598"/>
        <v>0</v>
      </c>
      <c r="F1251" s="127"/>
      <c r="G1251" s="88">
        <f t="shared" si="599"/>
        <v>0</v>
      </c>
      <c r="H1251" s="89">
        <f t="shared" si="612"/>
        <v>4.1666666666666666E-3</v>
      </c>
      <c r="I1251" s="219"/>
      <c r="J1251" s="219"/>
      <c r="K1251" s="6">
        <f t="shared" si="620"/>
        <v>0</v>
      </c>
      <c r="M1251" s="6">
        <f t="shared" si="600"/>
        <v>0</v>
      </c>
      <c r="N1251" s="6">
        <f t="shared" si="601"/>
        <v>0</v>
      </c>
      <c r="O1251" s="90">
        <f t="shared" si="602"/>
        <v>0</v>
      </c>
      <c r="P1251" s="91">
        <f t="shared" si="603"/>
        <v>0</v>
      </c>
      <c r="Q1251" s="6">
        <f t="shared" si="604"/>
        <v>0</v>
      </c>
      <c r="R1251" s="87">
        <f t="shared" si="622"/>
        <v>0</v>
      </c>
      <c r="S1251" s="6">
        <f t="shared" si="605"/>
        <v>0</v>
      </c>
      <c r="T1251" s="83">
        <f t="shared" si="613"/>
        <v>0</v>
      </c>
      <c r="U1251" s="91">
        <f t="shared" si="619"/>
        <v>0</v>
      </c>
      <c r="V1251" s="91">
        <f t="shared" si="614"/>
        <v>0</v>
      </c>
      <c r="W1251" s="1">
        <f t="shared" ref="W1251:AH1260" si="627">IF($B1251&lt;=W$78,1,0)</f>
        <v>0</v>
      </c>
      <c r="X1251" s="1">
        <f t="shared" si="627"/>
        <v>0</v>
      </c>
      <c r="Y1251" s="1">
        <f t="shared" si="627"/>
        <v>0</v>
      </c>
      <c r="Z1251" s="1">
        <f t="shared" si="627"/>
        <v>0</v>
      </c>
      <c r="AA1251" s="1">
        <f t="shared" si="627"/>
        <v>0</v>
      </c>
      <c r="AB1251" s="1">
        <f t="shared" si="627"/>
        <v>0</v>
      </c>
      <c r="AC1251" s="1">
        <f t="shared" si="627"/>
        <v>0</v>
      </c>
      <c r="AD1251" s="1">
        <f t="shared" si="627"/>
        <v>0</v>
      </c>
      <c r="AE1251" s="1">
        <f t="shared" si="627"/>
        <v>0</v>
      </c>
      <c r="AF1251" s="1">
        <f t="shared" si="627"/>
        <v>0</v>
      </c>
      <c r="AG1251" s="1">
        <f t="shared" si="627"/>
        <v>0</v>
      </c>
      <c r="AH1251" s="1">
        <f t="shared" si="627"/>
        <v>0</v>
      </c>
      <c r="AI1251" s="44">
        <f t="shared" si="615"/>
        <v>0</v>
      </c>
      <c r="AJ1251" s="44">
        <f t="shared" si="606"/>
        <v>0</v>
      </c>
      <c r="AK1251" s="44">
        <f t="shared" si="623"/>
        <v>0</v>
      </c>
      <c r="AL1251" s="4">
        <f t="shared" si="607"/>
        <v>561</v>
      </c>
      <c r="AM1251" s="82">
        <f t="shared" si="616"/>
        <v>0</v>
      </c>
      <c r="AN1251" s="82">
        <f t="shared" si="608"/>
        <v>0</v>
      </c>
      <c r="AO1251" s="48">
        <v>0</v>
      </c>
      <c r="AP1251" s="91">
        <f t="shared" si="617"/>
        <v>0</v>
      </c>
      <c r="AQ1251" s="91">
        <f t="shared" si="618"/>
        <v>0</v>
      </c>
    </row>
    <row r="1252" spans="1:43">
      <c r="A1252" s="190">
        <f t="shared" si="609"/>
        <v>112.55424366872005</v>
      </c>
      <c r="B1252" s="82">
        <f t="shared" si="610"/>
        <v>47</v>
      </c>
      <c r="C1252" s="83">
        <f t="shared" si="611"/>
        <v>562</v>
      </c>
      <c r="D1252" s="14">
        <f t="shared" si="597"/>
        <v>2.6283369587845051E-3</v>
      </c>
      <c r="E1252" s="16">
        <f t="shared" si="598"/>
        <v>0</v>
      </c>
      <c r="F1252" s="127"/>
      <c r="G1252" s="88">
        <f t="shared" si="599"/>
        <v>0</v>
      </c>
      <c r="H1252" s="89">
        <f t="shared" si="612"/>
        <v>4.1666666666666666E-3</v>
      </c>
      <c r="I1252" s="219"/>
      <c r="J1252" s="219"/>
      <c r="K1252" s="6">
        <f t="shared" si="620"/>
        <v>0</v>
      </c>
      <c r="M1252" s="6">
        <f t="shared" si="600"/>
        <v>0</v>
      </c>
      <c r="N1252" s="6">
        <f t="shared" si="601"/>
        <v>0</v>
      </c>
      <c r="O1252" s="90">
        <f t="shared" si="602"/>
        <v>0</v>
      </c>
      <c r="P1252" s="91">
        <f t="shared" si="603"/>
        <v>0</v>
      </c>
      <c r="Q1252" s="6">
        <f t="shared" si="604"/>
        <v>0</v>
      </c>
      <c r="R1252" s="87">
        <f t="shared" si="622"/>
        <v>0</v>
      </c>
      <c r="S1252" s="6">
        <f t="shared" si="605"/>
        <v>0</v>
      </c>
      <c r="T1252" s="83">
        <f t="shared" si="613"/>
        <v>0</v>
      </c>
      <c r="U1252" s="91">
        <f t="shared" si="619"/>
        <v>0</v>
      </c>
      <c r="V1252" s="91">
        <f t="shared" si="614"/>
        <v>0</v>
      </c>
      <c r="W1252" s="1">
        <f t="shared" si="627"/>
        <v>0</v>
      </c>
      <c r="X1252" s="1">
        <f t="shared" si="627"/>
        <v>0</v>
      </c>
      <c r="Y1252" s="1">
        <f t="shared" si="627"/>
        <v>0</v>
      </c>
      <c r="Z1252" s="1">
        <f t="shared" si="627"/>
        <v>0</v>
      </c>
      <c r="AA1252" s="1">
        <f t="shared" si="627"/>
        <v>0</v>
      </c>
      <c r="AB1252" s="1">
        <f t="shared" si="627"/>
        <v>0</v>
      </c>
      <c r="AC1252" s="1">
        <f t="shared" si="627"/>
        <v>0</v>
      </c>
      <c r="AD1252" s="1">
        <f t="shared" si="627"/>
        <v>0</v>
      </c>
      <c r="AE1252" s="1">
        <f t="shared" si="627"/>
        <v>0</v>
      </c>
      <c r="AF1252" s="1">
        <f t="shared" si="627"/>
        <v>0</v>
      </c>
      <c r="AG1252" s="1">
        <f t="shared" si="627"/>
        <v>0</v>
      </c>
      <c r="AH1252" s="1">
        <f t="shared" si="627"/>
        <v>0</v>
      </c>
      <c r="AI1252" s="44">
        <f t="shared" si="615"/>
        <v>0</v>
      </c>
      <c r="AJ1252" s="44">
        <f t="shared" si="606"/>
        <v>0</v>
      </c>
      <c r="AK1252" s="44">
        <f t="shared" si="623"/>
        <v>0</v>
      </c>
      <c r="AL1252" s="4">
        <f t="shared" si="607"/>
        <v>562</v>
      </c>
      <c r="AM1252" s="82">
        <f t="shared" si="616"/>
        <v>0</v>
      </c>
      <c r="AN1252" s="82">
        <f t="shared" si="608"/>
        <v>0</v>
      </c>
      <c r="AO1252" s="48">
        <v>0</v>
      </c>
      <c r="AP1252" s="91">
        <f t="shared" si="617"/>
        <v>0</v>
      </c>
      <c r="AQ1252" s="91">
        <f t="shared" si="618"/>
        <v>0</v>
      </c>
    </row>
    <row r="1253" spans="1:43">
      <c r="A1253" s="190">
        <f t="shared" si="609"/>
        <v>112.63757700205338</v>
      </c>
      <c r="B1253" s="82">
        <f t="shared" si="610"/>
        <v>47</v>
      </c>
      <c r="C1253" s="83">
        <f t="shared" si="611"/>
        <v>563</v>
      </c>
      <c r="D1253" s="14">
        <f t="shared" si="597"/>
        <v>2.6283369587845051E-3</v>
      </c>
      <c r="E1253" s="16">
        <f t="shared" si="598"/>
        <v>0</v>
      </c>
      <c r="F1253" s="127"/>
      <c r="G1253" s="88">
        <f t="shared" si="599"/>
        <v>0</v>
      </c>
      <c r="H1253" s="89">
        <f t="shared" si="612"/>
        <v>4.1666666666666666E-3</v>
      </c>
      <c r="I1253" s="219"/>
      <c r="J1253" s="219"/>
      <c r="K1253" s="6">
        <f t="shared" si="620"/>
        <v>0</v>
      </c>
      <c r="M1253" s="6">
        <f t="shared" si="600"/>
        <v>0</v>
      </c>
      <c r="N1253" s="6">
        <f t="shared" si="601"/>
        <v>0</v>
      </c>
      <c r="O1253" s="90">
        <f t="shared" si="602"/>
        <v>0</v>
      </c>
      <c r="P1253" s="91">
        <f t="shared" si="603"/>
        <v>0</v>
      </c>
      <c r="Q1253" s="6">
        <f t="shared" si="604"/>
        <v>0</v>
      </c>
      <c r="R1253" s="87">
        <f t="shared" si="622"/>
        <v>0</v>
      </c>
      <c r="S1253" s="6">
        <f t="shared" si="605"/>
        <v>0</v>
      </c>
      <c r="T1253" s="83">
        <f t="shared" si="613"/>
        <v>0</v>
      </c>
      <c r="U1253" s="91">
        <f t="shared" si="619"/>
        <v>0</v>
      </c>
      <c r="V1253" s="91">
        <f t="shared" si="614"/>
        <v>0</v>
      </c>
      <c r="W1253" s="1">
        <f t="shared" si="627"/>
        <v>0</v>
      </c>
      <c r="X1253" s="1">
        <f t="shared" si="627"/>
        <v>0</v>
      </c>
      <c r="Y1253" s="1">
        <f t="shared" si="627"/>
        <v>0</v>
      </c>
      <c r="Z1253" s="1">
        <f t="shared" si="627"/>
        <v>0</v>
      </c>
      <c r="AA1253" s="1">
        <f t="shared" si="627"/>
        <v>0</v>
      </c>
      <c r="AB1253" s="1">
        <f t="shared" si="627"/>
        <v>0</v>
      </c>
      <c r="AC1253" s="1">
        <f t="shared" si="627"/>
        <v>0</v>
      </c>
      <c r="AD1253" s="1">
        <f t="shared" si="627"/>
        <v>0</v>
      </c>
      <c r="AE1253" s="1">
        <f t="shared" si="627"/>
        <v>0</v>
      </c>
      <c r="AF1253" s="1">
        <f t="shared" si="627"/>
        <v>0</v>
      </c>
      <c r="AG1253" s="1">
        <f t="shared" si="627"/>
        <v>0</v>
      </c>
      <c r="AH1253" s="1">
        <f t="shared" si="627"/>
        <v>0</v>
      </c>
      <c r="AI1253" s="44">
        <f t="shared" si="615"/>
        <v>0</v>
      </c>
      <c r="AJ1253" s="44">
        <f t="shared" si="606"/>
        <v>0</v>
      </c>
      <c r="AK1253" s="44">
        <f t="shared" si="623"/>
        <v>0</v>
      </c>
      <c r="AL1253" s="4">
        <f t="shared" si="607"/>
        <v>563</v>
      </c>
      <c r="AM1253" s="82">
        <f t="shared" si="616"/>
        <v>0</v>
      </c>
      <c r="AN1253" s="82">
        <f t="shared" si="608"/>
        <v>0</v>
      </c>
      <c r="AO1253" s="48">
        <v>0</v>
      </c>
      <c r="AP1253" s="91">
        <f t="shared" si="617"/>
        <v>0</v>
      </c>
      <c r="AQ1253" s="91">
        <f t="shared" si="618"/>
        <v>0</v>
      </c>
    </row>
    <row r="1254" spans="1:43">
      <c r="A1254" s="190">
        <f t="shared" si="609"/>
        <v>112.72091033538672</v>
      </c>
      <c r="B1254" s="82">
        <f t="shared" si="610"/>
        <v>47</v>
      </c>
      <c r="C1254" s="83">
        <f t="shared" si="611"/>
        <v>564</v>
      </c>
      <c r="D1254" s="14">
        <f t="shared" si="597"/>
        <v>2.6283369587845051E-3</v>
      </c>
      <c r="E1254" s="16">
        <f t="shared" si="598"/>
        <v>0</v>
      </c>
      <c r="F1254" s="127"/>
      <c r="G1254" s="88">
        <f t="shared" si="599"/>
        <v>0</v>
      </c>
      <c r="H1254" s="89">
        <f t="shared" si="612"/>
        <v>4.1666666666666666E-3</v>
      </c>
      <c r="I1254" s="219"/>
      <c r="J1254" s="219"/>
      <c r="K1254" s="6">
        <f t="shared" si="620"/>
        <v>0</v>
      </c>
      <c r="M1254" s="6">
        <f t="shared" si="600"/>
        <v>0</v>
      </c>
      <c r="N1254" s="6">
        <f t="shared" si="601"/>
        <v>0</v>
      </c>
      <c r="O1254" s="90">
        <f t="shared" si="602"/>
        <v>0</v>
      </c>
      <c r="P1254" s="91">
        <f t="shared" si="603"/>
        <v>0</v>
      </c>
      <c r="Q1254" s="6">
        <f t="shared" si="604"/>
        <v>0</v>
      </c>
      <c r="R1254" s="87">
        <f t="shared" si="622"/>
        <v>0</v>
      </c>
      <c r="S1254" s="6">
        <f t="shared" si="605"/>
        <v>0</v>
      </c>
      <c r="T1254" s="83">
        <f t="shared" si="613"/>
        <v>0</v>
      </c>
      <c r="U1254" s="91">
        <f t="shared" si="619"/>
        <v>0</v>
      </c>
      <c r="V1254" s="91">
        <f t="shared" si="614"/>
        <v>0</v>
      </c>
      <c r="W1254" s="1">
        <f t="shared" si="627"/>
        <v>0</v>
      </c>
      <c r="X1254" s="1">
        <f t="shared" si="627"/>
        <v>0</v>
      </c>
      <c r="Y1254" s="1">
        <f t="shared" si="627"/>
        <v>0</v>
      </c>
      <c r="Z1254" s="1">
        <f t="shared" si="627"/>
        <v>0</v>
      </c>
      <c r="AA1254" s="1">
        <f t="shared" si="627"/>
        <v>0</v>
      </c>
      <c r="AB1254" s="1">
        <f t="shared" si="627"/>
        <v>0</v>
      </c>
      <c r="AC1254" s="1">
        <f t="shared" si="627"/>
        <v>0</v>
      </c>
      <c r="AD1254" s="1">
        <f t="shared" si="627"/>
        <v>0</v>
      </c>
      <c r="AE1254" s="1">
        <f t="shared" si="627"/>
        <v>0</v>
      </c>
      <c r="AF1254" s="1">
        <f t="shared" si="627"/>
        <v>0</v>
      </c>
      <c r="AG1254" s="1">
        <f t="shared" si="627"/>
        <v>0</v>
      </c>
      <c r="AH1254" s="1">
        <f t="shared" si="627"/>
        <v>0</v>
      </c>
      <c r="AI1254" s="44">
        <f t="shared" si="615"/>
        <v>0</v>
      </c>
      <c r="AJ1254" s="44">
        <f t="shared" si="606"/>
        <v>0</v>
      </c>
      <c r="AK1254" s="44">
        <f t="shared" si="623"/>
        <v>0</v>
      </c>
      <c r="AL1254" s="4">
        <f t="shared" si="607"/>
        <v>564</v>
      </c>
      <c r="AM1254" s="82">
        <f t="shared" si="616"/>
        <v>0</v>
      </c>
      <c r="AN1254" s="82">
        <f t="shared" si="608"/>
        <v>0</v>
      </c>
      <c r="AO1254" s="48">
        <v>0</v>
      </c>
      <c r="AP1254" s="91">
        <f t="shared" si="617"/>
        <v>0</v>
      </c>
      <c r="AQ1254" s="91">
        <f t="shared" si="618"/>
        <v>0</v>
      </c>
    </row>
    <row r="1255" spans="1:43">
      <c r="A1255" s="190">
        <f t="shared" si="609"/>
        <v>112.80424366872005</v>
      </c>
      <c r="B1255" s="82">
        <f t="shared" si="610"/>
        <v>48</v>
      </c>
      <c r="C1255" s="83">
        <f t="shared" si="611"/>
        <v>565</v>
      </c>
      <c r="D1255" s="14">
        <f t="shared" si="597"/>
        <v>2.6283369587845051E-3</v>
      </c>
      <c r="E1255" s="16">
        <f t="shared" si="598"/>
        <v>0</v>
      </c>
      <c r="F1255" s="127"/>
      <c r="G1255" s="88">
        <f t="shared" si="599"/>
        <v>0</v>
      </c>
      <c r="H1255" s="89">
        <f t="shared" si="612"/>
        <v>4.1666666666666666E-3</v>
      </c>
      <c r="I1255" s="219"/>
      <c r="J1255" s="219"/>
      <c r="K1255" s="6">
        <f t="shared" si="620"/>
        <v>0</v>
      </c>
      <c r="M1255" s="6">
        <f t="shared" si="600"/>
        <v>0</v>
      </c>
      <c r="N1255" s="6">
        <f t="shared" si="601"/>
        <v>0</v>
      </c>
      <c r="O1255" s="90">
        <f t="shared" si="602"/>
        <v>0</v>
      </c>
      <c r="P1255" s="91">
        <f t="shared" si="603"/>
        <v>0</v>
      </c>
      <c r="Q1255" s="6">
        <f t="shared" si="604"/>
        <v>0</v>
      </c>
      <c r="R1255" s="87">
        <f t="shared" si="622"/>
        <v>0</v>
      </c>
      <c r="S1255" s="6">
        <f t="shared" si="605"/>
        <v>0</v>
      </c>
      <c r="T1255" s="83">
        <f t="shared" si="613"/>
        <v>0</v>
      </c>
      <c r="U1255" s="91">
        <f t="shared" si="619"/>
        <v>0</v>
      </c>
      <c r="V1255" s="91">
        <f t="shared" si="614"/>
        <v>0</v>
      </c>
      <c r="W1255" s="1">
        <f t="shared" si="627"/>
        <v>0</v>
      </c>
      <c r="X1255" s="1">
        <f t="shared" si="627"/>
        <v>0</v>
      </c>
      <c r="Y1255" s="1">
        <f t="shared" si="627"/>
        <v>0</v>
      </c>
      <c r="Z1255" s="1">
        <f t="shared" si="627"/>
        <v>0</v>
      </c>
      <c r="AA1255" s="1">
        <f t="shared" si="627"/>
        <v>0</v>
      </c>
      <c r="AB1255" s="1">
        <f t="shared" si="627"/>
        <v>0</v>
      </c>
      <c r="AC1255" s="1">
        <f t="shared" si="627"/>
        <v>0</v>
      </c>
      <c r="AD1255" s="1">
        <f t="shared" si="627"/>
        <v>0</v>
      </c>
      <c r="AE1255" s="1">
        <f t="shared" si="627"/>
        <v>0</v>
      </c>
      <c r="AF1255" s="1">
        <f t="shared" si="627"/>
        <v>0</v>
      </c>
      <c r="AG1255" s="1">
        <f t="shared" si="627"/>
        <v>0</v>
      </c>
      <c r="AH1255" s="1">
        <f t="shared" si="627"/>
        <v>0</v>
      </c>
      <c r="AI1255" s="44">
        <f t="shared" si="615"/>
        <v>0</v>
      </c>
      <c r="AJ1255" s="44">
        <f t="shared" si="606"/>
        <v>0</v>
      </c>
      <c r="AK1255" s="44">
        <f t="shared" si="623"/>
        <v>0</v>
      </c>
      <c r="AL1255" s="4">
        <f t="shared" si="607"/>
        <v>565</v>
      </c>
      <c r="AM1255" s="82">
        <f t="shared" si="616"/>
        <v>0</v>
      </c>
      <c r="AN1255" s="82">
        <f t="shared" si="608"/>
        <v>0</v>
      </c>
      <c r="AO1255" s="48">
        <v>0</v>
      </c>
      <c r="AP1255" s="91">
        <f t="shared" si="617"/>
        <v>0</v>
      </c>
      <c r="AQ1255" s="91">
        <f t="shared" si="618"/>
        <v>0</v>
      </c>
    </row>
    <row r="1256" spans="1:43">
      <c r="A1256" s="190">
        <f t="shared" si="609"/>
        <v>112.88757700205338</v>
      </c>
      <c r="B1256" s="82">
        <f t="shared" si="610"/>
        <v>48</v>
      </c>
      <c r="C1256" s="83">
        <f t="shared" si="611"/>
        <v>566</v>
      </c>
      <c r="D1256" s="14">
        <f t="shared" si="597"/>
        <v>2.6283369587845051E-3</v>
      </c>
      <c r="E1256" s="16">
        <f t="shared" si="598"/>
        <v>0</v>
      </c>
      <c r="F1256" s="127"/>
      <c r="G1256" s="88">
        <f t="shared" si="599"/>
        <v>0</v>
      </c>
      <c r="H1256" s="89">
        <f t="shared" si="612"/>
        <v>4.1666666666666666E-3</v>
      </c>
      <c r="I1256" s="219"/>
      <c r="J1256" s="219"/>
      <c r="K1256" s="6">
        <f t="shared" si="620"/>
        <v>0</v>
      </c>
      <c r="M1256" s="6">
        <f t="shared" si="600"/>
        <v>0</v>
      </c>
      <c r="N1256" s="6">
        <f t="shared" si="601"/>
        <v>0</v>
      </c>
      <c r="O1256" s="90">
        <f t="shared" si="602"/>
        <v>0</v>
      </c>
      <c r="P1256" s="91">
        <f t="shared" si="603"/>
        <v>0</v>
      </c>
      <c r="Q1256" s="6">
        <f t="shared" si="604"/>
        <v>0</v>
      </c>
      <c r="R1256" s="87">
        <f t="shared" si="622"/>
        <v>0</v>
      </c>
      <c r="S1256" s="6">
        <f t="shared" si="605"/>
        <v>0</v>
      </c>
      <c r="T1256" s="83">
        <f t="shared" si="613"/>
        <v>0</v>
      </c>
      <c r="U1256" s="91">
        <f t="shared" si="619"/>
        <v>0</v>
      </c>
      <c r="V1256" s="91">
        <f t="shared" si="614"/>
        <v>0</v>
      </c>
      <c r="W1256" s="1">
        <f t="shared" si="627"/>
        <v>0</v>
      </c>
      <c r="X1256" s="1">
        <f t="shared" si="627"/>
        <v>0</v>
      </c>
      <c r="Y1256" s="1">
        <f t="shared" si="627"/>
        <v>0</v>
      </c>
      <c r="Z1256" s="1">
        <f t="shared" si="627"/>
        <v>0</v>
      </c>
      <c r="AA1256" s="1">
        <f t="shared" si="627"/>
        <v>0</v>
      </c>
      <c r="AB1256" s="1">
        <f t="shared" si="627"/>
        <v>0</v>
      </c>
      <c r="AC1256" s="1">
        <f t="shared" si="627"/>
        <v>0</v>
      </c>
      <c r="AD1256" s="1">
        <f t="shared" si="627"/>
        <v>0</v>
      </c>
      <c r="AE1256" s="1">
        <f t="shared" si="627"/>
        <v>0</v>
      </c>
      <c r="AF1256" s="1">
        <f t="shared" si="627"/>
        <v>0</v>
      </c>
      <c r="AG1256" s="1">
        <f t="shared" si="627"/>
        <v>0</v>
      </c>
      <c r="AH1256" s="1">
        <f t="shared" si="627"/>
        <v>0</v>
      </c>
      <c r="AI1256" s="44">
        <f t="shared" si="615"/>
        <v>0</v>
      </c>
      <c r="AJ1256" s="44">
        <f t="shared" si="606"/>
        <v>0</v>
      </c>
      <c r="AK1256" s="44">
        <f t="shared" si="623"/>
        <v>0</v>
      </c>
      <c r="AL1256" s="4">
        <f t="shared" si="607"/>
        <v>566</v>
      </c>
      <c r="AM1256" s="82">
        <f t="shared" si="616"/>
        <v>0</v>
      </c>
      <c r="AN1256" s="82">
        <f t="shared" si="608"/>
        <v>0</v>
      </c>
      <c r="AO1256" s="48">
        <v>0</v>
      </c>
      <c r="AP1256" s="91">
        <f t="shared" si="617"/>
        <v>0</v>
      </c>
      <c r="AQ1256" s="91">
        <f t="shared" si="618"/>
        <v>0</v>
      </c>
    </row>
    <row r="1257" spans="1:43">
      <c r="A1257" s="190">
        <f t="shared" si="609"/>
        <v>112.97091033538672</v>
      </c>
      <c r="B1257" s="82">
        <f t="shared" si="610"/>
        <v>48</v>
      </c>
      <c r="C1257" s="83">
        <f t="shared" si="611"/>
        <v>567</v>
      </c>
      <c r="D1257" s="14">
        <f t="shared" si="597"/>
        <v>2.6283369587845051E-3</v>
      </c>
      <c r="E1257" s="16">
        <f t="shared" si="598"/>
        <v>0</v>
      </c>
      <c r="F1257" s="127"/>
      <c r="G1257" s="88">
        <f t="shared" si="599"/>
        <v>0</v>
      </c>
      <c r="H1257" s="89">
        <f t="shared" si="612"/>
        <v>4.1666666666666666E-3</v>
      </c>
      <c r="I1257" s="219"/>
      <c r="J1257" s="219"/>
      <c r="K1257" s="6">
        <f t="shared" si="620"/>
        <v>0</v>
      </c>
      <c r="M1257" s="6">
        <f t="shared" si="600"/>
        <v>0</v>
      </c>
      <c r="N1257" s="6">
        <f t="shared" si="601"/>
        <v>0</v>
      </c>
      <c r="O1257" s="90">
        <f t="shared" si="602"/>
        <v>0</v>
      </c>
      <c r="P1257" s="91">
        <f t="shared" si="603"/>
        <v>0</v>
      </c>
      <c r="Q1257" s="6">
        <f t="shared" si="604"/>
        <v>0</v>
      </c>
      <c r="R1257" s="87">
        <f t="shared" si="622"/>
        <v>0</v>
      </c>
      <c r="S1257" s="6">
        <f t="shared" si="605"/>
        <v>0</v>
      </c>
      <c r="T1257" s="83">
        <f t="shared" si="613"/>
        <v>0</v>
      </c>
      <c r="U1257" s="91">
        <f t="shared" si="619"/>
        <v>0</v>
      </c>
      <c r="V1257" s="91">
        <f t="shared" si="614"/>
        <v>0</v>
      </c>
      <c r="W1257" s="1">
        <f t="shared" si="627"/>
        <v>0</v>
      </c>
      <c r="X1257" s="1">
        <f t="shared" si="627"/>
        <v>0</v>
      </c>
      <c r="Y1257" s="1">
        <f t="shared" si="627"/>
        <v>0</v>
      </c>
      <c r="Z1257" s="1">
        <f t="shared" si="627"/>
        <v>0</v>
      </c>
      <c r="AA1257" s="1">
        <f t="shared" si="627"/>
        <v>0</v>
      </c>
      <c r="AB1257" s="1">
        <f t="shared" si="627"/>
        <v>0</v>
      </c>
      <c r="AC1257" s="1">
        <f t="shared" si="627"/>
        <v>0</v>
      </c>
      <c r="AD1257" s="1">
        <f t="shared" si="627"/>
        <v>0</v>
      </c>
      <c r="AE1257" s="1">
        <f t="shared" si="627"/>
        <v>0</v>
      </c>
      <c r="AF1257" s="1">
        <f t="shared" si="627"/>
        <v>0</v>
      </c>
      <c r="AG1257" s="1">
        <f t="shared" si="627"/>
        <v>0</v>
      </c>
      <c r="AH1257" s="1">
        <f t="shared" si="627"/>
        <v>0</v>
      </c>
      <c r="AI1257" s="44">
        <f t="shared" si="615"/>
        <v>0</v>
      </c>
      <c r="AJ1257" s="44">
        <f t="shared" si="606"/>
        <v>0</v>
      </c>
      <c r="AK1257" s="44">
        <f t="shared" si="623"/>
        <v>0</v>
      </c>
      <c r="AL1257" s="4">
        <f t="shared" si="607"/>
        <v>567</v>
      </c>
      <c r="AM1257" s="82">
        <f t="shared" si="616"/>
        <v>0</v>
      </c>
      <c r="AN1257" s="82">
        <f t="shared" si="608"/>
        <v>0</v>
      </c>
      <c r="AO1257" s="48">
        <v>0</v>
      </c>
      <c r="AP1257" s="91">
        <f t="shared" si="617"/>
        <v>0</v>
      </c>
      <c r="AQ1257" s="91">
        <f t="shared" si="618"/>
        <v>0</v>
      </c>
    </row>
    <row r="1258" spans="1:43">
      <c r="A1258" s="190">
        <f t="shared" si="609"/>
        <v>113.05424366872005</v>
      </c>
      <c r="B1258" s="82">
        <f t="shared" si="610"/>
        <v>48</v>
      </c>
      <c r="C1258" s="83">
        <f t="shared" si="611"/>
        <v>568</v>
      </c>
      <c r="D1258" s="14">
        <f t="shared" si="597"/>
        <v>2.6283369587845051E-3</v>
      </c>
      <c r="E1258" s="16">
        <f t="shared" si="598"/>
        <v>0</v>
      </c>
      <c r="F1258" s="127"/>
      <c r="G1258" s="88">
        <f t="shared" si="599"/>
        <v>0</v>
      </c>
      <c r="H1258" s="89">
        <f t="shared" si="612"/>
        <v>4.1666666666666666E-3</v>
      </c>
      <c r="I1258" s="219"/>
      <c r="J1258" s="219"/>
      <c r="K1258" s="6">
        <f t="shared" si="620"/>
        <v>0</v>
      </c>
      <c r="M1258" s="6">
        <f t="shared" si="600"/>
        <v>0</v>
      </c>
      <c r="N1258" s="6">
        <f t="shared" si="601"/>
        <v>0</v>
      </c>
      <c r="O1258" s="90">
        <f t="shared" si="602"/>
        <v>0</v>
      </c>
      <c r="P1258" s="91">
        <f t="shared" si="603"/>
        <v>0</v>
      </c>
      <c r="Q1258" s="6">
        <f t="shared" si="604"/>
        <v>0</v>
      </c>
      <c r="R1258" s="87">
        <f t="shared" si="622"/>
        <v>0</v>
      </c>
      <c r="S1258" s="6">
        <f t="shared" si="605"/>
        <v>0</v>
      </c>
      <c r="T1258" s="83">
        <f t="shared" si="613"/>
        <v>0</v>
      </c>
      <c r="U1258" s="91">
        <f t="shared" si="619"/>
        <v>0</v>
      </c>
      <c r="V1258" s="91">
        <f t="shared" si="614"/>
        <v>0</v>
      </c>
      <c r="W1258" s="1">
        <f t="shared" si="627"/>
        <v>0</v>
      </c>
      <c r="X1258" s="1">
        <f t="shared" si="627"/>
        <v>0</v>
      </c>
      <c r="Y1258" s="1">
        <f t="shared" si="627"/>
        <v>0</v>
      </c>
      <c r="Z1258" s="1">
        <f t="shared" si="627"/>
        <v>0</v>
      </c>
      <c r="AA1258" s="1">
        <f t="shared" si="627"/>
        <v>0</v>
      </c>
      <c r="AB1258" s="1">
        <f t="shared" si="627"/>
        <v>0</v>
      </c>
      <c r="AC1258" s="1">
        <f t="shared" si="627"/>
        <v>0</v>
      </c>
      <c r="AD1258" s="1">
        <f t="shared" si="627"/>
        <v>0</v>
      </c>
      <c r="AE1258" s="1">
        <f t="shared" si="627"/>
        <v>0</v>
      </c>
      <c r="AF1258" s="1">
        <f t="shared" si="627"/>
        <v>0</v>
      </c>
      <c r="AG1258" s="1">
        <f t="shared" si="627"/>
        <v>0</v>
      </c>
      <c r="AH1258" s="1">
        <f t="shared" si="627"/>
        <v>0</v>
      </c>
      <c r="AI1258" s="44">
        <f t="shared" si="615"/>
        <v>0</v>
      </c>
      <c r="AJ1258" s="44">
        <f t="shared" si="606"/>
        <v>0</v>
      </c>
      <c r="AK1258" s="44">
        <f t="shared" si="623"/>
        <v>0</v>
      </c>
      <c r="AL1258" s="4">
        <f t="shared" si="607"/>
        <v>568</v>
      </c>
      <c r="AM1258" s="82">
        <f t="shared" si="616"/>
        <v>0</v>
      </c>
      <c r="AN1258" s="82">
        <f t="shared" si="608"/>
        <v>0</v>
      </c>
      <c r="AO1258" s="48">
        <v>0</v>
      </c>
      <c r="AP1258" s="91">
        <f t="shared" si="617"/>
        <v>0</v>
      </c>
      <c r="AQ1258" s="91">
        <f t="shared" si="618"/>
        <v>0</v>
      </c>
    </row>
    <row r="1259" spans="1:43">
      <c r="A1259" s="190">
        <f t="shared" si="609"/>
        <v>113.13757700205338</v>
      </c>
      <c r="B1259" s="82">
        <f t="shared" si="610"/>
        <v>48</v>
      </c>
      <c r="C1259" s="83">
        <f t="shared" si="611"/>
        <v>569</v>
      </c>
      <c r="D1259" s="14">
        <f t="shared" si="597"/>
        <v>2.6283369587845051E-3</v>
      </c>
      <c r="E1259" s="16">
        <f t="shared" si="598"/>
        <v>0</v>
      </c>
      <c r="F1259" s="127"/>
      <c r="G1259" s="88">
        <f t="shared" si="599"/>
        <v>0</v>
      </c>
      <c r="H1259" s="89">
        <f t="shared" si="612"/>
        <v>4.1666666666666666E-3</v>
      </c>
      <c r="I1259" s="219"/>
      <c r="J1259" s="219"/>
      <c r="K1259" s="6">
        <f t="shared" si="620"/>
        <v>0</v>
      </c>
      <c r="M1259" s="6">
        <f t="shared" si="600"/>
        <v>0</v>
      </c>
      <c r="N1259" s="6">
        <f t="shared" si="601"/>
        <v>0</v>
      </c>
      <c r="O1259" s="90">
        <f t="shared" si="602"/>
        <v>0</v>
      </c>
      <c r="P1259" s="91">
        <f t="shared" si="603"/>
        <v>0</v>
      </c>
      <c r="Q1259" s="6">
        <f t="shared" si="604"/>
        <v>0</v>
      </c>
      <c r="R1259" s="87">
        <f t="shared" si="622"/>
        <v>0</v>
      </c>
      <c r="S1259" s="6">
        <f t="shared" si="605"/>
        <v>0</v>
      </c>
      <c r="T1259" s="83">
        <f t="shared" si="613"/>
        <v>0</v>
      </c>
      <c r="U1259" s="91">
        <f t="shared" si="619"/>
        <v>0</v>
      </c>
      <c r="V1259" s="91">
        <f t="shared" si="614"/>
        <v>0</v>
      </c>
      <c r="W1259" s="1">
        <f t="shared" si="627"/>
        <v>0</v>
      </c>
      <c r="X1259" s="1">
        <f t="shared" si="627"/>
        <v>0</v>
      </c>
      <c r="Y1259" s="1">
        <f t="shared" si="627"/>
        <v>0</v>
      </c>
      <c r="Z1259" s="1">
        <f t="shared" si="627"/>
        <v>0</v>
      </c>
      <c r="AA1259" s="1">
        <f t="shared" si="627"/>
        <v>0</v>
      </c>
      <c r="AB1259" s="1">
        <f t="shared" si="627"/>
        <v>0</v>
      </c>
      <c r="AC1259" s="1">
        <f t="shared" si="627"/>
        <v>0</v>
      </c>
      <c r="AD1259" s="1">
        <f t="shared" si="627"/>
        <v>0</v>
      </c>
      <c r="AE1259" s="1">
        <f t="shared" si="627"/>
        <v>0</v>
      </c>
      <c r="AF1259" s="1">
        <f t="shared" si="627"/>
        <v>0</v>
      </c>
      <c r="AG1259" s="1">
        <f t="shared" si="627"/>
        <v>0</v>
      </c>
      <c r="AH1259" s="1">
        <f t="shared" si="627"/>
        <v>0</v>
      </c>
      <c r="AI1259" s="44">
        <f t="shared" si="615"/>
        <v>0</v>
      </c>
      <c r="AJ1259" s="44">
        <f t="shared" si="606"/>
        <v>0</v>
      </c>
      <c r="AK1259" s="44">
        <f t="shared" si="623"/>
        <v>0</v>
      </c>
      <c r="AL1259" s="4">
        <f t="shared" si="607"/>
        <v>569</v>
      </c>
      <c r="AM1259" s="82">
        <f t="shared" si="616"/>
        <v>0</v>
      </c>
      <c r="AN1259" s="82">
        <f t="shared" si="608"/>
        <v>0</v>
      </c>
      <c r="AO1259" s="48">
        <v>0</v>
      </c>
      <c r="AP1259" s="91">
        <f t="shared" si="617"/>
        <v>0</v>
      </c>
      <c r="AQ1259" s="91">
        <f t="shared" si="618"/>
        <v>0</v>
      </c>
    </row>
    <row r="1260" spans="1:43">
      <c r="A1260" s="190">
        <f t="shared" si="609"/>
        <v>113.22091033538672</v>
      </c>
      <c r="B1260" s="82">
        <f t="shared" si="610"/>
        <v>48</v>
      </c>
      <c r="C1260" s="83">
        <f t="shared" si="611"/>
        <v>570</v>
      </c>
      <c r="D1260" s="14">
        <f t="shared" si="597"/>
        <v>2.6283369587845051E-3</v>
      </c>
      <c r="E1260" s="16">
        <f t="shared" si="598"/>
        <v>0</v>
      </c>
      <c r="F1260" s="127"/>
      <c r="G1260" s="88">
        <f t="shared" si="599"/>
        <v>0</v>
      </c>
      <c r="H1260" s="89">
        <f t="shared" si="612"/>
        <v>4.1666666666666666E-3</v>
      </c>
      <c r="I1260" s="219"/>
      <c r="J1260" s="219"/>
      <c r="K1260" s="6">
        <f t="shared" si="620"/>
        <v>0</v>
      </c>
      <c r="M1260" s="6">
        <f t="shared" si="600"/>
        <v>0</v>
      </c>
      <c r="N1260" s="6">
        <f t="shared" si="601"/>
        <v>0</v>
      </c>
      <c r="O1260" s="90">
        <f t="shared" si="602"/>
        <v>0</v>
      </c>
      <c r="P1260" s="91">
        <f t="shared" si="603"/>
        <v>0</v>
      </c>
      <c r="Q1260" s="6">
        <f t="shared" si="604"/>
        <v>0</v>
      </c>
      <c r="R1260" s="87">
        <f t="shared" si="622"/>
        <v>0</v>
      </c>
      <c r="S1260" s="6">
        <f t="shared" si="605"/>
        <v>0</v>
      </c>
      <c r="T1260" s="83">
        <f t="shared" si="613"/>
        <v>0</v>
      </c>
      <c r="U1260" s="91">
        <f t="shared" si="619"/>
        <v>0</v>
      </c>
      <c r="V1260" s="91">
        <f t="shared" si="614"/>
        <v>0</v>
      </c>
      <c r="W1260" s="1">
        <f t="shared" si="627"/>
        <v>0</v>
      </c>
      <c r="X1260" s="1">
        <f t="shared" si="627"/>
        <v>0</v>
      </c>
      <c r="Y1260" s="1">
        <f t="shared" si="627"/>
        <v>0</v>
      </c>
      <c r="Z1260" s="1">
        <f t="shared" si="627"/>
        <v>0</v>
      </c>
      <c r="AA1260" s="1">
        <f t="shared" si="627"/>
        <v>0</v>
      </c>
      <c r="AB1260" s="1">
        <f t="shared" si="627"/>
        <v>0</v>
      </c>
      <c r="AC1260" s="1">
        <f t="shared" si="627"/>
        <v>0</v>
      </c>
      <c r="AD1260" s="1">
        <f t="shared" si="627"/>
        <v>0</v>
      </c>
      <c r="AE1260" s="1">
        <f t="shared" si="627"/>
        <v>0</v>
      </c>
      <c r="AF1260" s="1">
        <f t="shared" si="627"/>
        <v>0</v>
      </c>
      <c r="AG1260" s="1">
        <f t="shared" si="627"/>
        <v>0</v>
      </c>
      <c r="AH1260" s="1">
        <f t="shared" si="627"/>
        <v>0</v>
      </c>
      <c r="AI1260" s="44">
        <f t="shared" si="615"/>
        <v>0</v>
      </c>
      <c r="AJ1260" s="44">
        <f t="shared" si="606"/>
        <v>0</v>
      </c>
      <c r="AK1260" s="44">
        <f t="shared" si="623"/>
        <v>0</v>
      </c>
      <c r="AL1260" s="4">
        <f t="shared" si="607"/>
        <v>570</v>
      </c>
      <c r="AM1260" s="82">
        <f t="shared" si="616"/>
        <v>0</v>
      </c>
      <c r="AN1260" s="82">
        <f t="shared" si="608"/>
        <v>0</v>
      </c>
      <c r="AO1260" s="48">
        <v>0</v>
      </c>
      <c r="AP1260" s="91">
        <f t="shared" si="617"/>
        <v>0</v>
      </c>
      <c r="AQ1260" s="91">
        <f t="shared" si="618"/>
        <v>0</v>
      </c>
    </row>
    <row r="1261" spans="1:43">
      <c r="A1261" s="190">
        <f t="shared" si="609"/>
        <v>113.30424366872005</v>
      </c>
      <c r="B1261" s="82">
        <f t="shared" si="610"/>
        <v>48</v>
      </c>
      <c r="C1261" s="83">
        <f t="shared" si="611"/>
        <v>571</v>
      </c>
      <c r="D1261" s="14">
        <f t="shared" si="597"/>
        <v>2.6283369587845051E-3</v>
      </c>
      <c r="E1261" s="16">
        <f t="shared" si="598"/>
        <v>0</v>
      </c>
      <c r="F1261" s="127"/>
      <c r="G1261" s="88">
        <f t="shared" si="599"/>
        <v>0</v>
      </c>
      <c r="H1261" s="89">
        <f t="shared" si="612"/>
        <v>4.1666666666666666E-3</v>
      </c>
      <c r="I1261" s="219"/>
      <c r="J1261" s="219"/>
      <c r="K1261" s="6">
        <f t="shared" si="620"/>
        <v>0</v>
      </c>
      <c r="M1261" s="6">
        <f t="shared" si="600"/>
        <v>0</v>
      </c>
      <c r="N1261" s="6">
        <f t="shared" si="601"/>
        <v>0</v>
      </c>
      <c r="O1261" s="90">
        <f t="shared" si="602"/>
        <v>0</v>
      </c>
      <c r="P1261" s="91">
        <f t="shared" si="603"/>
        <v>0</v>
      </c>
      <c r="Q1261" s="6">
        <f t="shared" si="604"/>
        <v>0</v>
      </c>
      <c r="R1261" s="87">
        <f t="shared" si="622"/>
        <v>0</v>
      </c>
      <c r="S1261" s="6">
        <f t="shared" si="605"/>
        <v>0</v>
      </c>
      <c r="T1261" s="83">
        <f t="shared" si="613"/>
        <v>0</v>
      </c>
      <c r="U1261" s="91">
        <f t="shared" si="619"/>
        <v>0</v>
      </c>
      <c r="V1261" s="91">
        <f t="shared" si="614"/>
        <v>0</v>
      </c>
      <c r="W1261" s="1">
        <f t="shared" ref="W1261:AH1270" si="628">IF($B1261&lt;=W$78,1,0)</f>
        <v>0</v>
      </c>
      <c r="X1261" s="1">
        <f t="shared" si="628"/>
        <v>0</v>
      </c>
      <c r="Y1261" s="1">
        <f t="shared" si="628"/>
        <v>0</v>
      </c>
      <c r="Z1261" s="1">
        <f t="shared" si="628"/>
        <v>0</v>
      </c>
      <c r="AA1261" s="1">
        <f t="shared" si="628"/>
        <v>0</v>
      </c>
      <c r="AB1261" s="1">
        <f t="shared" si="628"/>
        <v>0</v>
      </c>
      <c r="AC1261" s="1">
        <f t="shared" si="628"/>
        <v>0</v>
      </c>
      <c r="AD1261" s="1">
        <f t="shared" si="628"/>
        <v>0</v>
      </c>
      <c r="AE1261" s="1">
        <f t="shared" si="628"/>
        <v>0</v>
      </c>
      <c r="AF1261" s="1">
        <f t="shared" si="628"/>
        <v>0</v>
      </c>
      <c r="AG1261" s="1">
        <f t="shared" si="628"/>
        <v>0</v>
      </c>
      <c r="AH1261" s="1">
        <f t="shared" si="628"/>
        <v>0</v>
      </c>
      <c r="AI1261" s="44">
        <f t="shared" si="615"/>
        <v>0</v>
      </c>
      <c r="AJ1261" s="44">
        <f t="shared" si="606"/>
        <v>0</v>
      </c>
      <c r="AK1261" s="44">
        <f t="shared" si="623"/>
        <v>0</v>
      </c>
      <c r="AL1261" s="4">
        <f t="shared" si="607"/>
        <v>571</v>
      </c>
      <c r="AM1261" s="82">
        <f t="shared" si="616"/>
        <v>0</v>
      </c>
      <c r="AN1261" s="82">
        <f t="shared" si="608"/>
        <v>0</v>
      </c>
      <c r="AO1261" s="48">
        <v>0</v>
      </c>
      <c r="AP1261" s="91">
        <f t="shared" si="617"/>
        <v>0</v>
      </c>
      <c r="AQ1261" s="91">
        <f t="shared" si="618"/>
        <v>0</v>
      </c>
    </row>
    <row r="1262" spans="1:43">
      <c r="A1262" s="190">
        <f t="shared" si="609"/>
        <v>113.38757700205338</v>
      </c>
      <c r="B1262" s="82">
        <f t="shared" si="610"/>
        <v>48</v>
      </c>
      <c r="C1262" s="83">
        <f t="shared" si="611"/>
        <v>572</v>
      </c>
      <c r="D1262" s="14">
        <f t="shared" si="597"/>
        <v>2.6283369587845051E-3</v>
      </c>
      <c r="E1262" s="16">
        <f t="shared" si="598"/>
        <v>0</v>
      </c>
      <c r="F1262" s="127"/>
      <c r="G1262" s="88">
        <f t="shared" si="599"/>
        <v>0</v>
      </c>
      <c r="H1262" s="89">
        <f t="shared" si="612"/>
        <v>4.1666666666666666E-3</v>
      </c>
      <c r="I1262" s="219"/>
      <c r="J1262" s="219"/>
      <c r="K1262" s="6">
        <f t="shared" si="620"/>
        <v>0</v>
      </c>
      <c r="M1262" s="6">
        <f t="shared" si="600"/>
        <v>0</v>
      </c>
      <c r="N1262" s="6">
        <f t="shared" si="601"/>
        <v>0</v>
      </c>
      <c r="O1262" s="90">
        <f t="shared" si="602"/>
        <v>0</v>
      </c>
      <c r="P1262" s="91">
        <f t="shared" si="603"/>
        <v>0</v>
      </c>
      <c r="Q1262" s="6">
        <f t="shared" si="604"/>
        <v>0</v>
      </c>
      <c r="R1262" s="87">
        <f t="shared" si="622"/>
        <v>0</v>
      </c>
      <c r="S1262" s="6">
        <f t="shared" si="605"/>
        <v>0</v>
      </c>
      <c r="T1262" s="83">
        <f t="shared" si="613"/>
        <v>0</v>
      </c>
      <c r="U1262" s="91">
        <f t="shared" si="619"/>
        <v>0</v>
      </c>
      <c r="V1262" s="91">
        <f t="shared" si="614"/>
        <v>0</v>
      </c>
      <c r="W1262" s="1">
        <f t="shared" si="628"/>
        <v>0</v>
      </c>
      <c r="X1262" s="1">
        <f t="shared" si="628"/>
        <v>0</v>
      </c>
      <c r="Y1262" s="1">
        <f t="shared" si="628"/>
        <v>0</v>
      </c>
      <c r="Z1262" s="1">
        <f t="shared" si="628"/>
        <v>0</v>
      </c>
      <c r="AA1262" s="1">
        <f t="shared" si="628"/>
        <v>0</v>
      </c>
      <c r="AB1262" s="1">
        <f t="shared" si="628"/>
        <v>0</v>
      </c>
      <c r="AC1262" s="1">
        <f t="shared" si="628"/>
        <v>0</v>
      </c>
      <c r="AD1262" s="1">
        <f t="shared" si="628"/>
        <v>0</v>
      </c>
      <c r="AE1262" s="1">
        <f t="shared" si="628"/>
        <v>0</v>
      </c>
      <c r="AF1262" s="1">
        <f t="shared" si="628"/>
        <v>0</v>
      </c>
      <c r="AG1262" s="1">
        <f t="shared" si="628"/>
        <v>0</v>
      </c>
      <c r="AH1262" s="1">
        <f t="shared" si="628"/>
        <v>0</v>
      </c>
      <c r="AI1262" s="44">
        <f t="shared" si="615"/>
        <v>0</v>
      </c>
      <c r="AJ1262" s="44">
        <f t="shared" si="606"/>
        <v>0</v>
      </c>
      <c r="AK1262" s="44">
        <f t="shared" si="623"/>
        <v>0</v>
      </c>
      <c r="AL1262" s="4">
        <f t="shared" si="607"/>
        <v>572</v>
      </c>
      <c r="AM1262" s="82">
        <f t="shared" si="616"/>
        <v>0</v>
      </c>
      <c r="AN1262" s="82">
        <f t="shared" si="608"/>
        <v>0</v>
      </c>
      <c r="AO1262" s="48">
        <v>0</v>
      </c>
      <c r="AP1262" s="91">
        <f t="shared" si="617"/>
        <v>0</v>
      </c>
      <c r="AQ1262" s="91">
        <f t="shared" si="618"/>
        <v>0</v>
      </c>
    </row>
    <row r="1263" spans="1:43">
      <c r="A1263" s="190">
        <f t="shared" si="609"/>
        <v>113.47091033538672</v>
      </c>
      <c r="B1263" s="82">
        <f t="shared" si="610"/>
        <v>48</v>
      </c>
      <c r="C1263" s="83">
        <f t="shared" si="611"/>
        <v>573</v>
      </c>
      <c r="D1263" s="14">
        <f t="shared" si="597"/>
        <v>2.6283369587845051E-3</v>
      </c>
      <c r="E1263" s="16">
        <f t="shared" si="598"/>
        <v>0</v>
      </c>
      <c r="F1263" s="127"/>
      <c r="G1263" s="88">
        <f t="shared" si="599"/>
        <v>0</v>
      </c>
      <c r="H1263" s="89">
        <f t="shared" si="612"/>
        <v>4.1666666666666666E-3</v>
      </c>
      <c r="I1263" s="219"/>
      <c r="J1263" s="219"/>
      <c r="K1263" s="6">
        <f t="shared" si="620"/>
        <v>0</v>
      </c>
      <c r="M1263" s="6">
        <f t="shared" si="600"/>
        <v>0</v>
      </c>
      <c r="N1263" s="6">
        <f t="shared" si="601"/>
        <v>0</v>
      </c>
      <c r="O1263" s="90">
        <f t="shared" si="602"/>
        <v>0</v>
      </c>
      <c r="P1263" s="91">
        <f t="shared" si="603"/>
        <v>0</v>
      </c>
      <c r="Q1263" s="6">
        <f t="shared" si="604"/>
        <v>0</v>
      </c>
      <c r="R1263" s="87">
        <f t="shared" si="622"/>
        <v>0</v>
      </c>
      <c r="S1263" s="6">
        <f t="shared" si="605"/>
        <v>0</v>
      </c>
      <c r="T1263" s="83">
        <f t="shared" si="613"/>
        <v>0</v>
      </c>
      <c r="U1263" s="91">
        <f t="shared" si="619"/>
        <v>0</v>
      </c>
      <c r="V1263" s="91">
        <f t="shared" si="614"/>
        <v>0</v>
      </c>
      <c r="W1263" s="1">
        <f t="shared" si="628"/>
        <v>0</v>
      </c>
      <c r="X1263" s="1">
        <f t="shared" si="628"/>
        <v>0</v>
      </c>
      <c r="Y1263" s="1">
        <f t="shared" si="628"/>
        <v>0</v>
      </c>
      <c r="Z1263" s="1">
        <f t="shared" si="628"/>
        <v>0</v>
      </c>
      <c r="AA1263" s="1">
        <f t="shared" si="628"/>
        <v>0</v>
      </c>
      <c r="AB1263" s="1">
        <f t="shared" si="628"/>
        <v>0</v>
      </c>
      <c r="AC1263" s="1">
        <f t="shared" si="628"/>
        <v>0</v>
      </c>
      <c r="AD1263" s="1">
        <f t="shared" si="628"/>
        <v>0</v>
      </c>
      <c r="AE1263" s="1">
        <f t="shared" si="628"/>
        <v>0</v>
      </c>
      <c r="AF1263" s="1">
        <f t="shared" si="628"/>
        <v>0</v>
      </c>
      <c r="AG1263" s="1">
        <f t="shared" si="628"/>
        <v>0</v>
      </c>
      <c r="AH1263" s="1">
        <f t="shared" si="628"/>
        <v>0</v>
      </c>
      <c r="AI1263" s="44">
        <f t="shared" si="615"/>
        <v>0</v>
      </c>
      <c r="AJ1263" s="44">
        <f t="shared" si="606"/>
        <v>0</v>
      </c>
      <c r="AK1263" s="44">
        <f t="shared" si="623"/>
        <v>0</v>
      </c>
      <c r="AL1263" s="4">
        <f t="shared" si="607"/>
        <v>573</v>
      </c>
      <c r="AM1263" s="82">
        <f t="shared" si="616"/>
        <v>0</v>
      </c>
      <c r="AN1263" s="82">
        <f t="shared" si="608"/>
        <v>0</v>
      </c>
      <c r="AO1263" s="48">
        <v>0</v>
      </c>
      <c r="AP1263" s="91">
        <f t="shared" si="617"/>
        <v>0</v>
      </c>
      <c r="AQ1263" s="91">
        <f t="shared" si="618"/>
        <v>0</v>
      </c>
    </row>
    <row r="1264" spans="1:43">
      <c r="A1264" s="190">
        <f t="shared" si="609"/>
        <v>113.55424366872005</v>
      </c>
      <c r="B1264" s="82">
        <f t="shared" si="610"/>
        <v>48</v>
      </c>
      <c r="C1264" s="83">
        <f t="shared" si="611"/>
        <v>574</v>
      </c>
      <c r="D1264" s="14">
        <f t="shared" si="597"/>
        <v>2.6283369587845051E-3</v>
      </c>
      <c r="E1264" s="16">
        <f t="shared" si="598"/>
        <v>0</v>
      </c>
      <c r="F1264" s="127"/>
      <c r="G1264" s="88">
        <f t="shared" si="599"/>
        <v>0</v>
      </c>
      <c r="H1264" s="89">
        <f t="shared" si="612"/>
        <v>4.1666666666666666E-3</v>
      </c>
      <c r="I1264" s="219"/>
      <c r="J1264" s="219"/>
      <c r="K1264" s="6">
        <f t="shared" si="620"/>
        <v>0</v>
      </c>
      <c r="M1264" s="6">
        <f t="shared" si="600"/>
        <v>0</v>
      </c>
      <c r="N1264" s="6">
        <f t="shared" si="601"/>
        <v>0</v>
      </c>
      <c r="O1264" s="90">
        <f t="shared" si="602"/>
        <v>0</v>
      </c>
      <c r="P1264" s="91">
        <f t="shared" si="603"/>
        <v>0</v>
      </c>
      <c r="Q1264" s="6">
        <f t="shared" si="604"/>
        <v>0</v>
      </c>
      <c r="R1264" s="87">
        <f t="shared" si="622"/>
        <v>0</v>
      </c>
      <c r="S1264" s="6">
        <f t="shared" si="605"/>
        <v>0</v>
      </c>
      <c r="T1264" s="83">
        <f t="shared" si="613"/>
        <v>0</v>
      </c>
      <c r="U1264" s="91">
        <f t="shared" si="619"/>
        <v>0</v>
      </c>
      <c r="V1264" s="91">
        <f t="shared" si="614"/>
        <v>0</v>
      </c>
      <c r="W1264" s="1">
        <f t="shared" si="628"/>
        <v>0</v>
      </c>
      <c r="X1264" s="1">
        <f t="shared" si="628"/>
        <v>0</v>
      </c>
      <c r="Y1264" s="1">
        <f t="shared" si="628"/>
        <v>0</v>
      </c>
      <c r="Z1264" s="1">
        <f t="shared" si="628"/>
        <v>0</v>
      </c>
      <c r="AA1264" s="1">
        <f t="shared" si="628"/>
        <v>0</v>
      </c>
      <c r="AB1264" s="1">
        <f t="shared" si="628"/>
        <v>0</v>
      </c>
      <c r="AC1264" s="1">
        <f t="shared" si="628"/>
        <v>0</v>
      </c>
      <c r="AD1264" s="1">
        <f t="shared" si="628"/>
        <v>0</v>
      </c>
      <c r="AE1264" s="1">
        <f t="shared" si="628"/>
        <v>0</v>
      </c>
      <c r="AF1264" s="1">
        <f t="shared" si="628"/>
        <v>0</v>
      </c>
      <c r="AG1264" s="1">
        <f t="shared" si="628"/>
        <v>0</v>
      </c>
      <c r="AH1264" s="1">
        <f t="shared" si="628"/>
        <v>0</v>
      </c>
      <c r="AI1264" s="44">
        <f t="shared" si="615"/>
        <v>0</v>
      </c>
      <c r="AJ1264" s="44">
        <f t="shared" si="606"/>
        <v>0</v>
      </c>
      <c r="AK1264" s="44">
        <f t="shared" si="623"/>
        <v>0</v>
      </c>
      <c r="AL1264" s="4">
        <f t="shared" si="607"/>
        <v>574</v>
      </c>
      <c r="AM1264" s="82">
        <f t="shared" si="616"/>
        <v>0</v>
      </c>
      <c r="AN1264" s="82">
        <f t="shared" si="608"/>
        <v>0</v>
      </c>
      <c r="AO1264" s="48">
        <v>0</v>
      </c>
      <c r="AP1264" s="91">
        <f t="shared" si="617"/>
        <v>0</v>
      </c>
      <c r="AQ1264" s="91">
        <f t="shared" si="618"/>
        <v>0</v>
      </c>
    </row>
    <row r="1265" spans="1:43">
      <c r="A1265" s="190">
        <f t="shared" si="609"/>
        <v>113.63757700205338</v>
      </c>
      <c r="B1265" s="82">
        <f t="shared" si="610"/>
        <v>48</v>
      </c>
      <c r="C1265" s="83">
        <f t="shared" si="611"/>
        <v>575</v>
      </c>
      <c r="D1265" s="14">
        <f t="shared" si="597"/>
        <v>2.6283369587845051E-3</v>
      </c>
      <c r="E1265" s="16">
        <f t="shared" si="598"/>
        <v>0</v>
      </c>
      <c r="F1265" s="127"/>
      <c r="G1265" s="88">
        <f t="shared" si="599"/>
        <v>0</v>
      </c>
      <c r="H1265" s="89">
        <f t="shared" si="612"/>
        <v>4.1666666666666666E-3</v>
      </c>
      <c r="I1265" s="219"/>
      <c r="J1265" s="219"/>
      <c r="K1265" s="6">
        <f t="shared" si="620"/>
        <v>0</v>
      </c>
      <c r="M1265" s="6">
        <f t="shared" si="600"/>
        <v>0</v>
      </c>
      <c r="N1265" s="6">
        <f t="shared" si="601"/>
        <v>0</v>
      </c>
      <c r="O1265" s="90">
        <f t="shared" si="602"/>
        <v>0</v>
      </c>
      <c r="P1265" s="91">
        <f t="shared" si="603"/>
        <v>0</v>
      </c>
      <c r="Q1265" s="6">
        <f t="shared" si="604"/>
        <v>0</v>
      </c>
      <c r="R1265" s="87">
        <f t="shared" si="622"/>
        <v>0</v>
      </c>
      <c r="S1265" s="6">
        <f t="shared" si="605"/>
        <v>0</v>
      </c>
      <c r="T1265" s="83">
        <f t="shared" si="613"/>
        <v>0</v>
      </c>
      <c r="U1265" s="91">
        <f t="shared" si="619"/>
        <v>0</v>
      </c>
      <c r="V1265" s="91">
        <f t="shared" si="614"/>
        <v>0</v>
      </c>
      <c r="W1265" s="1">
        <f t="shared" si="628"/>
        <v>0</v>
      </c>
      <c r="X1265" s="1">
        <f t="shared" si="628"/>
        <v>0</v>
      </c>
      <c r="Y1265" s="1">
        <f t="shared" si="628"/>
        <v>0</v>
      </c>
      <c r="Z1265" s="1">
        <f t="shared" si="628"/>
        <v>0</v>
      </c>
      <c r="AA1265" s="1">
        <f t="shared" si="628"/>
        <v>0</v>
      </c>
      <c r="AB1265" s="1">
        <f t="shared" si="628"/>
        <v>0</v>
      </c>
      <c r="AC1265" s="1">
        <f t="shared" si="628"/>
        <v>0</v>
      </c>
      <c r="AD1265" s="1">
        <f t="shared" si="628"/>
        <v>0</v>
      </c>
      <c r="AE1265" s="1">
        <f t="shared" si="628"/>
        <v>0</v>
      </c>
      <c r="AF1265" s="1">
        <f t="shared" si="628"/>
        <v>0</v>
      </c>
      <c r="AG1265" s="1">
        <f t="shared" si="628"/>
        <v>0</v>
      </c>
      <c r="AH1265" s="1">
        <f t="shared" si="628"/>
        <v>0</v>
      </c>
      <c r="AI1265" s="44">
        <f t="shared" si="615"/>
        <v>0</v>
      </c>
      <c r="AJ1265" s="44">
        <f t="shared" si="606"/>
        <v>0</v>
      </c>
      <c r="AK1265" s="44">
        <f t="shared" si="623"/>
        <v>0</v>
      </c>
      <c r="AL1265" s="4">
        <f t="shared" si="607"/>
        <v>575</v>
      </c>
      <c r="AM1265" s="82">
        <f t="shared" si="616"/>
        <v>0</v>
      </c>
      <c r="AN1265" s="82">
        <f t="shared" si="608"/>
        <v>0</v>
      </c>
      <c r="AO1265" s="48">
        <v>0</v>
      </c>
      <c r="AP1265" s="91">
        <f t="shared" si="617"/>
        <v>0</v>
      </c>
      <c r="AQ1265" s="91">
        <f t="shared" si="618"/>
        <v>0</v>
      </c>
    </row>
    <row r="1266" spans="1:43">
      <c r="A1266" s="190">
        <f t="shared" si="609"/>
        <v>113.72091033538672</v>
      </c>
      <c r="B1266" s="82">
        <f t="shared" si="610"/>
        <v>48</v>
      </c>
      <c r="C1266" s="83">
        <f t="shared" si="611"/>
        <v>576</v>
      </c>
      <c r="D1266" s="14">
        <f t="shared" si="597"/>
        <v>2.6283369587845051E-3</v>
      </c>
      <c r="E1266" s="16">
        <f t="shared" si="598"/>
        <v>0</v>
      </c>
      <c r="F1266" s="127"/>
      <c r="G1266" s="88">
        <f t="shared" si="599"/>
        <v>0</v>
      </c>
      <c r="H1266" s="89">
        <f t="shared" si="612"/>
        <v>4.1666666666666666E-3</v>
      </c>
      <c r="I1266" s="219"/>
      <c r="J1266" s="219"/>
      <c r="K1266" s="6">
        <f t="shared" si="620"/>
        <v>0</v>
      </c>
      <c r="M1266" s="6">
        <f t="shared" si="600"/>
        <v>0</v>
      </c>
      <c r="N1266" s="6">
        <f t="shared" si="601"/>
        <v>0</v>
      </c>
      <c r="O1266" s="90">
        <f t="shared" si="602"/>
        <v>0</v>
      </c>
      <c r="P1266" s="91">
        <f t="shared" si="603"/>
        <v>0</v>
      </c>
      <c r="Q1266" s="6">
        <f t="shared" si="604"/>
        <v>0</v>
      </c>
      <c r="R1266" s="87">
        <f t="shared" si="622"/>
        <v>0</v>
      </c>
      <c r="S1266" s="6">
        <f t="shared" si="605"/>
        <v>0</v>
      </c>
      <c r="T1266" s="83">
        <f t="shared" si="613"/>
        <v>0</v>
      </c>
      <c r="U1266" s="91">
        <f t="shared" si="619"/>
        <v>0</v>
      </c>
      <c r="V1266" s="91">
        <f t="shared" si="614"/>
        <v>0</v>
      </c>
      <c r="W1266" s="1">
        <f t="shared" si="628"/>
        <v>0</v>
      </c>
      <c r="X1266" s="1">
        <f t="shared" si="628"/>
        <v>0</v>
      </c>
      <c r="Y1266" s="1">
        <f t="shared" si="628"/>
        <v>0</v>
      </c>
      <c r="Z1266" s="1">
        <f t="shared" si="628"/>
        <v>0</v>
      </c>
      <c r="AA1266" s="1">
        <f t="shared" si="628"/>
        <v>0</v>
      </c>
      <c r="AB1266" s="1">
        <f t="shared" si="628"/>
        <v>0</v>
      </c>
      <c r="AC1266" s="1">
        <f t="shared" si="628"/>
        <v>0</v>
      </c>
      <c r="AD1266" s="1">
        <f t="shared" si="628"/>
        <v>0</v>
      </c>
      <c r="AE1266" s="1">
        <f t="shared" si="628"/>
        <v>0</v>
      </c>
      <c r="AF1266" s="1">
        <f t="shared" si="628"/>
        <v>0</v>
      </c>
      <c r="AG1266" s="1">
        <f t="shared" si="628"/>
        <v>0</v>
      </c>
      <c r="AH1266" s="1">
        <f t="shared" si="628"/>
        <v>0</v>
      </c>
      <c r="AI1266" s="44">
        <f t="shared" si="615"/>
        <v>0</v>
      </c>
      <c r="AJ1266" s="44">
        <f t="shared" si="606"/>
        <v>0</v>
      </c>
      <c r="AK1266" s="44">
        <f t="shared" si="623"/>
        <v>0</v>
      </c>
      <c r="AL1266" s="4">
        <f t="shared" si="607"/>
        <v>576</v>
      </c>
      <c r="AM1266" s="82">
        <f t="shared" si="616"/>
        <v>0</v>
      </c>
      <c r="AN1266" s="82">
        <f t="shared" si="608"/>
        <v>0</v>
      </c>
      <c r="AO1266" s="48">
        <v>0</v>
      </c>
      <c r="AP1266" s="91">
        <f t="shared" si="617"/>
        <v>0</v>
      </c>
      <c r="AQ1266" s="91">
        <f t="shared" si="618"/>
        <v>0</v>
      </c>
    </row>
    <row r="1267" spans="1:43">
      <c r="A1267" s="190">
        <f t="shared" si="609"/>
        <v>113.80424366872005</v>
      </c>
      <c r="B1267" s="82">
        <f t="shared" si="610"/>
        <v>49</v>
      </c>
      <c r="C1267" s="83">
        <f t="shared" si="611"/>
        <v>577</v>
      </c>
      <c r="D1267" s="14">
        <f t="shared" ref="D1267:D1290" si="629">Growth_Rate_2_Monthly</f>
        <v>2.6283369587845051E-3</v>
      </c>
      <c r="E1267" s="16">
        <f t="shared" ref="E1267:E1290" si="630">IF(Gtee_Flag="on",1,0)</f>
        <v>0</v>
      </c>
      <c r="F1267" s="127"/>
      <c r="G1267" s="88">
        <f t="shared" ref="G1267:G1290" si="631">IF(B1267&lt;=8,VLOOKUP(Product_Code,Product_Parameters,B1267+5,FALSE),0)</f>
        <v>0</v>
      </c>
      <c r="H1267" s="89">
        <f t="shared" si="612"/>
        <v>4.1666666666666666E-3</v>
      </c>
      <c r="I1267" s="219"/>
      <c r="J1267" s="219"/>
      <c r="K1267" s="6">
        <f t="shared" si="620"/>
        <v>0</v>
      </c>
      <c r="M1267" s="6">
        <f t="shared" ref="M1267:M1290" si="632">(K1267+L1267)*D1267</f>
        <v>0</v>
      </c>
      <c r="N1267" s="6">
        <f t="shared" ref="N1267:N1290" si="633">-(($K1267+(L1267)+M1267/2)*(External_Fund_Charge_Monthly+Fund_Charge_Monthly+Gtee_Charge_Monthly*$E1267))</f>
        <v>0</v>
      </c>
      <c r="O1267" s="90">
        <f t="shared" ref="O1267:O1290" si="634">IF(C1267&gt;=Regular_Income_Start_Month,
MIN(Regular_Income_Amount/12*(1+Income_Escalation_Rate_Annual)^($B1267-1),AJ1267),0)</f>
        <v>0</v>
      </c>
      <c r="P1267" s="91">
        <f t="shared" ref="P1267:P1290" si="635">MAX(IF(C1267&gt;=Regular_Income_Start_Month,
MIN(IF(Income_Type="Fixed Percent",$C$51,0)/12*(K1267+L1267+M1267+N1267),AJ1267),0),0)</f>
        <v>0</v>
      </c>
      <c r="Q1267" s="6">
        <f t="shared" ref="Q1267:Q1290" si="636">MAX(IF(C1267&gt;=Regular_Income_Start_Month,
MIN(H1267*(K1267+L1267+M1267+N1267),AJ1267),0),0)</f>
        <v>0</v>
      </c>
      <c r="R1267" s="87">
        <f t="shared" si="622"/>
        <v>0</v>
      </c>
      <c r="S1267" s="6">
        <f t="shared" ref="S1267:S1290" si="637">-(($K1267+I1267+M1267/2+N1267/2+R1267/2)*(Ongoing_Commission_Monthly)+(I1267)*new_upfront_commission)</f>
        <v>0</v>
      </c>
      <c r="T1267" s="83">
        <f t="shared" si="613"/>
        <v>0</v>
      </c>
      <c r="U1267" s="91">
        <f t="shared" si="619"/>
        <v>0</v>
      </c>
      <c r="V1267" s="91">
        <f t="shared" si="614"/>
        <v>0</v>
      </c>
      <c r="W1267" s="1">
        <f t="shared" si="628"/>
        <v>0</v>
      </c>
      <c r="X1267" s="1">
        <f t="shared" si="628"/>
        <v>0</v>
      </c>
      <c r="Y1267" s="1">
        <f t="shared" si="628"/>
        <v>0</v>
      </c>
      <c r="Z1267" s="1">
        <f t="shared" si="628"/>
        <v>0</v>
      </c>
      <c r="AA1267" s="1">
        <f t="shared" si="628"/>
        <v>0</v>
      </c>
      <c r="AB1267" s="1">
        <f t="shared" si="628"/>
        <v>0</v>
      </c>
      <c r="AC1267" s="1">
        <f t="shared" si="628"/>
        <v>0</v>
      </c>
      <c r="AD1267" s="1">
        <f t="shared" si="628"/>
        <v>0</v>
      </c>
      <c r="AE1267" s="1">
        <f t="shared" si="628"/>
        <v>0</v>
      </c>
      <c r="AF1267" s="1">
        <f t="shared" si="628"/>
        <v>0</v>
      </c>
      <c r="AG1267" s="1">
        <f t="shared" si="628"/>
        <v>0</v>
      </c>
      <c r="AH1267" s="1">
        <f t="shared" si="628"/>
        <v>0</v>
      </c>
      <c r="AI1267" s="44">
        <f t="shared" si="615"/>
        <v>0</v>
      </c>
      <c r="AJ1267" s="44">
        <f t="shared" ref="AJ1267:AJ1290" si="638">MAX(0,SUM(K1267:N1267)-$C$66)</f>
        <v>0</v>
      </c>
      <c r="AK1267" s="44">
        <f t="shared" si="623"/>
        <v>0</v>
      </c>
      <c r="AL1267" s="4">
        <f t="shared" ref="AL1267:AL1290" si="639">C1267</f>
        <v>577</v>
      </c>
      <c r="AM1267" s="82">
        <f t="shared" si="616"/>
        <v>0</v>
      </c>
      <c r="AN1267" s="82">
        <f t="shared" ref="AN1267:AN1290" si="640">IF(AND(B1267=Fund_Zero_Year_2,K1268=0,K1267&gt;0),-U1267,IF(AND(B1267+1=Fund_Zero_Year_2,K1268=0,K1267&gt;0),-U1267,0))</f>
        <v>0</v>
      </c>
      <c r="AO1267" s="48">
        <v>0</v>
      </c>
      <c r="AP1267" s="91">
        <f t="shared" si="617"/>
        <v>0</v>
      </c>
      <c r="AQ1267" s="91">
        <f t="shared" si="618"/>
        <v>0</v>
      </c>
    </row>
    <row r="1268" spans="1:43">
      <c r="A1268" s="190">
        <f t="shared" ref="A1268:A1290" si="641">$C$43+C1267/12</f>
        <v>113.88757700205338</v>
      </c>
      <c r="B1268" s="82">
        <f t="shared" ref="B1268:B1290" si="642">INT((C1268-1)/12)+1</f>
        <v>49</v>
      </c>
      <c r="C1268" s="83">
        <f t="shared" ref="C1268:C1290" si="643">C1267+1</f>
        <v>578</v>
      </c>
      <c r="D1268" s="14">
        <f t="shared" si="629"/>
        <v>2.6283369587845051E-3</v>
      </c>
      <c r="E1268" s="16">
        <f t="shared" si="630"/>
        <v>0</v>
      </c>
      <c r="F1268" s="127"/>
      <c r="G1268" s="88">
        <f t="shared" si="631"/>
        <v>0</v>
      </c>
      <c r="H1268" s="89">
        <f t="shared" ref="H1268:H1290" si="644">IF((K1267+L1267+M1267+N1267+R1267)&gt;=2000000,VLOOKUP("&gt;=2000000",Default_IncomeRate_table,3,FALSE),
IF($A1268&lt;71,VLOOKUP("&lt;71",Default_IncomeRate_table,3,FALSE),
IF($A1268&gt;=71,VLOOKUP("&gt;=71",Default_IncomeRate_table,3,FALSE),"")))</f>
        <v>4.1666666666666666E-3</v>
      </c>
      <c r="I1268" s="219"/>
      <c r="J1268" s="219"/>
      <c r="K1268" s="6">
        <f t="shared" si="620"/>
        <v>0</v>
      </c>
      <c r="M1268" s="6">
        <f t="shared" si="632"/>
        <v>0</v>
      </c>
      <c r="N1268" s="6">
        <f t="shared" si="633"/>
        <v>0</v>
      </c>
      <c r="O1268" s="90">
        <f t="shared" si="634"/>
        <v>0</v>
      </c>
      <c r="P1268" s="91">
        <f t="shared" si="635"/>
        <v>0</v>
      </c>
      <c r="Q1268" s="6">
        <f t="shared" si="636"/>
        <v>0</v>
      </c>
      <c r="R1268" s="87">
        <f t="shared" si="622"/>
        <v>0</v>
      </c>
      <c r="S1268" s="6">
        <f t="shared" si="637"/>
        <v>0</v>
      </c>
      <c r="T1268" s="83">
        <f t="shared" ref="T1268:T1290" si="645">SUM(K1268:N1268,R1268)*$G1268</f>
        <v>0</v>
      </c>
      <c r="U1268" s="91">
        <f t="shared" si="619"/>
        <v>0</v>
      </c>
      <c r="V1268" s="91">
        <f t="shared" ref="V1268:V1290" si="646">U1268*D1268</f>
        <v>0</v>
      </c>
      <c r="W1268" s="1">
        <f t="shared" si="628"/>
        <v>0</v>
      </c>
      <c r="X1268" s="1">
        <f t="shared" si="628"/>
        <v>0</v>
      </c>
      <c r="Y1268" s="1">
        <f t="shared" si="628"/>
        <v>0</v>
      </c>
      <c r="Z1268" s="1">
        <f t="shared" si="628"/>
        <v>0</v>
      </c>
      <c r="AA1268" s="1">
        <f t="shared" si="628"/>
        <v>0</v>
      </c>
      <c r="AB1268" s="1">
        <f t="shared" si="628"/>
        <v>0</v>
      </c>
      <c r="AC1268" s="1">
        <f t="shared" si="628"/>
        <v>0</v>
      </c>
      <c r="AD1268" s="1">
        <f t="shared" si="628"/>
        <v>0</v>
      </c>
      <c r="AE1268" s="1">
        <f t="shared" si="628"/>
        <v>0</v>
      </c>
      <c r="AF1268" s="1">
        <f t="shared" si="628"/>
        <v>0</v>
      </c>
      <c r="AG1268" s="1">
        <f t="shared" si="628"/>
        <v>0</v>
      </c>
      <c r="AH1268" s="1">
        <f t="shared" si="628"/>
        <v>0</v>
      </c>
      <c r="AI1268" s="44">
        <f t="shared" ref="AI1268:AI1290" si="647">SUM(K1268:N1268,R1268)</f>
        <v>0</v>
      </c>
      <c r="AJ1268" s="44">
        <f t="shared" si="638"/>
        <v>0</v>
      </c>
      <c r="AK1268" s="44">
        <f t="shared" si="623"/>
        <v>0</v>
      </c>
      <c r="AL1268" s="4">
        <f t="shared" si="639"/>
        <v>578</v>
      </c>
      <c r="AM1268" s="82">
        <f t="shared" ref="AM1268:AM1290" si="648">I1268</f>
        <v>0</v>
      </c>
      <c r="AN1268" s="82">
        <f t="shared" si="640"/>
        <v>0</v>
      </c>
      <c r="AO1268" s="48">
        <v>0</v>
      </c>
      <c r="AP1268" s="91">
        <f t="shared" ref="AP1268:AP1290" si="649">$R1268+AN1268+AM1268</f>
        <v>0</v>
      </c>
      <c r="AQ1268" s="91">
        <f t="shared" ref="AQ1268:AQ1290" si="650">$R1268+AO1268+AM1268</f>
        <v>0</v>
      </c>
    </row>
    <row r="1269" spans="1:43">
      <c r="A1269" s="190">
        <f t="shared" si="641"/>
        <v>113.97091033538672</v>
      </c>
      <c r="B1269" s="82">
        <f t="shared" si="642"/>
        <v>49</v>
      </c>
      <c r="C1269" s="83">
        <f t="shared" si="643"/>
        <v>579</v>
      </c>
      <c r="D1269" s="14">
        <f t="shared" si="629"/>
        <v>2.6283369587845051E-3</v>
      </c>
      <c r="E1269" s="16">
        <f t="shared" si="630"/>
        <v>0</v>
      </c>
      <c r="F1269" s="127"/>
      <c r="G1269" s="88">
        <f t="shared" si="631"/>
        <v>0</v>
      </c>
      <c r="H1269" s="89">
        <f t="shared" si="644"/>
        <v>4.1666666666666666E-3</v>
      </c>
      <c r="I1269" s="219"/>
      <c r="J1269" s="219"/>
      <c r="K1269" s="6">
        <f t="shared" si="620"/>
        <v>0</v>
      </c>
      <c r="M1269" s="6">
        <f t="shared" si="632"/>
        <v>0</v>
      </c>
      <c r="N1269" s="6">
        <f t="shared" si="633"/>
        <v>0</v>
      </c>
      <c r="O1269" s="90">
        <f t="shared" si="634"/>
        <v>0</v>
      </c>
      <c r="P1269" s="91">
        <f t="shared" si="635"/>
        <v>0</v>
      </c>
      <c r="Q1269" s="6">
        <f t="shared" si="636"/>
        <v>0</v>
      </c>
      <c r="R1269" s="87">
        <f t="shared" si="622"/>
        <v>0</v>
      </c>
      <c r="S1269" s="6">
        <f t="shared" si="637"/>
        <v>0</v>
      </c>
      <c r="T1269" s="83">
        <f t="shared" si="645"/>
        <v>0</v>
      </c>
      <c r="U1269" s="91">
        <f t="shared" ref="U1269:U1290" si="651">IF(K1269=0,0,SUM(U1268,R1268,V1268))</f>
        <v>0</v>
      </c>
      <c r="V1269" s="91">
        <f t="shared" si="646"/>
        <v>0</v>
      </c>
      <c r="W1269" s="1">
        <f t="shared" si="628"/>
        <v>0</v>
      </c>
      <c r="X1269" s="1">
        <f t="shared" si="628"/>
        <v>0</v>
      </c>
      <c r="Y1269" s="1">
        <f t="shared" si="628"/>
        <v>0</v>
      </c>
      <c r="Z1269" s="1">
        <f t="shared" si="628"/>
        <v>0</v>
      </c>
      <c r="AA1269" s="1">
        <f t="shared" si="628"/>
        <v>0</v>
      </c>
      <c r="AB1269" s="1">
        <f t="shared" si="628"/>
        <v>0</v>
      </c>
      <c r="AC1269" s="1">
        <f t="shared" si="628"/>
        <v>0</v>
      </c>
      <c r="AD1269" s="1">
        <f t="shared" si="628"/>
        <v>0</v>
      </c>
      <c r="AE1269" s="1">
        <f t="shared" si="628"/>
        <v>0</v>
      </c>
      <c r="AF1269" s="1">
        <f t="shared" si="628"/>
        <v>0</v>
      </c>
      <c r="AG1269" s="1">
        <f t="shared" si="628"/>
        <v>0</v>
      </c>
      <c r="AH1269" s="1">
        <f t="shared" si="628"/>
        <v>0</v>
      </c>
      <c r="AI1269" s="44">
        <f t="shared" si="647"/>
        <v>0</v>
      </c>
      <c r="AJ1269" s="44">
        <f t="shared" si="638"/>
        <v>0</v>
      </c>
      <c r="AK1269" s="44">
        <f t="shared" si="623"/>
        <v>0</v>
      </c>
      <c r="AL1269" s="4">
        <f t="shared" si="639"/>
        <v>579</v>
      </c>
      <c r="AM1269" s="82">
        <f t="shared" si="648"/>
        <v>0</v>
      </c>
      <c r="AN1269" s="82">
        <f t="shared" si="640"/>
        <v>0</v>
      </c>
      <c r="AO1269" s="48">
        <v>0</v>
      </c>
      <c r="AP1269" s="91">
        <f t="shared" si="649"/>
        <v>0</v>
      </c>
      <c r="AQ1269" s="91">
        <f t="shared" si="650"/>
        <v>0</v>
      </c>
    </row>
    <row r="1270" spans="1:43">
      <c r="A1270" s="190">
        <f t="shared" si="641"/>
        <v>114.05424366872005</v>
      </c>
      <c r="B1270" s="82">
        <f t="shared" si="642"/>
        <v>49</v>
      </c>
      <c r="C1270" s="83">
        <f t="shared" si="643"/>
        <v>580</v>
      </c>
      <c r="D1270" s="14">
        <f t="shared" si="629"/>
        <v>2.6283369587845051E-3</v>
      </c>
      <c r="E1270" s="16">
        <f t="shared" si="630"/>
        <v>0</v>
      </c>
      <c r="F1270" s="127"/>
      <c r="G1270" s="88">
        <f t="shared" si="631"/>
        <v>0</v>
      </c>
      <c r="H1270" s="89">
        <f t="shared" si="644"/>
        <v>4.1666666666666666E-3</v>
      </c>
      <c r="I1270" s="219"/>
      <c r="J1270" s="219"/>
      <c r="K1270" s="6">
        <f t="shared" si="620"/>
        <v>0</v>
      </c>
      <c r="M1270" s="6">
        <f t="shared" si="632"/>
        <v>0</v>
      </c>
      <c r="N1270" s="6">
        <f t="shared" si="633"/>
        <v>0</v>
      </c>
      <c r="O1270" s="90">
        <f t="shared" si="634"/>
        <v>0</v>
      </c>
      <c r="P1270" s="91">
        <f t="shared" si="635"/>
        <v>0</v>
      </c>
      <c r="Q1270" s="6">
        <f t="shared" si="636"/>
        <v>0</v>
      </c>
      <c r="R1270" s="87">
        <f t="shared" si="622"/>
        <v>0</v>
      </c>
      <c r="S1270" s="6">
        <f t="shared" si="637"/>
        <v>0</v>
      </c>
      <c r="T1270" s="83">
        <f t="shared" si="645"/>
        <v>0</v>
      </c>
      <c r="U1270" s="91">
        <f t="shared" si="651"/>
        <v>0</v>
      </c>
      <c r="V1270" s="91">
        <f t="shared" si="646"/>
        <v>0</v>
      </c>
      <c r="W1270" s="1">
        <f t="shared" si="628"/>
        <v>0</v>
      </c>
      <c r="X1270" s="1">
        <f t="shared" si="628"/>
        <v>0</v>
      </c>
      <c r="Y1270" s="1">
        <f t="shared" si="628"/>
        <v>0</v>
      </c>
      <c r="Z1270" s="1">
        <f t="shared" si="628"/>
        <v>0</v>
      </c>
      <c r="AA1270" s="1">
        <f t="shared" si="628"/>
        <v>0</v>
      </c>
      <c r="AB1270" s="1">
        <f t="shared" si="628"/>
        <v>0</v>
      </c>
      <c r="AC1270" s="1">
        <f t="shared" si="628"/>
        <v>0</v>
      </c>
      <c r="AD1270" s="1">
        <f t="shared" si="628"/>
        <v>0</v>
      </c>
      <c r="AE1270" s="1">
        <f t="shared" si="628"/>
        <v>0</v>
      </c>
      <c r="AF1270" s="1">
        <f t="shared" si="628"/>
        <v>0</v>
      </c>
      <c r="AG1270" s="1">
        <f t="shared" si="628"/>
        <v>0</v>
      </c>
      <c r="AH1270" s="1">
        <f t="shared" si="628"/>
        <v>0</v>
      </c>
      <c r="AI1270" s="44">
        <f t="shared" si="647"/>
        <v>0</v>
      </c>
      <c r="AJ1270" s="44">
        <f t="shared" si="638"/>
        <v>0</v>
      </c>
      <c r="AK1270" s="44">
        <f t="shared" si="623"/>
        <v>0</v>
      </c>
      <c r="AL1270" s="4">
        <f t="shared" si="639"/>
        <v>580</v>
      </c>
      <c r="AM1270" s="82">
        <f t="shared" si="648"/>
        <v>0</v>
      </c>
      <c r="AN1270" s="82">
        <f t="shared" si="640"/>
        <v>0</v>
      </c>
      <c r="AO1270" s="48">
        <v>0</v>
      </c>
      <c r="AP1270" s="91">
        <f t="shared" si="649"/>
        <v>0</v>
      </c>
      <c r="AQ1270" s="91">
        <f t="shared" si="650"/>
        <v>0</v>
      </c>
    </row>
    <row r="1271" spans="1:43">
      <c r="A1271" s="190">
        <f t="shared" si="641"/>
        <v>114.13757700205338</v>
      </c>
      <c r="B1271" s="82">
        <f t="shared" si="642"/>
        <v>49</v>
      </c>
      <c r="C1271" s="83">
        <f t="shared" si="643"/>
        <v>581</v>
      </c>
      <c r="D1271" s="14">
        <f t="shared" si="629"/>
        <v>2.6283369587845051E-3</v>
      </c>
      <c r="E1271" s="16">
        <f t="shared" si="630"/>
        <v>0</v>
      </c>
      <c r="F1271" s="127"/>
      <c r="G1271" s="88">
        <f t="shared" si="631"/>
        <v>0</v>
      </c>
      <c r="H1271" s="89">
        <f t="shared" si="644"/>
        <v>4.1666666666666666E-3</v>
      </c>
      <c r="I1271" s="219"/>
      <c r="J1271" s="219"/>
      <c r="K1271" s="6">
        <f t="shared" ref="K1271:K1290" si="652">SUM(K1270:M1270,N1270,R1270)</f>
        <v>0</v>
      </c>
      <c r="M1271" s="6">
        <f t="shared" si="632"/>
        <v>0</v>
      </c>
      <c r="N1271" s="6">
        <f t="shared" si="633"/>
        <v>0</v>
      </c>
      <c r="O1271" s="90">
        <f t="shared" si="634"/>
        <v>0</v>
      </c>
      <c r="P1271" s="91">
        <f t="shared" si="635"/>
        <v>0</v>
      </c>
      <c r="Q1271" s="6">
        <f t="shared" si="636"/>
        <v>0</v>
      </c>
      <c r="R1271" s="87">
        <f t="shared" si="622"/>
        <v>0</v>
      </c>
      <c r="S1271" s="6">
        <f t="shared" si="637"/>
        <v>0</v>
      </c>
      <c r="T1271" s="83">
        <f t="shared" si="645"/>
        <v>0</v>
      </c>
      <c r="U1271" s="91">
        <f t="shared" si="651"/>
        <v>0</v>
      </c>
      <c r="V1271" s="91">
        <f t="shared" si="646"/>
        <v>0</v>
      </c>
      <c r="W1271" s="1">
        <f t="shared" ref="W1271:AH1280" si="653">IF($B1271&lt;=W$78,1,0)</f>
        <v>0</v>
      </c>
      <c r="X1271" s="1">
        <f t="shared" si="653"/>
        <v>0</v>
      </c>
      <c r="Y1271" s="1">
        <f t="shared" si="653"/>
        <v>0</v>
      </c>
      <c r="Z1271" s="1">
        <f t="shared" si="653"/>
        <v>0</v>
      </c>
      <c r="AA1271" s="1">
        <f t="shared" si="653"/>
        <v>0</v>
      </c>
      <c r="AB1271" s="1">
        <f t="shared" si="653"/>
        <v>0</v>
      </c>
      <c r="AC1271" s="1">
        <f t="shared" si="653"/>
        <v>0</v>
      </c>
      <c r="AD1271" s="1">
        <f t="shared" si="653"/>
        <v>0</v>
      </c>
      <c r="AE1271" s="1">
        <f t="shared" si="653"/>
        <v>0</v>
      </c>
      <c r="AF1271" s="1">
        <f t="shared" si="653"/>
        <v>0</v>
      </c>
      <c r="AG1271" s="1">
        <f t="shared" si="653"/>
        <v>0</v>
      </c>
      <c r="AH1271" s="1">
        <f t="shared" si="653"/>
        <v>0</v>
      </c>
      <c r="AI1271" s="44">
        <f t="shared" si="647"/>
        <v>0</v>
      </c>
      <c r="AJ1271" s="44">
        <f t="shared" si="638"/>
        <v>0</v>
      </c>
      <c r="AK1271" s="44">
        <f t="shared" si="623"/>
        <v>0</v>
      </c>
      <c r="AL1271" s="4">
        <f t="shared" si="639"/>
        <v>581</v>
      </c>
      <c r="AM1271" s="82">
        <f t="shared" si="648"/>
        <v>0</v>
      </c>
      <c r="AN1271" s="82">
        <f t="shared" si="640"/>
        <v>0</v>
      </c>
      <c r="AO1271" s="48">
        <v>0</v>
      </c>
      <c r="AP1271" s="91">
        <f t="shared" si="649"/>
        <v>0</v>
      </c>
      <c r="AQ1271" s="91">
        <f t="shared" si="650"/>
        <v>0</v>
      </c>
    </row>
    <row r="1272" spans="1:43">
      <c r="A1272" s="190">
        <f t="shared" si="641"/>
        <v>114.22091033538672</v>
      </c>
      <c r="B1272" s="82">
        <f t="shared" si="642"/>
        <v>49</v>
      </c>
      <c r="C1272" s="83">
        <f t="shared" si="643"/>
        <v>582</v>
      </c>
      <c r="D1272" s="14">
        <f t="shared" si="629"/>
        <v>2.6283369587845051E-3</v>
      </c>
      <c r="E1272" s="16">
        <f t="shared" si="630"/>
        <v>0</v>
      </c>
      <c r="F1272" s="127"/>
      <c r="G1272" s="88">
        <f t="shared" si="631"/>
        <v>0</v>
      </c>
      <c r="H1272" s="89">
        <f t="shared" si="644"/>
        <v>4.1666666666666666E-3</v>
      </c>
      <c r="I1272" s="219"/>
      <c r="J1272" s="219"/>
      <c r="K1272" s="6">
        <f t="shared" si="652"/>
        <v>0</v>
      </c>
      <c r="M1272" s="6">
        <f t="shared" si="632"/>
        <v>0</v>
      </c>
      <c r="N1272" s="6">
        <f t="shared" si="633"/>
        <v>0</v>
      </c>
      <c r="O1272" s="90">
        <f t="shared" si="634"/>
        <v>0</v>
      </c>
      <c r="P1272" s="91">
        <f t="shared" si="635"/>
        <v>0</v>
      </c>
      <c r="Q1272" s="6">
        <f t="shared" si="636"/>
        <v>0</v>
      </c>
      <c r="R1272" s="87">
        <f t="shared" si="622"/>
        <v>0</v>
      </c>
      <c r="S1272" s="6">
        <f t="shared" si="637"/>
        <v>0</v>
      </c>
      <c r="T1272" s="83">
        <f t="shared" si="645"/>
        <v>0</v>
      </c>
      <c r="U1272" s="91">
        <f t="shared" si="651"/>
        <v>0</v>
      </c>
      <c r="V1272" s="91">
        <f t="shared" si="646"/>
        <v>0</v>
      </c>
      <c r="W1272" s="1">
        <f t="shared" si="653"/>
        <v>0</v>
      </c>
      <c r="X1272" s="1">
        <f t="shared" si="653"/>
        <v>0</v>
      </c>
      <c r="Y1272" s="1">
        <f t="shared" si="653"/>
        <v>0</v>
      </c>
      <c r="Z1272" s="1">
        <f t="shared" si="653"/>
        <v>0</v>
      </c>
      <c r="AA1272" s="1">
        <f t="shared" si="653"/>
        <v>0</v>
      </c>
      <c r="AB1272" s="1">
        <f t="shared" si="653"/>
        <v>0</v>
      </c>
      <c r="AC1272" s="1">
        <f t="shared" si="653"/>
        <v>0</v>
      </c>
      <c r="AD1272" s="1">
        <f t="shared" si="653"/>
        <v>0</v>
      </c>
      <c r="AE1272" s="1">
        <f t="shared" si="653"/>
        <v>0</v>
      </c>
      <c r="AF1272" s="1">
        <f t="shared" si="653"/>
        <v>0</v>
      </c>
      <c r="AG1272" s="1">
        <f t="shared" si="653"/>
        <v>0</v>
      </c>
      <c r="AH1272" s="1">
        <f t="shared" si="653"/>
        <v>0</v>
      </c>
      <c r="AI1272" s="44">
        <f t="shared" si="647"/>
        <v>0</v>
      </c>
      <c r="AJ1272" s="44">
        <f t="shared" si="638"/>
        <v>0</v>
      </c>
      <c r="AK1272" s="44">
        <f t="shared" si="623"/>
        <v>0</v>
      </c>
      <c r="AL1272" s="4">
        <f t="shared" si="639"/>
        <v>582</v>
      </c>
      <c r="AM1272" s="82">
        <f t="shared" si="648"/>
        <v>0</v>
      </c>
      <c r="AN1272" s="82">
        <f t="shared" si="640"/>
        <v>0</v>
      </c>
      <c r="AO1272" s="48">
        <v>0</v>
      </c>
      <c r="AP1272" s="91">
        <f t="shared" si="649"/>
        <v>0</v>
      </c>
      <c r="AQ1272" s="91">
        <f t="shared" si="650"/>
        <v>0</v>
      </c>
    </row>
    <row r="1273" spans="1:43">
      <c r="A1273" s="190">
        <f t="shared" si="641"/>
        <v>114.30424366872005</v>
      </c>
      <c r="B1273" s="82">
        <f t="shared" si="642"/>
        <v>49</v>
      </c>
      <c r="C1273" s="83">
        <f t="shared" si="643"/>
        <v>583</v>
      </c>
      <c r="D1273" s="14">
        <f t="shared" si="629"/>
        <v>2.6283369587845051E-3</v>
      </c>
      <c r="E1273" s="16">
        <f t="shared" si="630"/>
        <v>0</v>
      </c>
      <c r="F1273" s="127"/>
      <c r="G1273" s="88">
        <f t="shared" si="631"/>
        <v>0</v>
      </c>
      <c r="H1273" s="89">
        <f t="shared" si="644"/>
        <v>4.1666666666666666E-3</v>
      </c>
      <c r="I1273" s="219"/>
      <c r="J1273" s="219"/>
      <c r="K1273" s="6">
        <f t="shared" si="652"/>
        <v>0</v>
      </c>
      <c r="M1273" s="6">
        <f t="shared" si="632"/>
        <v>0</v>
      </c>
      <c r="N1273" s="6">
        <f t="shared" si="633"/>
        <v>0</v>
      </c>
      <c r="O1273" s="90">
        <f t="shared" si="634"/>
        <v>0</v>
      </c>
      <c r="P1273" s="91">
        <f t="shared" si="635"/>
        <v>0</v>
      </c>
      <c r="Q1273" s="6">
        <f t="shared" si="636"/>
        <v>0</v>
      </c>
      <c r="R1273" s="87">
        <f t="shared" si="622"/>
        <v>0</v>
      </c>
      <c r="S1273" s="6">
        <f t="shared" si="637"/>
        <v>0</v>
      </c>
      <c r="T1273" s="83">
        <f t="shared" si="645"/>
        <v>0</v>
      </c>
      <c r="U1273" s="91">
        <f t="shared" si="651"/>
        <v>0</v>
      </c>
      <c r="V1273" s="91">
        <f t="shared" si="646"/>
        <v>0</v>
      </c>
      <c r="W1273" s="1">
        <f t="shared" si="653"/>
        <v>0</v>
      </c>
      <c r="X1273" s="1">
        <f t="shared" si="653"/>
        <v>0</v>
      </c>
      <c r="Y1273" s="1">
        <f t="shared" si="653"/>
        <v>0</v>
      </c>
      <c r="Z1273" s="1">
        <f t="shared" si="653"/>
        <v>0</v>
      </c>
      <c r="AA1273" s="1">
        <f t="shared" si="653"/>
        <v>0</v>
      </c>
      <c r="AB1273" s="1">
        <f t="shared" si="653"/>
        <v>0</v>
      </c>
      <c r="AC1273" s="1">
        <f t="shared" si="653"/>
        <v>0</v>
      </c>
      <c r="AD1273" s="1">
        <f t="shared" si="653"/>
        <v>0</v>
      </c>
      <c r="AE1273" s="1">
        <f t="shared" si="653"/>
        <v>0</v>
      </c>
      <c r="AF1273" s="1">
        <f t="shared" si="653"/>
        <v>0</v>
      </c>
      <c r="AG1273" s="1">
        <f t="shared" si="653"/>
        <v>0</v>
      </c>
      <c r="AH1273" s="1">
        <f t="shared" si="653"/>
        <v>0</v>
      </c>
      <c r="AI1273" s="44">
        <f t="shared" si="647"/>
        <v>0</v>
      </c>
      <c r="AJ1273" s="44">
        <f t="shared" si="638"/>
        <v>0</v>
      </c>
      <c r="AK1273" s="44">
        <f t="shared" si="623"/>
        <v>0</v>
      </c>
      <c r="AL1273" s="4">
        <f t="shared" si="639"/>
        <v>583</v>
      </c>
      <c r="AM1273" s="82">
        <f t="shared" si="648"/>
        <v>0</v>
      </c>
      <c r="AN1273" s="82">
        <f t="shared" si="640"/>
        <v>0</v>
      </c>
      <c r="AO1273" s="48">
        <v>0</v>
      </c>
      <c r="AP1273" s="91">
        <f t="shared" si="649"/>
        <v>0</v>
      </c>
      <c r="AQ1273" s="91">
        <f t="shared" si="650"/>
        <v>0</v>
      </c>
    </row>
    <row r="1274" spans="1:43">
      <c r="A1274" s="190">
        <f t="shared" si="641"/>
        <v>114.38757700205338</v>
      </c>
      <c r="B1274" s="82">
        <f t="shared" si="642"/>
        <v>49</v>
      </c>
      <c r="C1274" s="83">
        <f t="shared" si="643"/>
        <v>584</v>
      </c>
      <c r="D1274" s="14">
        <f t="shared" si="629"/>
        <v>2.6283369587845051E-3</v>
      </c>
      <c r="E1274" s="16">
        <f t="shared" si="630"/>
        <v>0</v>
      </c>
      <c r="F1274" s="127"/>
      <c r="G1274" s="88">
        <f t="shared" si="631"/>
        <v>0</v>
      </c>
      <c r="H1274" s="89">
        <f t="shared" si="644"/>
        <v>4.1666666666666666E-3</v>
      </c>
      <c r="I1274" s="219"/>
      <c r="J1274" s="219"/>
      <c r="K1274" s="6">
        <f t="shared" si="652"/>
        <v>0</v>
      </c>
      <c r="M1274" s="6">
        <f t="shared" si="632"/>
        <v>0</v>
      </c>
      <c r="N1274" s="6">
        <f t="shared" si="633"/>
        <v>0</v>
      </c>
      <c r="O1274" s="90">
        <f t="shared" si="634"/>
        <v>0</v>
      </c>
      <c r="P1274" s="91">
        <f t="shared" si="635"/>
        <v>0</v>
      </c>
      <c r="Q1274" s="6">
        <f t="shared" si="636"/>
        <v>0</v>
      </c>
      <c r="R1274" s="87">
        <f t="shared" si="622"/>
        <v>0</v>
      </c>
      <c r="S1274" s="6">
        <f t="shared" si="637"/>
        <v>0</v>
      </c>
      <c r="T1274" s="83">
        <f t="shared" si="645"/>
        <v>0</v>
      </c>
      <c r="U1274" s="91">
        <f t="shared" si="651"/>
        <v>0</v>
      </c>
      <c r="V1274" s="91">
        <f t="shared" si="646"/>
        <v>0</v>
      </c>
      <c r="W1274" s="1">
        <f t="shared" si="653"/>
        <v>0</v>
      </c>
      <c r="X1274" s="1">
        <f t="shared" si="653"/>
        <v>0</v>
      </c>
      <c r="Y1274" s="1">
        <f t="shared" si="653"/>
        <v>0</v>
      </c>
      <c r="Z1274" s="1">
        <f t="shared" si="653"/>
        <v>0</v>
      </c>
      <c r="AA1274" s="1">
        <f t="shared" si="653"/>
        <v>0</v>
      </c>
      <c r="AB1274" s="1">
        <f t="shared" si="653"/>
        <v>0</v>
      </c>
      <c r="AC1274" s="1">
        <f t="shared" si="653"/>
        <v>0</v>
      </c>
      <c r="AD1274" s="1">
        <f t="shared" si="653"/>
        <v>0</v>
      </c>
      <c r="AE1274" s="1">
        <f t="shared" si="653"/>
        <v>0</v>
      </c>
      <c r="AF1274" s="1">
        <f t="shared" si="653"/>
        <v>0</v>
      </c>
      <c r="AG1274" s="1">
        <f t="shared" si="653"/>
        <v>0</v>
      </c>
      <c r="AH1274" s="1">
        <f t="shared" si="653"/>
        <v>0</v>
      </c>
      <c r="AI1274" s="44">
        <f t="shared" si="647"/>
        <v>0</v>
      </c>
      <c r="AJ1274" s="44">
        <f t="shared" si="638"/>
        <v>0</v>
      </c>
      <c r="AK1274" s="44">
        <f t="shared" si="623"/>
        <v>0</v>
      </c>
      <c r="AL1274" s="4">
        <f t="shared" si="639"/>
        <v>584</v>
      </c>
      <c r="AM1274" s="82">
        <f t="shared" si="648"/>
        <v>0</v>
      </c>
      <c r="AN1274" s="82">
        <f t="shared" si="640"/>
        <v>0</v>
      </c>
      <c r="AO1274" s="48">
        <v>0</v>
      </c>
      <c r="AP1274" s="91">
        <f t="shared" si="649"/>
        <v>0</v>
      </c>
      <c r="AQ1274" s="91">
        <f t="shared" si="650"/>
        <v>0</v>
      </c>
    </row>
    <row r="1275" spans="1:43">
      <c r="A1275" s="190">
        <f t="shared" si="641"/>
        <v>114.47091033538672</v>
      </c>
      <c r="B1275" s="82">
        <f t="shared" si="642"/>
        <v>49</v>
      </c>
      <c r="C1275" s="83">
        <f t="shared" si="643"/>
        <v>585</v>
      </c>
      <c r="D1275" s="14">
        <f t="shared" si="629"/>
        <v>2.6283369587845051E-3</v>
      </c>
      <c r="E1275" s="16">
        <f t="shared" si="630"/>
        <v>0</v>
      </c>
      <c r="F1275" s="127"/>
      <c r="G1275" s="88">
        <f t="shared" si="631"/>
        <v>0</v>
      </c>
      <c r="H1275" s="89">
        <f t="shared" si="644"/>
        <v>4.1666666666666666E-3</v>
      </c>
      <c r="I1275" s="219"/>
      <c r="J1275" s="219"/>
      <c r="K1275" s="6">
        <f t="shared" si="652"/>
        <v>0</v>
      </c>
      <c r="M1275" s="6">
        <f t="shared" si="632"/>
        <v>0</v>
      </c>
      <c r="N1275" s="6">
        <f t="shared" si="633"/>
        <v>0</v>
      </c>
      <c r="O1275" s="90">
        <f t="shared" si="634"/>
        <v>0</v>
      </c>
      <c r="P1275" s="91">
        <f t="shared" si="635"/>
        <v>0</v>
      </c>
      <c r="Q1275" s="6">
        <f t="shared" si="636"/>
        <v>0</v>
      </c>
      <c r="R1275" s="87">
        <f t="shared" si="622"/>
        <v>0</v>
      </c>
      <c r="S1275" s="6">
        <f t="shared" si="637"/>
        <v>0</v>
      </c>
      <c r="T1275" s="83">
        <f t="shared" si="645"/>
        <v>0</v>
      </c>
      <c r="U1275" s="91">
        <f t="shared" si="651"/>
        <v>0</v>
      </c>
      <c r="V1275" s="91">
        <f t="shared" si="646"/>
        <v>0</v>
      </c>
      <c r="W1275" s="1">
        <f t="shared" si="653"/>
        <v>0</v>
      </c>
      <c r="X1275" s="1">
        <f t="shared" si="653"/>
        <v>0</v>
      </c>
      <c r="Y1275" s="1">
        <f t="shared" si="653"/>
        <v>0</v>
      </c>
      <c r="Z1275" s="1">
        <f t="shared" si="653"/>
        <v>0</v>
      </c>
      <c r="AA1275" s="1">
        <f t="shared" si="653"/>
        <v>0</v>
      </c>
      <c r="AB1275" s="1">
        <f t="shared" si="653"/>
        <v>0</v>
      </c>
      <c r="AC1275" s="1">
        <f t="shared" si="653"/>
        <v>0</v>
      </c>
      <c r="AD1275" s="1">
        <f t="shared" si="653"/>
        <v>0</v>
      </c>
      <c r="AE1275" s="1">
        <f t="shared" si="653"/>
        <v>0</v>
      </c>
      <c r="AF1275" s="1">
        <f t="shared" si="653"/>
        <v>0</v>
      </c>
      <c r="AG1275" s="1">
        <f t="shared" si="653"/>
        <v>0</v>
      </c>
      <c r="AH1275" s="1">
        <f t="shared" si="653"/>
        <v>0</v>
      </c>
      <c r="AI1275" s="44">
        <f t="shared" si="647"/>
        <v>0</v>
      </c>
      <c r="AJ1275" s="44">
        <f t="shared" si="638"/>
        <v>0</v>
      </c>
      <c r="AK1275" s="44">
        <f t="shared" si="623"/>
        <v>0</v>
      </c>
      <c r="AL1275" s="4">
        <f t="shared" si="639"/>
        <v>585</v>
      </c>
      <c r="AM1275" s="82">
        <f t="shared" si="648"/>
        <v>0</v>
      </c>
      <c r="AN1275" s="82">
        <f t="shared" si="640"/>
        <v>0</v>
      </c>
      <c r="AO1275" s="48">
        <v>0</v>
      </c>
      <c r="AP1275" s="91">
        <f t="shared" si="649"/>
        <v>0</v>
      </c>
      <c r="AQ1275" s="91">
        <f t="shared" si="650"/>
        <v>0</v>
      </c>
    </row>
    <row r="1276" spans="1:43">
      <c r="A1276" s="190">
        <f t="shared" si="641"/>
        <v>114.55424366872005</v>
      </c>
      <c r="B1276" s="82">
        <f t="shared" si="642"/>
        <v>49</v>
      </c>
      <c r="C1276" s="83">
        <f t="shared" si="643"/>
        <v>586</v>
      </c>
      <c r="D1276" s="14">
        <f t="shared" si="629"/>
        <v>2.6283369587845051E-3</v>
      </c>
      <c r="E1276" s="16">
        <f t="shared" si="630"/>
        <v>0</v>
      </c>
      <c r="F1276" s="127"/>
      <c r="G1276" s="88">
        <f t="shared" si="631"/>
        <v>0</v>
      </c>
      <c r="H1276" s="89">
        <f t="shared" si="644"/>
        <v>4.1666666666666666E-3</v>
      </c>
      <c r="I1276" s="219"/>
      <c r="J1276" s="219"/>
      <c r="K1276" s="6">
        <f t="shared" si="652"/>
        <v>0</v>
      </c>
      <c r="M1276" s="6">
        <f t="shared" si="632"/>
        <v>0</v>
      </c>
      <c r="N1276" s="6">
        <f t="shared" si="633"/>
        <v>0</v>
      </c>
      <c r="O1276" s="90">
        <f t="shared" si="634"/>
        <v>0</v>
      </c>
      <c r="P1276" s="91">
        <f t="shared" si="635"/>
        <v>0</v>
      </c>
      <c r="Q1276" s="6">
        <f t="shared" si="636"/>
        <v>0</v>
      </c>
      <c r="R1276" s="87">
        <f t="shared" si="622"/>
        <v>0</v>
      </c>
      <c r="S1276" s="6">
        <f t="shared" si="637"/>
        <v>0</v>
      </c>
      <c r="T1276" s="83">
        <f t="shared" si="645"/>
        <v>0</v>
      </c>
      <c r="U1276" s="91">
        <f t="shared" si="651"/>
        <v>0</v>
      </c>
      <c r="V1276" s="91">
        <f t="shared" si="646"/>
        <v>0</v>
      </c>
      <c r="W1276" s="1">
        <f t="shared" si="653"/>
        <v>0</v>
      </c>
      <c r="X1276" s="1">
        <f t="shared" si="653"/>
        <v>0</v>
      </c>
      <c r="Y1276" s="1">
        <f t="shared" si="653"/>
        <v>0</v>
      </c>
      <c r="Z1276" s="1">
        <f t="shared" si="653"/>
        <v>0</v>
      </c>
      <c r="AA1276" s="1">
        <f t="shared" si="653"/>
        <v>0</v>
      </c>
      <c r="AB1276" s="1">
        <f t="shared" si="653"/>
        <v>0</v>
      </c>
      <c r="AC1276" s="1">
        <f t="shared" si="653"/>
        <v>0</v>
      </c>
      <c r="AD1276" s="1">
        <f t="shared" si="653"/>
        <v>0</v>
      </c>
      <c r="AE1276" s="1">
        <f t="shared" si="653"/>
        <v>0</v>
      </c>
      <c r="AF1276" s="1">
        <f t="shared" si="653"/>
        <v>0</v>
      </c>
      <c r="AG1276" s="1">
        <f t="shared" si="653"/>
        <v>0</v>
      </c>
      <c r="AH1276" s="1">
        <f t="shared" si="653"/>
        <v>0</v>
      </c>
      <c r="AI1276" s="44">
        <f t="shared" si="647"/>
        <v>0</v>
      </c>
      <c r="AJ1276" s="44">
        <f t="shared" si="638"/>
        <v>0</v>
      </c>
      <c r="AK1276" s="44">
        <f t="shared" si="623"/>
        <v>0</v>
      </c>
      <c r="AL1276" s="4">
        <f t="shared" si="639"/>
        <v>586</v>
      </c>
      <c r="AM1276" s="82">
        <f t="shared" si="648"/>
        <v>0</v>
      </c>
      <c r="AN1276" s="82">
        <f t="shared" si="640"/>
        <v>0</v>
      </c>
      <c r="AO1276" s="48">
        <v>0</v>
      </c>
      <c r="AP1276" s="91">
        <f t="shared" si="649"/>
        <v>0</v>
      </c>
      <c r="AQ1276" s="91">
        <f t="shared" si="650"/>
        <v>0</v>
      </c>
    </row>
    <row r="1277" spans="1:43">
      <c r="A1277" s="190">
        <f t="shared" si="641"/>
        <v>114.63757700205338</v>
      </c>
      <c r="B1277" s="82">
        <f t="shared" si="642"/>
        <v>49</v>
      </c>
      <c r="C1277" s="83">
        <f t="shared" si="643"/>
        <v>587</v>
      </c>
      <c r="D1277" s="14">
        <f t="shared" si="629"/>
        <v>2.6283369587845051E-3</v>
      </c>
      <c r="E1277" s="16">
        <f t="shared" si="630"/>
        <v>0</v>
      </c>
      <c r="F1277" s="127"/>
      <c r="G1277" s="88">
        <f t="shared" si="631"/>
        <v>0</v>
      </c>
      <c r="H1277" s="89">
        <f t="shared" si="644"/>
        <v>4.1666666666666666E-3</v>
      </c>
      <c r="I1277" s="219"/>
      <c r="J1277" s="219"/>
      <c r="K1277" s="6">
        <f t="shared" si="652"/>
        <v>0</v>
      </c>
      <c r="M1277" s="6">
        <f t="shared" si="632"/>
        <v>0</v>
      </c>
      <c r="N1277" s="6">
        <f t="shared" si="633"/>
        <v>0</v>
      </c>
      <c r="O1277" s="90">
        <f t="shared" si="634"/>
        <v>0</v>
      </c>
      <c r="P1277" s="91">
        <f t="shared" si="635"/>
        <v>0</v>
      </c>
      <c r="Q1277" s="6">
        <f t="shared" si="636"/>
        <v>0</v>
      </c>
      <c r="R1277" s="87">
        <f t="shared" si="622"/>
        <v>0</v>
      </c>
      <c r="S1277" s="6">
        <f t="shared" si="637"/>
        <v>0</v>
      </c>
      <c r="T1277" s="83">
        <f t="shared" si="645"/>
        <v>0</v>
      </c>
      <c r="U1277" s="91">
        <f t="shared" si="651"/>
        <v>0</v>
      </c>
      <c r="V1277" s="91">
        <f t="shared" si="646"/>
        <v>0</v>
      </c>
      <c r="W1277" s="1">
        <f t="shared" si="653"/>
        <v>0</v>
      </c>
      <c r="X1277" s="1">
        <f t="shared" si="653"/>
        <v>0</v>
      </c>
      <c r="Y1277" s="1">
        <f t="shared" si="653"/>
        <v>0</v>
      </c>
      <c r="Z1277" s="1">
        <f t="shared" si="653"/>
        <v>0</v>
      </c>
      <c r="AA1277" s="1">
        <f t="shared" si="653"/>
        <v>0</v>
      </c>
      <c r="AB1277" s="1">
        <f t="shared" si="653"/>
        <v>0</v>
      </c>
      <c r="AC1277" s="1">
        <f t="shared" si="653"/>
        <v>0</v>
      </c>
      <c r="AD1277" s="1">
        <f t="shared" si="653"/>
        <v>0</v>
      </c>
      <c r="AE1277" s="1">
        <f t="shared" si="653"/>
        <v>0</v>
      </c>
      <c r="AF1277" s="1">
        <f t="shared" si="653"/>
        <v>0</v>
      </c>
      <c r="AG1277" s="1">
        <f t="shared" si="653"/>
        <v>0</v>
      </c>
      <c r="AH1277" s="1">
        <f t="shared" si="653"/>
        <v>0</v>
      </c>
      <c r="AI1277" s="44">
        <f t="shared" si="647"/>
        <v>0</v>
      </c>
      <c r="AJ1277" s="44">
        <f t="shared" si="638"/>
        <v>0</v>
      </c>
      <c r="AK1277" s="44">
        <f t="shared" si="623"/>
        <v>0</v>
      </c>
      <c r="AL1277" s="4">
        <f t="shared" si="639"/>
        <v>587</v>
      </c>
      <c r="AM1277" s="82">
        <f t="shared" si="648"/>
        <v>0</v>
      </c>
      <c r="AN1277" s="82">
        <f t="shared" si="640"/>
        <v>0</v>
      </c>
      <c r="AO1277" s="48">
        <v>0</v>
      </c>
      <c r="AP1277" s="91">
        <f t="shared" si="649"/>
        <v>0</v>
      </c>
      <c r="AQ1277" s="91">
        <f t="shared" si="650"/>
        <v>0</v>
      </c>
    </row>
    <row r="1278" spans="1:43">
      <c r="A1278" s="190">
        <f t="shared" si="641"/>
        <v>114.72091033538672</v>
      </c>
      <c r="B1278" s="82">
        <f t="shared" si="642"/>
        <v>49</v>
      </c>
      <c r="C1278" s="83">
        <f t="shared" si="643"/>
        <v>588</v>
      </c>
      <c r="D1278" s="14">
        <f t="shared" si="629"/>
        <v>2.6283369587845051E-3</v>
      </c>
      <c r="E1278" s="16">
        <f t="shared" si="630"/>
        <v>0</v>
      </c>
      <c r="F1278" s="127"/>
      <c r="G1278" s="88">
        <f t="shared" si="631"/>
        <v>0</v>
      </c>
      <c r="H1278" s="89">
        <f t="shared" si="644"/>
        <v>4.1666666666666666E-3</v>
      </c>
      <c r="I1278" s="219"/>
      <c r="J1278" s="219"/>
      <c r="K1278" s="6">
        <f t="shared" si="652"/>
        <v>0</v>
      </c>
      <c r="M1278" s="6">
        <f t="shared" si="632"/>
        <v>0</v>
      </c>
      <c r="N1278" s="6">
        <f t="shared" si="633"/>
        <v>0</v>
      </c>
      <c r="O1278" s="90">
        <f t="shared" si="634"/>
        <v>0</v>
      </c>
      <c r="P1278" s="91">
        <f t="shared" si="635"/>
        <v>0</v>
      </c>
      <c r="Q1278" s="6">
        <f t="shared" si="636"/>
        <v>0</v>
      </c>
      <c r="R1278" s="87">
        <f t="shared" si="622"/>
        <v>0</v>
      </c>
      <c r="S1278" s="6">
        <f t="shared" si="637"/>
        <v>0</v>
      </c>
      <c r="T1278" s="83">
        <f t="shared" si="645"/>
        <v>0</v>
      </c>
      <c r="U1278" s="91">
        <f t="shared" si="651"/>
        <v>0</v>
      </c>
      <c r="V1278" s="91">
        <f t="shared" si="646"/>
        <v>0</v>
      </c>
      <c r="W1278" s="1">
        <f t="shared" si="653"/>
        <v>0</v>
      </c>
      <c r="X1278" s="1">
        <f t="shared" si="653"/>
        <v>0</v>
      </c>
      <c r="Y1278" s="1">
        <f t="shared" si="653"/>
        <v>0</v>
      </c>
      <c r="Z1278" s="1">
        <f t="shared" si="653"/>
        <v>0</v>
      </c>
      <c r="AA1278" s="1">
        <f t="shared" si="653"/>
        <v>0</v>
      </c>
      <c r="AB1278" s="1">
        <f t="shared" si="653"/>
        <v>0</v>
      </c>
      <c r="AC1278" s="1">
        <f t="shared" si="653"/>
        <v>0</v>
      </c>
      <c r="AD1278" s="1">
        <f t="shared" si="653"/>
        <v>0</v>
      </c>
      <c r="AE1278" s="1">
        <f t="shared" si="653"/>
        <v>0</v>
      </c>
      <c r="AF1278" s="1">
        <f t="shared" si="653"/>
        <v>0</v>
      </c>
      <c r="AG1278" s="1">
        <f t="shared" si="653"/>
        <v>0</v>
      </c>
      <c r="AH1278" s="1">
        <f t="shared" si="653"/>
        <v>0</v>
      </c>
      <c r="AI1278" s="44">
        <f t="shared" si="647"/>
        <v>0</v>
      </c>
      <c r="AJ1278" s="44">
        <f t="shared" si="638"/>
        <v>0</v>
      </c>
      <c r="AK1278" s="44">
        <f t="shared" si="623"/>
        <v>0</v>
      </c>
      <c r="AL1278" s="4">
        <f t="shared" si="639"/>
        <v>588</v>
      </c>
      <c r="AM1278" s="82">
        <f t="shared" si="648"/>
        <v>0</v>
      </c>
      <c r="AN1278" s="82">
        <f t="shared" si="640"/>
        <v>0</v>
      </c>
      <c r="AO1278" s="48">
        <v>0</v>
      </c>
      <c r="AP1278" s="91">
        <f t="shared" si="649"/>
        <v>0</v>
      </c>
      <c r="AQ1278" s="91">
        <f t="shared" si="650"/>
        <v>0</v>
      </c>
    </row>
    <row r="1279" spans="1:43">
      <c r="A1279" s="190">
        <f t="shared" si="641"/>
        <v>114.80424366872005</v>
      </c>
      <c r="B1279" s="82">
        <f t="shared" si="642"/>
        <v>50</v>
      </c>
      <c r="C1279" s="83">
        <f t="shared" si="643"/>
        <v>589</v>
      </c>
      <c r="D1279" s="14">
        <f t="shared" si="629"/>
        <v>2.6283369587845051E-3</v>
      </c>
      <c r="E1279" s="16">
        <f t="shared" si="630"/>
        <v>0</v>
      </c>
      <c r="F1279" s="127"/>
      <c r="G1279" s="88">
        <f t="shared" si="631"/>
        <v>0</v>
      </c>
      <c r="H1279" s="89">
        <f t="shared" si="644"/>
        <v>4.1666666666666666E-3</v>
      </c>
      <c r="I1279" s="219"/>
      <c r="J1279" s="219"/>
      <c r="K1279" s="6">
        <f t="shared" si="652"/>
        <v>0</v>
      </c>
      <c r="M1279" s="6">
        <f t="shared" si="632"/>
        <v>0</v>
      </c>
      <c r="N1279" s="6">
        <f t="shared" si="633"/>
        <v>0</v>
      </c>
      <c r="O1279" s="90">
        <f t="shared" si="634"/>
        <v>0</v>
      </c>
      <c r="P1279" s="91">
        <f t="shared" si="635"/>
        <v>0</v>
      </c>
      <c r="Q1279" s="6">
        <f t="shared" si="636"/>
        <v>0</v>
      </c>
      <c r="R1279" s="87">
        <f t="shared" si="622"/>
        <v>0</v>
      </c>
      <c r="S1279" s="6">
        <f t="shared" si="637"/>
        <v>0</v>
      </c>
      <c r="T1279" s="83">
        <f t="shared" si="645"/>
        <v>0</v>
      </c>
      <c r="U1279" s="91">
        <f t="shared" si="651"/>
        <v>0</v>
      </c>
      <c r="V1279" s="91">
        <f t="shared" si="646"/>
        <v>0</v>
      </c>
      <c r="W1279" s="1">
        <f t="shared" si="653"/>
        <v>0</v>
      </c>
      <c r="X1279" s="1">
        <f t="shared" si="653"/>
        <v>0</v>
      </c>
      <c r="Y1279" s="1">
        <f t="shared" si="653"/>
        <v>0</v>
      </c>
      <c r="Z1279" s="1">
        <f t="shared" si="653"/>
        <v>0</v>
      </c>
      <c r="AA1279" s="1">
        <f t="shared" si="653"/>
        <v>0</v>
      </c>
      <c r="AB1279" s="1">
        <f t="shared" si="653"/>
        <v>0</v>
      </c>
      <c r="AC1279" s="1">
        <f t="shared" si="653"/>
        <v>0</v>
      </c>
      <c r="AD1279" s="1">
        <f t="shared" si="653"/>
        <v>0</v>
      </c>
      <c r="AE1279" s="1">
        <f t="shared" si="653"/>
        <v>0</v>
      </c>
      <c r="AF1279" s="1">
        <f t="shared" si="653"/>
        <v>0</v>
      </c>
      <c r="AG1279" s="1">
        <f t="shared" si="653"/>
        <v>0</v>
      </c>
      <c r="AH1279" s="1">
        <f t="shared" si="653"/>
        <v>0</v>
      </c>
      <c r="AI1279" s="44">
        <f t="shared" si="647"/>
        <v>0</v>
      </c>
      <c r="AJ1279" s="44">
        <f t="shared" si="638"/>
        <v>0</v>
      </c>
      <c r="AK1279" s="44">
        <f t="shared" si="623"/>
        <v>0</v>
      </c>
      <c r="AL1279" s="4">
        <f t="shared" si="639"/>
        <v>589</v>
      </c>
      <c r="AM1279" s="82">
        <f t="shared" si="648"/>
        <v>0</v>
      </c>
      <c r="AN1279" s="82">
        <f t="shared" si="640"/>
        <v>0</v>
      </c>
      <c r="AO1279" s="48">
        <v>0</v>
      </c>
      <c r="AP1279" s="91">
        <f t="shared" si="649"/>
        <v>0</v>
      </c>
      <c r="AQ1279" s="91">
        <f t="shared" si="650"/>
        <v>0</v>
      </c>
    </row>
    <row r="1280" spans="1:43">
      <c r="A1280" s="190">
        <f t="shared" si="641"/>
        <v>114.88757700205338</v>
      </c>
      <c r="B1280" s="82">
        <f t="shared" si="642"/>
        <v>50</v>
      </c>
      <c r="C1280" s="83">
        <f t="shared" si="643"/>
        <v>590</v>
      </c>
      <c r="D1280" s="14">
        <f t="shared" si="629"/>
        <v>2.6283369587845051E-3</v>
      </c>
      <c r="E1280" s="16">
        <f t="shared" si="630"/>
        <v>0</v>
      </c>
      <c r="F1280" s="127"/>
      <c r="G1280" s="88">
        <f t="shared" si="631"/>
        <v>0</v>
      </c>
      <c r="H1280" s="89">
        <f t="shared" si="644"/>
        <v>4.1666666666666666E-3</v>
      </c>
      <c r="I1280" s="219"/>
      <c r="J1280" s="219"/>
      <c r="K1280" s="6">
        <f t="shared" si="652"/>
        <v>0</v>
      </c>
      <c r="M1280" s="6">
        <f t="shared" si="632"/>
        <v>0</v>
      </c>
      <c r="N1280" s="6">
        <f t="shared" si="633"/>
        <v>0</v>
      </c>
      <c r="O1280" s="90">
        <f t="shared" si="634"/>
        <v>0</v>
      </c>
      <c r="P1280" s="91">
        <f t="shared" si="635"/>
        <v>0</v>
      </c>
      <c r="Q1280" s="6">
        <f t="shared" si="636"/>
        <v>0</v>
      </c>
      <c r="R1280" s="87">
        <f t="shared" ref="R1280:R1290" si="654">-MIN(MAX(O1280,P1280,Q1280,-R1268*1.02),AJ1280)</f>
        <v>0</v>
      </c>
      <c r="S1280" s="6">
        <f t="shared" si="637"/>
        <v>0</v>
      </c>
      <c r="T1280" s="83">
        <f t="shared" si="645"/>
        <v>0</v>
      </c>
      <c r="U1280" s="91">
        <f t="shared" si="651"/>
        <v>0</v>
      </c>
      <c r="V1280" s="91">
        <f t="shared" si="646"/>
        <v>0</v>
      </c>
      <c r="W1280" s="1">
        <f t="shared" si="653"/>
        <v>0</v>
      </c>
      <c r="X1280" s="1">
        <f t="shared" si="653"/>
        <v>0</v>
      </c>
      <c r="Y1280" s="1">
        <f t="shared" si="653"/>
        <v>0</v>
      </c>
      <c r="Z1280" s="1">
        <f t="shared" si="653"/>
        <v>0</v>
      </c>
      <c r="AA1280" s="1">
        <f t="shared" si="653"/>
        <v>0</v>
      </c>
      <c r="AB1280" s="1">
        <f t="shared" si="653"/>
        <v>0</v>
      </c>
      <c r="AC1280" s="1">
        <f t="shared" si="653"/>
        <v>0</v>
      </c>
      <c r="AD1280" s="1">
        <f t="shared" si="653"/>
        <v>0</v>
      </c>
      <c r="AE1280" s="1">
        <f t="shared" si="653"/>
        <v>0</v>
      </c>
      <c r="AF1280" s="1">
        <f t="shared" si="653"/>
        <v>0</v>
      </c>
      <c r="AG1280" s="1">
        <f t="shared" si="653"/>
        <v>0</v>
      </c>
      <c r="AH1280" s="1">
        <f t="shared" si="653"/>
        <v>0</v>
      </c>
      <c r="AI1280" s="44">
        <f t="shared" si="647"/>
        <v>0</v>
      </c>
      <c r="AJ1280" s="44">
        <f t="shared" si="638"/>
        <v>0</v>
      </c>
      <c r="AK1280" s="44">
        <f t="shared" ref="AK1280:AK1290" si="655">IF(R1280=0,0,IF(R1280&gt;R1268,"Y","N"))</f>
        <v>0</v>
      </c>
      <c r="AL1280" s="4">
        <f t="shared" si="639"/>
        <v>590</v>
      </c>
      <c r="AM1280" s="82">
        <f t="shared" si="648"/>
        <v>0</v>
      </c>
      <c r="AN1280" s="82">
        <f t="shared" si="640"/>
        <v>0</v>
      </c>
      <c r="AO1280" s="48">
        <v>0</v>
      </c>
      <c r="AP1280" s="91">
        <f t="shared" si="649"/>
        <v>0</v>
      </c>
      <c r="AQ1280" s="91">
        <f t="shared" si="650"/>
        <v>0</v>
      </c>
    </row>
    <row r="1281" spans="1:43">
      <c r="A1281" s="190">
        <f t="shared" si="641"/>
        <v>114.97091033538672</v>
      </c>
      <c r="B1281" s="82">
        <f t="shared" si="642"/>
        <v>50</v>
      </c>
      <c r="C1281" s="83">
        <f t="shared" si="643"/>
        <v>591</v>
      </c>
      <c r="D1281" s="14">
        <f t="shared" si="629"/>
        <v>2.6283369587845051E-3</v>
      </c>
      <c r="E1281" s="16">
        <f t="shared" si="630"/>
        <v>0</v>
      </c>
      <c r="F1281" s="127"/>
      <c r="G1281" s="88">
        <f t="shared" si="631"/>
        <v>0</v>
      </c>
      <c r="H1281" s="89">
        <f t="shared" si="644"/>
        <v>4.1666666666666666E-3</v>
      </c>
      <c r="I1281" s="219"/>
      <c r="J1281" s="219"/>
      <c r="K1281" s="6">
        <f t="shared" si="652"/>
        <v>0</v>
      </c>
      <c r="M1281" s="6">
        <f t="shared" si="632"/>
        <v>0</v>
      </c>
      <c r="N1281" s="6">
        <f t="shared" si="633"/>
        <v>0</v>
      </c>
      <c r="O1281" s="90">
        <f t="shared" si="634"/>
        <v>0</v>
      </c>
      <c r="P1281" s="91">
        <f t="shared" si="635"/>
        <v>0</v>
      </c>
      <c r="Q1281" s="6">
        <f t="shared" si="636"/>
        <v>0</v>
      </c>
      <c r="R1281" s="87">
        <f t="shared" si="654"/>
        <v>0</v>
      </c>
      <c r="S1281" s="6">
        <f t="shared" si="637"/>
        <v>0</v>
      </c>
      <c r="T1281" s="83">
        <f t="shared" si="645"/>
        <v>0</v>
      </c>
      <c r="U1281" s="91">
        <f t="shared" si="651"/>
        <v>0</v>
      </c>
      <c r="V1281" s="91">
        <f t="shared" si="646"/>
        <v>0</v>
      </c>
      <c r="W1281" s="1">
        <f t="shared" ref="W1281:AH1290" si="656">IF($B1281&lt;=W$78,1,0)</f>
        <v>0</v>
      </c>
      <c r="X1281" s="1">
        <f t="shared" si="656"/>
        <v>0</v>
      </c>
      <c r="Y1281" s="1">
        <f t="shared" si="656"/>
        <v>0</v>
      </c>
      <c r="Z1281" s="1">
        <f t="shared" si="656"/>
        <v>0</v>
      </c>
      <c r="AA1281" s="1">
        <f t="shared" si="656"/>
        <v>0</v>
      </c>
      <c r="AB1281" s="1">
        <f t="shared" si="656"/>
        <v>0</v>
      </c>
      <c r="AC1281" s="1">
        <f t="shared" si="656"/>
        <v>0</v>
      </c>
      <c r="AD1281" s="1">
        <f t="shared" si="656"/>
        <v>0</v>
      </c>
      <c r="AE1281" s="1">
        <f t="shared" si="656"/>
        <v>0</v>
      </c>
      <c r="AF1281" s="1">
        <f t="shared" si="656"/>
        <v>0</v>
      </c>
      <c r="AG1281" s="1">
        <f t="shared" si="656"/>
        <v>0</v>
      </c>
      <c r="AH1281" s="1">
        <f t="shared" si="656"/>
        <v>0</v>
      </c>
      <c r="AI1281" s="44">
        <f t="shared" si="647"/>
        <v>0</v>
      </c>
      <c r="AJ1281" s="44">
        <f t="shared" si="638"/>
        <v>0</v>
      </c>
      <c r="AK1281" s="44">
        <f t="shared" si="655"/>
        <v>0</v>
      </c>
      <c r="AL1281" s="4">
        <f t="shared" si="639"/>
        <v>591</v>
      </c>
      <c r="AM1281" s="82">
        <f t="shared" si="648"/>
        <v>0</v>
      </c>
      <c r="AN1281" s="82">
        <f t="shared" si="640"/>
        <v>0</v>
      </c>
      <c r="AO1281" s="48">
        <v>0</v>
      </c>
      <c r="AP1281" s="91">
        <f t="shared" si="649"/>
        <v>0</v>
      </c>
      <c r="AQ1281" s="91">
        <f t="shared" si="650"/>
        <v>0</v>
      </c>
    </row>
    <row r="1282" spans="1:43">
      <c r="A1282" s="190">
        <f t="shared" si="641"/>
        <v>115.05424366872005</v>
      </c>
      <c r="B1282" s="82">
        <f t="shared" si="642"/>
        <v>50</v>
      </c>
      <c r="C1282" s="83">
        <f t="shared" si="643"/>
        <v>592</v>
      </c>
      <c r="D1282" s="14">
        <f t="shared" si="629"/>
        <v>2.6283369587845051E-3</v>
      </c>
      <c r="E1282" s="16">
        <f t="shared" si="630"/>
        <v>0</v>
      </c>
      <c r="F1282" s="127"/>
      <c r="G1282" s="88">
        <f t="shared" si="631"/>
        <v>0</v>
      </c>
      <c r="H1282" s="89">
        <f t="shared" si="644"/>
        <v>4.1666666666666666E-3</v>
      </c>
      <c r="I1282" s="219"/>
      <c r="J1282" s="219"/>
      <c r="K1282" s="6">
        <f t="shared" si="652"/>
        <v>0</v>
      </c>
      <c r="M1282" s="6">
        <f t="shared" si="632"/>
        <v>0</v>
      </c>
      <c r="N1282" s="6">
        <f t="shared" si="633"/>
        <v>0</v>
      </c>
      <c r="O1282" s="90">
        <f t="shared" si="634"/>
        <v>0</v>
      </c>
      <c r="P1282" s="91">
        <f t="shared" si="635"/>
        <v>0</v>
      </c>
      <c r="Q1282" s="6">
        <f t="shared" si="636"/>
        <v>0</v>
      </c>
      <c r="R1282" s="87">
        <f t="shared" si="654"/>
        <v>0</v>
      </c>
      <c r="S1282" s="6">
        <f t="shared" si="637"/>
        <v>0</v>
      </c>
      <c r="T1282" s="83">
        <f t="shared" si="645"/>
        <v>0</v>
      </c>
      <c r="U1282" s="91">
        <f t="shared" si="651"/>
        <v>0</v>
      </c>
      <c r="V1282" s="91">
        <f t="shared" si="646"/>
        <v>0</v>
      </c>
      <c r="W1282" s="1">
        <f t="shared" si="656"/>
        <v>0</v>
      </c>
      <c r="X1282" s="1">
        <f t="shared" si="656"/>
        <v>0</v>
      </c>
      <c r="Y1282" s="1">
        <f t="shared" si="656"/>
        <v>0</v>
      </c>
      <c r="Z1282" s="1">
        <f t="shared" si="656"/>
        <v>0</v>
      </c>
      <c r="AA1282" s="1">
        <f t="shared" si="656"/>
        <v>0</v>
      </c>
      <c r="AB1282" s="1">
        <f t="shared" si="656"/>
        <v>0</v>
      </c>
      <c r="AC1282" s="1">
        <f t="shared" si="656"/>
        <v>0</v>
      </c>
      <c r="AD1282" s="1">
        <f t="shared" si="656"/>
        <v>0</v>
      </c>
      <c r="AE1282" s="1">
        <f t="shared" si="656"/>
        <v>0</v>
      </c>
      <c r="AF1282" s="1">
        <f t="shared" si="656"/>
        <v>0</v>
      </c>
      <c r="AG1282" s="1">
        <f t="shared" si="656"/>
        <v>0</v>
      </c>
      <c r="AH1282" s="1">
        <f t="shared" si="656"/>
        <v>0</v>
      </c>
      <c r="AI1282" s="44">
        <f t="shared" si="647"/>
        <v>0</v>
      </c>
      <c r="AJ1282" s="44">
        <f t="shared" si="638"/>
        <v>0</v>
      </c>
      <c r="AK1282" s="44">
        <f t="shared" si="655"/>
        <v>0</v>
      </c>
      <c r="AL1282" s="4">
        <f t="shared" si="639"/>
        <v>592</v>
      </c>
      <c r="AM1282" s="82">
        <f t="shared" si="648"/>
        <v>0</v>
      </c>
      <c r="AN1282" s="82">
        <f t="shared" si="640"/>
        <v>0</v>
      </c>
      <c r="AO1282" s="48">
        <v>0</v>
      </c>
      <c r="AP1282" s="91">
        <f t="shared" si="649"/>
        <v>0</v>
      </c>
      <c r="AQ1282" s="91">
        <f t="shared" si="650"/>
        <v>0</v>
      </c>
    </row>
    <row r="1283" spans="1:43">
      <c r="A1283" s="190">
        <f t="shared" si="641"/>
        <v>115.13757700205338</v>
      </c>
      <c r="B1283" s="82">
        <f t="shared" si="642"/>
        <v>50</v>
      </c>
      <c r="C1283" s="83">
        <f t="shared" si="643"/>
        <v>593</v>
      </c>
      <c r="D1283" s="14">
        <f t="shared" si="629"/>
        <v>2.6283369587845051E-3</v>
      </c>
      <c r="E1283" s="16">
        <f t="shared" si="630"/>
        <v>0</v>
      </c>
      <c r="F1283" s="127"/>
      <c r="G1283" s="88">
        <f t="shared" si="631"/>
        <v>0</v>
      </c>
      <c r="H1283" s="89">
        <f t="shared" si="644"/>
        <v>4.1666666666666666E-3</v>
      </c>
      <c r="I1283" s="219"/>
      <c r="J1283" s="219"/>
      <c r="K1283" s="6">
        <f t="shared" si="652"/>
        <v>0</v>
      </c>
      <c r="M1283" s="6">
        <f t="shared" si="632"/>
        <v>0</v>
      </c>
      <c r="N1283" s="6">
        <f t="shared" si="633"/>
        <v>0</v>
      </c>
      <c r="O1283" s="90">
        <f t="shared" si="634"/>
        <v>0</v>
      </c>
      <c r="P1283" s="91">
        <f t="shared" si="635"/>
        <v>0</v>
      </c>
      <c r="Q1283" s="6">
        <f t="shared" si="636"/>
        <v>0</v>
      </c>
      <c r="R1283" s="87">
        <f t="shared" si="654"/>
        <v>0</v>
      </c>
      <c r="S1283" s="6">
        <f t="shared" si="637"/>
        <v>0</v>
      </c>
      <c r="T1283" s="83">
        <f t="shared" si="645"/>
        <v>0</v>
      </c>
      <c r="U1283" s="91">
        <f t="shared" si="651"/>
        <v>0</v>
      </c>
      <c r="V1283" s="91">
        <f t="shared" si="646"/>
        <v>0</v>
      </c>
      <c r="W1283" s="1">
        <f t="shared" si="656"/>
        <v>0</v>
      </c>
      <c r="X1283" s="1">
        <f t="shared" si="656"/>
        <v>0</v>
      </c>
      <c r="Y1283" s="1">
        <f t="shared" si="656"/>
        <v>0</v>
      </c>
      <c r="Z1283" s="1">
        <f t="shared" si="656"/>
        <v>0</v>
      </c>
      <c r="AA1283" s="1">
        <f t="shared" si="656"/>
        <v>0</v>
      </c>
      <c r="AB1283" s="1">
        <f t="shared" si="656"/>
        <v>0</v>
      </c>
      <c r="AC1283" s="1">
        <f t="shared" si="656"/>
        <v>0</v>
      </c>
      <c r="AD1283" s="1">
        <f t="shared" si="656"/>
        <v>0</v>
      </c>
      <c r="AE1283" s="1">
        <f t="shared" si="656"/>
        <v>0</v>
      </c>
      <c r="AF1283" s="1">
        <f t="shared" si="656"/>
        <v>0</v>
      </c>
      <c r="AG1283" s="1">
        <f t="shared" si="656"/>
        <v>0</v>
      </c>
      <c r="AH1283" s="1">
        <f t="shared" si="656"/>
        <v>0</v>
      </c>
      <c r="AI1283" s="44">
        <f t="shared" si="647"/>
        <v>0</v>
      </c>
      <c r="AJ1283" s="44">
        <f t="shared" si="638"/>
        <v>0</v>
      </c>
      <c r="AK1283" s="44">
        <f t="shared" si="655"/>
        <v>0</v>
      </c>
      <c r="AL1283" s="4">
        <f t="shared" si="639"/>
        <v>593</v>
      </c>
      <c r="AM1283" s="82">
        <f t="shared" si="648"/>
        <v>0</v>
      </c>
      <c r="AN1283" s="82">
        <f t="shared" si="640"/>
        <v>0</v>
      </c>
      <c r="AO1283" s="48">
        <v>0</v>
      </c>
      <c r="AP1283" s="91">
        <f t="shared" si="649"/>
        <v>0</v>
      </c>
      <c r="AQ1283" s="91">
        <f t="shared" si="650"/>
        <v>0</v>
      </c>
    </row>
    <row r="1284" spans="1:43">
      <c r="A1284" s="190">
        <f t="shared" si="641"/>
        <v>115.22091033538672</v>
      </c>
      <c r="B1284" s="82">
        <f t="shared" si="642"/>
        <v>50</v>
      </c>
      <c r="C1284" s="83">
        <f t="shared" si="643"/>
        <v>594</v>
      </c>
      <c r="D1284" s="14">
        <f t="shared" si="629"/>
        <v>2.6283369587845051E-3</v>
      </c>
      <c r="E1284" s="16">
        <f t="shared" si="630"/>
        <v>0</v>
      </c>
      <c r="F1284" s="127"/>
      <c r="G1284" s="88">
        <f t="shared" si="631"/>
        <v>0</v>
      </c>
      <c r="H1284" s="89">
        <f t="shared" si="644"/>
        <v>4.1666666666666666E-3</v>
      </c>
      <c r="I1284" s="219"/>
      <c r="J1284" s="219"/>
      <c r="K1284" s="6">
        <f t="shared" si="652"/>
        <v>0</v>
      </c>
      <c r="M1284" s="6">
        <f t="shared" si="632"/>
        <v>0</v>
      </c>
      <c r="N1284" s="6">
        <f t="shared" si="633"/>
        <v>0</v>
      </c>
      <c r="O1284" s="90">
        <f t="shared" si="634"/>
        <v>0</v>
      </c>
      <c r="P1284" s="91">
        <f t="shared" si="635"/>
        <v>0</v>
      </c>
      <c r="Q1284" s="6">
        <f t="shared" si="636"/>
        <v>0</v>
      </c>
      <c r="R1284" s="87">
        <f t="shared" si="654"/>
        <v>0</v>
      </c>
      <c r="S1284" s="6">
        <f t="shared" si="637"/>
        <v>0</v>
      </c>
      <c r="T1284" s="83">
        <f t="shared" si="645"/>
        <v>0</v>
      </c>
      <c r="U1284" s="91">
        <f t="shared" si="651"/>
        <v>0</v>
      </c>
      <c r="V1284" s="91">
        <f t="shared" si="646"/>
        <v>0</v>
      </c>
      <c r="W1284" s="1">
        <f t="shared" si="656"/>
        <v>0</v>
      </c>
      <c r="X1284" s="1">
        <f t="shared" si="656"/>
        <v>0</v>
      </c>
      <c r="Y1284" s="1">
        <f t="shared" si="656"/>
        <v>0</v>
      </c>
      <c r="Z1284" s="1">
        <f t="shared" si="656"/>
        <v>0</v>
      </c>
      <c r="AA1284" s="1">
        <f t="shared" si="656"/>
        <v>0</v>
      </c>
      <c r="AB1284" s="1">
        <f t="shared" si="656"/>
        <v>0</v>
      </c>
      <c r="AC1284" s="1">
        <f t="shared" si="656"/>
        <v>0</v>
      </c>
      <c r="AD1284" s="1">
        <f t="shared" si="656"/>
        <v>0</v>
      </c>
      <c r="AE1284" s="1">
        <f t="shared" si="656"/>
        <v>0</v>
      </c>
      <c r="AF1284" s="1">
        <f t="shared" si="656"/>
        <v>0</v>
      </c>
      <c r="AG1284" s="1">
        <f t="shared" si="656"/>
        <v>0</v>
      </c>
      <c r="AH1284" s="1">
        <f t="shared" si="656"/>
        <v>0</v>
      </c>
      <c r="AI1284" s="44">
        <f t="shared" si="647"/>
        <v>0</v>
      </c>
      <c r="AJ1284" s="44">
        <f t="shared" si="638"/>
        <v>0</v>
      </c>
      <c r="AK1284" s="44">
        <f t="shared" si="655"/>
        <v>0</v>
      </c>
      <c r="AL1284" s="4">
        <f t="shared" si="639"/>
        <v>594</v>
      </c>
      <c r="AM1284" s="82">
        <f t="shared" si="648"/>
        <v>0</v>
      </c>
      <c r="AN1284" s="82">
        <f t="shared" si="640"/>
        <v>0</v>
      </c>
      <c r="AO1284" s="48">
        <v>0</v>
      </c>
      <c r="AP1284" s="91">
        <f t="shared" si="649"/>
        <v>0</v>
      </c>
      <c r="AQ1284" s="91">
        <f t="shared" si="650"/>
        <v>0</v>
      </c>
    </row>
    <row r="1285" spans="1:43">
      <c r="A1285" s="190">
        <f t="shared" si="641"/>
        <v>115.30424366872005</v>
      </c>
      <c r="B1285" s="82">
        <f t="shared" si="642"/>
        <v>50</v>
      </c>
      <c r="C1285" s="83">
        <f t="shared" si="643"/>
        <v>595</v>
      </c>
      <c r="D1285" s="14">
        <f t="shared" si="629"/>
        <v>2.6283369587845051E-3</v>
      </c>
      <c r="E1285" s="16">
        <f t="shared" si="630"/>
        <v>0</v>
      </c>
      <c r="F1285" s="127"/>
      <c r="G1285" s="88">
        <f t="shared" si="631"/>
        <v>0</v>
      </c>
      <c r="H1285" s="89">
        <f t="shared" si="644"/>
        <v>4.1666666666666666E-3</v>
      </c>
      <c r="I1285" s="219"/>
      <c r="J1285" s="219"/>
      <c r="K1285" s="6">
        <f t="shared" si="652"/>
        <v>0</v>
      </c>
      <c r="M1285" s="6">
        <f t="shared" si="632"/>
        <v>0</v>
      </c>
      <c r="N1285" s="6">
        <f t="shared" si="633"/>
        <v>0</v>
      </c>
      <c r="O1285" s="90">
        <f t="shared" si="634"/>
        <v>0</v>
      </c>
      <c r="P1285" s="91">
        <f t="shared" si="635"/>
        <v>0</v>
      </c>
      <c r="Q1285" s="6">
        <f t="shared" si="636"/>
        <v>0</v>
      </c>
      <c r="R1285" s="87">
        <f t="shared" si="654"/>
        <v>0</v>
      </c>
      <c r="S1285" s="6">
        <f t="shared" si="637"/>
        <v>0</v>
      </c>
      <c r="T1285" s="83">
        <f t="shared" si="645"/>
        <v>0</v>
      </c>
      <c r="U1285" s="91">
        <f t="shared" si="651"/>
        <v>0</v>
      </c>
      <c r="V1285" s="91">
        <f t="shared" si="646"/>
        <v>0</v>
      </c>
      <c r="W1285" s="1">
        <f t="shared" si="656"/>
        <v>0</v>
      </c>
      <c r="X1285" s="1">
        <f t="shared" si="656"/>
        <v>0</v>
      </c>
      <c r="Y1285" s="1">
        <f t="shared" si="656"/>
        <v>0</v>
      </c>
      <c r="Z1285" s="1">
        <f t="shared" si="656"/>
        <v>0</v>
      </c>
      <c r="AA1285" s="1">
        <f t="shared" si="656"/>
        <v>0</v>
      </c>
      <c r="AB1285" s="1">
        <f t="shared" si="656"/>
        <v>0</v>
      </c>
      <c r="AC1285" s="1">
        <f t="shared" si="656"/>
        <v>0</v>
      </c>
      <c r="AD1285" s="1">
        <f t="shared" si="656"/>
        <v>0</v>
      </c>
      <c r="AE1285" s="1">
        <f t="shared" si="656"/>
        <v>0</v>
      </c>
      <c r="AF1285" s="1">
        <f t="shared" si="656"/>
        <v>0</v>
      </c>
      <c r="AG1285" s="1">
        <f t="shared" si="656"/>
        <v>0</v>
      </c>
      <c r="AH1285" s="1">
        <f t="shared" si="656"/>
        <v>0</v>
      </c>
      <c r="AI1285" s="44">
        <f t="shared" si="647"/>
        <v>0</v>
      </c>
      <c r="AJ1285" s="44">
        <f t="shared" si="638"/>
        <v>0</v>
      </c>
      <c r="AK1285" s="44">
        <f t="shared" si="655"/>
        <v>0</v>
      </c>
      <c r="AL1285" s="4">
        <f t="shared" si="639"/>
        <v>595</v>
      </c>
      <c r="AM1285" s="82">
        <f t="shared" si="648"/>
        <v>0</v>
      </c>
      <c r="AN1285" s="82">
        <f t="shared" si="640"/>
        <v>0</v>
      </c>
      <c r="AO1285" s="48">
        <v>0</v>
      </c>
      <c r="AP1285" s="91">
        <f t="shared" si="649"/>
        <v>0</v>
      </c>
      <c r="AQ1285" s="91">
        <f t="shared" si="650"/>
        <v>0</v>
      </c>
    </row>
    <row r="1286" spans="1:43">
      <c r="A1286" s="190">
        <f t="shared" si="641"/>
        <v>115.38757700205338</v>
      </c>
      <c r="B1286" s="82">
        <f t="shared" si="642"/>
        <v>50</v>
      </c>
      <c r="C1286" s="83">
        <f t="shared" si="643"/>
        <v>596</v>
      </c>
      <c r="D1286" s="14">
        <f t="shared" si="629"/>
        <v>2.6283369587845051E-3</v>
      </c>
      <c r="E1286" s="16">
        <f t="shared" si="630"/>
        <v>0</v>
      </c>
      <c r="F1286" s="127"/>
      <c r="G1286" s="88">
        <f t="shared" si="631"/>
        <v>0</v>
      </c>
      <c r="H1286" s="89">
        <f t="shared" si="644"/>
        <v>4.1666666666666666E-3</v>
      </c>
      <c r="I1286" s="219"/>
      <c r="J1286" s="219"/>
      <c r="K1286" s="6">
        <f t="shared" si="652"/>
        <v>0</v>
      </c>
      <c r="M1286" s="6">
        <f t="shared" si="632"/>
        <v>0</v>
      </c>
      <c r="N1286" s="6">
        <f t="shared" si="633"/>
        <v>0</v>
      </c>
      <c r="O1286" s="90">
        <f t="shared" si="634"/>
        <v>0</v>
      </c>
      <c r="P1286" s="91">
        <f t="shared" si="635"/>
        <v>0</v>
      </c>
      <c r="Q1286" s="6">
        <f t="shared" si="636"/>
        <v>0</v>
      </c>
      <c r="R1286" s="87">
        <f t="shared" si="654"/>
        <v>0</v>
      </c>
      <c r="S1286" s="6">
        <f t="shared" si="637"/>
        <v>0</v>
      </c>
      <c r="T1286" s="83">
        <f t="shared" si="645"/>
        <v>0</v>
      </c>
      <c r="U1286" s="91">
        <f t="shared" si="651"/>
        <v>0</v>
      </c>
      <c r="V1286" s="91">
        <f t="shared" si="646"/>
        <v>0</v>
      </c>
      <c r="W1286" s="1">
        <f t="shared" si="656"/>
        <v>0</v>
      </c>
      <c r="X1286" s="1">
        <f t="shared" si="656"/>
        <v>0</v>
      </c>
      <c r="Y1286" s="1">
        <f t="shared" si="656"/>
        <v>0</v>
      </c>
      <c r="Z1286" s="1">
        <f t="shared" si="656"/>
        <v>0</v>
      </c>
      <c r="AA1286" s="1">
        <f t="shared" si="656"/>
        <v>0</v>
      </c>
      <c r="AB1286" s="1">
        <f t="shared" si="656"/>
        <v>0</v>
      </c>
      <c r="AC1286" s="1">
        <f t="shared" si="656"/>
        <v>0</v>
      </c>
      <c r="AD1286" s="1">
        <f t="shared" si="656"/>
        <v>0</v>
      </c>
      <c r="AE1286" s="1">
        <f t="shared" si="656"/>
        <v>0</v>
      </c>
      <c r="AF1286" s="1">
        <f t="shared" si="656"/>
        <v>0</v>
      </c>
      <c r="AG1286" s="1">
        <f t="shared" si="656"/>
        <v>0</v>
      </c>
      <c r="AH1286" s="1">
        <f t="shared" si="656"/>
        <v>0</v>
      </c>
      <c r="AI1286" s="44">
        <f t="shared" si="647"/>
        <v>0</v>
      </c>
      <c r="AJ1286" s="44">
        <f t="shared" si="638"/>
        <v>0</v>
      </c>
      <c r="AK1286" s="44">
        <f t="shared" si="655"/>
        <v>0</v>
      </c>
      <c r="AL1286" s="4">
        <f t="shared" si="639"/>
        <v>596</v>
      </c>
      <c r="AM1286" s="82">
        <f t="shared" si="648"/>
        <v>0</v>
      </c>
      <c r="AN1286" s="82">
        <f t="shared" si="640"/>
        <v>0</v>
      </c>
      <c r="AO1286" s="48">
        <v>0</v>
      </c>
      <c r="AP1286" s="91">
        <f t="shared" si="649"/>
        <v>0</v>
      </c>
      <c r="AQ1286" s="91">
        <f t="shared" si="650"/>
        <v>0</v>
      </c>
    </row>
    <row r="1287" spans="1:43">
      <c r="A1287" s="190">
        <f t="shared" si="641"/>
        <v>115.47091033538672</v>
      </c>
      <c r="B1287" s="82">
        <f t="shared" si="642"/>
        <v>50</v>
      </c>
      <c r="C1287" s="83">
        <f t="shared" si="643"/>
        <v>597</v>
      </c>
      <c r="D1287" s="14">
        <f t="shared" si="629"/>
        <v>2.6283369587845051E-3</v>
      </c>
      <c r="E1287" s="16">
        <f t="shared" si="630"/>
        <v>0</v>
      </c>
      <c r="F1287" s="127"/>
      <c r="G1287" s="88">
        <f t="shared" si="631"/>
        <v>0</v>
      </c>
      <c r="H1287" s="89">
        <f t="shared" si="644"/>
        <v>4.1666666666666666E-3</v>
      </c>
      <c r="I1287" s="219"/>
      <c r="J1287" s="219"/>
      <c r="K1287" s="6">
        <f t="shared" si="652"/>
        <v>0</v>
      </c>
      <c r="M1287" s="6">
        <f t="shared" si="632"/>
        <v>0</v>
      </c>
      <c r="N1287" s="6">
        <f t="shared" si="633"/>
        <v>0</v>
      </c>
      <c r="O1287" s="90">
        <f t="shared" si="634"/>
        <v>0</v>
      </c>
      <c r="P1287" s="91">
        <f t="shared" si="635"/>
        <v>0</v>
      </c>
      <c r="Q1287" s="6">
        <f t="shared" si="636"/>
        <v>0</v>
      </c>
      <c r="R1287" s="87">
        <f t="shared" si="654"/>
        <v>0</v>
      </c>
      <c r="S1287" s="6">
        <f t="shared" si="637"/>
        <v>0</v>
      </c>
      <c r="T1287" s="83">
        <f t="shared" si="645"/>
        <v>0</v>
      </c>
      <c r="U1287" s="91">
        <f t="shared" si="651"/>
        <v>0</v>
      </c>
      <c r="V1287" s="91">
        <f t="shared" si="646"/>
        <v>0</v>
      </c>
      <c r="W1287" s="1">
        <f t="shared" si="656"/>
        <v>0</v>
      </c>
      <c r="X1287" s="1">
        <f t="shared" si="656"/>
        <v>0</v>
      </c>
      <c r="Y1287" s="1">
        <f t="shared" si="656"/>
        <v>0</v>
      </c>
      <c r="Z1287" s="1">
        <f t="shared" si="656"/>
        <v>0</v>
      </c>
      <c r="AA1287" s="1">
        <f t="shared" si="656"/>
        <v>0</v>
      </c>
      <c r="AB1287" s="1">
        <f t="shared" si="656"/>
        <v>0</v>
      </c>
      <c r="AC1287" s="1">
        <f t="shared" si="656"/>
        <v>0</v>
      </c>
      <c r="AD1287" s="1">
        <f t="shared" si="656"/>
        <v>0</v>
      </c>
      <c r="AE1287" s="1">
        <f t="shared" si="656"/>
        <v>0</v>
      </c>
      <c r="AF1287" s="1">
        <f t="shared" si="656"/>
        <v>0</v>
      </c>
      <c r="AG1287" s="1">
        <f t="shared" si="656"/>
        <v>0</v>
      </c>
      <c r="AH1287" s="1">
        <f t="shared" si="656"/>
        <v>0</v>
      </c>
      <c r="AI1287" s="44">
        <f t="shared" si="647"/>
        <v>0</v>
      </c>
      <c r="AJ1287" s="44">
        <f t="shared" si="638"/>
        <v>0</v>
      </c>
      <c r="AK1287" s="44">
        <f t="shared" si="655"/>
        <v>0</v>
      </c>
      <c r="AL1287" s="4">
        <f t="shared" si="639"/>
        <v>597</v>
      </c>
      <c r="AM1287" s="82">
        <f t="shared" si="648"/>
        <v>0</v>
      </c>
      <c r="AN1287" s="82">
        <f t="shared" si="640"/>
        <v>0</v>
      </c>
      <c r="AO1287" s="48">
        <v>0</v>
      </c>
      <c r="AP1287" s="91">
        <f t="shared" si="649"/>
        <v>0</v>
      </c>
      <c r="AQ1287" s="91">
        <f t="shared" si="650"/>
        <v>0</v>
      </c>
    </row>
    <row r="1288" spans="1:43">
      <c r="A1288" s="190">
        <f t="shared" si="641"/>
        <v>115.55424366872005</v>
      </c>
      <c r="B1288" s="82">
        <f t="shared" si="642"/>
        <v>50</v>
      </c>
      <c r="C1288" s="83">
        <f t="shared" si="643"/>
        <v>598</v>
      </c>
      <c r="D1288" s="14">
        <f t="shared" si="629"/>
        <v>2.6283369587845051E-3</v>
      </c>
      <c r="E1288" s="16">
        <f t="shared" si="630"/>
        <v>0</v>
      </c>
      <c r="F1288" s="127"/>
      <c r="G1288" s="88">
        <f t="shared" si="631"/>
        <v>0</v>
      </c>
      <c r="H1288" s="89">
        <f t="shared" si="644"/>
        <v>4.1666666666666666E-3</v>
      </c>
      <c r="I1288" s="219"/>
      <c r="J1288" s="219"/>
      <c r="K1288" s="6">
        <f t="shared" si="652"/>
        <v>0</v>
      </c>
      <c r="M1288" s="6">
        <f t="shared" si="632"/>
        <v>0</v>
      </c>
      <c r="N1288" s="6">
        <f t="shared" si="633"/>
        <v>0</v>
      </c>
      <c r="O1288" s="90">
        <f t="shared" si="634"/>
        <v>0</v>
      </c>
      <c r="P1288" s="91">
        <f t="shared" si="635"/>
        <v>0</v>
      </c>
      <c r="Q1288" s="6">
        <f t="shared" si="636"/>
        <v>0</v>
      </c>
      <c r="R1288" s="87">
        <f t="shared" si="654"/>
        <v>0</v>
      </c>
      <c r="S1288" s="6">
        <f t="shared" si="637"/>
        <v>0</v>
      </c>
      <c r="T1288" s="83">
        <f t="shared" si="645"/>
        <v>0</v>
      </c>
      <c r="U1288" s="91">
        <f t="shared" si="651"/>
        <v>0</v>
      </c>
      <c r="V1288" s="91">
        <f t="shared" si="646"/>
        <v>0</v>
      </c>
      <c r="W1288" s="1">
        <f t="shared" si="656"/>
        <v>0</v>
      </c>
      <c r="X1288" s="1">
        <f t="shared" si="656"/>
        <v>0</v>
      </c>
      <c r="Y1288" s="1">
        <f t="shared" si="656"/>
        <v>0</v>
      </c>
      <c r="Z1288" s="1">
        <f t="shared" si="656"/>
        <v>0</v>
      </c>
      <c r="AA1288" s="1">
        <f t="shared" si="656"/>
        <v>0</v>
      </c>
      <c r="AB1288" s="1">
        <f t="shared" si="656"/>
        <v>0</v>
      </c>
      <c r="AC1288" s="1">
        <f t="shared" si="656"/>
        <v>0</v>
      </c>
      <c r="AD1288" s="1">
        <f t="shared" si="656"/>
        <v>0</v>
      </c>
      <c r="AE1288" s="1">
        <f t="shared" si="656"/>
        <v>0</v>
      </c>
      <c r="AF1288" s="1">
        <f t="shared" si="656"/>
        <v>0</v>
      </c>
      <c r="AG1288" s="1">
        <f t="shared" si="656"/>
        <v>0</v>
      </c>
      <c r="AH1288" s="1">
        <f t="shared" si="656"/>
        <v>0</v>
      </c>
      <c r="AI1288" s="44">
        <f t="shared" si="647"/>
        <v>0</v>
      </c>
      <c r="AJ1288" s="44">
        <f t="shared" si="638"/>
        <v>0</v>
      </c>
      <c r="AK1288" s="44">
        <f t="shared" si="655"/>
        <v>0</v>
      </c>
      <c r="AL1288" s="4">
        <f t="shared" si="639"/>
        <v>598</v>
      </c>
      <c r="AM1288" s="82">
        <f t="shared" si="648"/>
        <v>0</v>
      </c>
      <c r="AN1288" s="82">
        <f t="shared" si="640"/>
        <v>0</v>
      </c>
      <c r="AO1288" s="48">
        <v>0</v>
      </c>
      <c r="AP1288" s="91">
        <f t="shared" si="649"/>
        <v>0</v>
      </c>
      <c r="AQ1288" s="91">
        <f t="shared" si="650"/>
        <v>0</v>
      </c>
    </row>
    <row r="1289" spans="1:43">
      <c r="A1289" s="190">
        <f t="shared" si="641"/>
        <v>115.63757700205338</v>
      </c>
      <c r="B1289" s="82">
        <f t="shared" si="642"/>
        <v>50</v>
      </c>
      <c r="C1289" s="83">
        <f t="shared" si="643"/>
        <v>599</v>
      </c>
      <c r="D1289" s="14">
        <f t="shared" si="629"/>
        <v>2.6283369587845051E-3</v>
      </c>
      <c r="E1289" s="16">
        <f t="shared" si="630"/>
        <v>0</v>
      </c>
      <c r="F1289" s="127"/>
      <c r="G1289" s="88">
        <f t="shared" si="631"/>
        <v>0</v>
      </c>
      <c r="H1289" s="89">
        <f t="shared" si="644"/>
        <v>4.1666666666666666E-3</v>
      </c>
      <c r="I1289" s="219"/>
      <c r="J1289" s="219"/>
      <c r="K1289" s="6">
        <f t="shared" si="652"/>
        <v>0</v>
      </c>
      <c r="M1289" s="6">
        <f t="shared" si="632"/>
        <v>0</v>
      </c>
      <c r="N1289" s="6">
        <f t="shared" si="633"/>
        <v>0</v>
      </c>
      <c r="O1289" s="90">
        <f t="shared" si="634"/>
        <v>0</v>
      </c>
      <c r="P1289" s="91">
        <f t="shared" si="635"/>
        <v>0</v>
      </c>
      <c r="Q1289" s="6">
        <f t="shared" si="636"/>
        <v>0</v>
      </c>
      <c r="R1289" s="87">
        <f t="shared" si="654"/>
        <v>0</v>
      </c>
      <c r="S1289" s="6">
        <f t="shared" si="637"/>
        <v>0</v>
      </c>
      <c r="T1289" s="83">
        <f t="shared" si="645"/>
        <v>0</v>
      </c>
      <c r="U1289" s="91">
        <f t="shared" si="651"/>
        <v>0</v>
      </c>
      <c r="V1289" s="91">
        <f t="shared" si="646"/>
        <v>0</v>
      </c>
      <c r="W1289" s="1">
        <f t="shared" si="656"/>
        <v>0</v>
      </c>
      <c r="X1289" s="1">
        <f t="shared" si="656"/>
        <v>0</v>
      </c>
      <c r="Y1289" s="1">
        <f t="shared" si="656"/>
        <v>0</v>
      </c>
      <c r="Z1289" s="1">
        <f t="shared" si="656"/>
        <v>0</v>
      </c>
      <c r="AA1289" s="1">
        <f t="shared" si="656"/>
        <v>0</v>
      </c>
      <c r="AB1289" s="1">
        <f t="shared" si="656"/>
        <v>0</v>
      </c>
      <c r="AC1289" s="1">
        <f t="shared" si="656"/>
        <v>0</v>
      </c>
      <c r="AD1289" s="1">
        <f t="shared" si="656"/>
        <v>0</v>
      </c>
      <c r="AE1289" s="1">
        <f t="shared" si="656"/>
        <v>0</v>
      </c>
      <c r="AF1289" s="1">
        <f t="shared" si="656"/>
        <v>0</v>
      </c>
      <c r="AG1289" s="1">
        <f t="shared" si="656"/>
        <v>0</v>
      </c>
      <c r="AH1289" s="1">
        <f t="shared" si="656"/>
        <v>0</v>
      </c>
      <c r="AI1289" s="44">
        <f t="shared" si="647"/>
        <v>0</v>
      </c>
      <c r="AJ1289" s="44">
        <f t="shared" si="638"/>
        <v>0</v>
      </c>
      <c r="AK1289" s="44">
        <f t="shared" si="655"/>
        <v>0</v>
      </c>
      <c r="AL1289" s="4">
        <f t="shared" si="639"/>
        <v>599</v>
      </c>
      <c r="AM1289" s="82">
        <f t="shared" si="648"/>
        <v>0</v>
      </c>
      <c r="AN1289" s="82">
        <f t="shared" si="640"/>
        <v>0</v>
      </c>
      <c r="AO1289" s="48">
        <v>0</v>
      </c>
      <c r="AP1289" s="91">
        <f t="shared" si="649"/>
        <v>0</v>
      </c>
      <c r="AQ1289" s="91">
        <f t="shared" si="650"/>
        <v>0</v>
      </c>
    </row>
    <row r="1290" spans="1:43">
      <c r="A1290" s="190">
        <f t="shared" si="641"/>
        <v>115.72091033538672</v>
      </c>
      <c r="B1290" s="82">
        <f t="shared" si="642"/>
        <v>50</v>
      </c>
      <c r="C1290" s="83">
        <f t="shared" si="643"/>
        <v>600</v>
      </c>
      <c r="D1290" s="14">
        <f t="shared" si="629"/>
        <v>2.6283369587845051E-3</v>
      </c>
      <c r="E1290" s="16">
        <f t="shared" si="630"/>
        <v>0</v>
      </c>
      <c r="F1290" s="127"/>
      <c r="G1290" s="88">
        <f t="shared" si="631"/>
        <v>0</v>
      </c>
      <c r="H1290" s="89">
        <f t="shared" si="644"/>
        <v>4.1666666666666666E-3</v>
      </c>
      <c r="I1290" s="219"/>
      <c r="J1290" s="219"/>
      <c r="K1290" s="6">
        <f t="shared" si="652"/>
        <v>0</v>
      </c>
      <c r="M1290" s="6">
        <f t="shared" si="632"/>
        <v>0</v>
      </c>
      <c r="N1290" s="6">
        <f t="shared" si="633"/>
        <v>0</v>
      </c>
      <c r="O1290" s="90">
        <f t="shared" si="634"/>
        <v>0</v>
      </c>
      <c r="P1290" s="91">
        <f t="shared" si="635"/>
        <v>0</v>
      </c>
      <c r="Q1290" s="6">
        <f t="shared" si="636"/>
        <v>0</v>
      </c>
      <c r="R1290" s="87">
        <f t="shared" si="654"/>
        <v>0</v>
      </c>
      <c r="S1290" s="6">
        <f t="shared" si="637"/>
        <v>0</v>
      </c>
      <c r="T1290" s="83">
        <f t="shared" si="645"/>
        <v>0</v>
      </c>
      <c r="U1290" s="91">
        <f t="shared" si="651"/>
        <v>0</v>
      </c>
      <c r="V1290" s="91">
        <f t="shared" si="646"/>
        <v>0</v>
      </c>
      <c r="W1290" s="1">
        <f t="shared" si="656"/>
        <v>0</v>
      </c>
      <c r="X1290" s="1">
        <f t="shared" si="656"/>
        <v>0</v>
      </c>
      <c r="Y1290" s="1">
        <f t="shared" si="656"/>
        <v>0</v>
      </c>
      <c r="Z1290" s="1">
        <f t="shared" si="656"/>
        <v>0</v>
      </c>
      <c r="AA1290" s="1">
        <f t="shared" si="656"/>
        <v>0</v>
      </c>
      <c r="AB1290" s="1">
        <f t="shared" si="656"/>
        <v>0</v>
      </c>
      <c r="AC1290" s="1">
        <f t="shared" si="656"/>
        <v>0</v>
      </c>
      <c r="AD1290" s="1">
        <f t="shared" si="656"/>
        <v>0</v>
      </c>
      <c r="AE1290" s="1">
        <f t="shared" si="656"/>
        <v>0</v>
      </c>
      <c r="AF1290" s="1">
        <f t="shared" si="656"/>
        <v>0</v>
      </c>
      <c r="AG1290" s="1">
        <f t="shared" si="656"/>
        <v>0</v>
      </c>
      <c r="AH1290" s="1">
        <f t="shared" si="656"/>
        <v>0</v>
      </c>
      <c r="AI1290" s="44">
        <f t="shared" si="647"/>
        <v>0</v>
      </c>
      <c r="AJ1290" s="44">
        <f t="shared" si="638"/>
        <v>0</v>
      </c>
      <c r="AK1290" s="44">
        <f t="shared" si="655"/>
        <v>0</v>
      </c>
      <c r="AL1290" s="4">
        <f t="shared" si="639"/>
        <v>600</v>
      </c>
      <c r="AM1290" s="82">
        <f t="shared" si="648"/>
        <v>0</v>
      </c>
      <c r="AN1290" s="82">
        <f t="shared" si="640"/>
        <v>0</v>
      </c>
      <c r="AO1290" s="48">
        <v>0</v>
      </c>
      <c r="AP1290" s="91">
        <f t="shared" si="649"/>
        <v>0</v>
      </c>
      <c r="AQ1290" s="91">
        <f t="shared" si="650"/>
        <v>0</v>
      </c>
    </row>
  </sheetData>
  <mergeCells count="5">
    <mergeCell ref="B3:B4"/>
    <mergeCell ref="B19:B20"/>
    <mergeCell ref="G35:M36"/>
    <mergeCell ref="E50:H50"/>
    <mergeCell ref="E72:H72"/>
  </mergeCells>
  <conditionalFormatting sqref="C72">
    <cfRule type="expression" dxfId="5" priority="3">
      <formula>$C$72+$C$64&lt;0</formula>
    </cfRule>
  </conditionalFormatting>
  <conditionalFormatting sqref="E50">
    <cfRule type="containsText" dxfId="4" priority="4" operator="containsText" text="Must input Customer Regular Income % if Regular Income Type = Fixed Percent">
      <formula>NOT(ISERROR(SEARCH("Must input Customer Regular Income % if Regular Income Type = Fixed Percent",E50)))</formula>
    </cfRule>
  </conditionalFormatting>
  <conditionalFormatting sqref="E72">
    <cfRule type="containsText" dxfId="3" priority="2" operator="containsText" text="Must input Customer Regular Income % if Regular Income Type = Fixed Percent">
      <formula>NOT(ISERROR(SEARCH("Must input Customer Regular Income % if Regular Income Type = Fixed Percent",E72)))</formula>
    </cfRule>
  </conditionalFormatting>
  <conditionalFormatting sqref="E72:H72">
    <cfRule type="cellIs" dxfId="2" priority="1" operator="equal">
      <formula>"Please enter a value that is a multiple of 0.25%"</formula>
    </cfRule>
  </conditionalFormatting>
  <conditionalFormatting sqref="G35:M36">
    <cfRule type="containsText" dxfId="1" priority="5" operator="containsText" text="Percentage Invested is not equal to 100%">
      <formula>NOT(ISERROR(SEARCH("Percentage Invested is not equal to 100%",G35)))</formula>
    </cfRule>
  </conditionalFormatting>
  <conditionalFormatting sqref="T39">
    <cfRule type="cellIs" dxfId="0" priority="6" operator="notEqual">
      <formula>1</formula>
    </cfRule>
  </conditionalFormatting>
  <dataValidations count="5">
    <dataValidation showInputMessage="1" showErrorMessage="1" sqref="C50" xr:uid="{79F8C9E2-22DC-472C-8CC4-CDE09A881888}"/>
    <dataValidation type="list" allowBlank="1" showInputMessage="1" showErrorMessage="1" sqref="C68 G42:I42 C71" xr:uid="{9A61218E-ED3D-40A0-8EDE-6CC2DB5E62BD}">
      <formula1>"Yes, No"</formula1>
    </dataValidation>
    <dataValidation showDropDown="1" showInputMessage="1" showErrorMessage="1" sqref="C58 C38 C48" xr:uid="{14B65A4C-AED1-4228-A007-C5230C70D494}"/>
    <dataValidation type="list" allowBlank="1" showInputMessage="1" showErrorMessage="1" sqref="C49" xr:uid="{FE2C6C6E-DD37-4849-AF4F-4FA102C238AA}">
      <formula1>"Monetary Amount (with Escalation), Fixed Percent, Default Percent"</formula1>
    </dataValidation>
    <dataValidation type="list" allowBlank="1" showInputMessage="1" showErrorMessage="1" sqref="C39" xr:uid="{0F9975EA-CBB5-443D-9BDE-9FB7FE0131D8}">
      <formula1>"A1, A2, A3, A4, A5, B1, B2, B3, B4, B5, C1, C2, C3, D1, F1, F2, F3, F4, F5"</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decimal" allowBlank="1" showInputMessage="1" showErrorMessage="1" errorTitle="Out of Range" error="Number entered is out of range. Please enter a number within the acceptable range." promptTitle="Adjusted Initial Commission" prompt="Please enter a number in the range [0%, 5%] to two decimal places. _x000a__x000a_If the number is not a multiple of 0.25% then an error message will be triggered." xr:uid="{98698507-5DAF-425D-88C2-8E1B6F0EC0AA}">
          <x14:formula1>
            <xm:f>Parameters!$D$78</xm:f>
          </x14:formula1>
          <x14:formula2>
            <xm:f>Parameters!$E$78</xm:f>
          </x14:formula2>
          <xm:sqref>C72</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04FE4-6795-4B47-9C1D-0D4F0A713C57}">
  <sheetPr codeName="Sheet2">
    <pageSetUpPr autoPageBreaks="0"/>
  </sheetPr>
  <dimension ref="A1:T51"/>
  <sheetViews>
    <sheetView zoomScaleNormal="100" zoomScaleSheetLayoutView="100" workbookViewId="0">
      <selection activeCell="D8" sqref="D8:J13"/>
    </sheetView>
  </sheetViews>
  <sheetFormatPr defaultRowHeight="15"/>
  <cols>
    <col min="3" max="3" width="40.7109375" bestFit="1" customWidth="1"/>
    <col min="4" max="4" width="11.140625" bestFit="1" customWidth="1"/>
    <col min="5" max="5" width="16.42578125" bestFit="1" customWidth="1"/>
    <col min="8" max="8" width="20.7109375" bestFit="1" customWidth="1"/>
    <col min="11" max="11" width="37.140625" bestFit="1" customWidth="1"/>
    <col min="12" max="12" width="17.5703125" customWidth="1"/>
    <col min="13" max="13" width="22.85546875" customWidth="1"/>
    <col min="14" max="14" width="21.85546875" customWidth="1"/>
    <col min="15" max="15" width="25" customWidth="1"/>
    <col min="16" max="16" width="21" customWidth="1"/>
    <col min="17" max="17" width="20.140625" customWidth="1"/>
  </cols>
  <sheetData>
    <row r="1" spans="1:20">
      <c r="A1" t="s">
        <v>211</v>
      </c>
    </row>
    <row r="2" spans="1:20" ht="15.75" thickBot="1">
      <c r="C2" s="23" t="s">
        <v>59</v>
      </c>
      <c r="E2" s="179" t="str">
        <f>LEFT(Product_Code, 1)</f>
        <v>A</v>
      </c>
    </row>
    <row r="3" spans="1:20">
      <c r="C3" s="23"/>
      <c r="K3" s="23" t="s">
        <v>212</v>
      </c>
      <c r="L3" s="238" t="s">
        <v>127</v>
      </c>
      <c r="M3" s="9" t="s">
        <v>65</v>
      </c>
      <c r="N3" s="11" t="s">
        <v>71</v>
      </c>
      <c r="O3" s="11" t="s">
        <v>77</v>
      </c>
      <c r="P3" s="11" t="s">
        <v>81</v>
      </c>
      <c r="Q3" s="11" t="s">
        <v>128</v>
      </c>
    </row>
    <row r="4" spans="1:20" ht="26.25" thickBot="1">
      <c r="C4" s="23" t="s">
        <v>213</v>
      </c>
      <c r="E4" s="178">
        <f>Growth_Rate_1</f>
        <v>0.06</v>
      </c>
      <c r="L4" s="239"/>
      <c r="M4" s="10" t="s">
        <v>130</v>
      </c>
      <c r="N4" s="12" t="s">
        <v>131</v>
      </c>
      <c r="O4" s="12" t="s">
        <v>214</v>
      </c>
      <c r="P4" s="12" t="s">
        <v>133</v>
      </c>
      <c r="Q4" s="12" t="s">
        <v>134</v>
      </c>
    </row>
    <row r="5" spans="1:20" ht="15.75" customHeight="1" thickBot="1">
      <c r="E5" t="s">
        <v>215</v>
      </c>
      <c r="L5" s="75">
        <f>IF('ARF Projections'!$G4=0,"",
IF('ARF Projections'!$G5=0,Fund_Zero_Year,'ARF Projections'!B5))</f>
        <v>1</v>
      </c>
      <c r="M5" s="193">
        <f>IF('ARF Projections'!$G4=0,"",'ARF Projections'!C5)</f>
        <v>100000</v>
      </c>
      <c r="N5" s="193">
        <f>IF('ARF Projections'!$G4=0,"",'ARF Projections'!D5)</f>
        <v>5853.5778488714068</v>
      </c>
      <c r="O5" s="193">
        <f>IF('ARF Projections'!$G4=0,"",'ARF Projections'!E5)</f>
        <v>6385.4820705274697</v>
      </c>
      <c r="P5" s="193">
        <f>IF('ARF Projections'!$G4=0,"",'ARF Projections'!F5)</f>
        <v>4023.5434918033757</v>
      </c>
      <c r="Q5" s="193">
        <f>IF('ARF Projections'!$G4=0,"",'ARF Projections'!G5)</f>
        <v>95444.552286540493</v>
      </c>
      <c r="R5" s="230"/>
      <c r="S5" s="230"/>
    </row>
    <row r="6" spans="1:20" ht="15.75" thickBot="1">
      <c r="C6" s="23" t="s">
        <v>216</v>
      </c>
      <c r="E6" s="178">
        <f>'ARF Projections'!AP65</f>
        <v>4.6016977835501072E-2</v>
      </c>
      <c r="F6" s="21"/>
      <c r="G6" s="21"/>
      <c r="H6" s="220"/>
      <c r="L6" s="75">
        <f>IF('ARF Projections'!$G5=0,"",
IF('ARF Projections'!$G6=0,Fund_Zero_Year,'ARF Projections'!B6))</f>
        <v>2</v>
      </c>
      <c r="M6" s="193">
        <f>IF('ARF Projections'!$G5=0,"",'ARF Projections'!C6)</f>
        <v>100000</v>
      </c>
      <c r="N6" s="193">
        <f>IF('ARF Projections'!$G5=0,"",'ARF Projections'!D6)</f>
        <v>11732.87793094502</v>
      </c>
      <c r="O6" s="193">
        <f>IF('ARF Projections'!$G5=0,"",'ARF Projections'!E6)</f>
        <v>6765.1611598761765</v>
      </c>
      <c r="P6" s="193">
        <f>IF('ARF Projections'!$G5=0,"",'ARF Projections'!F6)</f>
        <v>8127.5578534428178</v>
      </c>
      <c r="Q6" s="193">
        <f>IF('ARF Projections'!$G5=0,"",'ARF Projections'!G6)</f>
        <v>96840.158917625929</v>
      </c>
      <c r="R6" s="230"/>
      <c r="S6" s="230"/>
      <c r="T6" s="21"/>
    </row>
    <row r="7" spans="1:20" ht="15.75" thickBot="1">
      <c r="C7" s="192"/>
      <c r="D7" s="180"/>
      <c r="L7" s="75">
        <f>IF('ARF Projections'!$G6=0,"",
IF('ARF Projections'!$G7=0,Fund_Zero_Year,'ARF Projections'!B7))</f>
        <v>3</v>
      </c>
      <c r="M7" s="193">
        <f>IF('ARF Projections'!$G6=0,"",'ARF Projections'!C7)</f>
        <v>100000</v>
      </c>
      <c r="N7" s="193">
        <f>IF('ARF Projections'!$G6=0,"",'ARF Projections'!D7)</f>
        <v>17634.235357413516</v>
      </c>
      <c r="O7" s="193">
        <f>IF('ARF Projections'!$G6=0,"",'ARF Projections'!E7)</f>
        <v>7139.873850270289</v>
      </c>
      <c r="P7" s="193">
        <f>IF('ARF Projections'!$G6=0,"",'ARF Projections'!F7)</f>
        <v>12313.65250231505</v>
      </c>
      <c r="Q7" s="193">
        <f>IF('ARF Projections'!$G6=0,"",'ARF Projections'!G7)</f>
        <v>98180.709004828066</v>
      </c>
      <c r="R7" s="230"/>
      <c r="S7" s="230"/>
    </row>
    <row r="8" spans="1:20" ht="15.75" thickBot="1">
      <c r="C8" s="250" t="s">
        <v>217</v>
      </c>
      <c r="D8" s="249" t="str">
        <f>IF(Income_Type="Monetary Amount (with Escalation)","You have chosen an initial income level of "&amp;TEXT('ARF Projections'!C50,"€#,##0")&amp;" per annum.",
IF(Income_Type="Fixed Percent","You have chosen an income level of "&amp; TEXT('ARF Projections'!C51,"0%")&amp; " of the fund value per annum",
"You have chosen an income level in line with the Revenue deemed distribution rules in respect of this ARF.  These are described below"))</f>
        <v>You have chosen an income level in line with the Revenue deemed distribution rules in respect of this ARF.  These are described below</v>
      </c>
      <c r="E8" s="249"/>
      <c r="F8" s="249"/>
      <c r="G8" s="249"/>
      <c r="H8" s="249"/>
      <c r="I8" s="249"/>
      <c r="J8" s="249"/>
      <c r="L8" s="75">
        <f>IF('ARF Projections'!$G7=0,"",
IF('ARF Projections'!$G8=0,Fund_Zero_Year,'ARF Projections'!B8))</f>
        <v>4</v>
      </c>
      <c r="M8" s="193">
        <f>IF('ARF Projections'!$G7=0,"",'ARF Projections'!C8)</f>
        <v>100000</v>
      </c>
      <c r="N8" s="193">
        <f>IF('ARF Projections'!$G7=0,"",'ARF Projections'!D8)</f>
        <v>23553.720732524682</v>
      </c>
      <c r="O8" s="193">
        <f>IF('ARF Projections'!$G7=0,"",'ARF Projections'!E8)</f>
        <v>7510.5673327204513</v>
      </c>
      <c r="P8" s="193">
        <f>IF('ARF Projections'!$G7=0,"",'ARF Projections'!F8)</f>
        <v>16583.469044164725</v>
      </c>
      <c r="Q8" s="193">
        <f>IF('ARF Projections'!$G7=0,"",'ARF Projections'!G8)</f>
        <v>99459.684355639372</v>
      </c>
      <c r="R8" s="230"/>
      <c r="S8" s="230"/>
    </row>
    <row r="9" spans="1:20" ht="15.75" thickBot="1">
      <c r="C9" s="250"/>
      <c r="D9" s="249"/>
      <c r="E9" s="249"/>
      <c r="F9" s="249"/>
      <c r="G9" s="249"/>
      <c r="H9" s="249"/>
      <c r="I9" s="249"/>
      <c r="J9" s="249"/>
      <c r="L9" s="75">
        <f>IF('ARF Projections'!$G8=0,"",
IF('ARF Projections'!$G9=0,Fund_Zero_Year,'ARF Projections'!B9))</f>
        <v>5</v>
      </c>
      <c r="M9" s="193">
        <f>IF('ARF Projections'!$G8=0,"",'ARF Projections'!C9)</f>
        <v>100000</v>
      </c>
      <c r="N9" s="193">
        <f>IF('ARF Projections'!$G8=0,"",'ARF Projections'!D9)</f>
        <v>29487.126115409705</v>
      </c>
      <c r="O9" s="193">
        <f>IF('ARF Projections'!$G8=0,"",'ARF Projections'!E9)</f>
        <v>7878.3077836141638</v>
      </c>
      <c r="P9" s="193">
        <f>IF('ARF Projections'!$G8=0,"",'ARF Projections'!F9)</f>
        <v>20938.681916851401</v>
      </c>
      <c r="Q9" s="193">
        <f>IF('ARF Projections'!$G8=0,"",'ARF Projections'!G9)</f>
        <v>100670.13641494401</v>
      </c>
      <c r="R9" s="230"/>
      <c r="S9" s="230"/>
    </row>
    <row r="10" spans="1:20" ht="15.75" thickBot="1">
      <c r="C10" s="250"/>
      <c r="D10" s="249"/>
      <c r="E10" s="249"/>
      <c r="F10" s="249"/>
      <c r="G10" s="249"/>
      <c r="H10" s="249"/>
      <c r="I10" s="249"/>
      <c r="J10" s="249"/>
      <c r="L10" s="75">
        <f>IF('ARF Projections'!$G9=0,"",
IF('ARF Projections'!$G10=0,Fund_Zero_Year,'ARF Projections'!B10))</f>
        <v>10</v>
      </c>
      <c r="M10" s="193">
        <f>IF('ARF Projections'!$G9=0,"",'ARF Projections'!C10)</f>
        <v>100000</v>
      </c>
      <c r="N10" s="193">
        <f>IF('ARF Projections'!$G9=0,"",'ARF Projections'!D10)</f>
        <v>58745.716430778979</v>
      </c>
      <c r="O10" s="193">
        <f>IF('ARF Projections'!$G9=0,"",'ARF Projections'!E10)</f>
        <v>13669.696835135577</v>
      </c>
      <c r="P10" s="193">
        <f>IF('ARF Projections'!$G9=0,"",'ARF Projections'!F10)</f>
        <v>47172.842746280767</v>
      </c>
      <c r="Q10" s="193">
        <f>IF('ARF Projections'!$G9=0,"",'ARF Projections'!G10)</f>
        <v>97903.176849362499</v>
      </c>
      <c r="R10" s="230"/>
      <c r="S10" s="230"/>
    </row>
    <row r="11" spans="1:20" ht="15.75" thickBot="1">
      <c r="C11" s="250"/>
      <c r="D11" s="249"/>
      <c r="E11" s="249"/>
      <c r="F11" s="249"/>
      <c r="G11" s="249"/>
      <c r="H11" s="249"/>
      <c r="I11" s="249"/>
      <c r="J11" s="249"/>
      <c r="L11" s="75">
        <f>IF('ARF Projections'!$G10=0,"",
IF('ARF Projections'!$G11=0,Fund_Zero_Year,'ARF Projections'!B11))</f>
        <v>15</v>
      </c>
      <c r="M11" s="193">
        <f>IF('ARF Projections'!$G10=0,"",'ARF Projections'!C11)</f>
        <v>100000</v>
      </c>
      <c r="N11" s="193">
        <f>IF('ARF Projections'!$G10=0,"",'ARF Projections'!D11)</f>
        <v>86308.35461358109</v>
      </c>
      <c r="O11" s="193">
        <f>IF('ARF Projections'!$G10=0,"",'ARF Projections'!E11)</f>
        <v>20083.320343828251</v>
      </c>
      <c r="P11" s="193">
        <f>IF('ARF Projections'!$G10=0,"",'ARF Projections'!F11)</f>
        <v>76288.70963819162</v>
      </c>
      <c r="Q11" s="193">
        <f>IF('ARF Projections'!$G10=0,"",'ARF Projections'!G11)</f>
        <v>89936.324631561045</v>
      </c>
      <c r="R11" s="230"/>
      <c r="S11" s="230"/>
    </row>
    <row r="12" spans="1:20" ht="15.75" thickBot="1">
      <c r="C12" s="250"/>
      <c r="D12" s="249"/>
      <c r="E12" s="249"/>
      <c r="F12" s="249"/>
      <c r="G12" s="249"/>
      <c r="H12" s="249"/>
      <c r="I12" s="249"/>
      <c r="J12" s="249"/>
      <c r="L12" s="75">
        <f>IF('ARF Projections'!$G11=0,"",
IF('ARF Projections'!$G12=0,Fund_Zero_Year,'ARF Projections'!B12))</f>
        <v>20</v>
      </c>
      <c r="M12" s="193">
        <f>IF('ARF Projections'!$G11=0,"",'ARF Projections'!C12)</f>
        <v>100000</v>
      </c>
      <c r="N12" s="193">
        <f>IF('ARF Projections'!$G11=0,"",'ARF Projections'!D12)</f>
        <v>110808.23436018176</v>
      </c>
      <c r="O12" s="193">
        <f>IF('ARF Projections'!$G11=0,"",'ARF Projections'!E12)</f>
        <v>25784.26245469577</v>
      </c>
      <c r="P12" s="193">
        <f>IF('ARF Projections'!$G11=0,"",'ARF Projections'!F12)</f>
        <v>108434.97934207678</v>
      </c>
      <c r="Q12" s="193">
        <f>IF('ARF Projections'!$G11=0,"",'ARF Projections'!G12)</f>
        <v>76588.992563409047</v>
      </c>
      <c r="R12" s="230"/>
      <c r="S12" s="230"/>
    </row>
    <row r="13" spans="1:20" ht="15.75" thickBot="1">
      <c r="C13" s="250"/>
      <c r="D13" s="249"/>
      <c r="E13" s="249"/>
      <c r="F13" s="249"/>
      <c r="G13" s="249"/>
      <c r="H13" s="249"/>
      <c r="I13" s="249"/>
      <c r="J13" s="249"/>
      <c r="L13" s="75">
        <f>IF('ARF Projections'!$G12=0,"",
IF('ARF Projections'!$G13=0,Fund_Zero_Year,'ARF Projections'!B13))</f>
        <v>25</v>
      </c>
      <c r="M13" s="193">
        <f>IF('ARF Projections'!$G12=0,"",'ARF Projections'!C13)</f>
        <v>100000</v>
      </c>
      <c r="N13" s="193">
        <f>IF('ARF Projections'!$G12=0,"",'ARF Projections'!D13)</f>
        <v>130439.75014916042</v>
      </c>
      <c r="O13" s="193">
        <f>IF('ARF Projections'!$G12=0,"",'ARF Projections'!E13)</f>
        <v>30352.372021726522</v>
      </c>
      <c r="P13" s="193">
        <f>IF('ARF Projections'!$G12=0,"",'ARF Projections'!F13)</f>
        <v>143927.05861662619</v>
      </c>
      <c r="Q13" s="193">
        <f>IF('ARF Projections'!$G12=0,"",'ARF Projections'!G13)</f>
        <v>56160.319510807611</v>
      </c>
      <c r="R13" s="230"/>
      <c r="S13" s="230"/>
    </row>
    <row r="14" spans="1:20" ht="15.75" thickBot="1">
      <c r="D14" s="177"/>
      <c r="L14" s="75">
        <f>IF('ARF Projections'!$G13=0,"",
IF('ARF Projections'!$G14=0,Fund_Zero_Year,'ARF Projections'!B14))</f>
        <v>30</v>
      </c>
      <c r="M14" s="193">
        <f>IF('ARF Projections'!$G13=0,"",'ARF Projections'!C14)</f>
        <v>100000</v>
      </c>
      <c r="N14" s="193">
        <f>IF('ARF Projections'!$G13=0,"",'ARF Projections'!D14)</f>
        <v>142836.66811308713</v>
      </c>
      <c r="O14" s="193">
        <f>IF('ARF Projections'!$G13=0,"",'ARF Projections'!E14)</f>
        <v>33237.043799567626</v>
      </c>
      <c r="P14" s="193">
        <f>IF('ARF Projections'!$G13=0,"",'ARF Projections'!F14)</f>
        <v>183113.18200930872</v>
      </c>
      <c r="Q14" s="193">
        <f>IF('ARF Projections'!$G13=0,"",'ARF Projections'!G14)</f>
        <v>26486.442304210581</v>
      </c>
      <c r="R14" s="230"/>
      <c r="S14" s="230"/>
    </row>
    <row r="15" spans="1:20" ht="15" customHeight="1" thickBot="1">
      <c r="C15" s="23" t="s">
        <v>176</v>
      </c>
      <c r="D15" s="179">
        <f>Fund_Zero_Year</f>
        <v>34</v>
      </c>
      <c r="L15" s="75">
        <f>IF('ARF Projections'!$G14=0,"",
IF('ARF Projections'!$G15=0,Fund_Zero_Year,'ARF Projections'!B15))</f>
        <v>34</v>
      </c>
      <c r="M15" s="193">
        <f>IF('ARF Projections'!$G14=0,"",'ARF Projections'!C15)</f>
        <v>100000</v>
      </c>
      <c r="N15" s="193">
        <f>IF('ARF Projections'!$G14=0,"",'ARF Projections'!D15)</f>
        <v>145597.88634046674</v>
      </c>
      <c r="O15" s="193">
        <f>IF('ARF Projections'!$G14=0,"",'ARF Projections'!E15)</f>
        <v>33879.559005053343</v>
      </c>
      <c r="P15" s="193">
        <f>IF('ARF Projections'!$G14=0,"",'ARF Projections'!F15)</f>
        <v>211718.3273354132</v>
      </c>
      <c r="Q15" s="193">
        <f>IF('ARF Projections'!$G14=0,"",'ARF Projections'!G15)</f>
        <v>0</v>
      </c>
      <c r="R15" s="230"/>
      <c r="S15" s="230"/>
    </row>
    <row r="16" spans="1:20" ht="15.75" thickBot="1">
      <c r="D16" s="177"/>
      <c r="L16" s="75" t="str">
        <f>IF('ARF Projections'!$G15=0,"",
IF('ARF Projections'!$G16=0,Fund_Zero_Year,'ARF Projections'!B16))</f>
        <v/>
      </c>
      <c r="M16" s="193" t="str">
        <f>IF('ARF Projections'!$G15=0,"",'ARF Projections'!C16)</f>
        <v/>
      </c>
      <c r="N16" s="193" t="str">
        <f>IF('ARF Projections'!$G15=0,"",'ARF Projections'!D16)</f>
        <v/>
      </c>
      <c r="O16" s="193" t="str">
        <f>IF('ARF Projections'!$G15=0,"",'ARF Projections'!E16)</f>
        <v/>
      </c>
      <c r="P16" s="193" t="str">
        <f>IF('ARF Projections'!$G15=0,"",'ARF Projections'!F16)</f>
        <v/>
      </c>
      <c r="Q16" s="193" t="str">
        <f>IF('ARF Projections'!$G15=0,"",'ARF Projections'!G16)</f>
        <v/>
      </c>
      <c r="R16" s="230"/>
      <c r="S16" s="230"/>
    </row>
    <row r="17" spans="3:19">
      <c r="C17" s="23" t="s">
        <v>218</v>
      </c>
      <c r="D17" s="249" t="str" cm="1">
        <f t="array" ref="D17">IF(RIGHT(Product_Code,1)="1","","Please note that the charges shown in Column C for years 1 to "&amp;(_xlfn.XLOOKUP(0, _xlfn.XLOOKUP(Product_Code,Parameters!D7:D25,Parameters!I7:P25), Parameters!I6:P6, 9,0,1)-1)&amp;" assume that policy is fully encashed and an exit charge is incurred. No exit charge applies to partial surrenders. If the policy is not encashed in the first "&amp;(_xlfn.XLOOKUP(0, _xlfn.XLOOKUP(Product_Code,Parameters!D7:D25,Parameters!I7:P25), Parameters!I6:P6, 9,0,1)-1)&amp; " years, no exit charge is payable and the total charges actually deducted from the policy in those years are less than shown." )</f>
        <v>Please note that the charges shown in Column C for years 1 to 5 assume that policy is fully encashed and an exit charge is incurred. No exit charge applies to partial surrenders. If the policy is not encashed in the first 5 years, no exit charge is payable and the total charges actually deducted from the policy in those years are less than shown.</v>
      </c>
      <c r="E17" s="249"/>
      <c r="F17" s="249"/>
      <c r="G17" s="249"/>
      <c r="H17" s="249"/>
      <c r="I17" s="249"/>
      <c r="J17" s="249"/>
    </row>
    <row r="18" spans="3:19">
      <c r="D18" s="249"/>
      <c r="E18" s="249"/>
      <c r="F18" s="249"/>
      <c r="G18" s="249"/>
      <c r="H18" s="249"/>
      <c r="I18" s="249"/>
      <c r="J18" s="249"/>
      <c r="L18" s="233" t="s">
        <v>219</v>
      </c>
    </row>
    <row r="19" spans="3:19" ht="15.75" thickBot="1">
      <c r="D19" s="249"/>
      <c r="E19" s="249"/>
      <c r="F19" s="249"/>
      <c r="G19" s="249"/>
      <c r="H19" s="249"/>
      <c r="I19" s="249"/>
      <c r="J19" s="249"/>
    </row>
    <row r="20" spans="3:19">
      <c r="D20" s="249"/>
      <c r="E20" s="249"/>
      <c r="F20" s="249"/>
      <c r="G20" s="249"/>
      <c r="H20" s="249"/>
      <c r="I20" s="249"/>
      <c r="J20" s="249"/>
      <c r="K20" s="23" t="s">
        <v>220</v>
      </c>
      <c r="L20" s="238" t="s">
        <v>127</v>
      </c>
      <c r="M20" s="9" t="s">
        <v>65</v>
      </c>
      <c r="N20" s="11" t="s">
        <v>71</v>
      </c>
      <c r="O20" s="11" t="s">
        <v>77</v>
      </c>
      <c r="P20" s="11" t="s">
        <v>81</v>
      </c>
      <c r="Q20" s="11" t="s">
        <v>128</v>
      </c>
    </row>
    <row r="21" spans="3:19" ht="26.25" thickBot="1">
      <c r="D21" s="249"/>
      <c r="E21" s="249"/>
      <c r="F21" s="249"/>
      <c r="G21" s="249"/>
      <c r="H21" s="249"/>
      <c r="I21" s="249"/>
      <c r="J21" s="249"/>
      <c r="L21" s="239"/>
      <c r="M21" s="79" t="s">
        <v>130</v>
      </c>
      <c r="N21" s="80" t="s">
        <v>131</v>
      </c>
      <c r="O21" s="80" t="s">
        <v>214</v>
      </c>
      <c r="P21" s="12" t="s">
        <v>133</v>
      </c>
      <c r="Q21" s="12" t="s">
        <v>134</v>
      </c>
    </row>
    <row r="22" spans="3:19" ht="15.75" thickBot="1">
      <c r="D22" s="249"/>
      <c r="E22" s="249"/>
      <c r="F22" s="249"/>
      <c r="G22" s="249"/>
      <c r="H22" s="249"/>
      <c r="I22" s="249"/>
      <c r="J22" s="249"/>
      <c r="L22" s="81">
        <f>IF('ARF Projections'!$G20=0,"",
IF('ARF Projections'!$G21=0,Fund_Zero_Year_2,'ARF Projections'!B21))</f>
        <v>1</v>
      </c>
      <c r="M22" s="194">
        <f>IF('ARF Projections'!$G20=0,"",'ARF Projections'!C21)</f>
        <v>100000</v>
      </c>
      <c r="N22" s="194">
        <f>IF('ARF Projections'!$G20=0,"",'ARF Projections'!D21)</f>
        <v>3121.9746892992111</v>
      </c>
      <c r="O22" s="194">
        <f>IF('ARF Projections'!$G20=0,"",'ARF Projections'!E21)</f>
        <v>6232.7470435413643</v>
      </c>
      <c r="P22" s="194">
        <f>IF('ARF Projections'!$G20=0,"",'ARF Projections'!F21)</f>
        <v>4000.4989862405532</v>
      </c>
      <c r="Q22" s="194">
        <f>IF('ARF Projections'!$G20=0,"",'ARF Projections'!G21)</f>
        <v>92888.728659517365</v>
      </c>
      <c r="S22" s="230"/>
    </row>
    <row r="23" spans="3:19" ht="15.75" thickBot="1">
      <c r="L23" s="81">
        <f>IF('ARF Projections'!$G21=0,"",
IF('ARF Projections'!$G22=0,Fund_Zero_Year_2,'ARF Projections'!B22))</f>
        <v>2</v>
      </c>
      <c r="M23" s="194">
        <f>IF('ARF Projections'!$G21=0,"",'ARF Projections'!C22)</f>
        <v>100000</v>
      </c>
      <c r="N23" s="194">
        <f>IF('ARF Projections'!$G21=0,"",'ARF Projections'!D22)</f>
        <v>6172.1125293978503</v>
      </c>
      <c r="O23" s="194">
        <f>IF('ARF Projections'!$G21=0,"",'ARF Projections'!E22)</f>
        <v>6474.1824688020897</v>
      </c>
      <c r="P23" s="194">
        <f>IF('ARF Projections'!$G21=0,"",'ARF Projections'!F22)</f>
        <v>8081.0079522059168</v>
      </c>
      <c r="Q23" s="194">
        <f>IF('ARF Projections'!$G21=0,"",'ARF Projections'!G22)</f>
        <v>91616.922108389888</v>
      </c>
      <c r="S23" s="230"/>
    </row>
    <row r="24" spans="3:19" ht="15.75" thickBot="1">
      <c r="C24" s="23" t="s">
        <v>221</v>
      </c>
      <c r="E24" s="225">
        <f>Growth_Rate_2</f>
        <v>3.2000000000000001E-2</v>
      </c>
      <c r="L24" s="81">
        <f>IF('ARF Projections'!$G22=0,"",
IF('ARF Projections'!$G23=0,Fund_Zero_Year_2,'ARF Projections'!B23))</f>
        <v>3</v>
      </c>
      <c r="M24" s="194">
        <f>IF('ARF Projections'!$G22=0,"",'ARF Projections'!C23)</f>
        <v>100000</v>
      </c>
      <c r="N24" s="194">
        <f>IF('ARF Projections'!$G22=0,"",'ARF Projections'!D23)</f>
        <v>9146.5447509080986</v>
      </c>
      <c r="O24" s="194">
        <f>IF('ARF Projections'!$G22=0,"",'ARF Projections'!E23)</f>
        <v>6726.1545701880514</v>
      </c>
      <c r="P24" s="194">
        <f>IF('ARF Projections'!$G22=0,"",'ARF Projections'!F23)</f>
        <v>12243.12709749058</v>
      </c>
      <c r="Q24" s="194">
        <f>IF('ARF Projections'!$G22=0,"",'ARF Projections'!G23)</f>
        <v>90177.263083229453</v>
      </c>
      <c r="S24" s="230"/>
    </row>
    <row r="25" spans="3:19" ht="15.75" thickBot="1">
      <c r="E25" t="s">
        <v>215</v>
      </c>
      <c r="L25" s="81">
        <f>IF('ARF Projections'!$G23=0,"",
IF('ARF Projections'!$G24=0,Fund_Zero_Year_2,'ARF Projections'!B24))</f>
        <v>4</v>
      </c>
      <c r="M25" s="194">
        <f>IF('ARF Projections'!$G23=0,"",'ARF Projections'!C24)</f>
        <v>100000</v>
      </c>
      <c r="N25" s="194">
        <f>IF('ARF Projections'!$G23=0,"",'ARF Projections'!D24)</f>
        <v>12041.281159734288</v>
      </c>
      <c r="O25" s="194">
        <f>IF('ARF Projections'!$G23=0,"",'ARF Projections'!E24)</f>
        <v>6990.6094967956142</v>
      </c>
      <c r="P25" s="194">
        <f>IF('ARF Projections'!$G23=0,"",'ARF Projections'!F24)</f>
        <v>16488.488625680951</v>
      </c>
      <c r="Q25" s="194">
        <f>IF('ARF Projections'!$G23=0,"",'ARF Projections'!G24)</f>
        <v>88562.183037257637</v>
      </c>
      <c r="S25" s="230"/>
    </row>
    <row r="26" spans="3:19" ht="15.75" thickBot="1">
      <c r="C26" s="23" t="s">
        <v>222</v>
      </c>
      <c r="E26" s="178">
        <f>'ARF Projections'!AP687</f>
        <v>1.8235036733697418E-2</v>
      </c>
      <c r="L26" s="81">
        <f>IF('ARF Projections'!$G24=0,"",
IF('ARF Projections'!$G25=0,Fund_Zero_Year_2,'ARF Projections'!B25))</f>
        <v>5</v>
      </c>
      <c r="M26" s="194">
        <f>IF('ARF Projections'!$G24=0,"",'ARF Projections'!C25)</f>
        <v>100000</v>
      </c>
      <c r="N26" s="194">
        <f>IF('ARF Projections'!$G24=0,"",'ARF Projections'!D25)</f>
        <v>14852.206910751145</v>
      </c>
      <c r="O26" s="194">
        <f>IF('ARF Projections'!$G24=0,"",'ARF Projections'!E25)</f>
        <v>7269.5948968994771</v>
      </c>
      <c r="P26" s="194">
        <f>IF('ARF Projections'!$G24=0,"",'ARF Projections'!F25)</f>
        <v>20818.757384435139</v>
      </c>
      <c r="Q26" s="194">
        <f>IF('ARF Projections'!$G24=0,"",'ARF Projections'!G25)</f>
        <v>86763.854629416557</v>
      </c>
      <c r="S26" s="230"/>
    </row>
    <row r="27" spans="3:19" ht="15.75" thickBot="1">
      <c r="C27" s="23" t="s">
        <v>223</v>
      </c>
      <c r="D27" s="179">
        <f>Fund_Zero_Year_2</f>
        <v>25</v>
      </c>
      <c r="L27" s="81">
        <f>IF('ARF Projections'!$G25=0,"",
IF('ARF Projections'!$G26=0,Fund_Zero_Year_2,'ARF Projections'!B26))</f>
        <v>10</v>
      </c>
      <c r="M27" s="194">
        <f>IF('ARF Projections'!$G25=0,"",'ARF Projections'!C26)</f>
        <v>100000</v>
      </c>
      <c r="N27" s="194">
        <f>IF('ARF Projections'!$G25=0,"",'ARF Projections'!D26)</f>
        <v>27496.507322734727</v>
      </c>
      <c r="O27" s="194">
        <f>IF('ARF Projections'!$G25=0,"",'ARF Projections'!E26)</f>
        <v>11835.982398656593</v>
      </c>
      <c r="P27" s="194">
        <f>IF('ARF Projections'!$G25=0,"",'ARF Projections'!F26)</f>
        <v>43804.34775906826</v>
      </c>
      <c r="Q27" s="194">
        <f>IF('ARF Projections'!$G25=0,"",'ARF Projections'!G26)</f>
        <v>71856.177165010042</v>
      </c>
      <c r="S27" s="230"/>
    </row>
    <row r="28" spans="3:19" ht="15.75" thickBot="1">
      <c r="C28" s="23"/>
      <c r="L28" s="81">
        <f>IF('ARF Projections'!$G26=0,"",
IF('ARF Projections'!$G27=0,Fund_Zero_Year_2,'ARF Projections'!B27))</f>
        <v>15</v>
      </c>
      <c r="M28" s="194">
        <f>IF('ARF Projections'!$G26=0,"",'ARF Projections'!C27)</f>
        <v>100000</v>
      </c>
      <c r="N28" s="194">
        <f>IF('ARF Projections'!$G26=0,"",'ARF Projections'!D27)</f>
        <v>37350.620331933715</v>
      </c>
      <c r="O28" s="194">
        <f>IF('ARF Projections'!$G26=0,"",'ARF Projections'!E27)</f>
        <v>16077.725059362343</v>
      </c>
      <c r="P28" s="194">
        <f>IF('ARF Projections'!$G26=0,"",'ARF Projections'!F27)</f>
        <v>69182.296841919335</v>
      </c>
      <c r="Q28" s="194">
        <f>IF('ARF Projections'!$G26=0,"",'ARF Projections'!G27)</f>
        <v>52090.598430652164</v>
      </c>
      <c r="S28" s="230"/>
    </row>
    <row r="29" spans="3:19" ht="15.75" thickBot="1">
      <c r="C29" s="23" t="s">
        <v>224</v>
      </c>
      <c r="D29" s="229">
        <f>SinglePrem</f>
        <v>100000</v>
      </c>
      <c r="L29" s="81">
        <f>IF('ARF Projections'!$G27=0,"",
IF('ARF Projections'!$G28=0,Fund_Zero_Year_2,'ARF Projections'!B28))</f>
        <v>20</v>
      </c>
      <c r="M29" s="194">
        <f>IF('ARF Projections'!$G27=0,"",'ARF Projections'!C28)</f>
        <v>100000</v>
      </c>
      <c r="N29" s="194">
        <f>IF('ARF Projections'!$G27=0,"",'ARF Projections'!D28)</f>
        <v>43738.562464096045</v>
      </c>
      <c r="O29" s="194">
        <f>IF('ARF Projections'!$G27=0,"",'ARF Projections'!E28)</f>
        <v>18827.440496035142</v>
      </c>
      <c r="P29" s="194">
        <f>IF('ARF Projections'!$G27=0,"",'ARF Projections'!F28)</f>
        <v>97201.603248882253</v>
      </c>
      <c r="Q29" s="194">
        <f>IF('ARF Projections'!$G27=0,"",'ARF Projections'!G28)</f>
        <v>27709.518719178715</v>
      </c>
      <c r="S29" s="230"/>
    </row>
    <row r="30" spans="3:19" ht="15.75" thickBot="1">
      <c r="L30" s="81">
        <f>IF('ARF Projections'!$G28=0,"",
IF('ARF Projections'!$G29=0,Fund_Zero_Year_2,'ARF Projections'!B29))</f>
        <v>25</v>
      </c>
      <c r="M30" s="194">
        <f>IF('ARF Projections'!$G28=0,"",'ARF Projections'!C29)</f>
        <v>100000</v>
      </c>
      <c r="N30" s="194">
        <f>IF('ARF Projections'!$G28=0,"",'ARF Projections'!D29)</f>
        <v>45885.136328530571</v>
      </c>
      <c r="O30" s="194">
        <f>IF('ARF Projections'!$G28=0,"",'ARF Projections'!E29)</f>
        <v>19751.441867505921</v>
      </c>
      <c r="P30" s="194">
        <f>IF('ARF Projections'!$G28=0,"",'ARF Projections'!F29)</f>
        <v>126133.69446102463</v>
      </c>
      <c r="Q30" s="194">
        <f>IF('ARF Projections'!$G28=0,"",'ARF Projections'!G29)</f>
        <v>0</v>
      </c>
      <c r="S30" s="230"/>
    </row>
    <row r="31" spans="3:19" ht="15.75" thickBot="1">
      <c r="L31" s="81" t="str">
        <f>IF('ARF Projections'!$G29=0,"",
IF('ARF Projections'!$G30=0,Fund_Zero_Year_2,'ARF Projections'!B30))</f>
        <v/>
      </c>
      <c r="M31" s="194" t="str">
        <f>IF('ARF Projections'!$G29=0,"",'ARF Projections'!C30)</f>
        <v/>
      </c>
      <c r="N31" s="194" t="str">
        <f>IF('ARF Projections'!$G29=0,"",'ARF Projections'!D30)</f>
        <v/>
      </c>
      <c r="O31" s="194" t="str">
        <f>IF('ARF Projections'!$G29=0,"",'ARF Projections'!E30)</f>
        <v/>
      </c>
      <c r="P31" s="194" t="str">
        <f>IF('ARF Projections'!$G29=0,"",'ARF Projections'!F30)</f>
        <v/>
      </c>
      <c r="Q31" s="194" t="str">
        <f>IF('ARF Projections'!$G29=0,"",'ARF Projections'!G30)</f>
        <v/>
      </c>
      <c r="S31" s="230"/>
    </row>
    <row r="32" spans="3:19" ht="15.75" thickBot="1">
      <c r="C32" s="23" t="s">
        <v>225</v>
      </c>
      <c r="L32" s="81" t="str">
        <f>IF('ARF Projections'!$G30=0,"",
IF('ARF Projections'!$G31=0,Fund_Zero_Year_2,'ARF Projections'!B31))</f>
        <v/>
      </c>
      <c r="M32" s="194" t="str">
        <f>IF('ARF Projections'!$G30=0,"",'ARF Projections'!C31)</f>
        <v/>
      </c>
      <c r="N32" s="194" t="str">
        <f>IF('ARF Projections'!$G30=0,"",'ARF Projections'!D31)</f>
        <v/>
      </c>
      <c r="O32" s="194" t="str">
        <f>IF('ARF Projections'!$G30=0,"",'ARF Projections'!E31)</f>
        <v/>
      </c>
      <c r="P32" s="194" t="str">
        <f>IF('ARF Projections'!$G30=0,"",'ARF Projections'!F31)</f>
        <v/>
      </c>
      <c r="Q32" s="194" t="str">
        <f>IF('ARF Projections'!$G30=0,"",'ARF Projections'!G31)</f>
        <v/>
      </c>
      <c r="S32" s="230"/>
    </row>
    <row r="33" spans="3:17" ht="15.75" thickBot="1">
      <c r="C33" s="234" t="s">
        <v>226</v>
      </c>
      <c r="D33" s="235">
        <f>-MIN(new_allocation_rate-1, 0)</f>
        <v>0</v>
      </c>
      <c r="L33" s="81" t="str">
        <f>IF('ARF Projections'!$G31=0,"",
IF('ARF Projections'!$G32=0,Fund_Zero_Year_2,'ARF Projections'!B32))</f>
        <v/>
      </c>
      <c r="M33" s="194" t="str">
        <f>IF('ARF Projections'!$G31=0,"",'ARF Projections'!C32)</f>
        <v/>
      </c>
      <c r="N33" s="194" t="str">
        <f>IF('ARF Projections'!$G31=0,"",'ARF Projections'!D32)</f>
        <v/>
      </c>
      <c r="O33" s="194" t="str">
        <f>IF('ARF Projections'!$G31=0,"",'ARF Projections'!E32)</f>
        <v/>
      </c>
      <c r="P33" s="194" t="str">
        <f>IF('ARF Projections'!$G31=0,"",'ARF Projections'!F32)</f>
        <v/>
      </c>
      <c r="Q33" s="194" t="str">
        <f>IF('ARF Projections'!$G31=0,"",'ARF Projections'!G32)</f>
        <v/>
      </c>
    </row>
    <row r="34" spans="3:17">
      <c r="C34" s="234" t="s">
        <v>227</v>
      </c>
      <c r="D34" s="236">
        <f>IF('ARF Projections'!J79&lt;0, -'ARF Projections'!J79, 0)</f>
        <v>0</v>
      </c>
      <c r="L34" s="78"/>
      <c r="M34" s="78"/>
      <c r="N34" s="78"/>
      <c r="O34" s="78"/>
      <c r="P34" s="78"/>
      <c r="Q34" s="78"/>
    </row>
    <row r="35" spans="3:17" ht="15.75" thickBot="1">
      <c r="C35" s="234" t="s">
        <v>228</v>
      </c>
      <c r="D35" s="236">
        <f>D29-D34</f>
        <v>100000</v>
      </c>
      <c r="L35" s="78"/>
      <c r="M35" s="78"/>
      <c r="N35" s="78"/>
      <c r="O35" s="78"/>
      <c r="P35" s="78"/>
      <c r="Q35" s="78"/>
    </row>
    <row r="36" spans="3:17">
      <c r="K36" s="23" t="s">
        <v>229</v>
      </c>
      <c r="L36" s="238" t="s">
        <v>127</v>
      </c>
      <c r="M36" s="9" t="s">
        <v>129</v>
      </c>
      <c r="N36" s="11" t="s">
        <v>129</v>
      </c>
      <c r="O36" s="11" t="s">
        <v>129</v>
      </c>
    </row>
    <row r="37" spans="3:17" ht="51.75" thickBot="1">
      <c r="C37" s="23" t="s">
        <v>230</v>
      </c>
      <c r="L37" s="239"/>
      <c r="M37" s="10" t="s">
        <v>135</v>
      </c>
      <c r="N37" s="12" t="s">
        <v>231</v>
      </c>
      <c r="O37" s="12" t="s">
        <v>232</v>
      </c>
    </row>
    <row r="38" spans="3:17" ht="15.75" thickBot="1">
      <c r="C38" s="234" t="s">
        <v>233</v>
      </c>
      <c r="D38" s="235">
        <f>MAX(new_allocation_rate, 0)</f>
        <v>1</v>
      </c>
      <c r="F38" s="231"/>
      <c r="L38" s="8">
        <v>1</v>
      </c>
      <c r="M38" s="195">
        <f>'ARF Projections'!L5</f>
        <v>100000</v>
      </c>
      <c r="N38" s="195">
        <f>IF('ARF Projections'!M5=0,"",'ARF Projections'!M5)</f>
        <v>4250.8720727430136</v>
      </c>
      <c r="O38" s="195">
        <f>IF('ARF Projections'!M5=21,"",'ARF Projections'!M21)</f>
        <v>4247.5134290499163</v>
      </c>
    </row>
    <row r="39" spans="3:17" ht="15.75" thickBot="1">
      <c r="C39" s="234" t="s">
        <v>234</v>
      </c>
      <c r="D39" s="236">
        <f>IF('ARF Projections'!J79 &gt;=0, 'ARF Projections'!J79, 0)</f>
        <v>0</v>
      </c>
      <c r="F39" s="232"/>
      <c r="L39" s="8">
        <v>2</v>
      </c>
      <c r="M39" s="195"/>
      <c r="N39" s="195">
        <f>IF('ARF Projections'!M6=0,"",'ARF Projections'!M6)</f>
        <v>251.96792555938518</v>
      </c>
      <c r="O39" s="195">
        <f>IF('ARF Projections'!M6=21,"",'ARF Projections'!M22)</f>
        <v>241.80018460473991</v>
      </c>
    </row>
    <row r="40" spans="3:17" ht="15.75" thickBot="1">
      <c r="C40" s="234" t="s">
        <v>228</v>
      </c>
      <c r="D40" s="236">
        <f>D29+D39</f>
        <v>100000</v>
      </c>
      <c r="L40" s="8">
        <v>3</v>
      </c>
      <c r="M40" s="195"/>
      <c r="N40" s="195">
        <f>IF('ARF Projections'!M7=0,"",'ARF Projections'!M7)</f>
        <v>252.90627837697778</v>
      </c>
      <c r="O40" s="195">
        <f>IF('ARF Projections'!M7=21,"",'ARF Projections'!M23)</f>
        <v>235.7795361916439</v>
      </c>
    </row>
    <row r="41" spans="3:17" ht="15.75" thickBot="1">
      <c r="L41" s="8">
        <v>4</v>
      </c>
      <c r="M41" s="195"/>
      <c r="N41" s="195">
        <f>IF('ARF Projections'!M8=0,"",'ARF Projections'!M8)</f>
        <v>253.67577266538768</v>
      </c>
      <c r="O41" s="195">
        <f>IF('ARF Projections'!M8=21,"",'ARF Projections'!M24)</f>
        <v>229.44183756853971</v>
      </c>
    </row>
    <row r="42" spans="3:17" ht="15.75" thickBot="1">
      <c r="L42" s="8">
        <v>5</v>
      </c>
      <c r="M42" s="195"/>
      <c r="N42" s="195">
        <f>IF('ARF Projections'!M9=0,"",'ARF Projections'!M9)</f>
        <v>254.26444717417911</v>
      </c>
      <c r="O42" s="195">
        <f>IF('ARF Projections'!M9=21,"",'ARF Projections'!M25)</f>
        <v>222.77718620927124</v>
      </c>
    </row>
    <row r="43" spans="3:17" ht="15.75" thickBot="1">
      <c r="L43" s="8">
        <v>10</v>
      </c>
      <c r="M43" s="195"/>
      <c r="N43" s="195">
        <f>IF('ARF Projections'!M10=0,"",'ARF Projections'!M10)</f>
        <v>246.41474878786451</v>
      </c>
      <c r="O43" s="195">
        <f>IF('ARF Projections'!M10=21,"",'ARF Projections'!M26)</f>
        <v>184.18430723592002</v>
      </c>
    </row>
    <row r="44" spans="3:17" ht="15.75" thickBot="1">
      <c r="L44" s="8">
        <v>15</v>
      </c>
      <c r="M44" s="195"/>
      <c r="N44" s="195">
        <f>IF('ARF Projections'!M11=0,"",'ARF Projections'!M11)</f>
        <v>227.6193983897771</v>
      </c>
      <c r="O44" s="195">
        <f>IF('ARF Projections'!M11=21,"",'ARF Projections'!M27)</f>
        <v>135.77346347157078</v>
      </c>
    </row>
    <row r="45" spans="3:17" ht="15.75" thickBot="1">
      <c r="L45" s="8">
        <v>20</v>
      </c>
      <c r="M45" s="195"/>
      <c r="N45" s="195">
        <f>IF('ARF Projections'!M12=0,"",'ARF Projections'!M12)</f>
        <v>195.72757192586678</v>
      </c>
      <c r="O45" s="195">
        <f>IF('ARF Projections'!M12=21,"",'ARF Projections'!M28)</f>
        <v>75.978055000071478</v>
      </c>
    </row>
    <row r="46" spans="3:17" ht="15.75" thickBot="1">
      <c r="L46" s="8">
        <v>25</v>
      </c>
      <c r="M46" s="195"/>
      <c r="N46" s="195">
        <f>IF('ARF Projections'!M13=0,"",'ARF Projections'!M13)</f>
        <v>146.58368713832493</v>
      </c>
      <c r="O46" s="195">
        <f>IF('ARF Projections'!M13=21,"",'ARF Projections'!M29)</f>
        <v>3.8098527812424652</v>
      </c>
    </row>
    <row r="47" spans="3:17" ht="15.75" thickBot="1">
      <c r="L47" s="8">
        <v>30</v>
      </c>
      <c r="M47" s="195"/>
      <c r="N47" s="195">
        <f>IF('ARF Projections'!M14=0,"",'ARF Projections'!M14)</f>
        <v>74.899660275711895</v>
      </c>
      <c r="O47" s="195">
        <f>IF('ARF Projections'!M14=21,"",'ARF Projections'!M30)</f>
        <v>0</v>
      </c>
    </row>
    <row r="48" spans="3:17" ht="15.75" thickBot="1">
      <c r="L48" s="8">
        <v>35</v>
      </c>
      <c r="M48" s="195"/>
      <c r="N48" s="195" t="str">
        <f>IF('ARF Projections'!M15=0,"",'ARF Projections'!M15)</f>
        <v/>
      </c>
      <c r="O48" s="195">
        <f>IF('ARF Projections'!M15=21,"",'ARF Projections'!M31)</f>
        <v>0</v>
      </c>
    </row>
    <row r="49" spans="4:15" ht="15.75" thickBot="1">
      <c r="L49" s="8">
        <v>40</v>
      </c>
      <c r="M49" s="195"/>
      <c r="N49" s="195" t="str">
        <f>IF('ARF Projections'!M16=0,"",'ARF Projections'!M16)</f>
        <v/>
      </c>
      <c r="O49" s="195">
        <f>IF('ARF Projections'!M16=21,"",'ARF Projections'!M32)</f>
        <v>0</v>
      </c>
    </row>
    <row r="50" spans="4:15">
      <c r="D50" s="77"/>
    </row>
    <row r="51" spans="4:15">
      <c r="D51" s="43"/>
    </row>
  </sheetData>
  <mergeCells count="6">
    <mergeCell ref="L3:L4"/>
    <mergeCell ref="L36:L37"/>
    <mergeCell ref="D8:J13"/>
    <mergeCell ref="L20:L21"/>
    <mergeCell ref="C8:C13"/>
    <mergeCell ref="D17:J22"/>
  </mergeCells>
  <pageMargins left="0.7" right="0.7" top="0.75" bottom="0.75" header="0.3" footer="0.3"/>
  <pageSetup paperSize="9" scale="29"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C6752-0A81-4F9A-8C91-80FDFE7E0349}">
  <dimension ref="A1:A33"/>
  <sheetViews>
    <sheetView workbookViewId="0"/>
  </sheetViews>
  <sheetFormatPr defaultColWidth="9.140625" defaultRowHeight="12"/>
  <cols>
    <col min="1" max="1" width="95.85546875" style="97" customWidth="1"/>
    <col min="2" max="16384" width="9.140625" style="97"/>
  </cols>
  <sheetData>
    <row r="1" spans="1:1" ht="15.75">
      <c r="A1" s="96" t="s">
        <v>235</v>
      </c>
    </row>
    <row r="2" spans="1:1">
      <c r="A2" s="98"/>
    </row>
    <row r="3" spans="1:1" ht="15">
      <c r="A3" s="99" t="s">
        <v>236</v>
      </c>
    </row>
    <row r="4" spans="1:1">
      <c r="A4" s="100">
        <f ca="1">TODAY()</f>
        <v>46177</v>
      </c>
    </row>
    <row r="5" spans="1:1">
      <c r="A5" s="98"/>
    </row>
    <row r="6" spans="1:1">
      <c r="A6" s="101" t="s">
        <v>237</v>
      </c>
    </row>
    <row r="7" spans="1:1">
      <c r="A7" s="98" t="s">
        <v>238</v>
      </c>
    </row>
    <row r="8" spans="1:1" ht="36">
      <c r="A8" s="98" t="s">
        <v>239</v>
      </c>
    </row>
    <row r="9" spans="1:1" ht="48">
      <c r="A9" s="98" t="s">
        <v>240</v>
      </c>
    </row>
    <row r="10" spans="1:1" ht="24">
      <c r="A10" s="98" t="s">
        <v>241</v>
      </c>
    </row>
    <row r="11" spans="1:1">
      <c r="A11" s="102" t="s">
        <v>242</v>
      </c>
    </row>
    <row r="12" spans="1:1">
      <c r="A12" s="102" t="s">
        <v>243</v>
      </c>
    </row>
    <row r="13" spans="1:1">
      <c r="A13" s="103" t="s">
        <v>244</v>
      </c>
    </row>
    <row r="14" spans="1:1">
      <c r="A14" s="103" t="s">
        <v>245</v>
      </c>
    </row>
    <row r="15" spans="1:1">
      <c r="A15" s="102" t="s">
        <v>246</v>
      </c>
    </row>
    <row r="16" spans="1:1">
      <c r="A16" s="102" t="s">
        <v>247</v>
      </c>
    </row>
    <row r="17" spans="1:1">
      <c r="A17" s="102"/>
    </row>
    <row r="18" spans="1:1">
      <c r="A18" s="102"/>
    </row>
    <row r="19" spans="1:1" ht="24">
      <c r="A19" s="98" t="str">
        <f ca="1">_xlfn.TEXTJOIN("",TRUE,"This workbook was based on data available to us at, or prior to, ",TEXT(A4,"d mmmm yyyy"), ", and takes no account of developments after that date.")</f>
        <v>This workbook was based on data available to us at, or prior to, 4 Meitheamh 2026, and takes no account of developments after that date.</v>
      </c>
    </row>
    <row r="20" spans="1:1" ht="24">
      <c r="A20" s="98" t="s">
        <v>248</v>
      </c>
    </row>
    <row r="21" spans="1:1">
      <c r="A21" s="98"/>
    </row>
    <row r="22" spans="1:1">
      <c r="A22" s="101" t="s">
        <v>249</v>
      </c>
    </row>
    <row r="23" spans="1:1">
      <c r="A23" s="98" t="s">
        <v>250</v>
      </c>
    </row>
    <row r="24" spans="1:1" ht="36">
      <c r="A24" s="98" t="s">
        <v>251</v>
      </c>
    </row>
    <row r="25" spans="1:1" ht="24">
      <c r="A25" s="98" t="s">
        <v>252</v>
      </c>
    </row>
    <row r="26" spans="1:1" ht="60">
      <c r="A26" s="98" t="s">
        <v>253</v>
      </c>
    </row>
    <row r="27" spans="1:1" ht="24">
      <c r="A27" s="98" t="s">
        <v>254</v>
      </c>
    </row>
    <row r="28" spans="1:1">
      <c r="A28" s="104"/>
    </row>
    <row r="29" spans="1:1" ht="12" customHeight="1">
      <c r="A29" s="98" t="s">
        <v>255</v>
      </c>
    </row>
    <row r="30" spans="1:1" ht="84">
      <c r="A30" s="98" t="s">
        <v>256</v>
      </c>
    </row>
    <row r="31" spans="1:1">
      <c r="A31" s="104"/>
    </row>
    <row r="32" spans="1:1">
      <c r="A32" s="98" t="s">
        <v>257</v>
      </c>
    </row>
    <row r="33" spans="1:1" ht="36">
      <c r="A33" s="98" t="s">
        <v>258</v>
      </c>
    </row>
  </sheetData>
  <dataValidations count="1">
    <dataValidation type="date" operator="greaterThanOrEqual" allowBlank="1" showInputMessage="1" showErrorMessage="1" sqref="A4" xr:uid="{C0F30E0C-F157-417B-9971-81E6FAC46938}">
      <formula1>41487</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dlc_DocId xmlns="3225b16c-52d8-4e11-bb3e-bf6bd5174274">4MQSQJ5CRASR-57090708-170753</_dlc_DocId>
    <_dlc_DocIdUrl xmlns="3225b16c-52d8-4e11-bb3e-bf6bd5174274">
      <Url>https://allianzms.sharepoint.com/teams/IE0055-4609431/_layouts/15/DocIdRedir.aspx?ID=4MQSQJ5CRASR-57090708-170753</Url>
      <Description>4MQSQJ5CRASR-57090708-170753</Description>
    </_dlc_DocIdUrl>
    <MailPreviewData xmlns="3225b16c-52d8-4e11-bb3e-bf6bd5174274" xsi:nil="true"/>
    <DossierOwner xmlns="3225b16c-52d8-4e11-bb3e-bf6bd5174274">
      <UserInfo>
        <DisplayName/>
        <AccountId xsi:nil="true"/>
        <AccountType/>
      </UserInfo>
    </DossierOwner>
    <ContractExpirationDate xmlns="3225b16c-52d8-4e11-bb3e-bf6bd5174274" xsi:nil="true"/>
    <TaxCatchAllLabel xmlns="3225b16c-52d8-4e11-bb3e-bf6bd5174274" xsi:nil="true"/>
    <DossierStatus xmlns="3225b16c-52d8-4e11-bb3e-bf6bd5174274" xsi:nil="true"/>
    <TaxCatchAll xmlns="3225b16c-52d8-4e11-bb3e-bf6bd5174274" xsi:nil="true"/>
    <_dlc_DocIdPersistId xmlns="3225b16c-52d8-4e11-bb3e-bf6bd5174274" xsi:nil="true"/>
    <n2ddb59848d644dda23066f3460b0a3a xmlns="3225b16c-52d8-4e11-bb3e-bf6bd5174274">
      <Terms xmlns="http://schemas.microsoft.com/office/infopath/2007/PartnerControls"/>
    </n2ddb59848d644dda23066f3460b0a3a>
    <TranslatedLang xmlns="8c129b73-327c-4ef2-bb7f-3f38a376e77a" xsi:nil="true"/>
    <lcf76f155ced4ddcb4097134ff3c332f xmlns="8c129b73-327c-4ef2-bb7f-3f38a376e77a">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Document" ma:contentTypeID="0x01010083CE5741D76B7445B851BF381E8C86CB" ma:contentTypeVersion="35" ma:contentTypeDescription="Create a new document." ma:contentTypeScope="" ma:versionID="1ab418a7ad567ffc961df38f9cf610cc">
  <xsd:schema xmlns:xsd="http://www.w3.org/2001/XMLSchema" xmlns:xs="http://www.w3.org/2001/XMLSchema" xmlns:p="http://schemas.microsoft.com/office/2006/metadata/properties" xmlns:ns2="3225b16c-52d8-4e11-bb3e-bf6bd5174274" xmlns:ns3="8c129b73-327c-4ef2-bb7f-3f38a376e77a" targetNamespace="http://schemas.microsoft.com/office/2006/metadata/properties" ma:root="true" ma:fieldsID="6c6a50f9263fe78c908eb1096bbef947" ns2:_="" ns3:_="">
    <xsd:import namespace="3225b16c-52d8-4e11-bb3e-bf6bd5174274"/>
    <xsd:import namespace="8c129b73-327c-4ef2-bb7f-3f38a376e77a"/>
    <xsd:element name="properties">
      <xsd:complexType>
        <xsd:sequence>
          <xsd:element name="documentManagement">
            <xsd:complexType>
              <xsd:all>
                <xsd:element ref="ns2:_dlc_DocId" minOccurs="0"/>
                <xsd:element ref="ns2:_dlc_DocIdUrl" minOccurs="0"/>
                <xsd:element ref="ns2:_dlc_DocIdPersistId" minOccurs="0"/>
                <xsd:element ref="ns2:MailPreviewData" minOccurs="0"/>
                <xsd:element ref="ns2:n2ddb59848d644dda23066f3460b0a3a" minOccurs="0"/>
                <xsd:element ref="ns2:TaxCatchAll" minOccurs="0"/>
                <xsd:element ref="ns2:TaxCatchAllLabel" minOccurs="0"/>
                <xsd:element ref="ns2:DossierOwner" minOccurs="0"/>
                <xsd:element ref="ns2:DossierStatus" minOccurs="0"/>
                <xsd:element ref="ns2:ContractExpirationDate" minOccurs="0"/>
                <xsd:element ref="ns3:MediaServiceMetadata" minOccurs="0"/>
                <xsd:element ref="ns3:MediaServiceFastMetadata" minOccurs="0"/>
                <xsd:element ref="ns3:lcf76f155ced4ddcb4097134ff3c332f" minOccurs="0"/>
                <xsd:element ref="ns3:MediaServiceGenerationTime" minOccurs="0"/>
                <xsd:element ref="ns3:MediaServiceEventHashCode" minOccurs="0"/>
                <xsd:element ref="ns3:MediaServiceOCR" minOccurs="0"/>
                <xsd:element ref="ns3:MediaServiceObjectDetectorVersions" minOccurs="0"/>
                <xsd:element ref="ns2:SharedWithUsers" minOccurs="0"/>
                <xsd:element ref="ns2:SharedWithDetails" minOccurs="0"/>
                <xsd:element ref="ns3:MediaServiceSearchProperties" minOccurs="0"/>
                <xsd:element ref="ns3:MediaServiceDateTaken" minOccurs="0"/>
                <xsd:element ref="ns3:TranslatedLang"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25b16c-52d8-4e11-bb3e-bf6bd5174274"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MailPreviewData" ma:index="11" nillable="true" ma:displayName="Mail Preview" ma:description="File preview for harmonie" ma:hidden="true" ma:internalName="MailPreviewData" ma:readOnly="false">
      <xsd:simpleType>
        <xsd:restriction base="dms:Note"/>
      </xsd:simpleType>
    </xsd:element>
    <xsd:element name="n2ddb59848d644dda23066f3460b0a3a" ma:index="12" nillable="true" ma:taxonomy="true" ma:internalName="n2ddb59848d644dda23066f3460b0a3a" ma:taxonomyFieldName="Document_Class" ma:displayName="Document Class" ma:fieldId="{72ddb598-48d6-44dd-a230-66f3460b0a3a}" ma:sspId="10820af1-e82f-496e-bbcb-d9502914b7b2" ma:termSetId="a8fe5516-3f25-4a18-9fe8-9ec61fcfebb7" ma:anchorId="f3769284-ebf9-45c0-9e0f-a19a2a60e5c6" ma:open="false" ma:isKeyword="false">
      <xsd:complexType>
        <xsd:sequence>
          <xsd:element ref="pc:Terms" minOccurs="0" maxOccurs="1"/>
        </xsd:sequence>
      </xsd:complexType>
    </xsd:element>
    <xsd:element name="TaxCatchAll" ma:index="13" nillable="true" ma:displayName="Taxonomy Catch All Column" ma:hidden="true" ma:list="{5df4ba55-0331-4f68-b614-c949bfc39377}" ma:internalName="TaxCatchAll" ma:showField="CatchAllData" ma:web="3225b16c-52d8-4e11-bb3e-bf6bd5174274">
      <xsd:complexType>
        <xsd:complexContent>
          <xsd:extension base="dms:MultiChoiceLookup">
            <xsd:sequence>
              <xsd:element name="Value" type="dms:Lookup" maxOccurs="unbounded" minOccurs="0" nillable="true"/>
            </xsd:sequence>
          </xsd:extension>
        </xsd:complexContent>
      </xsd:complexType>
    </xsd:element>
    <xsd:element name="TaxCatchAllLabel" ma:index="14" nillable="true" ma:displayName="Taxonomy Catch All Column1" ma:hidden="true" ma:list="{5df4ba55-0331-4f68-b614-c949bfc39377}" ma:internalName="TaxCatchAllLabel" ma:readOnly="true" ma:showField="CatchAllDataLabel" ma:web="3225b16c-52d8-4e11-bb3e-bf6bd5174274">
      <xsd:complexType>
        <xsd:complexContent>
          <xsd:extension base="dms:MultiChoiceLookup">
            <xsd:sequence>
              <xsd:element name="Value" type="dms:Lookup" maxOccurs="unbounded" minOccurs="0" nillable="true"/>
            </xsd:sequence>
          </xsd:extension>
        </xsd:complexContent>
      </xsd:complexType>
    </xsd:element>
    <xsd:element name="DossierOwner" ma:index="16" nillable="true" ma:displayName="Dossier owner(s)" ma:description="Person(s) owning the dossier." ma:hidden="true" ma:internalName="DossierOwne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ossierStatus" ma:index="17" nillable="true" ma:displayName="Dossier Status" ma:description="Indicate the status of the dossier." ma:hidden="true" ma:internalName="DossierStatus" ma:readOnly="false">
      <xsd:simpleType>
        <xsd:restriction base="dms:Choice">
          <xsd:enumeration value="Open"/>
          <xsd:enumeration value="Closed"/>
        </xsd:restriction>
      </xsd:simpleType>
    </xsd:element>
    <xsd:element name="ContractExpirationDate" ma:index="18" nillable="true" ma:displayName="Expiry Date" ma:description="The formal expiration date of the subject, either according to the contractual agreement or because a termination has become (legally) effective. " ma:format="DateOnly" ma:hidden="true" ma:internalName="ContractExpirationDate" ma:readOnly="false">
      <xsd:simpleType>
        <xsd:restriction base="dms:DateTime"/>
      </xsd:simpleType>
    </xsd:element>
    <xsd:element name="SharedWithUsers" ma:index="2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8"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c129b73-327c-4ef2-bb7f-3f38a376e77a"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10820af1-e82f-496e-bbcb-d9502914b7b2" ma:termSetId="09814cd3-568e-fe90-9814-8d621ff8fb84" ma:anchorId="fba54fb3-c3e1-fe81-a776-ca4b69148c4d" ma:open="true" ma:isKeyword="false">
      <xsd:complexType>
        <xsd:sequence>
          <xsd:element ref="pc:Terms" minOccurs="0" maxOccurs="1"/>
        </xsd:sequence>
      </xsd:complex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ServiceOCR" ma:index="25" nillable="true" ma:displayName="Extracted Text" ma:internalName="MediaServiceOCR" ma:readOnly="true">
      <xsd:simpleType>
        <xsd:restriction base="dms:Note">
          <xsd:maxLength value="255"/>
        </xsd:restriction>
      </xsd:simple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ateTaken" ma:index="30" nillable="true" ma:displayName="MediaServiceDateTaken" ma:description="" ma:hidden="true" ma:indexed="true" ma:internalName="MediaServiceDateTaken" ma:readOnly="true">
      <xsd:simpleType>
        <xsd:restriction base="dms:Text"/>
      </xsd:simpleType>
    </xsd:element>
    <xsd:element name="TranslatedLang" ma:index="31" nillable="true" ma:displayName="Translated Language" ma:internalName="TranslatedLang">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C17CF9B-95CE-4390-8A54-824E678ED588}">
  <ds:schemaRefs>
    <ds:schemaRef ds:uri="http://schemas.microsoft.com/office/2006/documentManagement/types"/>
    <ds:schemaRef ds:uri="http://purl.org/dc/terms/"/>
    <ds:schemaRef ds:uri="http://schemas.openxmlformats.org/package/2006/metadata/core-properties"/>
    <ds:schemaRef ds:uri="http://schemas.microsoft.com/office/2006/metadata/properties"/>
    <ds:schemaRef ds:uri="http://purl.org/dc/dcmitype/"/>
    <ds:schemaRef ds:uri="3225b16c-52d8-4e11-bb3e-bf6bd5174274"/>
    <ds:schemaRef ds:uri="http://www.w3.org/XML/1998/namespace"/>
    <ds:schemaRef ds:uri="http://schemas.microsoft.com/office/infopath/2007/PartnerControls"/>
    <ds:schemaRef ds:uri="8c129b73-327c-4ef2-bb7f-3f38a376e77a"/>
    <ds:schemaRef ds:uri="http://purl.org/dc/elements/1.1/"/>
  </ds:schemaRefs>
</ds:datastoreItem>
</file>

<file path=customXml/itemProps2.xml><?xml version="1.0" encoding="utf-8"?>
<ds:datastoreItem xmlns:ds="http://schemas.openxmlformats.org/officeDocument/2006/customXml" ds:itemID="{7D41F5F7-5F80-43E2-A87F-CB1FE894ECD7}">
  <ds:schemaRefs>
    <ds:schemaRef ds:uri="http://schemas.microsoft.com/sharepoint/v3/contenttype/forms"/>
  </ds:schemaRefs>
</ds:datastoreItem>
</file>

<file path=customXml/itemProps3.xml><?xml version="1.0" encoding="utf-8"?>
<ds:datastoreItem xmlns:ds="http://schemas.openxmlformats.org/officeDocument/2006/customXml" ds:itemID="{1CFE233A-E40C-4FC5-9AEE-65C234FB260F}">
  <ds:schemaRefs>
    <ds:schemaRef ds:uri="http://schemas.microsoft.com/sharepoint/events"/>
  </ds:schemaRefs>
</ds:datastoreItem>
</file>

<file path=customXml/itemProps4.xml><?xml version="1.0" encoding="utf-8"?>
<ds:datastoreItem xmlns:ds="http://schemas.openxmlformats.org/officeDocument/2006/customXml" ds:itemID="{37D51BF0-BD5C-4B1A-A712-0ABEBEF68DC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225b16c-52d8-4e11-bb3e-bf6bd5174274"/>
    <ds:schemaRef ds:uri="8c129b73-327c-4ef2-bb7f-3f38a376e77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6</vt:i4>
      </vt:variant>
      <vt:variant>
        <vt:lpstr>Named Ranges</vt:lpstr>
      </vt:variant>
      <vt:variant>
        <vt:i4>45</vt:i4>
      </vt:variant>
    </vt:vector>
  </HeadingPairs>
  <TitlesOfParts>
    <vt:vector size="51" baseType="lpstr">
      <vt:lpstr>Version Control</vt:lpstr>
      <vt:lpstr>Overview</vt:lpstr>
      <vt:lpstr>Parameters</vt:lpstr>
      <vt:lpstr>ARF Projections</vt:lpstr>
      <vt:lpstr>Inputs for PointOfIssue Doc</vt:lpstr>
      <vt:lpstr>Reliances &amp; Limitations</vt:lpstr>
      <vt:lpstr>adj_upfront_commission</vt:lpstr>
      <vt:lpstr>Altered_Initial_Commission_Indicator</vt:lpstr>
      <vt:lpstr>Commission_Uplift_Factor</vt:lpstr>
      <vt:lpstr>Current_Age</vt:lpstr>
      <vt:lpstr>Custom_Reg_Inc_Perc_annual</vt:lpstr>
      <vt:lpstr>Custom_Regular_Income_Perc_Monthly</vt:lpstr>
      <vt:lpstr>Default_IncomeRate_table</vt:lpstr>
      <vt:lpstr>External_Fund_Charge_Monthly</vt:lpstr>
      <vt:lpstr>Fund_Charge_Monthly</vt:lpstr>
      <vt:lpstr>Fund_Rates_Table</vt:lpstr>
      <vt:lpstr>Fund_Zero_Year</vt:lpstr>
      <vt:lpstr>Fund_Zero_Year_2</vt:lpstr>
      <vt:lpstr>Growth_Rate_1</vt:lpstr>
      <vt:lpstr>Growth_Rate_1_Monthly</vt:lpstr>
      <vt:lpstr>Growth_Rate_2</vt:lpstr>
      <vt:lpstr>Growth_Rate_2_Monthly</vt:lpstr>
      <vt:lpstr>Gtee_Charge_Monthly</vt:lpstr>
      <vt:lpstr>Gtee_Flag</vt:lpstr>
      <vt:lpstr>Income_Escalation_Rate_Annual</vt:lpstr>
      <vt:lpstr>Income_Escalation_Rate_Monthly</vt:lpstr>
      <vt:lpstr>Income_Type</vt:lpstr>
      <vt:lpstr>Initial_income__Perc_used</vt:lpstr>
      <vt:lpstr>Minimum_Fund_Value</vt:lpstr>
      <vt:lpstr>new_allocation_rate</vt:lpstr>
      <vt:lpstr>new_upfront_commission</vt:lpstr>
      <vt:lpstr>Ongoing_Commission_Monthly</vt:lpstr>
      <vt:lpstr>Product_Code</vt:lpstr>
      <vt:lpstr>Product_Parameters</vt:lpstr>
      <vt:lpstr>Rate_Of_Return_Monthly</vt:lpstr>
      <vt:lpstr>RateOfReturn_Max</vt:lpstr>
      <vt:lpstr>Regular_Income_Amount</vt:lpstr>
      <vt:lpstr>Regular_Income_Start_Age</vt:lpstr>
      <vt:lpstr>Regular_Income_Start_Month</vt:lpstr>
      <vt:lpstr>SinglePrem</vt:lpstr>
      <vt:lpstr>special_deal_indicator</vt:lpstr>
      <vt:lpstr>special_deal_level</vt:lpstr>
      <vt:lpstr>Start_Date</vt:lpstr>
      <vt:lpstr>SurrederPenalty_Table</vt:lpstr>
      <vt:lpstr>Surrender_Penalty_flag</vt:lpstr>
      <vt:lpstr>Surrender_Penalty_table</vt:lpstr>
      <vt:lpstr>upfront_commission</vt:lpstr>
      <vt:lpstr>Weighted_Guarantee_Charge</vt:lpstr>
      <vt:lpstr>Weighted_RateOfReturn_Annual</vt:lpstr>
      <vt:lpstr>Year_of_Income_Reduction</vt:lpstr>
      <vt:lpstr>Year_Of_Income_Reduction_2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Fiachra MacLeid</dc:creator>
  <cp:keywords/>
  <dc:description/>
  <cp:lastModifiedBy>Hughes, Gearoid (Allianz Global Life)</cp:lastModifiedBy>
  <cp:revision/>
  <dcterms:created xsi:type="dcterms:W3CDTF">2024-01-29T09:25:20Z</dcterms:created>
  <dcterms:modified xsi:type="dcterms:W3CDTF">2026-06-04T14:17:14Z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0x01010083CE5741D76B7445B851BF381E8C86CB</vt:lpwstr>
  </property>
  <property fmtid="{D5CDD505-2E9C-101B-9397-08002B2CF9AE}" pid="3" name="_dlc_DocIdItemGuid">
    <vt:lpwstr>bf7d910e-db45-4f8a-88c0-91546b5e59df</vt:lpwstr>
  </property>
  <property fmtid="{D5CDD505-2E9C-101B-9397-08002B2CF9AE}" pid="4" name="DossierDepartment">
    <vt:lpwstr/>
  </property>
  <property fmtid="{D5CDD505-2E9C-101B-9397-08002B2CF9AE}" pid="5" name="AllianzContractingParties">
    <vt:lpwstr/>
  </property>
  <property fmtid="{D5CDD505-2E9C-101B-9397-08002B2CF9AE}" pid="6" name="Contract_Type">
    <vt:lpwstr/>
  </property>
  <property fmtid="{D5CDD505-2E9C-101B-9397-08002B2CF9AE}" pid="7" name="ma7b428390fe40c3b3d8b7af449e714b">
    <vt:lpwstr/>
  </property>
  <property fmtid="{D5CDD505-2E9C-101B-9397-08002B2CF9AE}" pid="8" name="Document_Class">
    <vt:lpwstr/>
  </property>
  <property fmtid="{D5CDD505-2E9C-101B-9397-08002B2CF9AE}" pid="9" name="ga59c799abf245578f962211bc5f9e69">
    <vt:lpwstr/>
  </property>
  <property fmtid="{D5CDD505-2E9C-101B-9397-08002B2CF9AE}" pid="10" name="MSIP_Label_863bc15e-e7bf-41c1-bdb3-03882d8a2e2c_Enabled">
    <vt:lpwstr>true</vt:lpwstr>
  </property>
  <property fmtid="{D5CDD505-2E9C-101B-9397-08002B2CF9AE}" pid="11" name="MSIP_Label_863bc15e-e7bf-41c1-bdb3-03882d8a2e2c_SetDate">
    <vt:lpwstr>2024-01-29T12:14:31Z</vt:lpwstr>
  </property>
  <property fmtid="{D5CDD505-2E9C-101B-9397-08002B2CF9AE}" pid="12" name="MSIP_Label_863bc15e-e7bf-41c1-bdb3-03882d8a2e2c_Method">
    <vt:lpwstr>Privileged</vt:lpwstr>
  </property>
  <property fmtid="{D5CDD505-2E9C-101B-9397-08002B2CF9AE}" pid="13" name="MSIP_Label_863bc15e-e7bf-41c1-bdb3-03882d8a2e2c_Name">
    <vt:lpwstr>863bc15e-e7bf-41c1-bdb3-03882d8a2e2c</vt:lpwstr>
  </property>
  <property fmtid="{D5CDD505-2E9C-101B-9397-08002B2CF9AE}" pid="14" name="MSIP_Label_863bc15e-e7bf-41c1-bdb3-03882d8a2e2c_SiteId">
    <vt:lpwstr>6e06e42d-6925-47c6-b9e7-9581c7ca302a</vt:lpwstr>
  </property>
  <property fmtid="{D5CDD505-2E9C-101B-9397-08002B2CF9AE}" pid="15" name="MSIP_Label_863bc15e-e7bf-41c1-bdb3-03882d8a2e2c_ActionId">
    <vt:lpwstr>1aa3a61a-7ffa-4bb8-b766-6bc0005c1393</vt:lpwstr>
  </property>
  <property fmtid="{D5CDD505-2E9C-101B-9397-08002B2CF9AE}" pid="16" name="MSIP_Label_863bc15e-e7bf-41c1-bdb3-03882d8a2e2c_ContentBits">
    <vt:lpwstr>1</vt:lpwstr>
  </property>
  <property fmtid="{D5CDD505-2E9C-101B-9397-08002B2CF9AE}" pid="17" name="MediaServiceImageTags">
    <vt:lpwstr/>
  </property>
  <property fmtid="{D5CDD505-2E9C-101B-9397-08002B2CF9AE}" pid="18" name="p32bb3fe03c6406096897a8ed08b5736">
    <vt:lpwstr/>
  </property>
  <property fmtid="{D5CDD505-2E9C-101B-9397-08002B2CF9AE}" pid="19" name="db9c6427edb84fd088a84e0c332473eb">
    <vt:lpwstr/>
  </property>
  <property fmtid="{D5CDD505-2E9C-101B-9397-08002B2CF9AE}" pid="20" name="hrmSubject">
    <vt:lpwstr>Untitled</vt:lpwstr>
  </property>
  <property fmtid="{D5CDD505-2E9C-101B-9397-08002B2CF9AE}" pid="21" name="hrmTo">
    <vt:lpwstr>NA</vt:lpwstr>
  </property>
  <property fmtid="{D5CDD505-2E9C-101B-9397-08002B2CF9AE}" pid="22" name="ConversationID">
    <vt:lpwstr>isTrue</vt:lpwstr>
  </property>
  <property fmtid="{D5CDD505-2E9C-101B-9397-08002B2CF9AE}" pid="23" name="lcf76f155ced4ddcb4097134ff3c332f">
    <vt:lpwstr/>
  </property>
  <property fmtid="{D5CDD505-2E9C-101B-9397-08002B2CF9AE}" pid="24" name="ldb75da6076e4b4f86a8bd3bf27a7de1">
    <vt:lpwstr/>
  </property>
  <property fmtid="{D5CDD505-2E9C-101B-9397-08002B2CF9AE}" pid="25" name="f737e0e0de904e9f8d941eea0e30b6fd">
    <vt:lpwstr/>
  </property>
  <property fmtid="{D5CDD505-2E9C-101B-9397-08002B2CF9AE}" pid="26" name="_AdHocReviewCycleID">
    <vt:i4>-950460741</vt:i4>
  </property>
  <property fmtid="{D5CDD505-2E9C-101B-9397-08002B2CF9AE}" pid="27" name="_NewReviewCycle">
    <vt:lpwstr/>
  </property>
  <property fmtid="{D5CDD505-2E9C-101B-9397-08002B2CF9AE}" pid="28" name="_EmailSubject">
    <vt:lpwstr>ARF Illustrator Spreadsheet</vt:lpwstr>
  </property>
  <property fmtid="{D5CDD505-2E9C-101B-9397-08002B2CF9AE}" pid="29" name="_AuthorEmail">
    <vt:lpwstr>gearoid.hughes@allianzgloballife.com</vt:lpwstr>
  </property>
  <property fmtid="{D5CDD505-2E9C-101B-9397-08002B2CF9AE}" pid="30" name="_AuthorEmailDisplayName">
    <vt:lpwstr>Hughes, Gearoid (Allianz Global Life)</vt:lpwstr>
  </property>
</Properties>
</file>